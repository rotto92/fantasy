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9.xml" ContentType="application/vnd.openxmlformats-officedocument.spreadsheetml.table+xml"/>
  <Override PartName="/xl/tables/table7.xml" ContentType="application/vnd.openxmlformats-officedocument.spreadsheetml.table+xml"/>
  <Override PartName="/xl/tables/table4.xml" ContentType="application/vnd.openxmlformats-officedocument.spreadsheetml.table+xml"/>
  <Override PartName="/xl/tables/table16.xml" ContentType="application/vnd.openxmlformats-officedocument.spreadsheetml.table+xml"/>
  <Override PartName="/xl/tables/table12.xml" ContentType="application/vnd.openxmlformats-officedocument.spreadsheetml.table+xml"/>
  <Override PartName="/xl/tables/table2.xml" ContentType="application/vnd.openxmlformats-officedocument.spreadsheetml.table+xml"/>
  <Override PartName="/xl/tables/table17.xml" ContentType="application/vnd.openxmlformats-officedocument.spreadsheetml.table+xml"/>
  <Override PartName="/xl/tables/table11.xml" ContentType="application/vnd.openxmlformats-officedocument.spreadsheetml.table+xml"/>
  <Override PartName="/xl/tables/table1.xml" ContentType="application/vnd.openxmlformats-officedocument.spreadsheetml.table+xml"/>
  <Override PartName="/xl/tables/table8.xml" ContentType="application/vnd.openxmlformats-officedocument.spreadsheetml.table+xml"/>
  <Override PartName="/xl/tables/table6.xml" ContentType="application/vnd.openxmlformats-officedocument.spreadsheetml.table+xml"/>
  <Override PartName="/xl/tables/table15.xml" ContentType="application/vnd.openxmlformats-officedocument.spreadsheetml.table+xml"/>
  <Override PartName="/xl/tables/table5.xml" ContentType="application/vnd.openxmlformats-officedocument.spreadsheetml.table+xml"/>
  <Override PartName="/xl/tables/table13.xml" ContentType="application/vnd.openxmlformats-officedocument.spreadsheetml.table+xml"/>
  <Override PartName="/xl/tables/table3.xml" ContentType="application/vnd.openxmlformats-officedocument.spreadsheetml.table+xml"/>
  <Override PartName="/xl/tables/table14.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olors1.xml" ContentType="application/vnd.ms-office.chartcolorstyle+xml"/>
  <Override PartName="/xl/charts/style2.xml" ContentType="application/vnd.ms-office.chartstyle+xml"/>
  <Override PartName="/xl/charts/colors4.xml" ContentType="application/vnd.ms-office.chartcolor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style1.xml" ContentType="application/vnd.ms-office.chartstyle+xml"/>
  <Override PartName="/xl/charts/colors3.xml" ContentType="application/vnd.ms-office.chartcolorstyle+xml"/>
  <Override PartName="/xl/charts/chart1.xml" ContentType="application/vnd.openxmlformats-officedocument.drawingml.chart+xml"/>
  <Override PartName="/xl/charts/style4.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Visualization Guide" sheetId="2" state="visible" r:id="rId4"/>
    <sheet name="Master Taxonomy" sheetId="3" state="visible" r:id="rId5"/>
    <sheet name="Source Corpus" sheetId="4" state="visible" r:id="rId6"/>
    <sheet name="Seed Catalogue" sheetId="5" state="visible" r:id="rId7"/>
    <sheet name="Controlled Vocab" sheetId="6" state="visible" r:id="rId8"/>
    <sheet name="Relationship Rules" sheetId="7" state="visible" r:id="rId9"/>
    <sheet name="Coverage" sheetId="8" state="visible" r:id="rId10"/>
    <sheet name="Data Dictionary" sheetId="9" state="visible" r:id="rId11"/>
    <sheet name="Research Queue" sheetId="10" state="visible" r:id="rId12"/>
    <sheet name="Source Priority" sheetId="11" state="visible" r:id="rId13"/>
    <sheet name="Term Metadata" sheetId="12" state="visible" r:id="rId14"/>
    <sheet name="Adaptation Crosswalk" sheetId="13" state="visible" r:id="rId15"/>
    <sheet name="Source Concept Map" sheetId="14" state="visible" r:id="rId16"/>
    <sheet name="Source Relationships" sheetId="15" state="visible" r:id="rId17"/>
    <sheet name="Source Coverage Audit" sheetId="16" state="visible" r:id="rId18"/>
  </sheets>
  <definedNames>
    <definedName function="false" hidden="true" localSheetId="13" name="_xlnm._FilterDatabase" vbProcedure="false">'Source Concept Map'!$A$1:$M$1466</definedName>
    <definedName function="false" hidden="true" localSheetId="15" name="_xlnm._FilterDatabase" vbProcedure="false">'Source Coverage Audit'!$A$1:$N$282</definedName>
    <definedName function="false" hidden="true" localSheetId="14" name="_xlnm._FilterDatabase" vbProcedure="false">'Source Relationships'!$A$1:$I$55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<sst xmlns="http://schemas.openxmlformats.org/spreadsheetml/2006/main" count="55884" uniqueCount="18078">
  <si>
    <t xml:space="preserve">Fantasy &amp; High-Fantasy Comparative Archetype Atlas</t>
  </si>
  <si>
    <t xml:space="preserve">A source-faithful comparative ontology with complete corpus orientation coverage and a WebGL relationship explorer</t>
  </si>
  <si>
    <t xml:space="preserve">Edition</t>
  </si>
  <si>
    <t xml:space="preserve">3.0</t>
  </si>
  <si>
    <t xml:space="preserve">Key Metric</t>
  </si>
  <si>
    <t xml:space="preserve">Value</t>
  </si>
  <si>
    <t xml:space="preserve">How to read the atlas</t>
  </si>
  <si>
    <t xml:space="preserve">Prepared</t>
  </si>
  <si>
    <t xml:space="preserve">2026-08-16</t>
  </si>
  <si>
    <t xml:space="preserve">Normalized archetypes</t>
  </si>
  <si>
    <t xml:space="preserve">1</t>
  </si>
  <si>
    <t xml:space="preserve">Find a source-specific term in Seed Catalogue.</t>
  </si>
  <si>
    <t xml:space="preserve">Framework model</t>
  </si>
  <si>
    <t xml:space="preserve">Source records + normalized crosswalks</t>
  </si>
  <si>
    <t xml:space="preserve">Source corpus records</t>
  </si>
  <si>
    <t xml:space="preserve">2</t>
  </si>
  <si>
    <t xml:space="preserve">Follow its Primary and Additional Archetype IDs into Master Taxonomy.</t>
  </si>
  <si>
    <t xml:space="preserve">Primary use</t>
  </si>
  <si>
    <t xml:space="preserve">Comparative literary/media analysis</t>
  </si>
  <si>
    <t xml:space="preserve">Source-specific seed entries</t>
  </si>
  <si>
    <t xml:space="preserve">3</t>
  </si>
  <si>
    <t xml:space="preserve">Compare only along named axes: ontology, role, power, institution, mechanics, or narrative function.</t>
  </si>
  <si>
    <t xml:space="preserve">Secondary use</t>
  </si>
  <si>
    <t xml:space="preserve">Encyclopedia/database and reusable archetype discovery</t>
  </si>
  <si>
    <t xml:space="preserve">Top-level domains</t>
  </si>
  <si>
    <t xml:space="preserve">4</t>
  </si>
  <si>
    <t xml:space="preserve">Use Relationship Rules instead of assuming that identical labels are equivalent.</t>
  </si>
  <si>
    <t xml:space="preserve">Version policy</t>
  </si>
  <si>
    <t xml:space="preserve">Continuity- and edition-specific where material differences exist</t>
  </si>
  <si>
    <t xml:space="preserve">5</t>
  </si>
  <si>
    <t xml:space="preserve">Check Evidence Level, Canon Status, continuity, and Reference URL before making source claims.</t>
  </si>
  <si>
    <t xml:space="preserve">6</t>
  </si>
  <si>
    <t xml:space="preserve">Use Source Priority and Research Queue to extend the corpus without changing the core schema.</t>
  </si>
  <si>
    <t xml:space="preserve">7</t>
  </si>
  <si>
    <t xml:space="preserve">Use Term Metadata for language/witness controls and Adaptation Crosswalk to study how concepts change across media.</t>
  </si>
  <si>
    <t xml:space="preserve">Completeness contract</t>
  </si>
  <si>
    <t xml:space="preserve">Structural completeness</t>
  </si>
  <si>
    <t xml:space="preserve">The schema can represent peoples, beings, roles, powers, institutions, transformations, civilizations, narrative patterns, game mechanics, artifacts, cosmologies, sacred geography, metaphysical laws, rituals, and exchanges without forcing them into race/class bins.</t>
  </si>
  <si>
    <t xml:space="preserve">Taxonomic completeness</t>
  </si>
  <si>
    <t xml:space="preserve">The normalized hierarchy covers the major reusable archetype families encountered across fantasy traditions and media, with explicit room for culture-specific subfamilies.</t>
  </si>
  <si>
    <t xml:space="preserve">Corpus completeness</t>
  </si>
  <si>
    <t xml:space="preserve">The source list is intentionally expandable. No finite edition can literally include every fantasy work, edition, adaptation, folk tradition, or live-service update.</t>
  </si>
  <si>
    <t xml:space="preserve">Claim discipline</t>
  </si>
  <si>
    <t xml:space="preserve">A catalogue entry is not considered fully source-verified until its Evidence Level and Source Reference support the specific continuity claim.</t>
  </si>
  <si>
    <t xml:space="preserve">Non-equivalence rule</t>
  </si>
  <si>
    <t xml:space="preserve">A normalized family provides a comparison coordinate; it never erases the source concept's distinct metaphysics, history, or cultural meaning.</t>
  </si>
  <si>
    <t xml:space="preserve">Eleven analytical domains</t>
  </si>
  <si>
    <t xml:space="preserve">People &amp; Beings</t>
  </si>
  <si>
    <t xml:space="preserve">Species, peoples, spirits, gods, undead, constructs, monsters, hybrids, and mutable beings.</t>
  </si>
  <si>
    <t xml:space="preserve">Roles &amp; Vocations</t>
  </si>
  <si>
    <t xml:space="preserve">Martial, rogue, magical, sacred, social, technical, hybrid, and progression roles.</t>
  </si>
  <si>
    <t xml:space="preserve">Power Traditions</t>
  </si>
  <si>
    <t xml:space="preserve">Sources, domains, methods, costs, techniques, and theories of supernatural power.</t>
  </si>
  <si>
    <t xml:space="preserve">States &amp; Transformations</t>
  </si>
  <si>
    <t xml:space="preserve">Undeath, curse, possession, mutation, ascension, bond, displacement, and other acquired states.</t>
  </si>
  <si>
    <t xml:space="preserve">Institutions &amp; Affiliations</t>
  </si>
  <si>
    <t xml:space="preserve">Guilds, orders, schools, sects, parties, factions, castes, states, and social structures.</t>
  </si>
  <si>
    <t xml:space="preserve">Narrative Archetypes</t>
  </si>
  <si>
    <t xml:space="preserve">Character, antagonist, party, quest, plot, and thematic story functions.</t>
  </si>
  <si>
    <t xml:space="preserve">Civilization &amp; Culture Archetypes</t>
  </si>
  <si>
    <t xml:space="preserve">States, settlements, ecologies, economies, social organizations, and historical patterns.</t>
  </si>
  <si>
    <t xml:space="preserve">Game-Mechanical Archetypes</t>
  </si>
  <si>
    <t xml:space="preserve">Combat roles, resources, class structures, progression systems, and unit functions.</t>
  </si>
  <si>
    <t xml:space="preserve">Cross-axis rule</t>
  </si>
  <si>
    <t xml:space="preserve">One source concept may occupy several domains simultaneously. A witcher, for example, is a transformed human, professional monster hunter, order member, alchemical user, and game build.</t>
  </si>
  <si>
    <t xml:space="preserve">Hierarchy rule</t>
  </si>
  <si>
    <t xml:space="preserve">Broad families support retrieval; lower tiers preserve distinctions. Parent-child placement is analytical, not a claim of fictional genealogy.</t>
  </si>
  <si>
    <t xml:space="preserve">Terminology rule</t>
  </si>
  <si>
    <t xml:space="preserve">Preserve source-native terms, translations, and edition labels. Use 'people/being type' as the umbrella rather than treating every distinction as race.</t>
  </si>
  <si>
    <t xml:space="preserve">Adaptation rule</t>
  </si>
  <si>
    <t xml:space="preserve">Separate adaptations when ontology, powers, institutions, available classes, or world history materially diverge.</t>
  </si>
  <si>
    <t xml:space="preserve">Cultural caution</t>
  </si>
  <si>
    <t xml:space="preserve">Religious, folkloric, and living traditions require culture-specific scholarship. Similarity is not proof of direct influence or equivalence.</t>
  </si>
  <si>
    <t xml:space="preserve">Moral caution</t>
  </si>
  <si>
    <t xml:space="preserve">Record source-stated alignments and stereotypes without naturalizing morality as biological fact.</t>
  </si>
  <si>
    <t xml:space="preserve">Database rule</t>
  </si>
  <si>
    <t xml:space="preserve">Stable IDs remain fixed; deprecated concepts are merged by status rather than deleted or silently reused.</t>
  </si>
  <si>
    <t xml:space="preserve">Citation rule</t>
  </si>
  <si>
    <t xml:space="preserve">URLs are stored for orientation; deep passes should add edition, chapter, page, episode, codex, or rules-section references.</t>
  </si>
  <si>
    <t xml:space="preserve">Relationship ladder: strongest claim to weakest claim</t>
  </si>
  <si>
    <t xml:space="preserve">Canonical alias</t>
  </si>
  <si>
    <t xml:space="preserve">Same concept in the same continuity.</t>
  </si>
  <si>
    <t xml:space="preserve">Exact equivalent</t>
  </si>
  <si>
    <t xml:space="preserve">Same across all material dimensions; exceptionally rare.</t>
  </si>
  <si>
    <t xml:space="preserve">Close analogue</t>
  </si>
  <si>
    <t xml:space="preserve">Strong similarity with source-specific differences.</t>
  </si>
  <si>
    <t xml:space="preserve">Partial analogue</t>
  </si>
  <si>
    <t xml:space="preserve">Similarity on selected axes only.</t>
  </si>
  <si>
    <t xml:space="preserve">Functional analogue</t>
  </si>
  <si>
    <t xml:space="preserve">Same social or narrative job.</t>
  </si>
  <si>
    <t xml:space="preserve">Mechanical analogue</t>
  </si>
  <si>
    <t xml:space="preserve">Same game role or progression function.</t>
  </si>
  <si>
    <t xml:space="preserve">Visual analogue</t>
  </si>
  <si>
    <t xml:space="preserve">Similar appearance only.</t>
  </si>
  <si>
    <t xml:space="preserve">Inspired-by</t>
  </si>
  <si>
    <t xml:space="preserve">Requires influence evidence.</t>
  </si>
  <si>
    <t xml:space="preserve">Subtype-of</t>
  </si>
  <si>
    <t xml:space="preserve">Narrower taxonomic category.</t>
  </si>
  <si>
    <t xml:space="preserve">Member-of</t>
  </si>
  <si>
    <t xml:space="preserve">Institutional or social membership.</t>
  </si>
  <si>
    <t xml:space="preserve">Hybrid-of</t>
  </si>
  <si>
    <t xml:space="preserve">Combines multiple normalized families.</t>
  </si>
  <si>
    <t xml:space="preserve">Transformed-into</t>
  </si>
  <si>
    <t xml:space="preserve">Temporal ontological change.</t>
  </si>
  <si>
    <t xml:space="preserve">Adaptation-of</t>
  </si>
  <si>
    <t xml:space="preserve">Cross-media or continuity transformation.</t>
  </si>
  <si>
    <t xml:space="preserve">Version-of</t>
  </si>
  <si>
    <t xml:space="preserve">Edition or incarnation relationship.</t>
  </si>
  <si>
    <t xml:space="preserve">Inversion</t>
  </si>
  <si>
    <t xml:space="preserve">Deliberate reversal or critique.</t>
  </si>
  <si>
    <t xml:space="preserve">Frequently confused-with</t>
  </si>
  <si>
    <t xml:space="preserve">Quality-control warning.</t>
  </si>
  <si>
    <t xml:space="preserve">Uncertain / disputed</t>
  </si>
  <si>
    <t xml:space="preserve">Use when canon, scholarship, translation, or influence remains unresolved.</t>
  </si>
  <si>
    <t xml:space="preserve">Recommended research workflow</t>
  </si>
  <si>
    <t xml:space="preserve">1. Define continuity</t>
  </si>
  <si>
    <t xml:space="preserve">Choose the exact book corpus, edition, game build, adaptation, or mythic source layer.</t>
  </si>
  <si>
    <t xml:space="preserve">2. Record native type</t>
  </si>
  <si>
    <t xml:space="preserve">Ask what the source says the concept is: people, spirit, office, order, profession, class, condition, or mechanic.</t>
  </si>
  <si>
    <t xml:space="preserve">3. Decompose axes</t>
  </si>
  <si>
    <t xml:space="preserve">Separate ontology, culture, role, power source, institution, mechanics, and narrative function.</t>
  </si>
  <si>
    <t xml:space="preserve">4. Crosswalk conservatively</t>
  </si>
  <si>
    <t xml:space="preserve">Assign a primary archetype and additional axes; document the key distinction.</t>
  </si>
  <si>
    <t xml:space="preserve">5. Cite and version</t>
  </si>
  <si>
    <t xml:space="preserve">Add the most precise available source reference and date/version for changing material.</t>
  </si>
  <si>
    <t xml:space="preserve">6. Compare with typed links</t>
  </si>
  <si>
    <t xml:space="preserve">State why two entries are analogous rather than merely placing them under one vague label.</t>
  </si>
  <si>
    <t xml:space="preserve">Version 2.0 domain expansion</t>
  </si>
  <si>
    <t xml:space="preserve">Artifacts, Relics, Weapons &amp; Vehicles</t>
  </si>
  <si>
    <t xml:space="preserve">Objects and conveyances whose provenance, agency, ritual status, cosmological position, or mechanical function warrants a source-faithful record.</t>
  </si>
  <si>
    <t xml:space="preserve">Cosmologies, Realms &amp; Sacred Geography</t>
  </si>
  <si>
    <t xml:space="preserve">Heavens, underworlds, spirit worlds, cosmic structures, thresholds, sacred landscapes, afterlives, cycles, and models of reality.</t>
  </si>
  <si>
    <t xml:space="preserve">Metaphysical Laws, Rituals &amp; Exchanges</t>
  </si>
  <si>
    <t xml:space="preserve">Vows, boons, curses, sacrifice, hospitality, fate, moral causation, purity, initiation, true names, reciprocity, and other binding structures.</t>
  </si>
  <si>
    <t xml:space="preserve">New research and comparison controls</t>
  </si>
  <si>
    <t xml:space="preserve">Source Priority</t>
  </si>
  <si>
    <t xml:space="preserve">Weighted marginal-archetype-value model with editable criteria, redundancy penalty, treatment thresholds, editorial rationale, and a top-source chart.</t>
  </si>
  <si>
    <t xml:space="preserve">Term Metadata</t>
  </si>
  <si>
    <t xml:space="preserve">Original language, script, transliteration, textual witness, period/layer, translation variants, sacred-context caution, and novelty classification.</t>
  </si>
  <si>
    <t xml:space="preserve">Adaptation Crosswalk</t>
  </si>
  <si>
    <t xml:space="preserve">Typed records for factionalization, unitization, mechanization, resource abstraction, itemization, bossification, decontextualization, and related operations.</t>
  </si>
  <si>
    <t xml:space="preserve">Current source-complex and adaptation passes</t>
  </si>
  <si>
    <t xml:space="preserve">Mahābhārata</t>
  </si>
  <si>
    <t xml:space="preserve">Foundational source-complex pass covering beings, roles, divine weapons, vows, boons, curses, ritual, cosmology, institutions, and narrative structures, with witness and sacred-context controls.</t>
  </si>
  <si>
    <t xml:space="preserve">Age of Mythology: Retold</t>
  </si>
  <si>
    <t xml:space="preserve">Adaptation pass focused on how pantheons and traditional concepts become factions, units, heroes, god powers, resources, ages, relics, and strategic counters.</t>
  </si>
  <si>
    <t xml:space="preserve">Darkest Dungeon</t>
  </si>
  <si>
    <t xml:space="preserve">Selective innovation pass centered on stress, affliction/virtue crises, quirks, expedition attrition, position systems, recovery institutions, roster mortality, and inherited ruin.</t>
  </si>
  <si>
    <t xml:space="preserve">Version 3 Interactive Relationship Atlas</t>
  </si>
  <si>
    <t xml:space="preserve">Deliverable</t>
  </si>
  <si>
    <t xml:space="preserve">TypeScript + Sigma.js + Graphology WebGL explorer generated from this workbook.</t>
  </si>
  <si>
    <t xml:space="preserve">Run locally</t>
  </si>
  <si>
    <t xml:space="preserve">From the project directory: npm install, then npm run dev. Open the local URL printed by Vite.</t>
  </si>
  <si>
    <t xml:space="preserve">Build</t>
  </si>
  <si>
    <t xml:space="preserve">npm run build regenerates this workbook's JSON graph projection, type-checks the app, and creates dist/.</t>
  </si>
  <si>
    <t xml:space="preserve">Semantic zoom</t>
  </si>
  <si>
    <t xml:space="preserve">Far: eleven domains and all sources. Middle: archetype families and source bridges. Near: source concepts, canonical entries, adaptations, evidence, and citations.</t>
  </si>
  <si>
    <t xml:space="preserve">Coverage view</t>
  </si>
  <si>
    <t xml:space="preserve">Separates orientation coverage (281/281 sources) from canonical source-pass coverage (currently 21/281 sources).</t>
  </si>
  <si>
    <t xml:space="preserve">Integrity rule</t>
  </si>
  <si>
    <t xml:space="preserve">Source Concept Map rows are orientation coordinates derived from editorial corpus notes. They must not be cited as canonical claims. Seed Catalogue remains the canonical source-entry layer.</t>
  </si>
  <si>
    <t xml:space="preserve">Graph node types</t>
  </si>
  <si>
    <t xml:space="preserve">Domain · normalized archetype · source/tradition · orientation concept · canonical source entry · adaptation crosswalk.</t>
  </si>
  <si>
    <t xml:space="preserve">Graph edge types</t>
  </si>
  <si>
    <t xml:space="preserve">taxonomy · canonical mapping · orientation mapping · source containment · adaptation · version · influence · implementation.</t>
  </si>
  <si>
    <t xml:space="preserve">Version 3 counts</t>
  </si>
  <si>
    <t xml:space="preserve">281 sources · 1655 archetypes · 451 canonical entries · 1465 orientation concepts · 54 source relationships.</t>
  </si>
  <si>
    <t xml:space="preserve">Archetype_ID</t>
  </si>
  <si>
    <t xml:space="preserve">Preferred_Name</t>
  </si>
  <si>
    <t xml:space="preserve">Domain</t>
  </si>
  <si>
    <t xml:space="preserve">Parent_ID</t>
  </si>
  <si>
    <t xml:space="preserve">Parent_Name</t>
  </si>
  <si>
    <t xml:space="preserve">Tier</t>
  </si>
  <si>
    <t xml:space="preserve">Core_Definition</t>
  </si>
  <si>
    <t xml:space="preserve">Key_Distinctions</t>
  </si>
  <si>
    <t xml:space="preserve">Common_Variants</t>
  </si>
  <si>
    <t xml:space="preserve">Typical_Functions</t>
  </si>
  <si>
    <t xml:space="preserve">Representative_Terms</t>
  </si>
  <si>
    <t xml:space="preserve">Cross_Cultural_Caution</t>
  </si>
  <si>
    <t xml:space="preserve">Framework_Status</t>
  </si>
  <si>
    <t xml:space="preserve">PPL-000</t>
  </si>
  <si>
    <t xml:space="preserve">Biological peoples, metaphysical kinds, monsters, spirits, constructs, and other sentient or narratively significant beings.</t>
  </si>
  <si>
    <t xml:space="preserve">A top-level analytical domain. Entries may link across domains but should not be collapsed into one another.</t>
  </si>
  <si>
    <t xml:space="preserve">Provides the first classification axis for the database.</t>
  </si>
  <si>
    <t xml:space="preserve">Preserve each source's ontology, culture, history, and terminology when making comparisons.</t>
  </si>
  <si>
    <t xml:space="preserve">Domain Root</t>
  </si>
  <si>
    <t xml:space="preserve">ROL-000</t>
  </si>
  <si>
    <t xml:space="preserve">Professions, combat roles, social offices, religious vocations, magical callings, and formal game classes.</t>
  </si>
  <si>
    <t xml:space="preserve">PWR-000</t>
  </si>
  <si>
    <t xml:space="preserve">Repeatable sources, methods, and logics through which extraordinary power is acquired or exercised.</t>
  </si>
  <si>
    <t xml:space="preserve">STA-000</t>
  </si>
  <si>
    <t xml:space="preserve">Acquired conditions, templates, curses, awakenings, and changes of body, soul, identity, or status.</t>
  </si>
  <si>
    <t xml:space="preserve">INS-000</t>
  </si>
  <si>
    <t xml:space="preserve">Orders, schools, guilds, sects, castes, houses, armies, and other organized identities.</t>
  </si>
  <si>
    <t xml:space="preserve">NAR-000</t>
  </si>
  <si>
    <t xml:space="preserve">Recurring character, party, antagonist, and plot functions used across fantasy media.</t>
  </si>
  <si>
    <t xml:space="preserve">CIV-000</t>
  </si>
  <si>
    <t xml:space="preserve">Reusable patterns for societies, polities, economies, and cultural organization.</t>
  </si>
  <si>
    <t xml:space="preserve">MEC-000</t>
  </si>
  <si>
    <t xml:space="preserve">Roles and resource patterns defined primarily by rules, encounter design, or player progression.</t>
  </si>
  <si>
    <t xml:space="preserve">PPL-100</t>
  </si>
  <si>
    <t xml:space="preserve">Mortal and Natural Peoples</t>
  </si>
  <si>
    <t xml:space="preserve">Peoples presented as ordinary inhabitants of the setting's natural world, even when their biology differs from humans.</t>
  </si>
  <si>
    <t xml:space="preserve">Classify by ontology first; morphology, culture, and game creature type are separate axes.</t>
  </si>
  <si>
    <t xml:space="preserve">Organizes source-specific peoples and creatures by the kind of being they are.</t>
  </si>
  <si>
    <t xml:space="preserve">Player ancestries; nations; ethnicized fantasy peoples</t>
  </si>
  <si>
    <t xml:space="preserve">Category</t>
  </si>
  <si>
    <t xml:space="preserve">PPL-200</t>
  </si>
  <si>
    <t xml:space="preserve">Fae, Nature, and Liminal Beings</t>
  </si>
  <si>
    <t xml:space="preserve">Beings tied to wilderness, place, season, threshold, enchantment, or an otherworld adjacent to mortal reality.</t>
  </si>
  <si>
    <t xml:space="preserve">Fae courts; land spirits; trickster beings</t>
  </si>
  <si>
    <t xml:space="preserve">PPL-300</t>
  </si>
  <si>
    <t xml:space="preserve">Spirits and Elementals</t>
  </si>
  <si>
    <t xml:space="preserve">Incorporeal or semi-corporeal beings constituted by soul, element, concept, memory, dream, or place.</t>
  </si>
  <si>
    <t xml:space="preserve">Elementals; ancestors; guardian spirits</t>
  </si>
  <si>
    <t xml:space="preserve">PPL-400</t>
  </si>
  <si>
    <t xml:space="preserve">Divine and Celestial Beings</t>
  </si>
  <si>
    <t xml:space="preserve">Gods, divine emanations, celestial servants, ascended mortals, and beings aligned with sacred cosmic order.</t>
  </si>
  <si>
    <t xml:space="preserve">Gods; angels; saints; avatars</t>
  </si>
  <si>
    <t xml:space="preserve">PPL-500</t>
  </si>
  <si>
    <t xml:space="preserve">Infernal and Corruptive Beings</t>
  </si>
  <si>
    <t xml:space="preserve">Demons, devils, fallen celestials, chaos-spawn, and entities whose existence centers on corruption, domination, temptation, or metaphysical disorder.</t>
  </si>
  <si>
    <t xml:space="preserve">Fiends; demon lords; possessors</t>
  </si>
  <si>
    <t xml:space="preserve">PPL-600</t>
  </si>
  <si>
    <t xml:space="preserve">Undead Beings</t>
  </si>
  <si>
    <t xml:space="preserve">Beings that persist after biological death through animation, trapped soul, curse, hunger, ritual, or necromantic structure.</t>
  </si>
  <si>
    <t xml:space="preserve">Ghosts; vampires; liches; revenants</t>
  </si>
  <si>
    <t xml:space="preserve">PPL-700</t>
  </si>
  <si>
    <t xml:space="preserve">Constructs and Artificial Life</t>
  </si>
  <si>
    <t xml:space="preserve">Created beings whose bodies or minds are deliberately manufactured, assembled, grown, enchanted, or replicated.</t>
  </si>
  <si>
    <t xml:space="preserve">Golems; homunculi; clockwork people</t>
  </si>
  <si>
    <t xml:space="preserve">PPL-800</t>
  </si>
  <si>
    <t xml:space="preserve">Dragons and Legendary Beasts</t>
  </si>
  <si>
    <t xml:space="preserve">Iconic nonhuman beasts whose intelligence, scale, magical potency, or symbolic role exceeds ordinary fauna.</t>
  </si>
  <si>
    <t xml:space="preserve">Dragons; griffins; hydras; world beasts</t>
  </si>
  <si>
    <t xml:space="preserve">PPL-900</t>
  </si>
  <si>
    <t xml:space="preserve">Plant, Fungal, Ooze, and Collective Life</t>
  </si>
  <si>
    <t xml:space="preserve">Beings based on non-animal life, amorphous bodies, swarms, colonies, or distributed consciousness.</t>
  </si>
  <si>
    <t xml:space="preserve">Plantfolk; slimes; hive minds</t>
  </si>
  <si>
    <t xml:space="preserve">PPL-1000</t>
  </si>
  <si>
    <t xml:space="preserve">Shapeshifters, Hybrids, and Mutable Peoples</t>
  </si>
  <si>
    <t xml:space="preserve">Beings defined by mixed ancestry, mutable form, copied identity, animal transformation, possession, or body exchange.</t>
  </si>
  <si>
    <t xml:space="preserve">Therianthropes; doppelgangers; chimeras</t>
  </si>
  <si>
    <t xml:space="preserve">PPL-1100</t>
  </si>
  <si>
    <t xml:space="preserve">Cosmic, Aberrant, and Otherworldly Beings</t>
  </si>
  <si>
    <t xml:space="preserve">Entities whose bodies, minds, origins, or causal rules lie outside the setting's normal natural and supernatural orders.</t>
  </si>
  <si>
    <t xml:space="preserve">Aberrations; void beings; reality parasites</t>
  </si>
  <si>
    <t xml:space="preserve">PPL-101</t>
  </si>
  <si>
    <t xml:space="preserve">Human and Near-Human Peoples</t>
  </si>
  <si>
    <t xml:space="preserve">Humans or humanlike peoples whose differences are primarily cultural, historical, adaptive, or mildly supernatural rather than a separate metaphysical kind.</t>
  </si>
  <si>
    <t xml:space="preserve">Source-specific examples may differ biologically, metaphysically, culturally, and morally; map them as analogues unless equivalence is explicit.</t>
  </si>
  <si>
    <t xml:space="preserve">human; mortal; man; tall-man; near-human</t>
  </si>
  <si>
    <t xml:space="preserve">Playable ancestry, neighboring civilization, minority people, enemy people, or cultural foil.</t>
  </si>
  <si>
    <t xml:space="preserve">Core Family</t>
  </si>
  <si>
    <t xml:space="preserve">PPL-102</t>
  </si>
  <si>
    <t xml:space="preserve">Elf-Derived Peoples</t>
  </si>
  <si>
    <t xml:space="preserve">Graceful or otherworldly humanoids commonly associated with longevity, heightened perception, magic, nature, memory, or a fading elder civilization.</t>
  </si>
  <si>
    <t xml:space="preserve">elf; elven; elvish; elder folk; faerie-blooded</t>
  </si>
  <si>
    <t xml:space="preserve">Do not treat Tolkien's Quendi, folkloric elves, game ancestries, and modern anime elves as one ontology.</t>
  </si>
  <si>
    <t xml:space="preserve">PPL-103</t>
  </si>
  <si>
    <t xml:space="preserve">Dwarf-Derived Peoples</t>
  </si>
  <si>
    <t xml:space="preserve">Compact, hardy humanoids often linked with stone, mining, smithcraft, clan memory, subterranean halls, or martial resilience.</t>
  </si>
  <si>
    <t xml:space="preserve">dwarf; dwarven; dwarf-kind; mountain folk</t>
  </si>
  <si>
    <t xml:space="preserve">PPL-104</t>
  </si>
  <si>
    <t xml:space="preserve">Halfling and Smallfolk Peoples</t>
  </si>
  <si>
    <t xml:space="preserve">Small-statured humanoids whose archetype emphasizes domesticity, stealth, luck, community, mobility, or being overlooked by larger powers.</t>
  </si>
  <si>
    <t xml:space="preserve">halfling; hobbit-like; kender-like; smallfolk</t>
  </si>
  <si>
    <t xml:space="preserve">PPL-105</t>
  </si>
  <si>
    <t xml:space="preserve">Gnome and Tinkerfolk Peoples</t>
  </si>
  <si>
    <t xml:space="preserve">Small humanoids associated with craft, curiosity, illusion, engineering, alchemy, scholarship, or hidden communities.</t>
  </si>
  <si>
    <t xml:space="preserve">gnome; tinkerfolk; deep gnome; garden-gnome analogue</t>
  </si>
  <si>
    <t xml:space="preserve">PPL-106</t>
  </si>
  <si>
    <t xml:space="preserve">Orc-Derived Peoples</t>
  </si>
  <si>
    <t xml:space="preserve">Powerfully built humanoids often framed through warfare, marginalization, corruption, honor culture, clan identity, or contested personhood.</t>
  </si>
  <si>
    <t xml:space="preserve">orc; orcish; ork; half-orc</t>
  </si>
  <si>
    <t xml:space="preserve">Track whether 'orc' denotes a created enemy species, an ethnicized people, a playable ancestry, or a reclaimed identity.</t>
  </si>
  <si>
    <t xml:space="preserve">PPL-107</t>
  </si>
  <si>
    <t xml:space="preserve">Goblinoid Peoples</t>
  </si>
  <si>
    <t xml:space="preserve">Small or medium humanoids associated with subterranean life, scavenging, ambush, craft, trickery, militarized hierarchy, or outsider societies.</t>
  </si>
  <si>
    <t xml:space="preserve">goblin; hobgoblin; bugbear; gremlin-like</t>
  </si>
  <si>
    <t xml:space="preserve">PPL-108</t>
  </si>
  <si>
    <t xml:space="preserve">Giantkin Peoples</t>
  </si>
  <si>
    <t xml:space="preserve">Humanoid peoples of exceptional scale, often linked with primordial ancestry, mountains, elemental forces, divine lineage, or fading ages.</t>
  </si>
  <si>
    <t xml:space="preserve">giant; jotunn-like; titan-blooded; goliath</t>
  </si>
  <si>
    <t xml:space="preserve">PPL-109</t>
  </si>
  <si>
    <t xml:space="preserve">Ogrekin Peoples</t>
  </si>
  <si>
    <t xml:space="preserve">Large humanoids commonly framed as physically powerful, socially marginal, cannibalistic, mercenary, clan-based, or unexpectedly sophisticated.</t>
  </si>
  <si>
    <t xml:space="preserve">ogre; ogrekin; oni-like giant humanoid</t>
  </si>
  <si>
    <t xml:space="preserve">PPL-110</t>
  </si>
  <si>
    <t xml:space="preserve">Trollkin Peoples</t>
  </si>
  <si>
    <t xml:space="preserve">Regenerative, stone-associated, monstrous, folkloric, or tribal humanoids whose meanings range from person to predator.</t>
  </si>
  <si>
    <t xml:space="preserve">troll; trollkin; troll-blooded</t>
  </si>
  <si>
    <t xml:space="preserve">Separate Scandinavian folkloric trolls, Tolkienian trolls, and game troll peoples.</t>
  </si>
  <si>
    <t xml:space="preserve">PPL-111</t>
  </si>
  <si>
    <t xml:space="preserve">Cyclopean Peoples</t>
  </si>
  <si>
    <t xml:space="preserve">One-eyed or otherwise singular-sensed giant humanoids, often connected with smithing, prophecy, isolation, or brute force.</t>
  </si>
  <si>
    <t xml:space="preserve">cyclops; one-eyed giant</t>
  </si>
  <si>
    <t xml:space="preserve">PPL-112</t>
  </si>
  <si>
    <t xml:space="preserve">Lizardfolk and Reptilian Peoples</t>
  </si>
  <si>
    <t xml:space="preserve">Humanoid reptiles whose settings may emphasize alien cognition, ancient civilizations, survival ecology, or draconic ancestry.</t>
  </si>
  <si>
    <t xml:space="preserve">lizardfolk; saurian; argonian-like; reptilian</t>
  </si>
  <si>
    <t xml:space="preserve">PPL-113</t>
  </si>
  <si>
    <t xml:space="preserve">Serpentfolk, Naga, and Lamia Peoples</t>
  </si>
  <si>
    <t xml:space="preserve">Humanoid or semi-humanoid serpent beings associated with ancient empires, water, poison, seduction, wisdom, temples, or transformation.</t>
  </si>
  <si>
    <t xml:space="preserve">naga; lamia; yuan-ti-like; serpentfolk</t>
  </si>
  <si>
    <t xml:space="preserve">Naga and lamia arise from distinct South Asian and Mediterranean traditions; preserve source-specific meanings.</t>
  </si>
  <si>
    <t xml:space="preserve">PPL-114</t>
  </si>
  <si>
    <t xml:space="preserve">Draconic Humanoid Peoples</t>
  </si>
  <si>
    <t xml:space="preserve">Humanoid peoples visibly or genealogically linked to dragons through scales, breath, horns, transformation, or engineered descent.</t>
  </si>
  <si>
    <t xml:space="preserve">dragonborn; dracthyr-like; half-dragon; dragonkin</t>
  </si>
  <si>
    <t xml:space="preserve">PPL-115</t>
  </si>
  <si>
    <t xml:space="preserve">Avian and Winged Humanoid Peoples</t>
  </si>
  <si>
    <t xml:space="preserve">Humanoids with wings, feathers, bird traits, or a culture organized around flight and altitude.</t>
  </si>
  <si>
    <t xml:space="preserve">birdfolk; hawkmen; aarakocra-like; harpy people; winged</t>
  </si>
  <si>
    <t xml:space="preserve">PPL-116</t>
  </si>
  <si>
    <t xml:space="preserve">Aquatic and Fishfolk Peoples</t>
  </si>
  <si>
    <t xml:space="preserve">Humanoid peoples adapted to oceans, rivers, reefs, or amphibious life, often with distinct relations to surface civilizations.</t>
  </si>
  <si>
    <t xml:space="preserve">merfolk; fishfolk; triton-like; sahuagin-like</t>
  </si>
  <si>
    <t xml:space="preserve">PPL-117</t>
  </si>
  <si>
    <t xml:space="preserve">Amphibian Peoples</t>
  </si>
  <si>
    <t xml:space="preserve">Frog-, salamander-, or newt-like humanoids whose physiology and culture center on wetlands, metamorphosis, or dual environments.</t>
  </si>
  <si>
    <t xml:space="preserve">frogfolk; grippli-like; salamander folk</t>
  </si>
  <si>
    <t xml:space="preserve">PPL-118</t>
  </si>
  <si>
    <t xml:space="preserve">Insectoid Peoples</t>
  </si>
  <si>
    <t xml:space="preserve">Humanoid or eusocial beings based on insects, often emphasizing caste, metamorphosis, swarm organization, alien perception, or chitinous bodies.</t>
  </si>
  <si>
    <t xml:space="preserve">insectfolk; mantis people; ant people; thri-kreen-like</t>
  </si>
  <si>
    <t xml:space="preserve">PPL-119</t>
  </si>
  <si>
    <t xml:space="preserve">Arachnid Peoples</t>
  </si>
  <si>
    <t xml:space="preserve">Spider- or scorpion-derived peoples, ranging from humanoid societies to predatory or weaving-associated supernatural cultures.</t>
  </si>
  <si>
    <t xml:space="preserve">spiderfolk; drider-like; scorpionfolk</t>
  </si>
  <si>
    <t xml:space="preserve">PPL-120</t>
  </si>
  <si>
    <t xml:space="preserve">Canine Beastfolk</t>
  </si>
  <si>
    <t xml:space="preserve">Wolf-, dog-, fox-, or jackal-like humanoids whose archetypes may emphasize packs, loyalty, hunting, liminality, or trickery.</t>
  </si>
  <si>
    <t xml:space="preserve">wolfkin; dogfolk; kitsune-like people; jackalfolk</t>
  </si>
  <si>
    <t xml:space="preserve">PPL-121</t>
  </si>
  <si>
    <t xml:space="preserve">Feline Beastfolk</t>
  </si>
  <si>
    <t xml:space="preserve">Cat-, lion-, tiger-, or panther-like humanoids associated with agility, pride, curiosity, hunting, royal symbolism, or nomadism.</t>
  </si>
  <si>
    <t xml:space="preserve">catfolk; tabaxi-like; leonine; tigerfolk</t>
  </si>
  <si>
    <t xml:space="preserve">PPL-122</t>
  </si>
  <si>
    <t xml:space="preserve">Ursine Beastfolk</t>
  </si>
  <si>
    <t xml:space="preserve">Bear-like humanoids commonly associated with strength, endurance, wilderness guardianship, hibernation, or shamanic symbolism.</t>
  </si>
  <si>
    <t xml:space="preserve">bearfolk; ursine people</t>
  </si>
  <si>
    <t xml:space="preserve">PPL-123</t>
  </si>
  <si>
    <t xml:space="preserve">Bovine and Caprine Beastfolk</t>
  </si>
  <si>
    <t xml:space="preserve">Bull-, cow-, goat-, sheep-, or ram-like humanoids associated with strength, pastoralism, labyrinths, fertility, stubbornness, or sacrifice.</t>
  </si>
  <si>
    <t xml:space="preserve">minotaur; tauren-like; satyr-like; goatfolk</t>
  </si>
  <si>
    <t xml:space="preserve">PPL-124</t>
  </si>
  <si>
    <t xml:space="preserve">Cervine Beastfolk</t>
  </si>
  <si>
    <t xml:space="preserve">Deer-, elk-, or antelope-like humanoids linked with forests, grace, speed, seasonal cycles, or sacred kingship.</t>
  </si>
  <si>
    <t xml:space="preserve">deerfolk; elkfolk; cervitaur</t>
  </si>
  <si>
    <t xml:space="preserve">PPL-125</t>
  </si>
  <si>
    <t xml:space="preserve">Equine and Centaur Peoples</t>
  </si>
  <si>
    <t xml:space="preserve">Horse-like or horse-bodied peoples emphasizing mobility, steppe life, archery, prophecy, wildness, or a dual human-animal body.</t>
  </si>
  <si>
    <t xml:space="preserve">centaur; horsefolk; ponyfolk</t>
  </si>
  <si>
    <t xml:space="preserve">PPL-126</t>
  </si>
  <si>
    <t xml:space="preserve">Rodent and Lagomorph Peoples</t>
  </si>
  <si>
    <t xml:space="preserve">Mouse-, rat-, rabbit-, or hare-like peoples often associated with survival, burrows, speed, fertility, ingenuity, or plague imagery.</t>
  </si>
  <si>
    <t xml:space="preserve">ratfolk; skaven-like; mousefolk; rabbitfolk; viera-like</t>
  </si>
  <si>
    <t xml:space="preserve">PPL-127</t>
  </si>
  <si>
    <t xml:space="preserve">Simian Peoples</t>
  </si>
  <si>
    <t xml:space="preserve">Ape- or monkey-like peoples associated with agility, martial prowess, trickster divinity, jungle societies, or uplifted intelligence.</t>
  </si>
  <si>
    <t xml:space="preserve">ape folk; monkey people; vanara-like</t>
  </si>
  <si>
    <t xml:space="preserve">PPL-128</t>
  </si>
  <si>
    <t xml:space="preserve">Boar and Swine Peoples</t>
  </si>
  <si>
    <t xml:space="preserve">Boar- or pig-like humanoids linked with ferocity, appetite, stubbornness, warrior culture, or forest ecology.</t>
  </si>
  <si>
    <t xml:space="preserve">boarfolk; pigfolk</t>
  </si>
  <si>
    <t xml:space="preserve">PPL-129</t>
  </si>
  <si>
    <t xml:space="preserve">Hyena and Jackal Peoples</t>
  </si>
  <si>
    <t xml:space="preserve">Scavenger-predator humanoids commonly used for pack warfare, funerary symbolism, survival, or demonized outsider cultures.</t>
  </si>
  <si>
    <t xml:space="preserve">gnoll-like; hyenafolk; jackalfolk</t>
  </si>
  <si>
    <t xml:space="preserve">PPL-130</t>
  </si>
  <si>
    <t xml:space="preserve">Elephantine and Rhinoceros Peoples</t>
  </si>
  <si>
    <t xml:space="preserve">Large pachyderm-like humanoids associated with memory, strength, desert or savanna cultures, and monumental social roles.</t>
  </si>
  <si>
    <t xml:space="preserve">elephantfolk; loxodon-like; rhinofolk</t>
  </si>
  <si>
    <t xml:space="preserve">PPL-131</t>
  </si>
  <si>
    <t xml:space="preserve">General Beastfolk</t>
  </si>
  <si>
    <t xml:space="preserve">Anthropomorphic animal peoples not usefully captured by a narrower lineage, or settings where animal form is the primary social taxonomy.</t>
  </si>
  <si>
    <t xml:space="preserve">beastfolk; kemonomimi; animal people</t>
  </si>
  <si>
    <t xml:space="preserve">Differentiate full anthropomorphic peoples from humans with cosmetic animal traits.</t>
  </si>
  <si>
    <t xml:space="preserve">PPL-201</t>
  </si>
  <si>
    <t xml:space="preserve">Courtly Fae</t>
  </si>
  <si>
    <t xml:space="preserve">Powerful otherworldly beings organized into courts, noble houses, seasonal factions, or etiquette-bound hierarchies.</t>
  </si>
  <si>
    <t xml:space="preserve">high fae; sidhe-like; faerie nobility</t>
  </si>
  <si>
    <t xml:space="preserve">Threshold guardian, tempter, patron, ecological embodiment, uncanny neighbor, or alternate aristocracy.</t>
  </si>
  <si>
    <t xml:space="preserve">PPL-202</t>
  </si>
  <si>
    <t xml:space="preserve">Pixies, Sprites, and Tiny Fae</t>
  </si>
  <si>
    <t xml:space="preserve">Small winged or luminous beings associated with mischief, guidance, nature, domestic magic, or capricious bargains.</t>
  </si>
  <si>
    <t xml:space="preserve">pixie; sprite; fairy; faerie</t>
  </si>
  <si>
    <t xml:space="preserve">PPL-203</t>
  </si>
  <si>
    <t xml:space="preserve">Dryads and Tree-Bound Beings</t>
  </si>
  <si>
    <t xml:space="preserve">People or spirits embodied in trees, groves, woodlands, or plant life and often vulnerable to damage to their locus.</t>
  </si>
  <si>
    <t xml:space="preserve">dryad; hamadryad; treant-person; tree spirit</t>
  </si>
  <si>
    <t xml:space="preserve">PPL-204</t>
  </si>
  <si>
    <t xml:space="preserve">Nymphs and Place-Bound Nature Spirits</t>
  </si>
  <si>
    <t xml:space="preserve">Personified spirits of rivers, springs, mountains, clouds, seas, or other natural locations.</t>
  </si>
  <si>
    <t xml:space="preserve">nymph; naiad; oread; nereid</t>
  </si>
  <si>
    <t xml:space="preserve">PPL-205</t>
  </si>
  <si>
    <t xml:space="preserve">Household and Hearth Spirits</t>
  </si>
  <si>
    <t xml:space="preserve">Small local beings that protect, trouble, or inhabit homes, workshops, farms, or family lines.</t>
  </si>
  <si>
    <t xml:space="preserve">brownie; domovoi-like; kobold-spirit; hearth spirit</t>
  </si>
  <si>
    <t xml:space="preserve">PPL-206</t>
  </si>
  <si>
    <t xml:space="preserve">Land and Watershed Spirits</t>
  </si>
  <si>
    <t xml:space="preserve">Spirits representing a territory, river system, forest, mountain, or ecological whole.</t>
  </si>
  <si>
    <t xml:space="preserve">genius loci; river spirit; mountain spirit</t>
  </si>
  <si>
    <t xml:space="preserve">PPL-207</t>
  </si>
  <si>
    <t xml:space="preserve">Trickster Fae</t>
  </si>
  <si>
    <t xml:space="preserve">Otherworldly beings whose defining function is deception, inversion, riddling, testing, or destabilizing social rules.</t>
  </si>
  <si>
    <t xml:space="preserve">puck-like; boggart; trickster fairy</t>
  </si>
  <si>
    <t xml:space="preserve">PPL-208</t>
  </si>
  <si>
    <t xml:space="preserve">Changelings</t>
  </si>
  <si>
    <t xml:space="preserve">Beings exchanged for, disguised as, or raised among mortals, creating uncertainty about kinship and identity.</t>
  </si>
  <si>
    <t xml:space="preserve">changeling; fairy replacement; fae-raised mortal</t>
  </si>
  <si>
    <t xml:space="preserve">PPL-209</t>
  </si>
  <si>
    <t xml:space="preserve">Goblin-Faerie Beings</t>
  </si>
  <si>
    <t xml:space="preserve">Folkloric or otherworldly goblins defined by uncanny domestic, subterranean, or mischievous qualities rather than a militarized humanoid species.</t>
  </si>
  <si>
    <t xml:space="preserve">goblin; hobgoblin; redcap; knockers</t>
  </si>
  <si>
    <t xml:space="preserve">Keep separate from settings where goblins are ordinary biological peoples.</t>
  </si>
  <si>
    <t xml:space="preserve">PPL-210</t>
  </si>
  <si>
    <t xml:space="preserve">Seasonal or Court-Aligned Fae</t>
  </si>
  <si>
    <t xml:space="preserve">Fae whose abilities, politics, or bodies are structured by seasons, day/night, emotions, or opposed courts.</t>
  </si>
  <si>
    <t xml:space="preserve">summer court; winter court; seelie/unseelie-like</t>
  </si>
  <si>
    <t xml:space="preserve">PPL-211</t>
  </si>
  <si>
    <t xml:space="preserve">Wild Hunt Beings</t>
  </si>
  <si>
    <t xml:space="preserve">Spectral or fae riders who cross boundaries in a supernatural hunt, often collecting souls or pursuing cosmic quarry.</t>
  </si>
  <si>
    <t xml:space="preserve">wild hunt; spectral riders; otherworldly hunt</t>
  </si>
  <si>
    <t xml:space="preserve">The Wild Hunt has multiple folkloric and modern fictional forms; distinguish direct adaptation from loose naming.</t>
  </si>
  <si>
    <t xml:space="preserve">PPL-212</t>
  </si>
  <si>
    <t xml:space="preserve">Fairy-Tale Transformative Beings</t>
  </si>
  <si>
    <t xml:space="preserve">Otherworldly figures who grant wishes, impose tests, transform bodies, or enforce symbolic bargains.</t>
  </si>
  <si>
    <t xml:space="preserve">fairy godparent; curse-giver; wish-granter</t>
  </si>
  <si>
    <t xml:space="preserve">PPL-301</t>
  </si>
  <si>
    <t xml:space="preserve">Elementals</t>
  </si>
  <si>
    <t xml:space="preserve">Beings constituted primarily from fire, water, air, earth, ice, lightning, or another elemental substance or principle.</t>
  </si>
  <si>
    <t xml:space="preserve">elemental; elemental spirit; primal</t>
  </si>
  <si>
    <t xml:space="preserve">Cosmological agent, patron, haunting, elemental force, ancestor, or personified idea.</t>
  </si>
  <si>
    <t xml:space="preserve">PPL-302</t>
  </si>
  <si>
    <t xml:space="preserve">Genies and Djinn-Derived Beings</t>
  </si>
  <si>
    <t xml:space="preserve">Powerful spirit beings associated with elemental force, freedom and binding, wishes, desert or cosmopolitan spirit societies.</t>
  </si>
  <si>
    <t xml:space="preserve">djinn; genie; jinn; efreet; marid</t>
  </si>
  <si>
    <t xml:space="preserve">Djinn are rooted in Arabic and Islamic traditions; avoid reducing them to generic wish machines.</t>
  </si>
  <si>
    <t xml:space="preserve">PPL-303</t>
  </si>
  <si>
    <t xml:space="preserve">Ancestral Spirits</t>
  </si>
  <si>
    <t xml:space="preserve">The continuing dead understood as kin, guardians, advisors, judges, or claimants within a living community.</t>
  </si>
  <si>
    <t xml:space="preserve">ancestor; honored dead; clan spirit</t>
  </si>
  <si>
    <t xml:space="preserve">PPL-304</t>
  </si>
  <si>
    <t xml:space="preserve">Guardian Spirits</t>
  </si>
  <si>
    <t xml:space="preserve">Nonhuman or deceased protectors bound to a person, lineage, place, object, or institution.</t>
  </si>
  <si>
    <t xml:space="preserve">guardian spirit; tutelary spirit; familiar guardian</t>
  </si>
  <si>
    <t xml:space="preserve">PPL-305</t>
  </si>
  <si>
    <t xml:space="preserve">Totemic Spirits</t>
  </si>
  <si>
    <t xml:space="preserve">Spirits representing animal, plant, clan, or cosmological identities and mediating reciprocal obligations.</t>
  </si>
  <si>
    <t xml:space="preserve">totem spirit; animal patron; clan spirit</t>
  </si>
  <si>
    <t xml:space="preserve">PPL-306</t>
  </si>
  <si>
    <t xml:space="preserve">Dream Beings</t>
  </si>
  <si>
    <t xml:space="preserve">Entities native to dreams, nightmares, imagination, sleep, or collective unconscious domains.</t>
  </si>
  <si>
    <t xml:space="preserve">dream spirit; nightmare; oneiroi-like</t>
  </si>
  <si>
    <t xml:space="preserve">PPL-307</t>
  </si>
  <si>
    <t xml:space="preserve">Shadow Beings</t>
  </si>
  <si>
    <t xml:space="preserve">Creatures made from shadow, absence, reflection, fear, or a dark duplicate of another being.</t>
  </si>
  <si>
    <t xml:space="preserve">shadow; shade; shadow person</t>
  </si>
  <si>
    <t xml:space="preserve">PPL-308</t>
  </si>
  <si>
    <t xml:space="preserve">Psychopomps</t>
  </si>
  <si>
    <t xml:space="preserve">Beings whose primary role is escorting, judging, collecting, or guiding souls between life and afterlife.</t>
  </si>
  <si>
    <t xml:space="preserve">reaper; ferryman; death guide</t>
  </si>
  <si>
    <t xml:space="preserve">PPL-309</t>
  </si>
  <si>
    <t xml:space="preserve">Haunts and Poltergeists</t>
  </si>
  <si>
    <t xml:space="preserve">Place-bound or emotionally charged spirits that manifest through repeated disturbances rather than coherent social personhood.</t>
  </si>
  <si>
    <t xml:space="preserve">haunt; poltergeist; residual spirit</t>
  </si>
  <si>
    <t xml:space="preserve">PPL-310</t>
  </si>
  <si>
    <t xml:space="preserve">Embodied Concepts</t>
  </si>
  <si>
    <t xml:space="preserve">Personifications of abstract principles such as death, war, time, justice, plague, or memory.</t>
  </si>
  <si>
    <t xml:space="preserve">personification; living concept; anthropomorphic principle</t>
  </si>
  <si>
    <t xml:space="preserve">PPL-311</t>
  </si>
  <si>
    <t xml:space="preserve">Soul Fragments and Echoes</t>
  </si>
  <si>
    <t xml:space="preserve">Partial remnants of a person, memory, spell, or event that possess limited agency or incomplete identity.</t>
  </si>
  <si>
    <t xml:space="preserve">echo; shade; memory-ghost</t>
  </si>
  <si>
    <t xml:space="preserve">PPL-312</t>
  </si>
  <si>
    <t xml:space="preserve">Kami and Sacred Presences</t>
  </si>
  <si>
    <t xml:space="preserve">Sacred presences associated with place, natural phenomena, ancestors, objects, or extraordinary beings in Shinto-derived and analogous settings.</t>
  </si>
  <si>
    <t xml:space="preserve">kami; sacred presence</t>
  </si>
  <si>
    <t xml:space="preserve">Kami should not be treated as a simple synonym for Western 'god' or 'spirit.'</t>
  </si>
  <si>
    <t xml:space="preserve">PPL-401</t>
  </si>
  <si>
    <t xml:space="preserve">Deities</t>
  </si>
  <si>
    <t xml:space="preserve">Beings worshiped as gods and possessing authority over cosmic, natural, civic, or moral domains.</t>
  </si>
  <si>
    <t xml:space="preserve">god; goddess; deity; pantheon member</t>
  </si>
  <si>
    <t xml:space="preserve">Object of worship, cosmic sovereign, patron, judge, source of miracles, or metaphysical ancestor.</t>
  </si>
  <si>
    <t xml:space="preserve">PPL-402</t>
  </si>
  <si>
    <t xml:space="preserve">Demigods and Divine-Blooded Beings</t>
  </si>
  <si>
    <t xml:space="preserve">Mortals or lesser immortals descended from, infused by, or partially identical with divine power.</t>
  </si>
  <si>
    <t xml:space="preserve">demigod; god-blooded; scion</t>
  </si>
  <si>
    <t xml:space="preserve">PPL-403</t>
  </si>
  <si>
    <t xml:space="preserve">Avatars and Incarnations</t>
  </si>
  <si>
    <t xml:space="preserve">Embodied manifestations through which a greater deity, principle, or cosmic entity acts in limited form.</t>
  </si>
  <si>
    <t xml:space="preserve">avatar; incarnation; vessel</t>
  </si>
  <si>
    <t xml:space="preserve">PPL-404</t>
  </si>
  <si>
    <t xml:space="preserve">Celestials and Angelic Beings</t>
  </si>
  <si>
    <t xml:space="preserve">Servants or inhabitants of a divine, heavenly, lawful, or luminous realm.</t>
  </si>
  <si>
    <t xml:space="preserve">angel; deva-like; celestial; seraph</t>
  </si>
  <si>
    <t xml:space="preserve">PPL-405</t>
  </si>
  <si>
    <t xml:space="preserve">Divine Servitors</t>
  </si>
  <si>
    <t xml:space="preserve">Created or appointed beings that execute a deity's will without necessarily possessing independent worship.</t>
  </si>
  <si>
    <t xml:space="preserve">herald; divine messenger; sacred guardian</t>
  </si>
  <si>
    <t xml:space="preserve">PPL-406</t>
  </si>
  <si>
    <t xml:space="preserve">Ascended Mortals</t>
  </si>
  <si>
    <t xml:space="preserve">Former mortals transformed into divine, semi-divine, or immortal beings through apotheosis, cultivation, ritual, or recognition.</t>
  </si>
  <si>
    <t xml:space="preserve">ascendant; apotheosized hero; immortal</t>
  </si>
  <si>
    <t xml:space="preserve">PPL-407</t>
  </si>
  <si>
    <t xml:space="preserve">Living Saints</t>
  </si>
  <si>
    <t xml:space="preserve">Mortals treated as channels of sacred power while alive, often through miracles, relics, or institutional recognition.</t>
  </si>
  <si>
    <t xml:space="preserve">saint; holy person; miracle bearer</t>
  </si>
  <si>
    <t xml:space="preserve">PPL-408</t>
  </si>
  <si>
    <t xml:space="preserve">World-Souls and Cosmic Titans</t>
  </si>
  <si>
    <t xml:space="preserve">Vast beings identified with a world, cosmic body, primordial landscape, or foundational process.</t>
  </si>
  <si>
    <t xml:space="preserve">world soul; primordial titan; earth mother</t>
  </si>
  <si>
    <t xml:space="preserve">PPL-409</t>
  </si>
  <si>
    <t xml:space="preserve">Divine Beasts</t>
  </si>
  <si>
    <t xml:space="preserve">Sacred animals or legendary creatures that serve as gods, mounts, guardians, or embodiments of divine power.</t>
  </si>
  <si>
    <t xml:space="preserve">sacred beast; god-beast; celestial animal</t>
  </si>
  <si>
    <t xml:space="preserve">PPL-410</t>
  </si>
  <si>
    <t xml:space="preserve">Fallen or Exiled Gods</t>
  </si>
  <si>
    <t xml:space="preserve">Deities deprived of worship, realm, memory, name, or status and operating from marginal or hostile positions.</t>
  </si>
  <si>
    <t xml:space="preserve">fallen god; forgotten god; exiled deity</t>
  </si>
  <si>
    <t xml:space="preserve">PPL-501</t>
  </si>
  <si>
    <t xml:space="preserve">Demons</t>
  </si>
  <si>
    <t xml:space="preserve">Malevolent, chaotic, hungry, or otherworldly beings commonly tied to corruption, violence, possession, or hostile realms.</t>
  </si>
  <si>
    <t xml:space="preserve">demon; daemon; yokai-demon analogue</t>
  </si>
  <si>
    <t xml:space="preserve">Antagonist, corrupter, pact source, invader, embodiment of vice, or hostile outsider.</t>
  </si>
  <si>
    <t xml:space="preserve">PPL-502</t>
  </si>
  <si>
    <t xml:space="preserve">Devils and Contractual Fiends</t>
  </si>
  <si>
    <t xml:space="preserve">Ordered or calculating infernal beings associated with hierarchy, bargains, law, temptation, and soul contracts.</t>
  </si>
  <si>
    <t xml:space="preserve">devil; infernal; contract fiend</t>
  </si>
  <si>
    <t xml:space="preserve">PPL-503</t>
  </si>
  <si>
    <t xml:space="preserve">General Fiends</t>
  </si>
  <si>
    <t xml:space="preserve">A broad family for hostile supernatural outsiders when a source does not distinguish demon, devil, and related kinds.</t>
  </si>
  <si>
    <t xml:space="preserve">fiend; infernal creature</t>
  </si>
  <si>
    <t xml:space="preserve">PPL-504</t>
  </si>
  <si>
    <t xml:space="preserve">Fallen Celestials</t>
  </si>
  <si>
    <t xml:space="preserve">Formerly divine or celestial beings transformed by rebellion, pride, corruption, exile, or metaphysical inversion.</t>
  </si>
  <si>
    <t xml:space="preserve">fallen angel; corrupted celestial</t>
  </si>
  <si>
    <t xml:space="preserve">PPL-505</t>
  </si>
  <si>
    <t xml:space="preserve">Corrupting Spirits</t>
  </si>
  <si>
    <t xml:space="preserve">Entities that spread moral, bodily, magical, ecological, or psychic degradation.</t>
  </si>
  <si>
    <t xml:space="preserve">blight spirit; corruption entity; taint bearer</t>
  </si>
  <si>
    <t xml:space="preserve">PPL-506</t>
  </si>
  <si>
    <t xml:space="preserve">Possessing Entities</t>
  </si>
  <si>
    <t xml:space="preserve">Beings that enter, control, share, or overwrite another creature's body or mind.</t>
  </si>
  <si>
    <t xml:space="preserve">possessor; possessing demon; rider</t>
  </si>
  <si>
    <t xml:space="preserve">PPL-507</t>
  </si>
  <si>
    <t xml:space="preserve">Tempters and Bargain-Makers</t>
  </si>
  <si>
    <t xml:space="preserve">Supernatural beings whose narrative role centers on offers, tests, loopholes, wishes, and costly exchanges.</t>
  </si>
  <si>
    <t xml:space="preserve">tempter; deal-maker; crossroads spirit</t>
  </si>
  <si>
    <t xml:space="preserve">PPL-508</t>
  </si>
  <si>
    <t xml:space="preserve">Chaos Spawn and Mutants</t>
  </si>
  <si>
    <t xml:space="preserve">Beings reshaped by uncontrolled magic, divine chaos, corruption, or exposure to reality-warping forces.</t>
  </si>
  <si>
    <t xml:space="preserve">chaos spawn; warp mutant; corrupted beast</t>
  </si>
  <si>
    <t xml:space="preserve">PPL-509</t>
  </si>
  <si>
    <t xml:space="preserve">Demon Lords and Archfiends</t>
  </si>
  <si>
    <t xml:space="preserve">Sovereign or near-divine fiends who rule infernal realms, cults, armies, or metaphysical principles.</t>
  </si>
  <si>
    <t xml:space="preserve">demon lord; archdevil; dark god</t>
  </si>
  <si>
    <t xml:space="preserve">PPL-510</t>
  </si>
  <si>
    <t xml:space="preserve">Hungry Ghosts and Predatory Spirits</t>
  </si>
  <si>
    <t xml:space="preserve">Postmortem or spirit beings driven by insatiable appetite, resentment, or imbalance.</t>
  </si>
  <si>
    <t xml:space="preserve">hungry ghost; preta-like; devouring spirit</t>
  </si>
  <si>
    <t xml:space="preserve">Respect Buddhist and East Asian religious contexts when using hungry-ghost terminology.</t>
  </si>
  <si>
    <t xml:space="preserve">PPL-511</t>
  </si>
  <si>
    <t xml:space="preserve">Oni-Derived Beings</t>
  </si>
  <si>
    <t xml:space="preserve">Japanese ogre-demon figures or adaptations marked by horns, clubs, punishment, wildness, or liminality.</t>
  </si>
  <si>
    <t xml:space="preserve">oni; ogre-demon</t>
  </si>
  <si>
    <t xml:space="preserve">Oni are culturally specific and should not be flattened into a generic Western demon or ogre category.</t>
  </si>
  <si>
    <t xml:space="preserve">PPL-601</t>
  </si>
  <si>
    <t xml:space="preserve">Ghosts</t>
  </si>
  <si>
    <t xml:space="preserve">Disembodied dead whose identity, memory, attachment, duty, or trauma persists after death.</t>
  </si>
  <si>
    <t xml:space="preserve">ghost; spirit of the dead; shade</t>
  </si>
  <si>
    <t xml:space="preserve">Horror, tragic persistence, immortal aristocracy, necromantic army, ancestral guardian, or playable condition.</t>
  </si>
  <si>
    <t xml:space="preserve">PPL-602</t>
  </si>
  <si>
    <t xml:space="preserve">Revenants</t>
  </si>
  <si>
    <t xml:space="preserve">Dead individuals who return with purpose, grievance, duty, vengeance, or an unfinished task.</t>
  </si>
  <si>
    <t xml:space="preserve">revenant; returned dead; avenger</t>
  </si>
  <si>
    <t xml:space="preserve">PPL-603</t>
  </si>
  <si>
    <t xml:space="preserve">Skeletons</t>
  </si>
  <si>
    <t xml:space="preserve">Animated bones functioning as servants, soldiers, cursed dead, or autonomous undead peoples.</t>
  </si>
  <si>
    <t xml:space="preserve">skeleton; bone warrior</t>
  </si>
  <si>
    <t xml:space="preserve">PPL-604</t>
  </si>
  <si>
    <t xml:space="preserve">Zombies</t>
  </si>
  <si>
    <t xml:space="preserve">Animated corpses characterized by decay, diminished agency, infection, hunger, mass threat, or necromantic control.</t>
  </si>
  <si>
    <t xml:space="preserve">zombie; walking corpse; shambling dead</t>
  </si>
  <si>
    <t xml:space="preserve">PPL-605</t>
  </si>
  <si>
    <t xml:space="preserve">Ghouls</t>
  </si>
  <si>
    <t xml:space="preserve">Corpse-eating or grave-associated undead whose identity centers on hunger, degeneration, or predation.</t>
  </si>
  <si>
    <t xml:space="preserve">ghoul; grave-eater</t>
  </si>
  <si>
    <t xml:space="preserve">PPL-606</t>
  </si>
  <si>
    <t xml:space="preserve">Wights and Wraiths</t>
  </si>
  <si>
    <t xml:space="preserve">Powerful spectral or preserved undead associated with draining life, barrows, cursed kingship, or dark sorcery.</t>
  </si>
  <si>
    <t xml:space="preserve">wight; wraith; ringwraith-like</t>
  </si>
  <si>
    <t xml:space="preserve">PPL-607</t>
  </si>
  <si>
    <t xml:space="preserve">Vampires</t>
  </si>
  <si>
    <t xml:space="preserve">Undead, cursed, parasitic, or transformed beings that sustain themselves on blood, life, emotion, or soul essence.</t>
  </si>
  <si>
    <t xml:space="preserve">vampire; nosferatu; blood-drinker</t>
  </si>
  <si>
    <t xml:space="preserve">Track whether vampirism is species, disease, curse, aristocratic condition, demonic lineage, or playable template.</t>
  </si>
  <si>
    <t xml:space="preserve">PPL-608</t>
  </si>
  <si>
    <t xml:space="preserve">Liches</t>
  </si>
  <si>
    <t xml:space="preserve">Spellcasters or rulers who deliberately preserve mind and power beyond death, often through a soul vessel or ritual.</t>
  </si>
  <si>
    <t xml:space="preserve">lich; phylactery-bound mage; undead sorcerer</t>
  </si>
  <si>
    <t xml:space="preserve">PPL-609</t>
  </si>
  <si>
    <t xml:space="preserve">Mummies</t>
  </si>
  <si>
    <t xml:space="preserve">Preserved dead animated by curse, ritual duty, royal authority, or funerary magic.</t>
  </si>
  <si>
    <t xml:space="preserve">mummy; embalmed guardian</t>
  </si>
  <si>
    <t xml:space="preserve">PPL-610</t>
  </si>
  <si>
    <t xml:space="preserve">Banshees and Death-Wail Spirits</t>
  </si>
  <si>
    <t xml:space="preserve">Spectral figures whose cry, grief, or prophecy heralds death or inflicts harm.</t>
  </si>
  <si>
    <t xml:space="preserve">banshee; keening spirit</t>
  </si>
  <si>
    <t xml:space="preserve">PPL-611</t>
  </si>
  <si>
    <t xml:space="preserve">Death Knights</t>
  </si>
  <si>
    <t xml:space="preserve">Armored undead or death-bound champions who retain martial skill, command, and often a corrupted oath.</t>
  </si>
  <si>
    <t xml:space="preserve">death knight; black rider; grave knight</t>
  </si>
  <si>
    <t xml:space="preserve">PPL-612</t>
  </si>
  <si>
    <t xml:space="preserve">Draugr and Barrow Dead</t>
  </si>
  <si>
    <t xml:space="preserve">Weapon-bearing dead bound to tombs, treasure, territory, or ancient obligations.</t>
  </si>
  <si>
    <t xml:space="preserve">draugr; barrow-wight; tomb guardian</t>
  </si>
  <si>
    <t xml:space="preserve">Draugr derive from Old Norse tradition; distinguish them from generic zombies.</t>
  </si>
  <si>
    <t xml:space="preserve">PPL-613</t>
  </si>
  <si>
    <t xml:space="preserve">Corpse Swarms and Composite Undead</t>
  </si>
  <si>
    <t xml:space="preserve">Undead formed from many bodies, bones, souls, or fragments rather than a single deceased individual.</t>
  </si>
  <si>
    <t xml:space="preserve">bone mass; corpse amalgam; legion undead</t>
  </si>
  <si>
    <t xml:space="preserve">PPL-614</t>
  </si>
  <si>
    <t xml:space="preserve">Soul-Bound Undead</t>
  </si>
  <si>
    <t xml:space="preserve">Undead whose animation depends on a trapped, divided, transferred, or externally controlled soul.</t>
  </si>
  <si>
    <t xml:space="preserve">soul-bound corpse; bound shade</t>
  </si>
  <si>
    <t xml:space="preserve">PPL-615</t>
  </si>
  <si>
    <t xml:space="preserve">Intelligent Undead Peoples</t>
  </si>
  <si>
    <t xml:space="preserve">Undead societies whose members possess stable personhood, culture, politics, and reproduction or recruitment.</t>
  </si>
  <si>
    <t xml:space="preserve">forsaken-like; undead nation; vampire society</t>
  </si>
  <si>
    <t xml:space="preserve">PPL-701</t>
  </si>
  <si>
    <t xml:space="preserve">Golems</t>
  </si>
  <si>
    <t xml:space="preserve">Artificial bodies animated by magic, inscription, divine name, elemental core, or command logic.</t>
  </si>
  <si>
    <t xml:space="preserve">golem; clay guardian; stone construct</t>
  </si>
  <si>
    <t xml:space="preserve">Servant, soldier, artificial person, ethical test, inherited relic, or technological counterpoint to magic.</t>
  </si>
  <si>
    <t xml:space="preserve">The golem has specific roots in Jewish folklore; distinguish that tradition from generic fantasy constructs.</t>
  </si>
  <si>
    <t xml:space="preserve">PPL-702</t>
  </si>
  <si>
    <t xml:space="preserve">Clockwork and Robotic Beings</t>
  </si>
  <si>
    <t xml:space="preserve">Mechanical or magitech persons whose agency emerges from engineering, programming, soul cores, or awakened machinery.</t>
  </si>
  <si>
    <t xml:space="preserve">automaton; clockwork person; robot; warforged-like</t>
  </si>
  <si>
    <t xml:space="preserve">PPL-703</t>
  </si>
  <si>
    <t xml:space="preserve">Homunculi</t>
  </si>
  <si>
    <t xml:space="preserve">Artificially created humanoids produced through alchemy, magic, laboratory growth, or incomplete imitation of life.</t>
  </si>
  <si>
    <t xml:space="preserve">homunculus; artificial human</t>
  </si>
  <si>
    <t xml:space="preserve">The term has alchemical and literary histories that differ from many modern anime/game uses.</t>
  </si>
  <si>
    <t xml:space="preserve">PPL-704</t>
  </si>
  <si>
    <t xml:space="preserve">Animated Objects</t>
  </si>
  <si>
    <t xml:space="preserve">Tools, statues, armor, furniture, books, or buildings given movement and limited or full agency.</t>
  </si>
  <si>
    <t xml:space="preserve">animated armor; living statue; dancing sword</t>
  </si>
  <si>
    <t xml:space="preserve">PPL-705</t>
  </si>
  <si>
    <t xml:space="preserve">Living Weapons</t>
  </si>
  <si>
    <t xml:space="preserve">Sentient or quasi-sentient weapons that act, speak, bond, tempt, transform, or select wielders.</t>
  </si>
  <si>
    <t xml:space="preserve">sentient sword; living gun; weapon spirit</t>
  </si>
  <si>
    <t xml:space="preserve">PPL-706</t>
  </si>
  <si>
    <t xml:space="preserve">Clones and Replicants</t>
  </si>
  <si>
    <t xml:space="preserve">Deliberately copied bodies or persons whose identity raises questions of memory, soul, ownership, and continuity.</t>
  </si>
  <si>
    <t xml:space="preserve">clone; duplicate; replica</t>
  </si>
  <si>
    <t xml:space="preserve">PPL-707</t>
  </si>
  <si>
    <t xml:space="preserve">Magical Puppets and Dolls</t>
  </si>
  <si>
    <t xml:space="preserve">Constructed bodies controlled by strings, spells, spirits, artisans, or autonomous awakening.</t>
  </si>
  <si>
    <t xml:space="preserve">puppet; doll person; marionette</t>
  </si>
  <si>
    <t xml:space="preserve">PPL-708</t>
  </si>
  <si>
    <t xml:space="preserve">Artificial Familiars</t>
  </si>
  <si>
    <t xml:space="preserve">Created companion beings designed to assist, scout, channel power, or embody a creator's mind.</t>
  </si>
  <si>
    <t xml:space="preserve">artificial familiar; homuncular assistant</t>
  </si>
  <si>
    <t xml:space="preserve">PPL-709</t>
  </si>
  <si>
    <t xml:space="preserve">Engineered Species</t>
  </si>
  <si>
    <t xml:space="preserve">Populations deliberately designed or altered to serve military, labor, ecological, or ideological purposes.</t>
  </si>
  <si>
    <t xml:space="preserve">created race; bred soldier species; uplift</t>
  </si>
  <si>
    <t xml:space="preserve">PPL-710</t>
  </si>
  <si>
    <t xml:space="preserve">Sentient Structures and Vehicles</t>
  </si>
  <si>
    <t xml:space="preserve">Buildings, ships, cities, dungeons, or machines that possess agency, appetite, personality, or a soul.</t>
  </si>
  <si>
    <t xml:space="preserve">living castle; sentient ship; dungeon core</t>
  </si>
  <si>
    <t xml:space="preserve">PPL-711</t>
  </si>
  <si>
    <t xml:space="preserve">Soul-Vessel Constructs</t>
  </si>
  <si>
    <t xml:space="preserve">Artificial bodies inhabited by transferred, imprisoned, resurrected, or voluntarily housed souls.</t>
  </si>
  <si>
    <t xml:space="preserve">soul armor; vessel body; spirit machine</t>
  </si>
  <si>
    <t xml:space="preserve">PPL-712</t>
  </si>
  <si>
    <t xml:space="preserve">Rune-Bound Guardians</t>
  </si>
  <si>
    <t xml:space="preserve">Constructs whose behavior and identity are encoded through runes, seals, commands, or geasa.</t>
  </si>
  <si>
    <t xml:space="preserve">rune guardian; ward construct</t>
  </si>
  <si>
    <t xml:space="preserve">PPL-801</t>
  </si>
  <si>
    <t xml:space="preserve">True Dragons</t>
  </si>
  <si>
    <t xml:space="preserve">Great draconic beings typically combining immense power, intelligence, longevity, treasure, elemental breath, sovereignty, or cosmic significance.</t>
  </si>
  <si>
    <t xml:space="preserve">dragon; great wyrm; elder dragon</t>
  </si>
  <si>
    <t xml:space="preserve">Boss, mount, guardian, sovereign, ecological apex, heraldic symbol, or embodiment of primal power.</t>
  </si>
  <si>
    <t xml:space="preserve">PPL-802</t>
  </si>
  <si>
    <t xml:space="preserve">Wyverns</t>
  </si>
  <si>
    <t xml:space="preserve">Two-legged winged draconic predators, often less sapient or less magically sovereign than true dragons.</t>
  </si>
  <si>
    <t xml:space="preserve">wyvern</t>
  </si>
  <si>
    <t xml:space="preserve">PPL-803</t>
  </si>
  <si>
    <t xml:space="preserve">Drakes</t>
  </si>
  <si>
    <t xml:space="preserve">Wingless or lesser draconic beasts, frequently terrestrial, elemental, or domesticated.</t>
  </si>
  <si>
    <t xml:space="preserve">drake; lesser dragon</t>
  </si>
  <si>
    <t xml:space="preserve">PPL-804</t>
  </si>
  <si>
    <t xml:space="preserve">World Serpents and Great Wyrms</t>
  </si>
  <si>
    <t xml:space="preserve">Serpentine dragons or cosmic snakes whose bodies encircle, uphold, poison, or threaten the world.</t>
  </si>
  <si>
    <t xml:space="preserve">world serpent; lindworm; great wyrm</t>
  </si>
  <si>
    <t xml:space="preserve">PPL-805</t>
  </si>
  <si>
    <t xml:space="preserve">Hydras</t>
  </si>
  <si>
    <t xml:space="preserve">Multi-headed reptilian monsters whose regenerative or proliferating heads create an escalating combat problem.</t>
  </si>
  <si>
    <t xml:space="preserve">hydra</t>
  </si>
  <si>
    <t xml:space="preserve">PPL-806</t>
  </si>
  <si>
    <t xml:space="preserve">Phoenixes and Firebirds</t>
  </si>
  <si>
    <t xml:space="preserve">Sacred or magical birds associated with flame, rebirth, cyclical time, kingship, or immortality.</t>
  </si>
  <si>
    <t xml:space="preserve">phoenix; firebird; bennu-like</t>
  </si>
  <si>
    <t xml:space="preserve">PPL-807</t>
  </si>
  <si>
    <t xml:space="preserve">Griffins and Hippogriffs</t>
  </si>
  <si>
    <t xml:space="preserve">Hybrid aerial beasts combining eagle and lion or horse traits, often used as guardians, mounts, or heraldic creatures.</t>
  </si>
  <si>
    <t xml:space="preserve">griffin; gryphon; hippogriff</t>
  </si>
  <si>
    <t xml:space="preserve">PPL-808</t>
  </si>
  <si>
    <t xml:space="preserve">Unicorns</t>
  </si>
  <si>
    <t xml:space="preserve">Horned equine beings associated with purity, healing, wilderness, sovereignty, danger, or selective trust.</t>
  </si>
  <si>
    <t xml:space="preserve">unicorn; kirin-like comparison</t>
  </si>
  <si>
    <t xml:space="preserve">PPL-809</t>
  </si>
  <si>
    <t xml:space="preserve">Pegasi and Winged Horses</t>
  </si>
  <si>
    <t xml:space="preserve">Winged equines serving as mounts, divine animals, symbols of inspiration, or sky peoples' companions.</t>
  </si>
  <si>
    <t xml:space="preserve">pegasus; winged horse</t>
  </si>
  <si>
    <t xml:space="preserve">PPL-810</t>
  </si>
  <si>
    <t xml:space="preserve">Sphinxes</t>
  </si>
  <si>
    <t xml:space="preserve">Hybrid lion-human or lion-bird beings associated with riddles, thresholds, royal power, tombs, or ancient knowledge.</t>
  </si>
  <si>
    <t xml:space="preserve">sphinx</t>
  </si>
  <si>
    <t xml:space="preserve">PPL-811</t>
  </si>
  <si>
    <t xml:space="preserve">Chimeras</t>
  </si>
  <si>
    <t xml:space="preserve">Composite monsters whose bodies combine multiple animals and often signify unnatural creation or mythic threat.</t>
  </si>
  <si>
    <t xml:space="preserve">chimera; composite beast</t>
  </si>
  <si>
    <t xml:space="preserve">PPL-812</t>
  </si>
  <si>
    <t xml:space="preserve">Manticores</t>
  </si>
  <si>
    <t xml:space="preserve">Human-faced or otherwise hybrid leonine predators, often equipped with venomous tails or projectile spines.</t>
  </si>
  <si>
    <t xml:space="preserve">manticore</t>
  </si>
  <si>
    <t xml:space="preserve">PPL-813</t>
  </si>
  <si>
    <t xml:space="preserve">Basilisks and Cockatrices</t>
  </si>
  <si>
    <t xml:space="preserve">Reptilian or rooster-serpent monsters whose gaze, breath, venom, or presence petrifies or kills.</t>
  </si>
  <si>
    <t xml:space="preserve">basilisk; cockatrice</t>
  </si>
  <si>
    <t xml:space="preserve">PPL-814</t>
  </si>
  <si>
    <t xml:space="preserve">Rocs and Thunderbirds</t>
  </si>
  <si>
    <t xml:space="preserve">Enormous birds capable of carrying great prey and associated with storms, mountains, sky power, or divine omens.</t>
  </si>
  <si>
    <t xml:space="preserve">roc; thunderbird analogue</t>
  </si>
  <si>
    <t xml:space="preserve">Thunderbird belongs to specific Indigenous North American traditions; avoid using it as a generic giant bird without context.</t>
  </si>
  <si>
    <t xml:space="preserve">PPL-815</t>
  </si>
  <si>
    <t xml:space="preserve">Krakens and Leviathans</t>
  </si>
  <si>
    <t xml:space="preserve">Vast marine beings that threaten ships, coastlines, civilizations, or cosmic order.</t>
  </si>
  <si>
    <t xml:space="preserve">kraken; leviathan; sea titan</t>
  </si>
  <si>
    <t xml:space="preserve">PPL-816</t>
  </si>
  <si>
    <t xml:space="preserve">Sea Serpents</t>
  </si>
  <si>
    <t xml:space="preserve">Long-bodied marine dragons or monsters that haunt trade routes, depths, and liminal waters.</t>
  </si>
  <si>
    <t xml:space="preserve">sea serpent; sea dragon</t>
  </si>
  <si>
    <t xml:space="preserve">PPL-817</t>
  </si>
  <si>
    <t xml:space="preserve">World Beasts and Kaiju</t>
  </si>
  <si>
    <t xml:space="preserve">Creatures of landscape or city-destroying scale whose bodies function as disasters, ecosystems, gods, or final bosses.</t>
  </si>
  <si>
    <t xml:space="preserve">kaiju; world beast; colossal monster</t>
  </si>
  <si>
    <t xml:space="preserve">PPL-818</t>
  </si>
  <si>
    <t xml:space="preserve">Giant Spiders and Web Sovereigns</t>
  </si>
  <si>
    <t xml:space="preserve">Oversized or supernatural arachnids associated with caves, forests, predation, weaving, corruption, or ancient intelligence.</t>
  </si>
  <si>
    <t xml:space="preserve">giant spider; spider queen</t>
  </si>
  <si>
    <t xml:space="preserve">PPL-819</t>
  </si>
  <si>
    <t xml:space="preserve">Dire and Mythic Megafauna</t>
  </si>
  <si>
    <t xml:space="preserve">Exaggerated versions of natural animals used as mounts, guardians, predators, ancestral symbols, or remnants of an older world.</t>
  </si>
  <si>
    <t xml:space="preserve">dire wolf; great bear; mammoth; giant boar</t>
  </si>
  <si>
    <t xml:space="preserve">PPL-820</t>
  </si>
  <si>
    <t xml:space="preserve">Sacred Guardian Beasts</t>
  </si>
  <si>
    <t xml:space="preserve">Legendary animals bound to temples, rulers, elements, directions, or sacred geographies.</t>
  </si>
  <si>
    <t xml:space="preserve">guardian lion; temple beast; divine mount</t>
  </si>
  <si>
    <t xml:space="preserve">PPL-901</t>
  </si>
  <si>
    <t xml:space="preserve">Plantfolk</t>
  </si>
  <si>
    <t xml:space="preserve">Sentient plants or plant-humanoid peoples whose bodies, reproduction, memory, and societies derive from vegetal life.</t>
  </si>
  <si>
    <t xml:space="preserve">plantfolk; leshy-like; sylvari-like</t>
  </si>
  <si>
    <t xml:space="preserve">Ecological other, distributed intelligence, body-horror threat, unusual playable ancestry, or setting-scale organism.</t>
  </si>
  <si>
    <t xml:space="preserve">PPL-902</t>
  </si>
  <si>
    <t xml:space="preserve">Fungal Peoples</t>
  </si>
  <si>
    <t xml:space="preserve">Mushroom- or mycelium-based beings emphasizing spores, decomposition, networks, symbiosis, or subterranean ecologies.</t>
  </si>
  <si>
    <t xml:space="preserve">mushroom folk; myconid-like; fungal collective</t>
  </si>
  <si>
    <t xml:space="preserve">PPL-903</t>
  </si>
  <si>
    <t xml:space="preserve">Oozes and Slimes</t>
  </si>
  <si>
    <t xml:space="preserve">Amorphous beings whose bodies flow, absorb, divide, dissolve, imitate, or evolve without fixed anatomy.</t>
  </si>
  <si>
    <t xml:space="preserve">slime; ooze; gelatinous being</t>
  </si>
  <si>
    <t xml:space="preserve">PPL-904</t>
  </si>
  <si>
    <t xml:space="preserve">Swarm Collectives</t>
  </si>
  <si>
    <t xml:space="preserve">A person or creature constituted by many small organisms acting as a coordinated whole.</t>
  </si>
  <si>
    <t xml:space="preserve">swarm person; insect cloud; rat king</t>
  </si>
  <si>
    <t xml:space="preserve">PPL-905</t>
  </si>
  <si>
    <t xml:space="preserve">Hive Minds</t>
  </si>
  <si>
    <t xml:space="preserve">Populations sharing consciousness, command, memory, or telepathy across multiple bodies.</t>
  </si>
  <si>
    <t xml:space="preserve">hive mind; collective consciousness</t>
  </si>
  <si>
    <t xml:space="preserve">PPL-906</t>
  </si>
  <si>
    <t xml:space="preserve">Colony Organisms</t>
  </si>
  <si>
    <t xml:space="preserve">Distributed beings whose apparently separate bodies are modules of one organism or society-person.</t>
  </si>
  <si>
    <t xml:space="preserve">colony being; coral intelligence</t>
  </si>
  <si>
    <t xml:space="preserve">PPL-907</t>
  </si>
  <si>
    <t xml:space="preserve">Parasitic Symbiotes</t>
  </si>
  <si>
    <t xml:space="preserve">Beings that require or share a host body, ranging from cooperative partners to identity-erasing parasites.</t>
  </si>
  <si>
    <t xml:space="preserve">symbiote; parasite; bonded organism</t>
  </si>
  <si>
    <t xml:space="preserve">PPL-908</t>
  </si>
  <si>
    <t xml:space="preserve">Living Ecosystems</t>
  </si>
  <si>
    <t xml:space="preserve">Forests, reefs, dungeons, planets, or biomes possessing unified agency or consciousness.</t>
  </si>
  <si>
    <t xml:space="preserve">sentient forest; living dungeon; world organism</t>
  </si>
  <si>
    <t xml:space="preserve">PPL-909</t>
  </si>
  <si>
    <t xml:space="preserve">Mimetic Organic Beings</t>
  </si>
  <si>
    <t xml:space="preserve">Life-forms that copy bodies, voices, objects, or environments as a primary survival and identity strategy.</t>
  </si>
  <si>
    <t xml:space="preserve">mimic organism; body copier</t>
  </si>
  <si>
    <t xml:space="preserve">PPL-910</t>
  </si>
  <si>
    <t xml:space="preserve">Spore and Infection Intelligences</t>
  </si>
  <si>
    <t xml:space="preserve">Distributed organisms that spread through infection and create shared bodies, memories, or behavioral control.</t>
  </si>
  <si>
    <t xml:space="preserve">spore mind; fungal infection; assimilator</t>
  </si>
  <si>
    <t xml:space="preserve">PPL-1001</t>
  </si>
  <si>
    <t xml:space="preserve">General Shapeshifters</t>
  </si>
  <si>
    <t xml:space="preserve">Beings able to change body, species, age, sex, scale, or material form as an innate or learned capacity.</t>
  </si>
  <si>
    <t xml:space="preserve">shapeshifter; metamorph; shapechanger</t>
  </si>
  <si>
    <t xml:space="preserve">Identity mystery, boundary crossing, infiltration, curse narrative, mixed heritage, or transformational heroism.</t>
  </si>
  <si>
    <t xml:space="preserve">PPL-1002</t>
  </si>
  <si>
    <t xml:space="preserve">Doppelgangers and Identity Mimics</t>
  </si>
  <si>
    <t xml:space="preserve">Beings specialized in copying another person's appearance, voice, memories, or social role.</t>
  </si>
  <si>
    <t xml:space="preserve">doppelganger; faceless mimic; changeling spy</t>
  </si>
  <si>
    <t xml:space="preserve">PPL-1003</t>
  </si>
  <si>
    <t xml:space="preserve">Therianthropes</t>
  </si>
  <si>
    <t xml:space="preserve">Humans or humanoids who transform into animals or hybrid forms through curse, inheritance, infection, ritual, or choice.</t>
  </si>
  <si>
    <t xml:space="preserve">werewolf; werebear; lycanthrope; beast transformation</t>
  </si>
  <si>
    <t xml:space="preserve">PPL-1004</t>
  </si>
  <si>
    <t xml:space="preserve">Animal-Form Peoples</t>
  </si>
  <si>
    <t xml:space="preserve">Peoples whose normal identity includes switching between humanoid and animal bodies without necessarily being cursed.</t>
  </si>
  <si>
    <t xml:space="preserve">fox spirit; selkie; swan maiden; animal shifter</t>
  </si>
  <si>
    <t xml:space="preserve">PPL-1005</t>
  </si>
  <si>
    <t xml:space="preserve">Hybrid and Chimera Peoples</t>
  </si>
  <si>
    <t xml:space="preserve">Stable peoples or individuals combining traits from multiple species, engineered lineages, or mythic parentage.</t>
  </si>
  <si>
    <t xml:space="preserve">chimera person; hybrid species; splice</t>
  </si>
  <si>
    <t xml:space="preserve">PPL-1006</t>
  </si>
  <si>
    <t xml:space="preserve">Mixed-Ancestry and Half-Blood Peoples</t>
  </si>
  <si>
    <t xml:space="preserve">Individuals or populations descended from multiple recognized peoples, lineages, or metaphysical kinds.</t>
  </si>
  <si>
    <t xml:space="preserve">half-elf; half-orc; mixed lineage</t>
  </si>
  <si>
    <t xml:space="preserve">PPL-1007</t>
  </si>
  <si>
    <t xml:space="preserve">Possessed Hosts</t>
  </si>
  <si>
    <t xml:space="preserve">Bodies inhabited or shared by an external spirit, demon, deity, ancestor, or alien mind.</t>
  </si>
  <si>
    <t xml:space="preserve">host; vessel; ridden person</t>
  </si>
  <si>
    <t xml:space="preserve">PPL-1008</t>
  </si>
  <si>
    <t xml:space="preserve">Body-Hoppers</t>
  </si>
  <si>
    <t xml:space="preserve">Entities that transfer consciousness between bodies, temporarily or permanently.</t>
  </si>
  <si>
    <t xml:space="preserve">body hopper; soul transfer; possessing immortal</t>
  </si>
  <si>
    <t xml:space="preserve">PPL-1009</t>
  </si>
  <si>
    <t xml:space="preserve">Skin-Wearers and Body Thieves</t>
  </si>
  <si>
    <t xml:space="preserve">Beings that assume identity through stolen skin, consumed bodies, masks, or direct replacement.</t>
  </si>
  <si>
    <t xml:space="preserve">skin-walker analogue; body thief; corpse wearer</t>
  </si>
  <si>
    <t xml:space="preserve">Avoid applying culturally specific 'skinwalker' terminology outside its Diné context.</t>
  </si>
  <si>
    <t xml:space="preserve">PPL-1010</t>
  </si>
  <si>
    <t xml:space="preserve">Metamorphic Species</t>
  </si>
  <si>
    <t xml:space="preserve">Peoples whose bodies naturally pass through multiple forms or life stages with major changes in capability and identity.</t>
  </si>
  <si>
    <t xml:space="preserve">metamorph; larval/adult people; chrysalis species</t>
  </si>
  <si>
    <t xml:space="preserve">PPL-1011</t>
  </si>
  <si>
    <t xml:space="preserve">Gender-Fluid or Form-Fluid Beings</t>
  </si>
  <si>
    <t xml:space="preserve">Beings whose physical sex, gendered embodiment, or social presentation changes through magic or biology.</t>
  </si>
  <si>
    <t xml:space="preserve">form-fluid; sex-changing species</t>
  </si>
  <si>
    <t xml:space="preserve">PPL-1012</t>
  </si>
  <si>
    <t xml:space="preserve">Composite Souls</t>
  </si>
  <si>
    <t xml:space="preserve">Persons formed by fused souls, inherited memories, reincarnated identities, or many minds sharing one body.</t>
  </si>
  <si>
    <t xml:space="preserve">soul fusion; gestalt person; multiple-self being</t>
  </si>
  <si>
    <t xml:space="preserve">PPL-1101</t>
  </si>
  <si>
    <t xml:space="preserve">Aberrations</t>
  </si>
  <si>
    <t xml:space="preserve">Beings whose anatomy, cognition, magic, or origin violates the setting's ordinary taxonomies.</t>
  </si>
  <si>
    <t xml:space="preserve">aberration; anomalous creature</t>
  </si>
  <si>
    <t xml:space="preserve">Cosmic threat, reality challenge, alien civilization, metaphysical mystery, or boundary of comprehension.</t>
  </si>
  <si>
    <t xml:space="preserve">PPL-1102</t>
  </si>
  <si>
    <t xml:space="preserve">Alien and Otherworlder Peoples</t>
  </si>
  <si>
    <t xml:space="preserve">Beings from another planet, plane, realm, timeline, or cosmos who remain intelligible as persons or societies.</t>
  </si>
  <si>
    <t xml:space="preserve">alien; outsider; extraplanar people</t>
  </si>
  <si>
    <t xml:space="preserve">PPL-1103</t>
  </si>
  <si>
    <t xml:space="preserve">Eldritch Gods</t>
  </si>
  <si>
    <t xml:space="preserve">Vast incomprehensible entities whose scale, ontology, or perception makes ordinary religion and morality inadequate.</t>
  </si>
  <si>
    <t xml:space="preserve">eldritch god; Great Old One-like being</t>
  </si>
  <si>
    <t xml:space="preserve">PPL-1104</t>
  </si>
  <si>
    <t xml:space="preserve">Void Beings</t>
  </si>
  <si>
    <t xml:space="preserve">Entities constituted by emptiness, negation, anti-reality, cosmic darkness, or a realm outside creation.</t>
  </si>
  <si>
    <t xml:space="preserve">voidborn; null entity; abyssal being</t>
  </si>
  <si>
    <t xml:space="preserve">PPL-1105</t>
  </si>
  <si>
    <t xml:space="preserve">Star Beings</t>
  </si>
  <si>
    <t xml:space="preserve">Celestial intelligences, fallen stars, constellations, or people whose bodies and power derive from stellar phenomena.</t>
  </si>
  <si>
    <t xml:space="preserve">star child; living constellation; astral being</t>
  </si>
  <si>
    <t xml:space="preserve">PPL-1106</t>
  </si>
  <si>
    <t xml:space="preserve">Time-Displaced Peoples</t>
  </si>
  <si>
    <t xml:space="preserve">Beings originating in another era or existing nonlinearly across time.</t>
  </si>
  <si>
    <t xml:space="preserve">future exile; ancient survivor; temporal being</t>
  </si>
  <si>
    <t xml:space="preserve">PPL-1107</t>
  </si>
  <si>
    <t xml:space="preserve">Dimensional Exiles</t>
  </si>
  <si>
    <t xml:space="preserve">Peoples stranded, banished, or displaced from another plane and transformed by their new reality.</t>
  </si>
  <si>
    <t xml:space="preserve">planar refugee; exile from another realm</t>
  </si>
  <si>
    <t xml:space="preserve">PPL-1108</t>
  </si>
  <si>
    <t xml:space="preserve">Living Paradoxes</t>
  </si>
  <si>
    <t xml:space="preserve">Entities whose existence depends on contradiction, recursive causality, impossible identity, or broken natural law.</t>
  </si>
  <si>
    <t xml:space="preserve">paradox being; impossible person</t>
  </si>
  <si>
    <t xml:space="preserve">PPL-1109</t>
  </si>
  <si>
    <t xml:space="preserve">Mimic Predators</t>
  </si>
  <si>
    <t xml:space="preserve">Creatures that imitate objects, architecture, terrain, or social forms to ambush prey.</t>
  </si>
  <si>
    <t xml:space="preserve">mimic; false chest; living door</t>
  </si>
  <si>
    <t xml:space="preserve">PPL-1110</t>
  </si>
  <si>
    <t xml:space="preserve">Reality Parasites</t>
  </si>
  <si>
    <t xml:space="preserve">Entities that feed on laws, memories, timelines, stories, dimensions, or the existence of other worlds.</t>
  </si>
  <si>
    <t xml:space="preserve">reality eater; concept parasite</t>
  </si>
  <si>
    <t xml:space="preserve">PPL-1111</t>
  </si>
  <si>
    <t xml:space="preserve">Dreaming World-Minds</t>
  </si>
  <si>
    <t xml:space="preserve">Cosmic entities whose dreams, thoughts, or sleep generate or destabilize reality.</t>
  </si>
  <si>
    <t xml:space="preserve">dreaming god; world dreamer</t>
  </si>
  <si>
    <t xml:space="preserve">PPL-1112</t>
  </si>
  <si>
    <t xml:space="preserve">Incomprehensible Collective Intelligences</t>
  </si>
  <si>
    <t xml:space="preserve">Vast minds distributed across species, dimensions, stars, or informational systems beyond individual-scale personhood.</t>
  </si>
  <si>
    <t xml:space="preserve">cosmic hive mind; overmind</t>
  </si>
  <si>
    <t xml:space="preserve">ROL-100</t>
  </si>
  <si>
    <t xml:space="preserve">Martial Roles</t>
  </si>
  <si>
    <t xml:space="preserve">Combatants whose primary expertise is weapons, armor, physical discipline, command, or battlefield endurance.</t>
  </si>
  <si>
    <t xml:space="preserve">A role may be a profession, class, office, order, build, or narrative identity; record the native type separately.</t>
  </si>
  <si>
    <t xml:space="preserve">Groups source-specific classes and vocations by practical and symbolic function.</t>
  </si>
  <si>
    <t xml:space="preserve">ROL-200</t>
  </si>
  <si>
    <t xml:space="preserve">Rogue and Underworld Roles</t>
  </si>
  <si>
    <t xml:space="preserve">Stealth, infiltration, theft, assassination, deception, sabotage, and informal survival professions.</t>
  </si>
  <si>
    <t xml:space="preserve">ROL-300</t>
  </si>
  <si>
    <t xml:space="preserve">Arcane and Scholarly Magic Roles</t>
  </si>
  <si>
    <t xml:space="preserve">Practitioners whose extraordinary abilities are framed as learned, innate, technical, symbolic, or occult magic.</t>
  </si>
  <si>
    <t xml:space="preserve">ROL-400</t>
  </si>
  <si>
    <t xml:space="preserve">Divine and Religious Roles</t>
  </si>
  <si>
    <t xml:space="preserve">Vocations grounded in worship, sacred authority, miracles, prophecy, ritual office, or opposition to spiritual threats.</t>
  </si>
  <si>
    <t xml:space="preserve">ROL-500</t>
  </si>
  <si>
    <t xml:space="preserve">Nature and Spirit Roles</t>
  </si>
  <si>
    <t xml:space="preserve">Vocations that mediate wilderness, animals, elements, ancestors, land spirits, or ecological reciprocity.</t>
  </si>
  <si>
    <t xml:space="preserve">ROL-600</t>
  </si>
  <si>
    <t xml:space="preserve">Healing, Craft, and Knowledge Roles</t>
  </si>
  <si>
    <t xml:space="preserve">Supportive, productive, scholarly, artistic, and technical professions that sustain people and institutions.</t>
  </si>
  <si>
    <t xml:space="preserve">ROL-700</t>
  </si>
  <si>
    <t xml:space="preserve">Leadership and Social Office Roles</t>
  </si>
  <si>
    <t xml:space="preserve">Roles defined by authority, status, governance, diplomacy, lineage, administration, or command.</t>
  </si>
  <si>
    <t xml:space="preserve">ROL-800</t>
  </si>
  <si>
    <t xml:space="preserve">Hybrid and Specialist Fantasy Roles</t>
  </si>
  <si>
    <t xml:space="preserve">Composite, setting-specific, transformational, or strongly genre-coded roles that combine multiple domains.</t>
  </si>
  <si>
    <t xml:space="preserve">ROL-900</t>
  </si>
  <si>
    <t xml:space="preserve">Progression, Cultivation, and Adventure Roles</t>
  </si>
  <si>
    <t xml:space="preserve">Roles defined by advancement systems, guild ranks, cultivation paths, reincarnation structures, or exploratory play.</t>
  </si>
  <si>
    <t xml:space="preserve">ROL-101</t>
  </si>
  <si>
    <t xml:space="preserve">Warrior or Fighter</t>
  </si>
  <si>
    <t xml:space="preserve">Broad weapon-using combatant whose competence is defined by martial training rather than a narrower social office or weapon style.</t>
  </si>
  <si>
    <t xml:space="preserve">Do not assume identical training, social status, powers, or mechanics across settings.</t>
  </si>
  <si>
    <t xml:space="preserve">warrior; fighter; man-at-arms; combatant</t>
  </si>
  <si>
    <t xml:space="preserve">Front-line combat, defense, mobility, command, hunting, or weapon mastery.</t>
  </si>
  <si>
    <t xml:space="preserve">ROL-102</t>
  </si>
  <si>
    <t xml:space="preserve">Soldier</t>
  </si>
  <si>
    <t xml:space="preserve">Combatant trained and organized as part of a formal military institution.</t>
  </si>
  <si>
    <t xml:space="preserve">soldier; trooper; legionary; regular</t>
  </si>
  <si>
    <t xml:space="preserve">ROL-103</t>
  </si>
  <si>
    <t xml:space="preserve">Militia and Levy</t>
  </si>
  <si>
    <t xml:space="preserve">Part-time or conscripted defender mobilized from civilian society.</t>
  </si>
  <si>
    <t xml:space="preserve">militia; levy; town guard</t>
  </si>
  <si>
    <t xml:space="preserve">ROL-104</t>
  </si>
  <si>
    <t xml:space="preserve">Heavy Infantry</t>
  </si>
  <si>
    <t xml:space="preserve">Armored foot soldier designed to hold ground, absorb pressure, and fight in formation.</t>
  </si>
  <si>
    <t xml:space="preserve">heavy infantry; armored foot; linebreaker</t>
  </si>
  <si>
    <t xml:space="preserve">ROL-105</t>
  </si>
  <si>
    <t xml:space="preserve">Light Infantry and Skirmisher</t>
  </si>
  <si>
    <t xml:space="preserve">Mobile foot soldier specializing in harassment, screening, scouting, or flexible engagement.</t>
  </si>
  <si>
    <t xml:space="preserve">skirmisher; light infantry; peltast-like</t>
  </si>
  <si>
    <t xml:space="preserve">ROL-106</t>
  </si>
  <si>
    <t xml:space="preserve">Spearfighter and Pikeman</t>
  </si>
  <si>
    <t xml:space="preserve">Combatant specializing in spears, polearms, pikes, reach, formation fighting, or anti-cavalry tactics.</t>
  </si>
  <si>
    <t xml:space="preserve">spearman; pikeman; lancer; polearm master</t>
  </si>
  <si>
    <t xml:space="preserve">ROL-107</t>
  </si>
  <si>
    <t xml:space="preserve">Swordsman</t>
  </si>
  <si>
    <t xml:space="preserve">Combatant whose identity centers on sword mastery, often as a generalized heroic martial archetype.</t>
  </si>
  <si>
    <t xml:space="preserve">swordsman; swordfighter; blade master</t>
  </si>
  <si>
    <t xml:space="preserve">ROL-108</t>
  </si>
  <si>
    <t xml:space="preserve">Axefighter</t>
  </si>
  <si>
    <t xml:space="preserve">Combatant specializing in axes and commonly framed through power, aggression, woodcraft, or northern warrior imagery.</t>
  </si>
  <si>
    <t xml:space="preserve">axeman; axe warrior</t>
  </si>
  <si>
    <t xml:space="preserve">ROL-109</t>
  </si>
  <si>
    <t xml:space="preserve">Hammer and Mace Fighter</t>
  </si>
  <si>
    <t xml:space="preserve">Blunt-weapon specialist associated with armor-breaking, sacred warfare, smithing cultures, or crushing force.</t>
  </si>
  <si>
    <t xml:space="preserve">hammerer; mace fighter; maul warrior</t>
  </si>
  <si>
    <t xml:space="preserve">ROL-110</t>
  </si>
  <si>
    <t xml:space="preserve">Shieldbearer and Guardian</t>
  </si>
  <si>
    <t xml:space="preserve">Defensive combatant who protects allies, controls space, or embodies duty through shield and armor.</t>
  </si>
  <si>
    <t xml:space="preserve">shieldbearer; guardian; defender; sentinel</t>
  </si>
  <si>
    <t xml:space="preserve">ROL-111</t>
  </si>
  <si>
    <t xml:space="preserve">Berserker</t>
  </si>
  <si>
    <t xml:space="preserve">Warrior who enters a heightened state of rage, trance, pain suppression, possession, or self-destructive power.</t>
  </si>
  <si>
    <t xml:space="preserve">berserker; rager; frenzy warrior</t>
  </si>
  <si>
    <t xml:space="preserve">The historical Norse term and modern game mechanic are related but not interchangeable.</t>
  </si>
  <si>
    <t xml:space="preserve">ROL-112</t>
  </si>
  <si>
    <t xml:space="preserve">Barbarian</t>
  </si>
  <si>
    <t xml:space="preserve">Warrior archetype coded as outside urban civilization and associated with physical prowess, survival, rage, or anti-imperial freedom.</t>
  </si>
  <si>
    <t xml:space="preserve">barbarian; wild warrior</t>
  </si>
  <si>
    <t xml:space="preserve">The label often carries colonial or civilizational bias; prefer source-specific cultural terms where possible.</t>
  </si>
  <si>
    <t xml:space="preserve">ROL-113</t>
  </si>
  <si>
    <t xml:space="preserve">Gladiator and Arena Fighter</t>
  </si>
  <si>
    <t xml:space="preserve">Professional combatant shaped by spectacle, captivity, sport, ritualized duels, or public reputation.</t>
  </si>
  <si>
    <t xml:space="preserve">gladiator; arena fighter; pit fighter</t>
  </si>
  <si>
    <t xml:space="preserve">ROL-114</t>
  </si>
  <si>
    <t xml:space="preserve">Duelist and Fencer</t>
  </si>
  <si>
    <t xml:space="preserve">Agile specialist in formal single combat, precision, timing, honor codes, or aristocratic weapon culture.</t>
  </si>
  <si>
    <t xml:space="preserve">duelist; fencer; swashbuckler</t>
  </si>
  <si>
    <t xml:space="preserve">ROL-115</t>
  </si>
  <si>
    <t xml:space="preserve">Knight</t>
  </si>
  <si>
    <t xml:space="preserve">Mounted or armored elite warrior defined by oath, feudal status, chivalric ideology, order membership, or noble service.</t>
  </si>
  <si>
    <t xml:space="preserve">knight; chevalier; cavalier</t>
  </si>
  <si>
    <t xml:space="preserve">ROL-116</t>
  </si>
  <si>
    <t xml:space="preserve">Cavalier and Mounted Knight</t>
  </si>
  <si>
    <t xml:space="preserve">Combatant whose primary identity is shock cavalry, horsemanship, mounted command, or noble war service.</t>
  </si>
  <si>
    <t xml:space="preserve">cavalier; horse knight; cataphract analogue</t>
  </si>
  <si>
    <t xml:space="preserve">ROL-117</t>
  </si>
  <si>
    <t xml:space="preserve">Paladin and Holy Knight</t>
  </si>
  <si>
    <t xml:space="preserve">Martial champion empowered or authorized by sacred oath, deity, moral code, or religious institution.</t>
  </si>
  <si>
    <t xml:space="preserve">paladin; holy knight; sacred champion</t>
  </si>
  <si>
    <t xml:space="preserve">ROL-118</t>
  </si>
  <si>
    <t xml:space="preserve">Dark Knight and Blackguard</t>
  </si>
  <si>
    <t xml:space="preserve">Martial champion whose power, imagery, or oath is tied to darkness, curse, sacrifice, taboo, or antiheroic inversion.</t>
  </si>
  <si>
    <t xml:space="preserve">dark knight; blackguard; doom knight</t>
  </si>
  <si>
    <t xml:space="preserve">ROL-119</t>
  </si>
  <si>
    <t xml:space="preserve">Terror Knight and Fear Warrior</t>
  </si>
  <si>
    <t xml:space="preserve">Armored warrior who weaponizes dread, intimidation, curse, death imagery, or battlefield morale.</t>
  </si>
  <si>
    <t xml:space="preserve">terror knight; dread knight; fear warrior</t>
  </si>
  <si>
    <t xml:space="preserve">ROL-120</t>
  </si>
  <si>
    <t xml:space="preserve">Samurai-Derived Warrior</t>
  </si>
  <si>
    <t xml:space="preserve">Warrior role drawing on Japanese bushi traditions, sword discipline, service, status, and later romanticized honor codes.</t>
  </si>
  <si>
    <t xml:space="preserve">samurai; bushi; sword retainer</t>
  </si>
  <si>
    <t xml:space="preserve">Separate historical samurai from fantasy class conventions and pan-Asian sword-warrior amalgams.</t>
  </si>
  <si>
    <t xml:space="preserve">ROL-121</t>
  </si>
  <si>
    <t xml:space="preserve">Ronin and Masterless Retainer</t>
  </si>
  <si>
    <t xml:space="preserve">Former retainer or wandering warrior defined by broken service, independence, dispossession, or moral ambiguity.</t>
  </si>
  <si>
    <t xml:space="preserve">ronin; wandering swordsman</t>
  </si>
  <si>
    <t xml:space="preserve">ROL-122</t>
  </si>
  <si>
    <t xml:space="preserve">Dragoon and Leaping Lancer</t>
  </si>
  <si>
    <t xml:space="preserve">Lance-wielding elite associated in fantasy games with aerial leaps, dragon hunting, dragon bonds, or shock assault.</t>
  </si>
  <si>
    <t xml:space="preserve">dragoon; dragon knight; jump lancer</t>
  </si>
  <si>
    <t xml:space="preserve">ROL-123</t>
  </si>
  <si>
    <t xml:space="preserve">Monk and Martial Artist</t>
  </si>
  <si>
    <t xml:space="preserve">Combatant who develops body, breath, mind, and technique through disciplined training, often within a religious or philosophical order.</t>
  </si>
  <si>
    <t xml:space="preserve">monk; martial artist; pugilist</t>
  </si>
  <si>
    <t xml:space="preserve">ROL-124</t>
  </si>
  <si>
    <t xml:space="preserve">Brawler and Pugilist</t>
  </si>
  <si>
    <t xml:space="preserve">Unarmed or close-range fighter emphasizing toughness, improvised technique, street experience, or raw physicality.</t>
  </si>
  <si>
    <t xml:space="preserve">brawler; pugilist; fistfighter</t>
  </si>
  <si>
    <t xml:space="preserve">ROL-125</t>
  </si>
  <si>
    <t xml:space="preserve">Ranger</t>
  </si>
  <si>
    <t xml:space="preserve">Wilderness-oriented combatant combining tracking, mobility, archery, survival, scouting, or guardianship.</t>
  </si>
  <si>
    <t xml:space="preserve">ranger; warden; borderer</t>
  </si>
  <si>
    <t xml:space="preserve">ROL-126</t>
  </si>
  <si>
    <t xml:space="preserve">Hunter</t>
  </si>
  <si>
    <t xml:space="preserve">Tracker and killer of animals, monsters, people, or supernatural quarry, using environmental knowledge and preparation.</t>
  </si>
  <si>
    <t xml:space="preserve">hunter; huntsman; tracker</t>
  </si>
  <si>
    <t xml:space="preserve">ROL-127</t>
  </si>
  <si>
    <t xml:space="preserve">Archer</t>
  </si>
  <si>
    <t xml:space="preserve">Ranged combatant specializing in bows, accuracy, positioning, volleys, or mounted archery.</t>
  </si>
  <si>
    <t xml:space="preserve">archer; bowman; marksman</t>
  </si>
  <si>
    <t xml:space="preserve">ROL-128</t>
  </si>
  <si>
    <t xml:space="preserve">Crossbowman</t>
  </si>
  <si>
    <t xml:space="preserve">Ranged combatant specializing in crossbows, armor penetration, disciplined volleys, or accessible mechanical weaponry.</t>
  </si>
  <si>
    <t xml:space="preserve">crossbowman; arbalester</t>
  </si>
  <si>
    <t xml:space="preserve">ROL-129</t>
  </si>
  <si>
    <t xml:space="preserve">Gunner and Fusilier</t>
  </si>
  <si>
    <t xml:space="preserve">Combatant defined by firearms or magitech guns, often marking a technological shift within fantasy warfare.</t>
  </si>
  <si>
    <t xml:space="preserve">gunner; fusilier; musketeer; cannoneer</t>
  </si>
  <si>
    <t xml:space="preserve">ROL-130</t>
  </si>
  <si>
    <t xml:space="preserve">Scout</t>
  </si>
  <si>
    <t xml:space="preserve">Mobile observer who gathers intelligence, screens forces, navigates terrain, and avoids decisive engagement.</t>
  </si>
  <si>
    <t xml:space="preserve">scout; outrider; pathfinder</t>
  </si>
  <si>
    <t xml:space="preserve">ROL-131</t>
  </si>
  <si>
    <t xml:space="preserve">Beast Rider</t>
  </si>
  <si>
    <t xml:space="preserve">Warrior whose identity and tactics depend on a bonded or trained nonhuman mount.</t>
  </si>
  <si>
    <t xml:space="preserve">beast rider; wolf rider; gryphon rider</t>
  </si>
  <si>
    <t xml:space="preserve">ROL-132</t>
  </si>
  <si>
    <t xml:space="preserve">Mounted Archer</t>
  </si>
  <si>
    <t xml:space="preserve">Mobile ranged combatant combining horsemanship or beast-riding with archery.</t>
  </si>
  <si>
    <t xml:space="preserve">horse archer; mounted bowman</t>
  </si>
  <si>
    <t xml:space="preserve">ROL-133</t>
  </si>
  <si>
    <t xml:space="preserve">Charioteer</t>
  </si>
  <si>
    <t xml:space="preserve">Combatant or elite driver using a chariot for mobility, prestige, missile fire, or shock action.</t>
  </si>
  <si>
    <t xml:space="preserve">charioteer; war-cart fighter</t>
  </si>
  <si>
    <t xml:space="preserve">ROL-134</t>
  </si>
  <si>
    <t xml:space="preserve">Marine and Naval Warrior</t>
  </si>
  <si>
    <t xml:space="preserve">Combatant trained for ships, boarding, amphibious assault, and maritime defense.</t>
  </si>
  <si>
    <t xml:space="preserve">marine; sailor-soldier; corsair</t>
  </si>
  <si>
    <t xml:space="preserve">ROL-135</t>
  </si>
  <si>
    <t xml:space="preserve">Pirate and Corsair</t>
  </si>
  <si>
    <t xml:space="preserve">Maritime raider combining combat, navigation, plunder, smuggling, and outlaw social organization.</t>
  </si>
  <si>
    <t xml:space="preserve">pirate; corsair; buccaneer</t>
  </si>
  <si>
    <t xml:space="preserve">ROL-136</t>
  </si>
  <si>
    <t xml:space="preserve">Raider</t>
  </si>
  <si>
    <t xml:space="preserve">Mobile warrior who obtains resources, prestige, or territory through sudden attacks and withdrawal.</t>
  </si>
  <si>
    <t xml:space="preserve">raider; reaver; pillager</t>
  </si>
  <si>
    <t xml:space="preserve">ROL-137</t>
  </si>
  <si>
    <t xml:space="preserve">Mercenary</t>
  </si>
  <si>
    <t xml:space="preserve">Professional combatant whose service is contractual, commercial, or politically independent.</t>
  </si>
  <si>
    <t xml:space="preserve">mercenary; sellsword; free company soldier</t>
  </si>
  <si>
    <t xml:space="preserve">ROL-138</t>
  </si>
  <si>
    <t xml:space="preserve">Bodyguard</t>
  </si>
  <si>
    <t xml:space="preserve">Protective specialist responsible for the survival of a particular person or group.</t>
  </si>
  <si>
    <t xml:space="preserve">bodyguard; sworn shield; protector</t>
  </si>
  <si>
    <t xml:space="preserve">ROL-139</t>
  </si>
  <si>
    <t xml:space="preserve">Champion</t>
  </si>
  <si>
    <t xml:space="preserve">Recognized elite who represents a ruler, deity, people, cause, or faction through personal combat.</t>
  </si>
  <si>
    <t xml:space="preserve">champion; chosen warrior; exemplar</t>
  </si>
  <si>
    <t xml:space="preserve">ROL-140</t>
  </si>
  <si>
    <t xml:space="preserve">Warlord</t>
  </si>
  <si>
    <t xml:space="preserve">Martial leader whose authority rests on force, personal loyalty, conquest, or fragmented political conditions.</t>
  </si>
  <si>
    <t xml:space="preserve">warlord; war chief</t>
  </si>
  <si>
    <t xml:space="preserve">ROL-141</t>
  </si>
  <si>
    <t xml:space="preserve">Commander and General</t>
  </si>
  <si>
    <t xml:space="preserve">Leader who directs troops, strategy, logistics, and battlefield coordination rather than fighting only as an individual.</t>
  </si>
  <si>
    <t xml:space="preserve">commander; general; marshal</t>
  </si>
  <si>
    <t xml:space="preserve">ROL-142</t>
  </si>
  <si>
    <t xml:space="preserve">Tactician and Strategist</t>
  </si>
  <si>
    <t xml:space="preserve">Specialist whose primary contribution is planning, prediction, formation, information, and exploitation of battlefield systems.</t>
  </si>
  <si>
    <t xml:space="preserve">tactician; strategist; battle planner</t>
  </si>
  <si>
    <t xml:space="preserve">ROL-143</t>
  </si>
  <si>
    <t xml:space="preserve">Weapon Master</t>
  </si>
  <si>
    <t xml:space="preserve">Martial expert defined by mastery of many weapons or near-supernatural perfection with one weapon.</t>
  </si>
  <si>
    <t xml:space="preserve">weapon master; blade saint; arms master</t>
  </si>
  <si>
    <t xml:space="preserve">ROL-144</t>
  </si>
  <si>
    <t xml:space="preserve">Monster Hunter</t>
  </si>
  <si>
    <t xml:space="preserve">Professional who studies, tracks, prepares for, and kills dangerous nonhuman creatures.</t>
  </si>
  <si>
    <t xml:space="preserve">monster hunter; slayer; witcher-like hunter</t>
  </si>
  <si>
    <t xml:space="preserve">ROL-145</t>
  </si>
  <si>
    <t xml:space="preserve">Dragon Slayer</t>
  </si>
  <si>
    <t xml:space="preserve">Specialist or heroic identity centered on defeating dragons, often with dedicated weapons, vows, or biological adaptations.</t>
  </si>
  <si>
    <t xml:space="preserve">dragon slayer; dragoon; wyrm hunter</t>
  </si>
  <si>
    <t xml:space="preserve">ROL-146</t>
  </si>
  <si>
    <t xml:space="preserve">Demon Hunter</t>
  </si>
  <si>
    <t xml:space="preserve">Warrior trained to identify and destroy fiends, possessed beings, cults, or corruptive magic.</t>
  </si>
  <si>
    <t xml:space="preserve">demon hunter; fiend slayer</t>
  </si>
  <si>
    <t xml:space="preserve">ROL-147</t>
  </si>
  <si>
    <t xml:space="preserve">Mage Hunter and Witch Hunter</t>
  </si>
  <si>
    <t xml:space="preserve">Combatant or official specialized in tracking, suppressing, policing, or killing magic users.</t>
  </si>
  <si>
    <t xml:space="preserve">mage hunter; witch hunter; spellbreaker</t>
  </si>
  <si>
    <t xml:space="preserve">ROL-148</t>
  </si>
  <si>
    <t xml:space="preserve">Anti-Magic Warrior</t>
  </si>
  <si>
    <t xml:space="preserve">Martial specialist whose abilities nullify, resist, reflect, or disrupt supernatural power.</t>
  </si>
  <si>
    <t xml:space="preserve">spellbreaker; null knight; templar analogue</t>
  </si>
  <si>
    <t xml:space="preserve">ROL-149</t>
  </si>
  <si>
    <t xml:space="preserve">Siege Specialist</t>
  </si>
  <si>
    <t xml:space="preserve">Warrior-engineer who operates siege engines, demolitions, fortifications, or battlefield construction.</t>
  </si>
  <si>
    <t xml:space="preserve">siege engineer; sapper; artillerist</t>
  </si>
  <si>
    <t xml:space="preserve">ROL-150</t>
  </si>
  <si>
    <t xml:space="preserve">Dragon Rider</t>
  </si>
  <si>
    <t xml:space="preserve">Elite combatant whose social and military identity is built around a bonded dragon mount.</t>
  </si>
  <si>
    <t xml:space="preserve">dragon rider; dragon knight; wyvern rider</t>
  </si>
  <si>
    <t xml:space="preserve">ROL-201</t>
  </si>
  <si>
    <t xml:space="preserve">Thief</t>
  </si>
  <si>
    <t xml:space="preserve">Person who acquires property through stealth, deception, access, or opportunism, often formalized as an adventuring class.</t>
  </si>
  <si>
    <t xml:space="preserve">thief; rogue; cutpurse</t>
  </si>
  <si>
    <t xml:space="preserve">Stealth, access, information, precision damage, deception, crime, or social manipulation.</t>
  </si>
  <si>
    <t xml:space="preserve">ROL-202</t>
  </si>
  <si>
    <t xml:space="preserve">Burglar and Infiltrator</t>
  </si>
  <si>
    <t xml:space="preserve">Specialist in bypassing locks, traps, walls, guards, and secure spaces.</t>
  </si>
  <si>
    <t xml:space="preserve">burglar; infiltrator; second-story thief</t>
  </si>
  <si>
    <t xml:space="preserve">ROL-203</t>
  </si>
  <si>
    <t xml:space="preserve">Pickpocket</t>
  </si>
  <si>
    <t xml:space="preserve">Close-contact thief specializing in unnoticed personal theft.</t>
  </si>
  <si>
    <t xml:space="preserve">pickpocket; cutpurse</t>
  </si>
  <si>
    <t xml:space="preserve">ROL-204</t>
  </si>
  <si>
    <t xml:space="preserve">Bandit and Outlaw</t>
  </si>
  <si>
    <t xml:space="preserve">Armed criminal or rebel operating outside recognized law, often from roads, forests, or borderlands.</t>
  </si>
  <si>
    <t xml:space="preserve">bandit; outlaw; brigand</t>
  </si>
  <si>
    <t xml:space="preserve">ROL-205</t>
  </si>
  <si>
    <t xml:space="preserve">Rogue</t>
  </si>
  <si>
    <t xml:space="preserve">Flexible adventurer archetype combining stealth, expertise, opportunistic combat, and underworld skills.</t>
  </si>
  <si>
    <t xml:space="preserve">rogue; scoundrel; knave</t>
  </si>
  <si>
    <t xml:space="preserve">ROL-206</t>
  </si>
  <si>
    <t xml:space="preserve">Spy</t>
  </si>
  <si>
    <t xml:space="preserve">Agent who secretly gathers political, military, magical, or personal intelligence.</t>
  </si>
  <si>
    <t xml:space="preserve">spy; intelligence agent; secret agent</t>
  </si>
  <si>
    <t xml:space="preserve">ROL-207</t>
  </si>
  <si>
    <t xml:space="preserve">Scout-Infiltrator</t>
  </si>
  <si>
    <t xml:space="preserve">Operative combining reconnaissance, stealth, pathfinding, and covert entry.</t>
  </si>
  <si>
    <t xml:space="preserve">infiltrator; forward scout; covert ranger</t>
  </si>
  <si>
    <t xml:space="preserve">ROL-208</t>
  </si>
  <si>
    <t xml:space="preserve">Assassin</t>
  </si>
  <si>
    <t xml:space="preserve">Professional killer defined by secrecy, precision, poison, ritual, politics, or institutional training.</t>
  </si>
  <si>
    <t xml:space="preserve">assassin; killer; hitman</t>
  </si>
  <si>
    <t xml:space="preserve">ROL-209</t>
  </si>
  <si>
    <t xml:space="preserve">Poisoner</t>
  </si>
  <si>
    <t xml:space="preserve">Specialist in toxins, venoms, contamination, antidotes, and covert delivery.</t>
  </si>
  <si>
    <t xml:space="preserve">poisoner; toxicologist; venom master</t>
  </si>
  <si>
    <t xml:space="preserve">ROL-210</t>
  </si>
  <si>
    <t xml:space="preserve">Ninja-Derived Operative</t>
  </si>
  <si>
    <t xml:space="preserve">Fantasy role combining covert movement, espionage, assassination, martial arts, tools, and supernatural techniques.</t>
  </si>
  <si>
    <t xml:space="preserve">ninja; shinobi; kunoichi</t>
  </si>
  <si>
    <t xml:space="preserve">Distinguish historical shinobi practices from modern fantasy ninja iconography.</t>
  </si>
  <si>
    <t xml:space="preserve">ROL-211</t>
  </si>
  <si>
    <t xml:space="preserve">Saboteur</t>
  </si>
  <si>
    <t xml:space="preserve">Operative who disrupts infrastructure, logistics, rituals, machines, fortifications, or morale.</t>
  </si>
  <si>
    <t xml:space="preserve">saboteur; demolitionist; disruptor</t>
  </si>
  <si>
    <t xml:space="preserve">ROL-212</t>
  </si>
  <si>
    <t xml:space="preserve">Smuggler</t>
  </si>
  <si>
    <t xml:space="preserve">Specialist in moving people or goods across borders, blockades, laws, or magical barriers.</t>
  </si>
  <si>
    <t xml:space="preserve">smuggler; runner; contraband trader</t>
  </si>
  <si>
    <t xml:space="preserve">ROL-213</t>
  </si>
  <si>
    <t xml:space="preserve">Bounty Hunter</t>
  </si>
  <si>
    <t xml:space="preserve">Tracker who captures or kills designated targets for payment, law, or private contract.</t>
  </si>
  <si>
    <t xml:space="preserve">bounty hunter; pursuer</t>
  </si>
  <si>
    <t xml:space="preserve">ROL-214</t>
  </si>
  <si>
    <t xml:space="preserve">Treasure Hunter</t>
  </si>
  <si>
    <t xml:space="preserve">Explorer-thief specializing in ruins, relics, traps, maps, and contested artifacts.</t>
  </si>
  <si>
    <t xml:space="preserve">treasure hunter; relic seeker; tomb raider</t>
  </si>
  <si>
    <t xml:space="preserve">ROL-215</t>
  </si>
  <si>
    <t xml:space="preserve">Gambler and Luck-Fighter</t>
  </si>
  <si>
    <t xml:space="preserve">Risk-based specialist whose success depends on chance, wagers, cards, dice, or probabilistic magic.</t>
  </si>
  <si>
    <t xml:space="preserve">gambler; cardsharp; luck mage</t>
  </si>
  <si>
    <t xml:space="preserve">ROL-216</t>
  </si>
  <si>
    <t xml:space="preserve">Con Artist and Grifter</t>
  </si>
  <si>
    <t xml:space="preserve">Deceiver who manipulates trust, identity, desire, or social expectations for gain.</t>
  </si>
  <si>
    <t xml:space="preserve">con artist; grifter; swindler</t>
  </si>
  <si>
    <t xml:space="preserve">ROL-217</t>
  </si>
  <si>
    <t xml:space="preserve">Trickster</t>
  </si>
  <si>
    <t xml:space="preserve">Role defined by misdirection, pranks, reversals, improvisation, and rule-breaking rather than direct force.</t>
  </si>
  <si>
    <t xml:space="preserve">trickster; jester rogue; deceiver</t>
  </si>
  <si>
    <t xml:space="preserve">ROL-218</t>
  </si>
  <si>
    <t xml:space="preserve">Acrobat and Mobility Specialist</t>
  </si>
  <si>
    <t xml:space="preserve">Operative whose exceptional movement, balance, climbing, tumbling, or performance enables infiltration and combat.</t>
  </si>
  <si>
    <t xml:space="preserve">acrobat; tumbler; aerialist</t>
  </si>
  <si>
    <t xml:space="preserve">ROL-219</t>
  </si>
  <si>
    <t xml:space="preserve">Shadowblade</t>
  </si>
  <si>
    <t xml:space="preserve">Stealth combatant augmented by shadow, teleportation, illusion, curse, or magical concealment.</t>
  </si>
  <si>
    <t xml:space="preserve">shadowblade; nightblade; arcane assassin</t>
  </si>
  <si>
    <t xml:space="preserve">ROL-220</t>
  </si>
  <si>
    <t xml:space="preserve">Pirate Rogue</t>
  </si>
  <si>
    <t xml:space="preserve">Maritime outlaw emphasizing boarding, trickery, pistols, knives, treasure, and charismatic command.</t>
  </si>
  <si>
    <t xml:space="preserve">pirate rogue; swashbuckler</t>
  </si>
  <si>
    <t xml:space="preserve">ROL-221</t>
  </si>
  <si>
    <t xml:space="preserve">Information Broker</t>
  </si>
  <si>
    <t xml:space="preserve">Underworld professional who trades secrets, rumors, identities, and access.</t>
  </si>
  <si>
    <t xml:space="preserve">information broker; fixer; whisper merchant</t>
  </si>
  <si>
    <t xml:space="preserve">ROL-222</t>
  </si>
  <si>
    <t xml:space="preserve">Mastermind</t>
  </si>
  <si>
    <t xml:space="preserve">Planner who coordinates crimes, manipulations, agents, and contingencies from a strategic position.</t>
  </si>
  <si>
    <t xml:space="preserve">mastermind; criminal planner</t>
  </si>
  <si>
    <t xml:space="preserve">ROL-223</t>
  </si>
  <si>
    <t xml:space="preserve">Noble Rogue</t>
  </si>
  <si>
    <t xml:space="preserve">Privileged or courtly figure who uses charm, fencing, scandal, and covert action rather than conventional rule.</t>
  </si>
  <si>
    <t xml:space="preserve">gentleman thief; court rogue; masked avenger</t>
  </si>
  <si>
    <t xml:space="preserve">ROL-301</t>
  </si>
  <si>
    <t xml:space="preserve">Mage and Wizard</t>
  </si>
  <si>
    <t xml:space="preserve">Broad practitioner of magic through study, training, formulae, language, or disciplined technique.</t>
  </si>
  <si>
    <t xml:space="preserve">mage; wizard; magic-user</t>
  </si>
  <si>
    <t xml:space="preserve">Spellcasting, magical research, battlefield control, transformation, summoning, or supernatural problem solving.</t>
  </si>
  <si>
    <t xml:space="preserve">ROL-302</t>
  </si>
  <si>
    <t xml:space="preserve">Sorcerer</t>
  </si>
  <si>
    <t xml:space="preserve">Magic user whose power is innate, inherited, bodily, emotional, or spontaneously expressed.</t>
  </si>
  <si>
    <t xml:space="preserve">sorcerer; sorceress; innate caster</t>
  </si>
  <si>
    <t xml:space="preserve">ROL-303</t>
  </si>
  <si>
    <t xml:space="preserve">Witch</t>
  </si>
  <si>
    <t xml:space="preserve">Magic practitioner associated with folk knowledge, taboo power, curses, healing, covens, spirits, gendered persecution, or ambiguous social status.</t>
  </si>
  <si>
    <t xml:space="preserve">witch; hedge witch; wise woman</t>
  </si>
  <si>
    <t xml:space="preserve">The term spans historical accusation, folk practitioner, religious identity, and fantasy class; record source context.</t>
  </si>
  <si>
    <t xml:space="preserve">ROL-304</t>
  </si>
  <si>
    <t xml:space="preserve">Warlock</t>
  </si>
  <si>
    <t xml:space="preserve">Magic user whose identity often involves pacts, forbidden study, male witchcraft, or socially suspect power.</t>
  </si>
  <si>
    <t xml:space="preserve">warlock; pact mage; forbidden caster</t>
  </si>
  <si>
    <t xml:space="preserve">ROL-305</t>
  </si>
  <si>
    <t xml:space="preserve">Arcanist</t>
  </si>
  <si>
    <t xml:space="preserve">Technical specialist in abstract magical theory, formulae, and controlled application.</t>
  </si>
  <si>
    <t xml:space="preserve">arcanist; arcane scholar</t>
  </si>
  <si>
    <t xml:space="preserve">ROL-306</t>
  </si>
  <si>
    <t xml:space="preserve">Magical Scholar</t>
  </si>
  <si>
    <t xml:space="preserve">Researcher who studies magic historically, experimentally, or philologically without necessarily serving as a combat caster.</t>
  </si>
  <si>
    <t xml:space="preserve">magic scholar; researcher; occult academic</t>
  </si>
  <si>
    <t xml:space="preserve">ROL-307</t>
  </si>
  <si>
    <t xml:space="preserve">Sage</t>
  </si>
  <si>
    <t xml:space="preserve">High-level learned figure combining broad magical, historical, philosophical, and advisory expertise.</t>
  </si>
  <si>
    <t xml:space="preserve">sage; loremaster; wise one</t>
  </si>
  <si>
    <t xml:space="preserve">ROL-308</t>
  </si>
  <si>
    <t xml:space="preserve">Ritualist</t>
  </si>
  <si>
    <t xml:space="preserve">Practitioner whose power depends on prepared ceremonies, symbols, participants, timing, and material components.</t>
  </si>
  <si>
    <t xml:space="preserve">ritualist; ceremonial magician</t>
  </si>
  <si>
    <t xml:space="preserve">ROL-309</t>
  </si>
  <si>
    <t xml:space="preserve">Hedge Mage</t>
  </si>
  <si>
    <t xml:space="preserve">Locally trained or self-taught practitioner working outside elite institutions.</t>
  </si>
  <si>
    <t xml:space="preserve">hedge mage; village magician; hedge wizard</t>
  </si>
  <si>
    <t xml:space="preserve">ROL-310</t>
  </si>
  <si>
    <t xml:space="preserve">Wild Mage</t>
  </si>
  <si>
    <t xml:space="preserve">Caster whose power is unstable, improvisational, chaotic, emotionally volatile, or probabilistic.</t>
  </si>
  <si>
    <t xml:space="preserve">wild mage; chaos caster</t>
  </si>
  <si>
    <t xml:space="preserve">ROL-311</t>
  </si>
  <si>
    <t xml:space="preserve">Enchanter</t>
  </si>
  <si>
    <t xml:space="preserve">Magic user who alters minds, emotions, objects, qualities, or persistent magical properties.</t>
  </si>
  <si>
    <t xml:space="preserve">enchanter; charm mage; item enchanter</t>
  </si>
  <si>
    <t xml:space="preserve">ROL-312</t>
  </si>
  <si>
    <t xml:space="preserve">Illusionist</t>
  </si>
  <si>
    <t xml:space="preserve">Specialist in false perception, sensory construction, concealment, phantasm, and manipulated belief.</t>
  </si>
  <si>
    <t xml:space="preserve">illusionist; glamor mage</t>
  </si>
  <si>
    <t xml:space="preserve">ROL-313</t>
  </si>
  <si>
    <t xml:space="preserve">Conjurer</t>
  </si>
  <si>
    <t xml:space="preserve">Caster who creates, transports, or calls creatures, objects, and phenomena into a location.</t>
  </si>
  <si>
    <t xml:space="preserve">conjurer; conjuration mage</t>
  </si>
  <si>
    <t xml:space="preserve">ROL-314</t>
  </si>
  <si>
    <t xml:space="preserve">Summoner</t>
  </si>
  <si>
    <t xml:space="preserve">Caster whose primary power comes from calling and directing spirits, monsters, eidolons, demons, or divine beings.</t>
  </si>
  <si>
    <t xml:space="preserve">summoner; caller; evoker</t>
  </si>
  <si>
    <t xml:space="preserve">ROL-315</t>
  </si>
  <si>
    <t xml:space="preserve">Necromancer</t>
  </si>
  <si>
    <t xml:space="preserve">Practitioner who manipulates death, corpses, souls, ghosts, entropy, or communication with the dead.</t>
  </si>
  <si>
    <t xml:space="preserve">necromancer; death mage; corpse wizard</t>
  </si>
  <si>
    <t xml:space="preserve">ROL-316</t>
  </si>
  <si>
    <t xml:space="preserve">Diviner and Seer</t>
  </si>
  <si>
    <t xml:space="preserve">Practitioner who reveals hidden information, possible futures, distant events, or supernatural truth.</t>
  </si>
  <si>
    <t xml:space="preserve">diviner; seer; augur; clairvoyant</t>
  </si>
  <si>
    <t xml:space="preserve">ROL-317</t>
  </si>
  <si>
    <t xml:space="preserve">Astrologer and Astrologian</t>
  </si>
  <si>
    <t xml:space="preserve">Practitioner who reads or channels celestial patterns, fate, time, or cosmic correspondences.</t>
  </si>
  <si>
    <t xml:space="preserve">astrologer; astrologian; star mage</t>
  </si>
  <si>
    <t xml:space="preserve">ROL-318</t>
  </si>
  <si>
    <t xml:space="preserve">Chronomancer</t>
  </si>
  <si>
    <t xml:space="preserve">Caster who alters time, duration, aging, sequence, causality, or temporal perception.</t>
  </si>
  <si>
    <t xml:space="preserve">chronomancer; time mage</t>
  </si>
  <si>
    <t xml:space="preserve">ROL-319</t>
  </si>
  <si>
    <t xml:space="preserve">Spatial Mage</t>
  </si>
  <si>
    <t xml:space="preserve">Caster who manipulates distance, portals, dimensions, position, containment, or teleportation.</t>
  </si>
  <si>
    <t xml:space="preserve">spatial mage; portal mage; teleporter</t>
  </si>
  <si>
    <t xml:space="preserve">ROL-320</t>
  </si>
  <si>
    <t xml:space="preserve">Elementalist</t>
  </si>
  <si>
    <t xml:space="preserve">Caster who commands multiple classical or setting-specific elements as a coherent magical discipline.</t>
  </si>
  <si>
    <t xml:space="preserve">elementalist; elemental mage</t>
  </si>
  <si>
    <t xml:space="preserve">ROL-321</t>
  </si>
  <si>
    <t xml:space="preserve">Pyromancer</t>
  </si>
  <si>
    <t xml:space="preserve">Specialist in fire, heat, combustion, ash, or volcanic force.</t>
  </si>
  <si>
    <t xml:space="preserve">pyromancer; fire mage</t>
  </si>
  <si>
    <t xml:space="preserve">ROL-322</t>
  </si>
  <si>
    <t xml:space="preserve">Cryomancer</t>
  </si>
  <si>
    <t xml:space="preserve">Specialist in ice, cold, snow, freezing, and thermal extraction.</t>
  </si>
  <si>
    <t xml:space="preserve">cryomancer; ice mage</t>
  </si>
  <si>
    <t xml:space="preserve">ROL-323</t>
  </si>
  <si>
    <t xml:space="preserve">Aeromancer</t>
  </si>
  <si>
    <t xml:space="preserve">Specialist in air, wind, pressure, flight, and sometimes sound.</t>
  </si>
  <si>
    <t xml:space="preserve">aeromancer; wind mage</t>
  </si>
  <si>
    <t xml:space="preserve">ROL-324</t>
  </si>
  <si>
    <t xml:space="preserve">Geomancer</t>
  </si>
  <si>
    <t xml:space="preserve">Specialist in earth, stone, terrain, minerals, geomancy, or place-derived power.</t>
  </si>
  <si>
    <t xml:space="preserve">geomancer; earth mage</t>
  </si>
  <si>
    <t xml:space="preserve">Historical East Asian geomancy and fantasy earth magic are not synonymous.</t>
  </si>
  <si>
    <t xml:space="preserve">ROL-325</t>
  </si>
  <si>
    <t xml:space="preserve">Hydromancer</t>
  </si>
  <si>
    <t xml:space="preserve">Specialist in water, currents, moisture, tides, and fluid manipulation.</t>
  </si>
  <si>
    <t xml:space="preserve">hydromancer; water mage</t>
  </si>
  <si>
    <t xml:space="preserve">ROL-326</t>
  </si>
  <si>
    <t xml:space="preserve">Storm Mage</t>
  </si>
  <si>
    <t xml:space="preserve">Specialist in lightning, thunder, wind, rain, and violent weather systems.</t>
  </si>
  <si>
    <t xml:space="preserve">storm mage; tempest mage</t>
  </si>
  <si>
    <t xml:space="preserve">ROL-327</t>
  </si>
  <si>
    <t xml:space="preserve">Light Mage</t>
  </si>
  <si>
    <t xml:space="preserve">Caster who manipulates light, radiance, revelation, lasers, purity, or celestial energy without necessarily being religious.</t>
  </si>
  <si>
    <t xml:space="preserve">light mage; radiant caster</t>
  </si>
  <si>
    <t xml:space="preserve">ROL-328</t>
  </si>
  <si>
    <t xml:space="preserve">Shadow Mage</t>
  </si>
  <si>
    <t xml:space="preserve">Caster who manipulates darkness, shadow, concealment, fear, absence, or negative space.</t>
  </si>
  <si>
    <t xml:space="preserve">shadow mage; umbral caster</t>
  </si>
  <si>
    <t xml:space="preserve">ROL-329</t>
  </si>
  <si>
    <t xml:space="preserve">Blood Mage</t>
  </si>
  <si>
    <t xml:space="preserve">Practitioner who uses blood, lineage, bodily sacrifice, vitality, or kinship as magical medium and cost.</t>
  </si>
  <si>
    <t xml:space="preserve">blood mage; hemomancer</t>
  </si>
  <si>
    <t xml:space="preserve">ROL-330</t>
  </si>
  <si>
    <t xml:space="preserve">Bone Mage</t>
  </si>
  <si>
    <t xml:space="preserve">Specialist in bones as weapons, armor, divination media, remains, or structural magic.</t>
  </si>
  <si>
    <t xml:space="preserve">bone mage; osteomancer</t>
  </si>
  <si>
    <t xml:space="preserve">ROL-331</t>
  </si>
  <si>
    <t xml:space="preserve">Flesh Mage and Biomancer</t>
  </si>
  <si>
    <t xml:space="preserve">Practitioner who alters living tissue, anatomy, growth, disease, heredity, or bodies.</t>
  </si>
  <si>
    <t xml:space="preserve">flesh mage; biomancer; body sorcerer</t>
  </si>
  <si>
    <t xml:space="preserve">ROL-332</t>
  </si>
  <si>
    <t xml:space="preserve">Rune Mage</t>
  </si>
  <si>
    <t xml:space="preserve">Caster who encodes power in runes, inscriptions, carved signs, or persistent written structures.</t>
  </si>
  <si>
    <t xml:space="preserve">rune mage; runesmith; rune caster</t>
  </si>
  <si>
    <t xml:space="preserve">ROL-333</t>
  </si>
  <si>
    <t xml:space="preserve">Sigil and Seal Mage</t>
  </si>
  <si>
    <t xml:space="preserve">Specialist in abstract symbols, circles, seals, wards, and bounded magical diagrams.</t>
  </si>
  <si>
    <t xml:space="preserve">sigil mage; seal master; warder</t>
  </si>
  <si>
    <t xml:space="preserve">ROL-334</t>
  </si>
  <si>
    <t xml:space="preserve">Word and True-Name Mage</t>
  </si>
  <si>
    <t xml:space="preserve">Practitioner who alters reality through names, spoken commands, grammar, stories, or primordial language.</t>
  </si>
  <si>
    <t xml:space="preserve">name mage; word mage; logomancer</t>
  </si>
  <si>
    <t xml:space="preserve">ROL-335</t>
  </si>
  <si>
    <t xml:space="preserve">Dream Mage</t>
  </si>
  <si>
    <t xml:space="preserve">Caster who enters, shapes, weaponizes, interprets, or travels through dreams and nightmares.</t>
  </si>
  <si>
    <t xml:space="preserve">dream mage; oneiromancer</t>
  </si>
  <si>
    <t xml:space="preserve">ROL-336</t>
  </si>
  <si>
    <t xml:space="preserve">Mind Mage and Psion</t>
  </si>
  <si>
    <t xml:space="preserve">Practitioner who uses telepathy, telekinesis, memory, emotion, domination, or disciplined psychic power.</t>
  </si>
  <si>
    <t xml:space="preserve">mind mage; psion; psychic</t>
  </si>
  <si>
    <t xml:space="preserve">ROL-337</t>
  </si>
  <si>
    <t xml:space="preserve">Transmuter</t>
  </si>
  <si>
    <t xml:space="preserve">Caster who changes substances, properties, bodies, or forms into other states.</t>
  </si>
  <si>
    <t xml:space="preserve">transmuter; alteration mage</t>
  </si>
  <si>
    <t xml:space="preserve">ROL-338</t>
  </si>
  <si>
    <t xml:space="preserve">Alchemist</t>
  </si>
  <si>
    <t xml:space="preserve">Practitioner who transforms matter and life through compounds, reactions, symbols, essences, and laboratory craft.</t>
  </si>
  <si>
    <t xml:space="preserve">alchemist; potion maker; transmutation scholar</t>
  </si>
  <si>
    <t xml:space="preserve">ROL-339</t>
  </si>
  <si>
    <t xml:space="preserve">Artificer</t>
  </si>
  <si>
    <t xml:space="preserve">Creator and user of magical devices, constructs, infused tools, and engineered spell systems.</t>
  </si>
  <si>
    <t xml:space="preserve">artificer; magitech engineer; magic inventor</t>
  </si>
  <si>
    <t xml:space="preserve">ROL-340</t>
  </si>
  <si>
    <t xml:space="preserve">Technomancer</t>
  </si>
  <si>
    <t xml:space="preserve">Practitioner who interfaces magic with advanced machinery, code, networks, or technological systems.</t>
  </si>
  <si>
    <t xml:space="preserve">technomancer; cybermage; machine sorcerer</t>
  </si>
  <si>
    <t xml:space="preserve">ROL-341</t>
  </si>
  <si>
    <t xml:space="preserve">Blue Mage and Mimic Caster</t>
  </si>
  <si>
    <t xml:space="preserve">Caster who learns abilities by observing, surviving, consuming, or copying monsters and enemies.</t>
  </si>
  <si>
    <t xml:space="preserve">blue mage; mimic mage; spell thief</t>
  </si>
  <si>
    <t xml:space="preserve">ROL-342</t>
  </si>
  <si>
    <t xml:space="preserve">Red Mage and Versatile Battlemage</t>
  </si>
  <si>
    <t xml:space="preserve">Hybrid caster combining offensive magic, healing or support, and competent weapon use.</t>
  </si>
  <si>
    <t xml:space="preserve">red mage; versatile mage; jack-of-all-magics</t>
  </si>
  <si>
    <t xml:space="preserve">ROL-343</t>
  </si>
  <si>
    <t xml:space="preserve">Black Mage and Destructive Caster</t>
  </si>
  <si>
    <t xml:space="preserve">Game-coded offensive specialist emphasizing elemental or high-damage magic.</t>
  </si>
  <si>
    <t xml:space="preserve">black mage; nuker mage; destructive wizard</t>
  </si>
  <si>
    <t xml:space="preserve">ROL-344</t>
  </si>
  <si>
    <t xml:space="preserve">White Mage and Restorative Caster</t>
  </si>
  <si>
    <t xml:space="preserve">Game-coded healer emphasizing restoration, cleansing, protection, and sacred or light magic.</t>
  </si>
  <si>
    <t xml:space="preserve">white mage; healer mage; restorative caster</t>
  </si>
  <si>
    <t xml:space="preserve">ROL-345</t>
  </si>
  <si>
    <t xml:space="preserve">Green Mage and Support Caster</t>
  </si>
  <si>
    <t xml:space="preserve">Game-coded support specialist emphasizing buffs, debuffs, status magic, nature, or tactical utility.</t>
  </si>
  <si>
    <t xml:space="preserve">green mage; support mage</t>
  </si>
  <si>
    <t xml:space="preserve">ROL-346</t>
  </si>
  <si>
    <t xml:space="preserve">Time Mage</t>
  </si>
  <si>
    <t xml:space="preserve">Game-class form of temporal specialist using haste, slow, stop, gravity, and related battlefield control.</t>
  </si>
  <si>
    <t xml:space="preserve">time mage; chronomancer</t>
  </si>
  <si>
    <t xml:space="preserve">ROL-347</t>
  </si>
  <si>
    <t xml:space="preserve">Calculator and Arithmetician</t>
  </si>
  <si>
    <t xml:space="preserve">Caster who applies numerical, geometric, conditional, or formula-based rules to target and amplify magic.</t>
  </si>
  <si>
    <t xml:space="preserve">calculator; arithmetician; mathemagician</t>
  </si>
  <si>
    <t xml:space="preserve">ROL-348</t>
  </si>
  <si>
    <t xml:space="preserve">Oracle and Fate Caster</t>
  </si>
  <si>
    <t xml:space="preserve">Magic user who channels prophecy, fate, omens, curses, or probabilistic outcomes without necessarily holding a religious office.</t>
  </si>
  <si>
    <t xml:space="preserve">oracle; fate mage; mystic</t>
  </si>
  <si>
    <t xml:space="preserve">ROL-349</t>
  </si>
  <si>
    <t xml:space="preserve">Spirit Binder</t>
  </si>
  <si>
    <t xml:space="preserve">Caster who captures, contracts, seals, equips, or commands spirits as discrete power sources.</t>
  </si>
  <si>
    <t xml:space="preserve">spirit binder; seal master; soul tamer</t>
  </si>
  <si>
    <t xml:space="preserve">ROL-350</t>
  </si>
  <si>
    <t xml:space="preserve">Demonologist</t>
  </si>
  <si>
    <t xml:space="preserve">Scholar or caster specializing in demons, infernal names, summoning, binding, banishment, and corruption.</t>
  </si>
  <si>
    <t xml:space="preserve">demonologist; diabolist</t>
  </si>
  <si>
    <t xml:space="preserve">ROL-351</t>
  </si>
  <si>
    <t xml:space="preserve">Extradimensional Mage</t>
  </si>
  <si>
    <t xml:space="preserve">Caster whose discipline centers on planes, pocket worlds, extradimensional storage, or reality boundaries.</t>
  </si>
  <si>
    <t xml:space="preserve">planar mage; dimensionalist</t>
  </si>
  <si>
    <t xml:space="preserve">ROL-352</t>
  </si>
  <si>
    <t xml:space="preserve">Anti-Mage and Nullifier</t>
  </si>
  <si>
    <t xml:space="preserve">Specialist who suppresses, drains, reflects, dispels, or renders magic unusable.</t>
  </si>
  <si>
    <t xml:space="preserve">anti-mage; nullifier; dispeller</t>
  </si>
  <si>
    <t xml:space="preserve">ROL-353</t>
  </si>
  <si>
    <t xml:space="preserve">Curse Mage</t>
  </si>
  <si>
    <t xml:space="preserve">Practitioner specializing in persistent afflictions, taboo conditions, doom, geasa, and hostile transformations.</t>
  </si>
  <si>
    <t xml:space="preserve">curse mage; hexer; maledictor</t>
  </si>
  <si>
    <t xml:space="preserve">ROL-354</t>
  </si>
  <si>
    <t xml:space="preserve">Charm and Emotion Mage</t>
  </si>
  <si>
    <t xml:space="preserve">Caster who alters desire, loyalty, fear, courage, empathy, or emotional states.</t>
  </si>
  <si>
    <t xml:space="preserve">empath; charm mage; emotion weaver</t>
  </si>
  <si>
    <t xml:space="preserve">ROL-401</t>
  </si>
  <si>
    <t xml:space="preserve">Priest</t>
  </si>
  <si>
    <t xml:space="preserve">Religious specialist who performs worship, sacrifice, liturgy, pastoral care, and mediation between community and sacred power.</t>
  </si>
  <si>
    <t xml:space="preserve">priest; priestess; cleric</t>
  </si>
  <si>
    <t xml:space="preserve">Worship, healing, sacred authority, prophecy, purification, doctrine, or combat against spiritual threats.</t>
  </si>
  <si>
    <t xml:space="preserve">ROL-402</t>
  </si>
  <si>
    <t xml:space="preserve">Cleric</t>
  </si>
  <si>
    <t xml:space="preserve">Game-coded or institutional priest combining sacred magic, healing, protection, and combat utility.</t>
  </si>
  <si>
    <t xml:space="preserve">cleric; battle priest</t>
  </si>
  <si>
    <t xml:space="preserve">ROL-403</t>
  </si>
  <si>
    <t xml:space="preserve">Acolyte and Novice</t>
  </si>
  <si>
    <t xml:space="preserve">Junior initiate serving and learning within a temple, cult, monastery, or sacred order.</t>
  </si>
  <si>
    <t xml:space="preserve">acolyte; novice; initiate</t>
  </si>
  <si>
    <t xml:space="preserve">ROL-404</t>
  </si>
  <si>
    <t xml:space="preserve">Monastic Religious</t>
  </si>
  <si>
    <t xml:space="preserve">Member of a disciplined religious community organized around vows, contemplation, service, or sacred practice.</t>
  </si>
  <si>
    <t xml:space="preserve">monk; nun; brother; sister</t>
  </si>
  <si>
    <t xml:space="preserve">ROL-405</t>
  </si>
  <si>
    <t xml:space="preserve">Templar</t>
  </si>
  <si>
    <t xml:space="preserve">Armed member of a religious order charged with protection, conquest, policing, or defense of sacred institutions.</t>
  </si>
  <si>
    <t xml:space="preserve">templar; temple knight</t>
  </si>
  <si>
    <t xml:space="preserve">ROL-406</t>
  </si>
  <si>
    <t xml:space="preserve">Inquisitor</t>
  </si>
  <si>
    <t xml:space="preserve">Religious or ideological investigator empowered to identify heresy, corruption, possession, or forbidden magic.</t>
  </si>
  <si>
    <t xml:space="preserve">inquisitor; witchfinder; heresy hunter</t>
  </si>
  <si>
    <t xml:space="preserve">ROL-407</t>
  </si>
  <si>
    <t xml:space="preserve">Exorcist</t>
  </si>
  <si>
    <t xml:space="preserve">Specialist who removes, repels, seals, or destroys possessing spirits, demons, curses, and hauntings.</t>
  </si>
  <si>
    <t xml:space="preserve">exorcist; banisher; spirit cleanser</t>
  </si>
  <si>
    <t xml:space="preserve">ROL-408</t>
  </si>
  <si>
    <t xml:space="preserve">Oracle</t>
  </si>
  <si>
    <t xml:space="preserve">Person who receives authoritative messages, visions, or judgments from gods, spirits, fate, or sacred sites.</t>
  </si>
  <si>
    <t xml:space="preserve">oracle; mouthpiece; sibyl</t>
  </si>
  <si>
    <t xml:space="preserve">ROL-409</t>
  </si>
  <si>
    <t xml:space="preserve">Prophet</t>
  </si>
  <si>
    <t xml:space="preserve">Religious figure who proclaims revelation, warning, reform, or a future divinely guaranteed event.</t>
  </si>
  <si>
    <t xml:space="preserve">prophet; seer-prophet; messiah</t>
  </si>
  <si>
    <t xml:space="preserve">ROL-410</t>
  </si>
  <si>
    <t xml:space="preserve">Saint and Miracle Worker</t>
  </si>
  <si>
    <t xml:space="preserve">Holy exemplar whose body, relics, presence, or faith produces recognized miracles.</t>
  </si>
  <si>
    <t xml:space="preserve">saint; wonder-worker; holy person</t>
  </si>
  <si>
    <t xml:space="preserve">ROL-411</t>
  </si>
  <si>
    <t xml:space="preserve">Shrine Maiden and Miko-Derived Role</t>
  </si>
  <si>
    <t xml:space="preserve">Japanese shrine attendant or fantasy adaptation associated with purification, ritual dance, archery, wards, and spirit mediation.</t>
  </si>
  <si>
    <t xml:space="preserve">miko; shrine maiden</t>
  </si>
  <si>
    <t xml:space="preserve">Miko are real religious roles; distinguish historical practice from fantasy combat classes.</t>
  </si>
  <si>
    <t xml:space="preserve">ROL-412</t>
  </si>
  <si>
    <t xml:space="preserve">Onmyoji-Derived Practitioner</t>
  </si>
  <si>
    <t xml:space="preserve">Fantasy role based on Japanese onmyōdō, combining calendrics, divination, ritual, talismans, spirits, and cosmology.</t>
  </si>
  <si>
    <t xml:space="preserve">onmyoji; yin-yang master</t>
  </si>
  <si>
    <t xml:space="preserve">Onmyōdō is a specific Japanese historical tradition, not a generic exorcist class.</t>
  </si>
  <si>
    <t xml:space="preserve">ROL-413</t>
  </si>
  <si>
    <t xml:space="preserve">Cantor and Sacred Singer</t>
  </si>
  <si>
    <t xml:space="preserve">Religious specialist whose voice, chant, music, or recitation performs ritual and channels power.</t>
  </si>
  <si>
    <t xml:space="preserve">cantor; chanter; sacred bard</t>
  </si>
  <si>
    <t xml:space="preserve">ROL-414</t>
  </si>
  <si>
    <t xml:space="preserve">Cultist</t>
  </si>
  <si>
    <t xml:space="preserve">Devotee of a marginal, secret, forbidden, or antagonistic sacred power, often organized through initiation and sacrifice.</t>
  </si>
  <si>
    <t xml:space="preserve">cultist; zealot; dark worshiper</t>
  </si>
  <si>
    <t xml:space="preserve">ROL-415</t>
  </si>
  <si>
    <t xml:space="preserve">Death Priest</t>
  </si>
  <si>
    <t xml:space="preserve">Religious specialist serving death, funerary rites, ancestors, psychopomps, or gods of the dead.</t>
  </si>
  <si>
    <t xml:space="preserve">death priest; mortuary priest; grave cleric</t>
  </si>
  <si>
    <t xml:space="preserve">ROL-416</t>
  </si>
  <si>
    <t xml:space="preserve">Sun Priest</t>
  </si>
  <si>
    <t xml:space="preserve">Religious specialist associated with solar divinity, radiance, law, renewal, or kingship.</t>
  </si>
  <si>
    <t xml:space="preserve">sun priest; solar cleric</t>
  </si>
  <si>
    <t xml:space="preserve">ROL-417</t>
  </si>
  <si>
    <t xml:space="preserve">Moon Priest</t>
  </si>
  <si>
    <t xml:space="preserve">Religious specialist associated with lunar cycles, night, prophecy, tides, dreams, or transformation.</t>
  </si>
  <si>
    <t xml:space="preserve">moon priest; lunar cleric</t>
  </si>
  <si>
    <t xml:space="preserve">ROL-418</t>
  </si>
  <si>
    <t xml:space="preserve">Sacred Champion</t>
  </si>
  <si>
    <t xml:space="preserve">Chosen combatant or agent empowered to act for a deity without necessarily belonging to a formal priesthood.</t>
  </si>
  <si>
    <t xml:space="preserve">divine champion; godsworn; chosen</t>
  </si>
  <si>
    <t xml:space="preserve">ROL-419</t>
  </si>
  <si>
    <t xml:space="preserve">Relic Keeper</t>
  </si>
  <si>
    <t xml:space="preserve">Custodian of sacred objects, tombs, archives, shrines, or dangerous holy power.</t>
  </si>
  <si>
    <t xml:space="preserve">relic keeper; temple guardian</t>
  </si>
  <si>
    <t xml:space="preserve">ROL-420</t>
  </si>
  <si>
    <t xml:space="preserve">Pilgrim and Holy Wanderer</t>
  </si>
  <si>
    <t xml:space="preserve">Traveler whose journey itself is sacred, penitential, initiatory, or cosmologically necessary.</t>
  </si>
  <si>
    <t xml:space="preserve">pilgrim; mendicant; holy wanderer</t>
  </si>
  <si>
    <t xml:space="preserve">ROL-421</t>
  </si>
  <si>
    <t xml:space="preserve">Heresy Reformer</t>
  </si>
  <si>
    <t xml:space="preserve">Religious figure who challenges institutional orthodoxy in the name of earlier revelation, conscience, or new divine truth.</t>
  </si>
  <si>
    <t xml:space="preserve">reformer; heretic saint; dissident priest</t>
  </si>
  <si>
    <t xml:space="preserve">ROL-422</t>
  </si>
  <si>
    <t xml:space="preserve">Sacrificial Priest</t>
  </si>
  <si>
    <t xml:space="preserve">Ritual specialist whose authority centers on offerings, blood, substitution, or costly exchange with sacred powers.</t>
  </si>
  <si>
    <t xml:space="preserve">sacrificer; blood priest; offering priest</t>
  </si>
  <si>
    <t xml:space="preserve">ROL-423</t>
  </si>
  <si>
    <t xml:space="preserve">Divine Healer</t>
  </si>
  <si>
    <t xml:space="preserve">Religious practitioner whose primary vocation is miraculous healing, purification, and restoration.</t>
  </si>
  <si>
    <t xml:space="preserve">faith healer; healing cleric</t>
  </si>
  <si>
    <t xml:space="preserve">ROL-424</t>
  </si>
  <si>
    <t xml:space="preserve">Psychopomp Priest</t>
  </si>
  <si>
    <t xml:space="preserve">Mortuary specialist who guides souls and maintains boundaries between the living and dead.</t>
  </si>
  <si>
    <t xml:space="preserve">funerary guide; soul priest</t>
  </si>
  <si>
    <t xml:space="preserve">ROL-425</t>
  </si>
  <si>
    <t xml:space="preserve">Oathkeeper</t>
  </si>
  <si>
    <t xml:space="preserve">Religious or sacred official whose power rests on witnessing, enforcing, or embodying vows.</t>
  </si>
  <si>
    <t xml:space="preserve">oath priest; vow keeper</t>
  </si>
  <si>
    <t xml:space="preserve">ROL-501</t>
  </si>
  <si>
    <t xml:space="preserve">Druid</t>
  </si>
  <si>
    <t xml:space="preserve">Practitioner or religious role centered on land, seasons, animals, plants, natural cycles, and often shapeshifting.</t>
  </si>
  <si>
    <t xml:space="preserve">druid; grove keeper; circle mage</t>
  </si>
  <si>
    <t xml:space="preserve">Ecological guardianship, spirit mediation, animal partnership, survival, healing, and place-based magic.</t>
  </si>
  <si>
    <t xml:space="preserve">Historical Celtic druids and modern fantasy druids are not equivalent.</t>
  </si>
  <si>
    <t xml:space="preserve">ROL-502</t>
  </si>
  <si>
    <t xml:space="preserve">Shaman</t>
  </si>
  <si>
    <t xml:space="preserve">Spirit mediator who heals, divines, travels spiritually, bargains with beings, or serves a community through altered states.</t>
  </si>
  <si>
    <t xml:space="preserve">shaman; spirit walker; medicine person</t>
  </si>
  <si>
    <t xml:space="preserve">Use cautiously: 'shaman' derives from specific Siberian traditions and is often overgeneralized.</t>
  </si>
  <si>
    <t xml:space="preserve">ROL-503</t>
  </si>
  <si>
    <t xml:space="preserve">Animist</t>
  </si>
  <si>
    <t xml:space="preserve">Practitioner who relates to a world populated by persons or agencies in animals, places, weather, objects, and ancestors.</t>
  </si>
  <si>
    <t xml:space="preserve">animist; spirit mediator</t>
  </si>
  <si>
    <t xml:space="preserve">ROL-504</t>
  </si>
  <si>
    <t xml:space="preserve">Spirit Caller</t>
  </si>
  <si>
    <t xml:space="preserve">Specialist who invokes, negotiates with, or channels discrete spirits without necessarily commanding them.</t>
  </si>
  <si>
    <t xml:space="preserve">spirit caller; medium; caller</t>
  </si>
  <si>
    <t xml:space="preserve">ROL-505</t>
  </si>
  <si>
    <t xml:space="preserve">Medium</t>
  </si>
  <si>
    <t xml:space="preserve">Person through whom spirits communicate, manifest, possess, or offer information.</t>
  </si>
  <si>
    <t xml:space="preserve">medium; channeler; spirit vessel</t>
  </si>
  <si>
    <t xml:space="preserve">ROL-506</t>
  </si>
  <si>
    <t xml:space="preserve">Witch Doctor and Folk Spirit Healer</t>
  </si>
  <si>
    <t xml:space="preserve">Community practitioner combining herbs, divination, protection, spirit work, and healing outside formal institutions.</t>
  </si>
  <si>
    <t xml:space="preserve">witch doctor; folk healer; spirit doctor</t>
  </si>
  <si>
    <t xml:space="preserve">The label can be colonial and imprecise; prefer the source culture's own term.</t>
  </si>
  <si>
    <t xml:space="preserve">ROL-507</t>
  </si>
  <si>
    <t xml:space="preserve">Beastmaster and Beast Tamer</t>
  </si>
  <si>
    <t xml:space="preserve">Specialist who trains, bonds with, commands, rides, or fights alongside animals and monsters.</t>
  </si>
  <si>
    <t xml:space="preserve">beastmaster; beast tamer; monster tamer</t>
  </si>
  <si>
    <t xml:space="preserve">ROL-508</t>
  </si>
  <si>
    <t xml:space="preserve">Herbalist</t>
  </si>
  <si>
    <t xml:space="preserve">Practitioner whose knowledge of plants supports medicine, poison, ritual, food, and survival.</t>
  </si>
  <si>
    <t xml:space="preserve">herbalist; plant healer</t>
  </si>
  <si>
    <t xml:space="preserve">ROL-509</t>
  </si>
  <si>
    <t xml:space="preserve">Totemist</t>
  </si>
  <si>
    <t xml:space="preserve">Practitioner who channels animal, ancestral, or symbolic spirits through masks, emblems, transformations, or bonds.</t>
  </si>
  <si>
    <t xml:space="preserve">totemist; animal spirit warrior</t>
  </si>
  <si>
    <t xml:space="preserve">ROL-510</t>
  </si>
  <si>
    <t xml:space="preserve">Elemental Channeler</t>
  </si>
  <si>
    <t xml:space="preserve">Practitioner who negotiates with or embodies elemental spirits rather than treating elements as impersonal spells.</t>
  </si>
  <si>
    <t xml:space="preserve">elemental shaman; primalist</t>
  </si>
  <si>
    <t xml:space="preserve">ROL-511</t>
  </si>
  <si>
    <t xml:space="preserve">Shapeshifting Warden</t>
  </si>
  <si>
    <t xml:space="preserve">Guardian who assumes animal or plant forms to protect wilderness, people, or sacred boundaries.</t>
  </si>
  <si>
    <t xml:space="preserve">shapeshifter; wildshape druid; skinchanger</t>
  </si>
  <si>
    <t xml:space="preserve">ROL-512</t>
  </si>
  <si>
    <t xml:space="preserve">Forest Warden</t>
  </si>
  <si>
    <t xml:space="preserve">Martial or magical guardian of forests, groves, sacred beasts, and ecological law.</t>
  </si>
  <si>
    <t xml:space="preserve">warden; grove guardian; green knight</t>
  </si>
  <si>
    <t xml:space="preserve">ROL-513</t>
  </si>
  <si>
    <t xml:space="preserve">Weather Worker</t>
  </si>
  <si>
    <t xml:space="preserve">Practitioner who influences rain, storms, drought, wind, or seasonal conditions through ritual or magic.</t>
  </si>
  <si>
    <t xml:space="preserve">rainmaker; storm caller; weather witch</t>
  </si>
  <si>
    <t xml:space="preserve">ROL-514</t>
  </si>
  <si>
    <t xml:space="preserve">Fisher-Shaman and Sea Speaker</t>
  </si>
  <si>
    <t xml:space="preserve">Specialist in marine spirits, tides, whales, storms, navigation, and coastal survival.</t>
  </si>
  <si>
    <t xml:space="preserve">sea shaman; tide speaker; wave caller</t>
  </si>
  <si>
    <t xml:space="preserve">ROL-515</t>
  </si>
  <si>
    <t xml:space="preserve">Plant Speaker</t>
  </si>
  <si>
    <t xml:space="preserve">Practitioner who communicates with, awakens, heals, or commands plant life.</t>
  </si>
  <si>
    <t xml:space="preserve">plant mage; green speaker; botanomancer</t>
  </si>
  <si>
    <t xml:space="preserve">ROL-516</t>
  </si>
  <si>
    <t xml:space="preserve">Animal Speaker</t>
  </si>
  <si>
    <t xml:space="preserve">Practitioner who communicates with animals and mediates between human and nonhuman communities.</t>
  </si>
  <si>
    <t xml:space="preserve">beast speaker; animal friend; zoopath</t>
  </si>
  <si>
    <t xml:space="preserve">ROL-517</t>
  </si>
  <si>
    <t xml:space="preserve">Geomantic Warden</t>
  </si>
  <si>
    <t xml:space="preserve">Protector who reads terrain, sacred geography, ley lines, and place-based imbalances.</t>
  </si>
  <si>
    <t xml:space="preserve">land reader; geomancer; ley warden</t>
  </si>
  <si>
    <t xml:space="preserve">ROL-518</t>
  </si>
  <si>
    <t xml:space="preserve">Ancestor Keeper</t>
  </si>
  <si>
    <t xml:space="preserve">Community specialist responsible for ancestral rites, memory, genealogies, and reciprocal obligations with the dead.</t>
  </si>
  <si>
    <t xml:space="preserve">ancestor priest; lineage keeper</t>
  </si>
  <si>
    <t xml:space="preserve">ROL-601</t>
  </si>
  <si>
    <t xml:space="preserve">Healer</t>
  </si>
  <si>
    <t xml:space="preserve">Broad role devoted to restoring health, removing conditions, stabilizing allies, and sustaining a group.</t>
  </si>
  <si>
    <t xml:space="preserve">healer; medic; restorative support</t>
  </si>
  <si>
    <t xml:space="preserve">Healing, production, knowledge, logistics, performance, economy, and noncombat problem solving.</t>
  </si>
  <si>
    <t xml:space="preserve">ROL-602</t>
  </si>
  <si>
    <t xml:space="preserve">Physician</t>
  </si>
  <si>
    <t xml:space="preserve">Practitioner of systematic bodily diagnosis and treatment without requiring supernatural power.</t>
  </si>
  <si>
    <t xml:space="preserve">physician; doctor; chirurgeon</t>
  </si>
  <si>
    <t xml:space="preserve">ROL-603</t>
  </si>
  <si>
    <t xml:space="preserve">Surgeon</t>
  </si>
  <si>
    <t xml:space="preserve">Specialist in invasive bodily repair, amputation, battlefield medicine, or anatomical intervention.</t>
  </si>
  <si>
    <t xml:space="preserve">surgeon; chirurgeon</t>
  </si>
  <si>
    <t xml:space="preserve">ROL-604</t>
  </si>
  <si>
    <t xml:space="preserve">Apothecary</t>
  </si>
  <si>
    <t xml:space="preserve">Preparer and seller of medicines, poisons, powders, salves, and compounds.</t>
  </si>
  <si>
    <t xml:space="preserve">apothecary; pharmacist; potion seller</t>
  </si>
  <si>
    <t xml:space="preserve">ROL-605</t>
  </si>
  <si>
    <t xml:space="preserve">Cook and Culinarian</t>
  </si>
  <si>
    <t xml:space="preserve">Provider whose food restores, buffs, symbolizes culture, or functions as alchemical craft.</t>
  </si>
  <si>
    <t xml:space="preserve">cook; chef; culinarian</t>
  </si>
  <si>
    <t xml:space="preserve">ROL-606</t>
  </si>
  <si>
    <t xml:space="preserve">Bard</t>
  </si>
  <si>
    <t xml:space="preserve">Performer whose song, story, reputation, memory, or magic influences emotion, morale, identity, and action.</t>
  </si>
  <si>
    <t xml:space="preserve">bard; minstrel; troubadour</t>
  </si>
  <si>
    <t xml:space="preserve">ROL-607</t>
  </si>
  <si>
    <t xml:space="preserve">Skald and Warrior-Poet</t>
  </si>
  <si>
    <t xml:space="preserve">Poet-performer associated with heroic memory, praise, insult, genealogy, and martial culture.</t>
  </si>
  <si>
    <t xml:space="preserve">skald; warrior poet</t>
  </si>
  <si>
    <t xml:space="preserve">ROL-608</t>
  </si>
  <si>
    <t xml:space="preserve">Dancer</t>
  </si>
  <si>
    <t xml:space="preserve">Performer whose movement produces social, ritual, magical, healing, or combat effects.</t>
  </si>
  <si>
    <t xml:space="preserve">dancer; ritual dancer; battle dancer</t>
  </si>
  <si>
    <t xml:space="preserve">ROL-609</t>
  </si>
  <si>
    <t xml:space="preserve">Storyteller and Lorekeeper</t>
  </si>
  <si>
    <t xml:space="preserve">Custodian of oral history, myth, genealogy, law, and communal identity.</t>
  </si>
  <si>
    <t xml:space="preserve">storyteller; griot-like role; lorekeeper</t>
  </si>
  <si>
    <t xml:space="preserve">Do not use 'griot' generically without West African cultural context.</t>
  </si>
  <si>
    <t xml:space="preserve">ROL-610</t>
  </si>
  <si>
    <t xml:space="preserve">Blacksmith</t>
  </si>
  <si>
    <t xml:space="preserve">Craftsperson who forges tools, weapons, armor, and culturally significant metalwork.</t>
  </si>
  <si>
    <t xml:space="preserve">blacksmith; smith; forge master</t>
  </si>
  <si>
    <t xml:space="preserve">ROL-611</t>
  </si>
  <si>
    <t xml:space="preserve">Armorer</t>
  </si>
  <si>
    <t xml:space="preserve">Specialist in making, fitting, maintaining, and improving armor and shields.</t>
  </si>
  <si>
    <t xml:space="preserve">armorer; armourer</t>
  </si>
  <si>
    <t xml:space="preserve">ROL-612</t>
  </si>
  <si>
    <t xml:space="preserve">Weaponsmith</t>
  </si>
  <si>
    <t xml:space="preserve">Specialist in creating and refining weapons, often including legendary or magical arms.</t>
  </si>
  <si>
    <t xml:space="preserve">weaponsmith; swordsmith; bowyer</t>
  </si>
  <si>
    <t xml:space="preserve">ROL-613</t>
  </si>
  <si>
    <t xml:space="preserve">Jeweler and Gemworker</t>
  </si>
  <si>
    <t xml:space="preserve">Craftsperson who cuts gems, creates jewelry, embeds magical foci, or manages symbolic wealth.</t>
  </si>
  <si>
    <t xml:space="preserve">jeweler; gemcutter; goldsmith</t>
  </si>
  <si>
    <t xml:space="preserve">ROL-614</t>
  </si>
  <si>
    <t xml:space="preserve">Runesmith and Enchanting Artisan</t>
  </si>
  <si>
    <t xml:space="preserve">Craft specialist who permanently encodes magic into objects through runes, inscriptions, or enchantment.</t>
  </si>
  <si>
    <t xml:space="preserve">runesmith; enchanter-smith; artificer</t>
  </si>
  <si>
    <t xml:space="preserve">ROL-615</t>
  </si>
  <si>
    <t xml:space="preserve">Engineer</t>
  </si>
  <si>
    <t xml:space="preserve">Designer and operator of machines, fortifications, vehicles, infrastructure, and technical systems.</t>
  </si>
  <si>
    <t xml:space="preserve">engineer; mechanic; inventor</t>
  </si>
  <si>
    <t xml:space="preserve">ROL-616</t>
  </si>
  <si>
    <t xml:space="preserve">Architect and Builder</t>
  </si>
  <si>
    <t xml:space="preserve">Planner and constructor of buildings, cities, fortresses, temples, and magical structures.</t>
  </si>
  <si>
    <t xml:space="preserve">architect; builder; mason</t>
  </si>
  <si>
    <t xml:space="preserve">ROL-617</t>
  </si>
  <si>
    <t xml:space="preserve">Miner and Prospector</t>
  </si>
  <si>
    <t xml:space="preserve">Worker who extracts ore, gems, magical minerals, fossils, or subterranean resources.</t>
  </si>
  <si>
    <t xml:space="preserve">miner; prospector; delver</t>
  </si>
  <si>
    <t xml:space="preserve">ROL-618</t>
  </si>
  <si>
    <t xml:space="preserve">Farmer and Gardener</t>
  </si>
  <si>
    <t xml:space="preserve">Producer who cultivates food, herbs, magical crops, or domesticated landscapes.</t>
  </si>
  <si>
    <t xml:space="preserve">farmer; gardener; planter</t>
  </si>
  <si>
    <t xml:space="preserve">ROL-619</t>
  </si>
  <si>
    <t xml:space="preserve">Shepherd and Herdsman</t>
  </si>
  <si>
    <t xml:space="preserve">Caretaker of domesticated animals, migratory herds, or magical livestock.</t>
  </si>
  <si>
    <t xml:space="preserve">shepherd; herdsman; drover</t>
  </si>
  <si>
    <t xml:space="preserve">ROL-620</t>
  </si>
  <si>
    <t xml:space="preserve">Fisher and Whaler</t>
  </si>
  <si>
    <t xml:space="preserve">Maritime food-gatherer whose role may also involve navigation, monster hunting, or coastal culture.</t>
  </si>
  <si>
    <t xml:space="preserve">fisher; whaler; netter</t>
  </si>
  <si>
    <t xml:space="preserve">ROL-621</t>
  </si>
  <si>
    <t xml:space="preserve">Sailor</t>
  </si>
  <si>
    <t xml:space="preserve">Professional seafarer responsible for ship operation, rigging, navigation support, and survival at sea.</t>
  </si>
  <si>
    <t xml:space="preserve">sailor; mariner; deckhand</t>
  </si>
  <si>
    <t xml:space="preserve">ROL-622</t>
  </si>
  <si>
    <t xml:space="preserve">Navigator</t>
  </si>
  <si>
    <t xml:space="preserve">Specialist in routes, stars, currents, planes, portals, or dimensional travel.</t>
  </si>
  <si>
    <t xml:space="preserve">navigator; pilot; wayfinder</t>
  </si>
  <si>
    <t xml:space="preserve">ROL-623</t>
  </si>
  <si>
    <t xml:space="preserve">Cartographer</t>
  </si>
  <si>
    <t xml:space="preserve">Maker and interpreter of maps, including magical, planar, political, and dungeon maps.</t>
  </si>
  <si>
    <t xml:space="preserve">cartographer; mapmaker</t>
  </si>
  <si>
    <t xml:space="preserve">ROL-624</t>
  </si>
  <si>
    <t xml:space="preserve">Scholar</t>
  </si>
  <si>
    <t xml:space="preserve">General researcher or learned professional whose authority rests on education and preserved knowledge.</t>
  </si>
  <si>
    <t xml:space="preserve">scholar; academic; learned person</t>
  </si>
  <si>
    <t xml:space="preserve">ROL-625</t>
  </si>
  <si>
    <t xml:space="preserve">Historian</t>
  </si>
  <si>
    <t xml:space="preserve">Specialist in past events, sources, chronology, institutions, and contested memory.</t>
  </si>
  <si>
    <t xml:space="preserve">historian; chronicler</t>
  </si>
  <si>
    <t xml:space="preserve">ROL-626</t>
  </si>
  <si>
    <t xml:space="preserve">Librarian and Archivist</t>
  </si>
  <si>
    <t xml:space="preserve">Custodian of books, records, magical texts, memories, and restricted knowledge.</t>
  </si>
  <si>
    <t xml:space="preserve">librarian; archivist; keeper of tomes</t>
  </si>
  <si>
    <t xml:space="preserve">ROL-627</t>
  </si>
  <si>
    <t xml:space="preserve">Scribe</t>
  </si>
  <si>
    <t xml:space="preserve">Professional writer, copyist, recorder, clerk, or producer of magical texts.</t>
  </si>
  <si>
    <t xml:space="preserve">scribe; copyist; clerk</t>
  </si>
  <si>
    <t xml:space="preserve">ROL-628</t>
  </si>
  <si>
    <t xml:space="preserve">Teacher and Mentor</t>
  </si>
  <si>
    <t xml:space="preserve">Professional or institutional educator who transfers skill, knowledge, tradition, or magical discipline.</t>
  </si>
  <si>
    <t xml:space="preserve">teacher; tutor; instructor</t>
  </si>
  <si>
    <t xml:space="preserve">ROL-629</t>
  </si>
  <si>
    <t xml:space="preserve">Translator and Linguist</t>
  </si>
  <si>
    <t xml:space="preserve">Specialist in languages, scripts, codes, ancient speech, and cross-cultural interpretation.</t>
  </si>
  <si>
    <t xml:space="preserve">translator; linguist; philologist</t>
  </si>
  <si>
    <t xml:space="preserve">ROL-630</t>
  </si>
  <si>
    <t xml:space="preserve">Archaeologist and Relic Scholar</t>
  </si>
  <si>
    <t xml:space="preserve">Investigator of ruins, material remains, lost civilizations, and dangerous artifacts.</t>
  </si>
  <si>
    <t xml:space="preserve">archaeologist; antiquarian; ruin scholar</t>
  </si>
  <si>
    <t xml:space="preserve">ROL-631</t>
  </si>
  <si>
    <t xml:space="preserve">Merchant and Trader</t>
  </si>
  <si>
    <t xml:space="preserve">Professional who exchanges goods, credit, information, transport, and social access.</t>
  </si>
  <si>
    <t xml:space="preserve">merchant; trader; factor</t>
  </si>
  <si>
    <t xml:space="preserve">ROL-632</t>
  </si>
  <si>
    <t xml:space="preserve">Caravaner</t>
  </si>
  <si>
    <t xml:space="preserve">Merchant-traveler responsible for long-distance overland trade, security, animals, and route knowledge.</t>
  </si>
  <si>
    <t xml:space="preserve">caravaner; caravan master</t>
  </si>
  <si>
    <t xml:space="preserve">ROL-633</t>
  </si>
  <si>
    <t xml:space="preserve">Innkeeper and Host</t>
  </si>
  <si>
    <t xml:space="preserve">Provider of lodging, food, rumors, social space, and logistical support for travelers.</t>
  </si>
  <si>
    <t xml:space="preserve">innkeeper; tavernkeeper; host</t>
  </si>
  <si>
    <t xml:space="preserve">ROL-634</t>
  </si>
  <si>
    <t xml:space="preserve">Diplomat and Ambassador</t>
  </si>
  <si>
    <t xml:space="preserve">Representative who negotiates between polities, peoples, factions, or supernatural powers.</t>
  </si>
  <si>
    <t xml:space="preserve">diplomat; ambassador; envoy</t>
  </si>
  <si>
    <t xml:space="preserve">ROL-635</t>
  </si>
  <si>
    <t xml:space="preserve">Judge and Magistrate</t>
  </si>
  <si>
    <t xml:space="preserve">Official who interprets law, resolves disputes, imposes sentences, and embodies institutional justice.</t>
  </si>
  <si>
    <t xml:space="preserve">judge; magistrate; arbiter</t>
  </si>
  <si>
    <t xml:space="preserve">ROL-636</t>
  </si>
  <si>
    <t xml:space="preserve">Bureaucrat and Administrator</t>
  </si>
  <si>
    <t xml:space="preserve">Official who manages records, taxes, permissions, logistics, and institutional continuity.</t>
  </si>
  <si>
    <t xml:space="preserve">bureaucrat; administrator; clerk</t>
  </si>
  <si>
    <t xml:space="preserve">ROL-637</t>
  </si>
  <si>
    <t xml:space="preserve">Herald and Messenger</t>
  </si>
  <si>
    <t xml:space="preserve">Official communicator who carries news, declarations, challenges, identity, and diplomatic status.</t>
  </si>
  <si>
    <t xml:space="preserve">herald; courier; messenger</t>
  </si>
  <si>
    <t xml:space="preserve">ROL-638</t>
  </si>
  <si>
    <t xml:space="preserve">Entertainer and Jester</t>
  </si>
  <si>
    <t xml:space="preserve">Performer who provides amusement, satire, social commentary, disguise, or courtly license.</t>
  </si>
  <si>
    <t xml:space="preserve">jester; entertainer; fool</t>
  </si>
  <si>
    <t xml:space="preserve">ROL-639</t>
  </si>
  <si>
    <t xml:space="preserve">Crafting Generalist</t>
  </si>
  <si>
    <t xml:space="preserve">Game or setting role that combines multiple production skills rather than a single trade.</t>
  </si>
  <si>
    <t xml:space="preserve">crafter; artisan; maker</t>
  </si>
  <si>
    <t xml:space="preserve">ROL-640</t>
  </si>
  <si>
    <t xml:space="preserve">Gatherer and Prospector</t>
  </si>
  <si>
    <t xml:space="preserve">Game-coded noncombat role focused on collecting raw resources from the environment.</t>
  </si>
  <si>
    <t xml:space="preserve">gatherer; miner; botanist; fisher</t>
  </si>
  <si>
    <t xml:space="preserve">ROL-701</t>
  </si>
  <si>
    <t xml:space="preserve">Monarch</t>
  </si>
  <si>
    <t xml:space="preserve">Sovereign ruler whose authority derives from dynasty, conquest, divine sanction, law, or symbolic unity.</t>
  </si>
  <si>
    <t xml:space="preserve">king; queen; emperor; empress</t>
  </si>
  <si>
    <t xml:space="preserve">Governance, succession, command, legitimacy, diplomacy, administration, and patronage.</t>
  </si>
  <si>
    <t xml:space="preserve">ROL-702</t>
  </si>
  <si>
    <t xml:space="preserve">Prince, Princess, and Royal Heir</t>
  </si>
  <si>
    <t xml:space="preserve">Dynastic figure defined by succession, bloodline, court politics, and potential sovereignty.</t>
  </si>
  <si>
    <t xml:space="preserve">prince; princess; heir; crown prince</t>
  </si>
  <si>
    <t xml:space="preserve">ROL-703</t>
  </si>
  <si>
    <t xml:space="preserve">Noble</t>
  </si>
  <si>
    <t xml:space="preserve">Member of a privileged hereditary or granted status group with land, office, retainers, or legal distinction.</t>
  </si>
  <si>
    <t xml:space="preserve">lord; lady; aristocrat; peer</t>
  </si>
  <si>
    <t xml:space="preserve">ROL-704</t>
  </si>
  <si>
    <t xml:space="preserve">Chieftain</t>
  </si>
  <si>
    <t xml:space="preserve">Leader of a tribe, clan, warband, or kin group whose authority rests on lineage, consensus, prowess, or custom.</t>
  </si>
  <si>
    <t xml:space="preserve">chieftain; chief; war chief</t>
  </si>
  <si>
    <t xml:space="preserve">ROL-705</t>
  </si>
  <si>
    <t xml:space="preserve">Clan Leader</t>
  </si>
  <si>
    <t xml:space="preserve">Head of an extended kinship group, house, lineage, or martial family.</t>
  </si>
  <si>
    <t xml:space="preserve">clan head; patriarch; matriarch</t>
  </si>
  <si>
    <t xml:space="preserve">ROL-706</t>
  </si>
  <si>
    <t xml:space="preserve">Guildmaster</t>
  </si>
  <si>
    <t xml:space="preserve">Leader or senior officer of a professional, criminal, magical, mercantile, or adventuring guild.</t>
  </si>
  <si>
    <t xml:space="preserve">guildmaster; guild leader</t>
  </si>
  <si>
    <t xml:space="preserve">ROL-707</t>
  </si>
  <si>
    <t xml:space="preserve">Steward</t>
  </si>
  <si>
    <t xml:space="preserve">Administrator who governs property, household, city, or realm on behalf of another authority.</t>
  </si>
  <si>
    <t xml:space="preserve">steward; seneschal; castellan</t>
  </si>
  <si>
    <t xml:space="preserve">ROL-708</t>
  </si>
  <si>
    <t xml:space="preserve">Regent</t>
  </si>
  <si>
    <t xml:space="preserve">Temporary ruler acting for an absent, underage, incapacitated, or disputed sovereign.</t>
  </si>
  <si>
    <t xml:space="preserve">regent; protector</t>
  </si>
  <si>
    <t xml:space="preserve">ROL-709</t>
  </si>
  <si>
    <t xml:space="preserve">Captain</t>
  </si>
  <si>
    <t xml:space="preserve">Mid-level leader of a ship, guard unit, mercenary band, adventuring group, or military company.</t>
  </si>
  <si>
    <t xml:space="preserve">captain; company commander</t>
  </si>
  <si>
    <t xml:space="preserve">ROL-710</t>
  </si>
  <si>
    <t xml:space="preserve">General and Marshal</t>
  </si>
  <si>
    <t xml:space="preserve">Senior military commander responsible for armies, theaters, strategy, and political-military coordination.</t>
  </si>
  <si>
    <t xml:space="preserve">general; marshal; war leader</t>
  </si>
  <si>
    <t xml:space="preserve">ROL-711</t>
  </si>
  <si>
    <t xml:space="preserve">Courtier</t>
  </si>
  <si>
    <t xml:space="preserve">Participant in elite court society whose influence depends on etiquette, patronage, access, and reputation.</t>
  </si>
  <si>
    <t xml:space="preserve">courtier; favorite; chamberlain</t>
  </si>
  <si>
    <t xml:space="preserve">ROL-712</t>
  </si>
  <si>
    <t xml:space="preserve">Adviser and Counselor</t>
  </si>
  <si>
    <t xml:space="preserve">Trusted specialist who shapes decisions through knowledge, strategy, morality, prophecy, or political judgment.</t>
  </si>
  <si>
    <t xml:space="preserve">adviser; counselor; vizier</t>
  </si>
  <si>
    <t xml:space="preserve">ROL-713</t>
  </si>
  <si>
    <t xml:space="preserve">Spymaster</t>
  </si>
  <si>
    <t xml:space="preserve">Leader of intelligence networks, covert agents, counterintelligence, and secret policy.</t>
  </si>
  <si>
    <t xml:space="preserve">spymaster; master of whispers</t>
  </si>
  <si>
    <t xml:space="preserve">ROL-714</t>
  </si>
  <si>
    <t xml:space="preserve">Priest-King</t>
  </si>
  <si>
    <t xml:space="preserve">Sovereign who combines political rule with supreme sacred office or divine identity.</t>
  </si>
  <si>
    <t xml:space="preserve">priest-king; sacred ruler; god-king</t>
  </si>
  <si>
    <t xml:space="preserve">ROL-715</t>
  </si>
  <si>
    <t xml:space="preserve">Mage-King</t>
  </si>
  <si>
    <t xml:space="preserve">Ruler whose legitimacy and coercive power rest primarily on magical mastery.</t>
  </si>
  <si>
    <t xml:space="preserve">mage-king; sorcerer-queen; wizard emperor</t>
  </si>
  <si>
    <t xml:space="preserve">ROL-716</t>
  </si>
  <si>
    <t xml:space="preserve">Warlord Ruler</t>
  </si>
  <si>
    <t xml:space="preserve">Political leader whose authority is personal, military, and conquest-based rather than bureaucratically institutionalized.</t>
  </si>
  <si>
    <t xml:space="preserve">warlord; conqueror; khan-like</t>
  </si>
  <si>
    <t xml:space="preserve">ROL-717</t>
  </si>
  <si>
    <t xml:space="preserve">Councilor and Conclave Member</t>
  </si>
  <si>
    <t xml:space="preserve">Collective ruler or senior decision-maker within a council, senate, elder body, or magical conclave.</t>
  </si>
  <si>
    <t xml:space="preserve">councilor; elder; senator</t>
  </si>
  <si>
    <t xml:space="preserve">ROL-718</t>
  </si>
  <si>
    <t xml:space="preserve">Elected Leader</t>
  </si>
  <si>
    <t xml:space="preserve">Ruler chosen through vote, acclamation, guild decision, military selection, or temporary mandate.</t>
  </si>
  <si>
    <t xml:space="preserve">mayor; consul; elected chief</t>
  </si>
  <si>
    <t xml:space="preserve">ROL-719</t>
  </si>
  <si>
    <t xml:space="preserve">Rebel Leader</t>
  </si>
  <si>
    <t xml:space="preserve">Organizer of resistance against an empire, tyrant, occupier, caste, or established order.</t>
  </si>
  <si>
    <t xml:space="preserve">rebel leader; resistance commander</t>
  </si>
  <si>
    <t xml:space="preserve">ROL-720</t>
  </si>
  <si>
    <t xml:space="preserve">Crime Lord</t>
  </si>
  <si>
    <t xml:space="preserve">Ruler of an underworld network through wealth, violence, patronage, and illicit governance.</t>
  </si>
  <si>
    <t xml:space="preserve">crime lord; underboss; gang leader</t>
  </si>
  <si>
    <t xml:space="preserve">ROL-721</t>
  </si>
  <si>
    <t xml:space="preserve">Demon Lord</t>
  </si>
  <si>
    <t xml:space="preserve">Sovereign antagonist ruling demons, monsters, a dark realm, or a game-coded enemy faction.</t>
  </si>
  <si>
    <t xml:space="preserve">demon lord; dark sovereign</t>
  </si>
  <si>
    <t xml:space="preserve">ROL-722</t>
  </si>
  <si>
    <t xml:space="preserve">Dungeon Lord</t>
  </si>
  <si>
    <t xml:space="preserve">Ruler, owner, or sentient administrator of a dungeon and its monsters, traps, and economy.</t>
  </si>
  <si>
    <t xml:space="preserve">dungeon lord; dungeon master; core ruler</t>
  </si>
  <si>
    <t xml:space="preserve">ROL-723</t>
  </si>
  <si>
    <t xml:space="preserve">Party Leader</t>
  </si>
  <si>
    <t xml:space="preserve">Person who coordinates an adventuring group through trust, tactics, charisma, or formal appointment.</t>
  </si>
  <si>
    <t xml:space="preserve">party leader; expedition leader</t>
  </si>
  <si>
    <t xml:space="preserve">ROL-724</t>
  </si>
  <si>
    <t xml:space="preserve">Quest Giver</t>
  </si>
  <si>
    <t xml:space="preserve">Authority or patron who defines goals, rewards, and narrative direction for adventurers.</t>
  </si>
  <si>
    <t xml:space="preserve">quest giver; patron; commissioner</t>
  </si>
  <si>
    <t xml:space="preserve">ROL-801</t>
  </si>
  <si>
    <t xml:space="preserve">Spellblade or Gish</t>
  </si>
  <si>
    <t xml:space="preserve">Combatant who combines competent weapon fighting with active spellcasting in one integrated style.</t>
  </si>
  <si>
    <t xml:space="preserve">spellblade; gish; magic swordsman</t>
  </si>
  <si>
    <t xml:space="preserve">Cross-domain builds, iconic setting professions, transformation systems, and specialized fantasy combat identities.</t>
  </si>
  <si>
    <t xml:space="preserve">ROL-802</t>
  </si>
  <si>
    <t xml:space="preserve">Battlemage</t>
  </si>
  <si>
    <t xml:space="preserve">Armored or tactically trained caster optimized for direct battlefield participation.</t>
  </si>
  <si>
    <t xml:space="preserve">battlemage; war mage; combat wizard</t>
  </si>
  <si>
    <t xml:space="preserve">ROL-803</t>
  </si>
  <si>
    <t xml:space="preserve">Rune Knight</t>
  </si>
  <si>
    <t xml:space="preserve">Martial specialist who augments weapons, armor, body, or tactics through runes and inscriptions.</t>
  </si>
  <si>
    <t xml:space="preserve">rune knight; runefencer; rune warrior</t>
  </si>
  <si>
    <t xml:space="preserve">ROL-804</t>
  </si>
  <si>
    <t xml:space="preserve">Arcane Archer</t>
  </si>
  <si>
    <t xml:space="preserve">Ranged weapon specialist who enchants arrows, channels spells through shots, or uses supernatural aim.</t>
  </si>
  <si>
    <t xml:space="preserve">arcane archer; magic bowman</t>
  </si>
  <si>
    <t xml:space="preserve">ROL-805</t>
  </si>
  <si>
    <t xml:space="preserve">Eldritch Knight</t>
  </si>
  <si>
    <t xml:space="preserve">Formal game archetype combining fighter durability and martial progression with limited arcane spellcasting.</t>
  </si>
  <si>
    <t xml:space="preserve">eldritch knight; magic knight</t>
  </si>
  <si>
    <t xml:space="preserve">ROL-806</t>
  </si>
  <si>
    <t xml:space="preserve">Sword Saint</t>
  </si>
  <si>
    <t xml:space="preserve">Near-mystical sword master whose technique functions as spiritual, magical, or transcendent power.</t>
  </si>
  <si>
    <t xml:space="preserve">sword saint; kensei-like; blade sage</t>
  </si>
  <si>
    <t xml:space="preserve">ROL-807</t>
  </si>
  <si>
    <t xml:space="preserve">Gunmage</t>
  </si>
  <si>
    <t xml:space="preserve">Hybrid combatant who channels spells through firearms or combines gunplay with occult technique.</t>
  </si>
  <si>
    <t xml:space="preserve">gunmage; spellshot; hexgunner</t>
  </si>
  <si>
    <t xml:space="preserve">ROL-808</t>
  </si>
  <si>
    <t xml:space="preserve">Magitech Knight</t>
  </si>
  <si>
    <t xml:space="preserve">Armored warrior empowered by magical technology, powered suits, crystals, engines, or artificial cores.</t>
  </si>
  <si>
    <t xml:space="preserve">magitech knight; techno-paladin</t>
  </si>
  <si>
    <t xml:space="preserve">ROL-809</t>
  </si>
  <si>
    <t xml:space="preserve">Dragon Knight</t>
  </si>
  <si>
    <t xml:space="preserve">Warrior empowered by draconic blood, armor, pacts, mounts, or anti-dragon specialization.</t>
  </si>
  <si>
    <t xml:space="preserve">dragon knight; dragoon; wyrm knight</t>
  </si>
  <si>
    <t xml:space="preserve">ROL-810</t>
  </si>
  <si>
    <t xml:space="preserve">Witcher and Alchemical Monster Hunter</t>
  </si>
  <si>
    <t xml:space="preserve">Professionally trained monster hunter transformed or enhanced through alchemy, mutation, ritual, and specialized signs or tools.</t>
  </si>
  <si>
    <t xml:space="preserve">witcher; mutant hunter; alchemical slayer</t>
  </si>
  <si>
    <t xml:space="preserve">Use 'witcher' as a source-specific term for Sapkowski/CD Projekt continuity; other settings are analogues.</t>
  </si>
  <si>
    <t xml:space="preserve">ROL-811</t>
  </si>
  <si>
    <t xml:space="preserve">Grey Warden-Type Blight Hunter</t>
  </si>
  <si>
    <t xml:space="preserve">Order-bound warrior who accepts contamination or transformation to sense and fight a specific existential enemy.</t>
  </si>
  <si>
    <t xml:space="preserve">blight hunter; taint-bound warden</t>
  </si>
  <si>
    <t xml:space="preserve">ROL-812</t>
  </si>
  <si>
    <t xml:space="preserve">Vampire Hunter</t>
  </si>
  <si>
    <t xml:space="preserve">Specialist trained to identify, track, and kill vampires using lore, sacred tools, medicine, or inherited techniques.</t>
  </si>
  <si>
    <t xml:space="preserve">vampire hunter; dhampir hunter</t>
  </si>
  <si>
    <t xml:space="preserve">ROL-813</t>
  </si>
  <si>
    <t xml:space="preserve">Exorcist Warrior</t>
  </si>
  <si>
    <t xml:space="preserve">Combatant who combines martial skill with seals, prayers, sacred weapons, or spirit banishment.</t>
  </si>
  <si>
    <t xml:space="preserve">exorcist fighter; demon-slaying monk</t>
  </si>
  <si>
    <t xml:space="preserve">ROL-814</t>
  </si>
  <si>
    <t xml:space="preserve">Beast Tamer Combatant</t>
  </si>
  <si>
    <t xml:space="preserve">Fighter whose tactical kit depends on controlled monsters, pets, or mounts.</t>
  </si>
  <si>
    <t xml:space="preserve">beast tamer; monster trainer; pet fighter</t>
  </si>
  <si>
    <t xml:space="preserve">ROL-815</t>
  </si>
  <si>
    <t xml:space="preserve">Puppetmaster</t>
  </si>
  <si>
    <t xml:space="preserve">Controller who fights through dolls, constructs, corpses, strings, shadows, or remotely directed bodies.</t>
  </si>
  <si>
    <t xml:space="preserve">puppetmaster; doll master; marionettist</t>
  </si>
  <si>
    <t xml:space="preserve">ROL-816</t>
  </si>
  <si>
    <t xml:space="preserve">Necromantic Commander</t>
  </si>
  <si>
    <t xml:space="preserve">Leader who raises, buffs, deploys, and replaces undead minions as an army or tactical resource.</t>
  </si>
  <si>
    <t xml:space="preserve">necromancer lord; corpse commander</t>
  </si>
  <si>
    <t xml:space="preserve">ROL-817</t>
  </si>
  <si>
    <t xml:space="preserve">Summoner-Pet Master</t>
  </si>
  <si>
    <t xml:space="preserve">Specialist whose primary combat presence is mediated through one or more summoned companions.</t>
  </si>
  <si>
    <t xml:space="preserve">summoner; eidolon master; pet class</t>
  </si>
  <si>
    <t xml:space="preserve">ROL-818</t>
  </si>
  <si>
    <t xml:space="preserve">Shapeshifting Combatant</t>
  </si>
  <si>
    <t xml:space="preserve">Fighter who changes forms, bodies, stances, or species to access different capabilities.</t>
  </si>
  <si>
    <t xml:space="preserve">shifter; morph warrior; wildshape fighter</t>
  </si>
  <si>
    <t xml:space="preserve">ROL-819</t>
  </si>
  <si>
    <t xml:space="preserve">Blue Mage or Ability Mimic</t>
  </si>
  <si>
    <t xml:space="preserve">Specialist who copies enemy or monster abilities and builds versatility through encounter knowledge.</t>
  </si>
  <si>
    <t xml:space="preserve">blue mage; mimic; skill copier</t>
  </si>
  <si>
    <t xml:space="preserve">ROL-820</t>
  </si>
  <si>
    <t xml:space="preserve">Mime</t>
  </si>
  <si>
    <t xml:space="preserve">Performer or game class that repeats, reflects, imitates, or amplifies actions used by others.</t>
  </si>
  <si>
    <t xml:space="preserve">mime; copycat; echo class</t>
  </si>
  <si>
    <t xml:space="preserve">ROL-821</t>
  </si>
  <si>
    <t xml:space="preserve">Freelancer and Job Generalist</t>
  </si>
  <si>
    <t xml:space="preserve">Class whose identity is unrestricted job access, inherited abilities, or flexible reconfiguration.</t>
  </si>
  <si>
    <t xml:space="preserve">freelancer; onion knight; jobless; adventurer</t>
  </si>
  <si>
    <t xml:space="preserve">ROL-822</t>
  </si>
  <si>
    <t xml:space="preserve">Dancer-Fighter</t>
  </si>
  <si>
    <t xml:space="preserve">Mobile support or damage role that channels combat effects through choreographed movement.</t>
  </si>
  <si>
    <t xml:space="preserve">battle dancer; blade dancer; dancer</t>
  </si>
  <si>
    <t xml:space="preserve">ROL-823</t>
  </si>
  <si>
    <t xml:space="preserve">Bardic Warrior</t>
  </si>
  <si>
    <t xml:space="preserve">Combatant who uses song, rhythm, poetry, or performance alongside weapons and command.</t>
  </si>
  <si>
    <t xml:space="preserve">skald; war bard; songblade</t>
  </si>
  <si>
    <t xml:space="preserve">ROL-824</t>
  </si>
  <si>
    <t xml:space="preserve">Dark Magical Girl or Transformation Warrior</t>
  </si>
  <si>
    <t xml:space="preserve">Character whose combat identity emerges through ritual transformation, costume, symbolic weapon, and emotionally coded power.</t>
  </si>
  <si>
    <t xml:space="preserve">magical girl; transformation hero; dark magical girl</t>
  </si>
  <si>
    <t xml:space="preserve">ROL-825</t>
  </si>
  <si>
    <t xml:space="preserve">Masked Hero</t>
  </si>
  <si>
    <t xml:space="preserve">Combatant whose secret identity, magical mask, inherited persona, or transformation separates public and heroic selves.</t>
  </si>
  <si>
    <t xml:space="preserve">masked hero; henshin warrior</t>
  </si>
  <si>
    <t xml:space="preserve">ROL-826</t>
  </si>
  <si>
    <t xml:space="preserve">Cursed Weapon User</t>
  </si>
  <si>
    <t xml:space="preserve">Fighter whose power depends on a sentient, corrupting, hungry, or dangerous weapon bond.</t>
  </si>
  <si>
    <t xml:space="preserve">cursed swordsman; weapon bearer</t>
  </si>
  <si>
    <t xml:space="preserve">ROL-827</t>
  </si>
  <si>
    <t xml:space="preserve">Blood Knight</t>
  </si>
  <si>
    <t xml:space="preserve">Warrior who uses blood, wounds, vitality, or sacrifice as combat resource and magical fuel.</t>
  </si>
  <si>
    <t xml:space="preserve">blood knight; hemowarrior</t>
  </si>
  <si>
    <t xml:space="preserve">ROL-828</t>
  </si>
  <si>
    <t xml:space="preserve">Spirit Warrior</t>
  </si>
  <si>
    <t xml:space="preserve">Combatant empowered by ancestors, totems, possession, guardian spirits, or spirit weapons.</t>
  </si>
  <si>
    <t xml:space="preserve">spirit warrior; ancestor champion</t>
  </si>
  <si>
    <t xml:space="preserve">ROL-829</t>
  </si>
  <si>
    <t xml:space="preserve">Elemental Knight</t>
  </si>
  <si>
    <t xml:space="preserve">Martial specialist who imbues body and weapons with elemental force.</t>
  </si>
  <si>
    <t xml:space="preserve">elemental knight; flame knight; frost knight</t>
  </si>
  <si>
    <t xml:space="preserve">ROL-830</t>
  </si>
  <si>
    <t xml:space="preserve">Holy Gunner</t>
  </si>
  <si>
    <t xml:space="preserve">Ranged firearm specialist using sacred ammunition, exorcistic rites, or anti-monster technology.</t>
  </si>
  <si>
    <t xml:space="preserve">holy gunner; gun priest; witch hunter</t>
  </si>
  <si>
    <t xml:space="preserve">ROL-831</t>
  </si>
  <si>
    <t xml:space="preserve">Reaper</t>
  </si>
  <si>
    <t xml:space="preserve">Scythe-using or death-themed combatant associated with soul harvesting, spectral avatars, or execution.</t>
  </si>
  <si>
    <t xml:space="preserve">reaper; soul reaper; scythe knight</t>
  </si>
  <si>
    <t xml:space="preserve">ROL-832</t>
  </si>
  <si>
    <t xml:space="preserve">Astrologian Healer</t>
  </si>
  <si>
    <t xml:space="preserve">Support caster using cards, stars, fate, or celestial timing to heal and enhance allies.</t>
  </si>
  <si>
    <t xml:space="preserve">astrologian; star healer</t>
  </si>
  <si>
    <t xml:space="preserve">ROL-833</t>
  </si>
  <si>
    <t xml:space="preserve">Scholar-Healer</t>
  </si>
  <si>
    <t xml:space="preserve">Tactical healer whose identity combines books, strategy, summoned assistants, barriers, and analytical magic.</t>
  </si>
  <si>
    <t xml:space="preserve">scholar; tactician healer</t>
  </si>
  <si>
    <t xml:space="preserve">ROL-834</t>
  </si>
  <si>
    <t xml:space="preserve">Gunbreaker and Explosive Blade Knight</t>
  </si>
  <si>
    <t xml:space="preserve">Tank or duelist using a gunblade or mechanically charged weapon to combine defense and explosive offense.</t>
  </si>
  <si>
    <t xml:space="preserve">gunbreaker; gunblade knight</t>
  </si>
  <si>
    <t xml:space="preserve">ROL-835</t>
  </si>
  <si>
    <t xml:space="preserve">Ritual Assassin</t>
  </si>
  <si>
    <t xml:space="preserve">Killer whose methods combine murder with sacrifice, soul work, divine service, or magical identity theft.</t>
  </si>
  <si>
    <t xml:space="preserve">ritual assassin; faceless killer; death cultist</t>
  </si>
  <si>
    <t xml:space="preserve">ROL-836</t>
  </si>
  <si>
    <t xml:space="preserve">Battle Alchemist</t>
  </si>
  <si>
    <t xml:space="preserve">Combatant who uses bombs, potions, transmutation, mutagens, or prepared compounds in active battle.</t>
  </si>
  <si>
    <t xml:space="preserve">battle alchemist; bomber; mutagenist</t>
  </si>
  <si>
    <t xml:space="preserve">ROL-901</t>
  </si>
  <si>
    <t xml:space="preserve">Adventurer</t>
  </si>
  <si>
    <t xml:space="preserve">Mobile problem-solver who explores ruins, accepts quests, fights monsters, and operates outside ordinary occupations.</t>
  </si>
  <si>
    <t xml:space="preserve">adventurer; quester; free agent</t>
  </si>
  <si>
    <t xml:space="preserve">Advancement, ranking, exploration, guild economy, cultivation, and system-mediated identity.</t>
  </si>
  <si>
    <t xml:space="preserve">ROL-902</t>
  </si>
  <si>
    <t xml:space="preserve">Guild Adventurer</t>
  </si>
  <si>
    <t xml:space="preserve">Adventurer formally ranked, licensed, and economically integrated through a guild or registry.</t>
  </si>
  <si>
    <t xml:space="preserve">guild adventurer; ranked adventurer</t>
  </si>
  <si>
    <t xml:space="preserve">ROL-903</t>
  </si>
  <si>
    <t xml:space="preserve">Dungeon Delver</t>
  </si>
  <si>
    <t xml:space="preserve">Specialist in entering, mapping, looting, surviving, and clearing dangerous enclosed sites.</t>
  </si>
  <si>
    <t xml:space="preserve">dungeon delver; ruin explorer</t>
  </si>
  <si>
    <t xml:space="preserve">ROL-904</t>
  </si>
  <si>
    <t xml:space="preserve">Hero Class</t>
  </si>
  <si>
    <t xml:space="preserve">System-recognized vocation or title assigned to a champion expected to defeat a demon lord or save the world.</t>
  </si>
  <si>
    <t xml:space="preserve">hero; chosen class; brave</t>
  </si>
  <si>
    <t xml:space="preserve">ROL-905</t>
  </si>
  <si>
    <t xml:space="preserve">Demon Lord Class</t>
  </si>
  <si>
    <t xml:space="preserve">System-recognized antagonist or sovereign role granting authority over monsters, demons, or a dark domain.</t>
  </si>
  <si>
    <t xml:space="preserve">demon lord; maou-like role</t>
  </si>
  <si>
    <t xml:space="preserve">ROL-906</t>
  </si>
  <si>
    <t xml:space="preserve">Cultivator</t>
  </si>
  <si>
    <t xml:space="preserve">Practitioner who advances through disciplined refinement of body, energy, spirit, insight, and cosmological stages.</t>
  </si>
  <si>
    <t xml:space="preserve">cultivator; immortal cultivator; qi practitioner</t>
  </si>
  <si>
    <t xml:space="preserve">Cultivation draws on Chinese religious, philosophical, literary, and modern xianxia traditions; preserve that context.</t>
  </si>
  <si>
    <t xml:space="preserve">ROL-907</t>
  </si>
  <si>
    <t xml:space="preserve">Martial Cultivator</t>
  </si>
  <si>
    <t xml:space="preserve">Cultivator whose advancement centers on combat arts, qi circulation, meridians, and bodily mastery.</t>
  </si>
  <si>
    <t xml:space="preserve">martial cultivator; martial artist; wuxia/xianxia fighter</t>
  </si>
  <si>
    <t xml:space="preserve">ROL-908</t>
  </si>
  <si>
    <t xml:space="preserve">Sword Cultivator</t>
  </si>
  <si>
    <t xml:space="preserve">Cultivator whose spiritual path, intent, and techniques are organized around the sword.</t>
  </si>
  <si>
    <t xml:space="preserve">sword cultivator; sword immortal</t>
  </si>
  <si>
    <t xml:space="preserve">ROL-909</t>
  </si>
  <si>
    <t xml:space="preserve">Body Cultivator</t>
  </si>
  <si>
    <t xml:space="preserve">Cultivator who refines physical durability, strength, organs, blood, or bodily transformation.</t>
  </si>
  <si>
    <t xml:space="preserve">body cultivator; body refiner</t>
  </si>
  <si>
    <t xml:space="preserve">ROL-910</t>
  </si>
  <si>
    <t xml:space="preserve">Qi Healer</t>
  </si>
  <si>
    <t xml:space="preserve">Practitioner who diagnoses and restores bodies through energy flow, meridians, breath, and internal cultivation.</t>
  </si>
  <si>
    <t xml:space="preserve">qi healer; energy physician</t>
  </si>
  <si>
    <t xml:space="preserve">ROL-911</t>
  </si>
  <si>
    <t xml:space="preserve">Talisman Master</t>
  </si>
  <si>
    <t xml:space="preserve">Practitioner who writes, activates, and combines paper charms, seals, or inscribed magical commands.</t>
  </si>
  <si>
    <t xml:space="preserve">talisman master; fu practitioner</t>
  </si>
  <si>
    <t xml:space="preserve">ROL-912</t>
  </si>
  <si>
    <t xml:space="preserve">Formation and Array Master</t>
  </si>
  <si>
    <t xml:space="preserve">Practitioner who constructs spatial, geometric, environmental, or tactical magical arrays.</t>
  </si>
  <si>
    <t xml:space="preserve">formation master; array master</t>
  </si>
  <si>
    <t xml:space="preserve">ROL-913</t>
  </si>
  <si>
    <t xml:space="preserve">Pill Alchemist</t>
  </si>
  <si>
    <t xml:space="preserve">Cultivation-world specialist who refines elixirs, pills, herbs, and essences to alter advancement and longevity.</t>
  </si>
  <si>
    <t xml:space="preserve">pill alchemist; dan refiner</t>
  </si>
  <si>
    <t xml:space="preserve">ROL-914</t>
  </si>
  <si>
    <t xml:space="preserve">Sect Disciple</t>
  </si>
  <si>
    <t xml:space="preserve">Ranked member of a martial or cultivation institution defined by lineage, manuals, masters, and internal hierarchy.</t>
  </si>
  <si>
    <t xml:space="preserve">sect disciple; inner disciple; outer disciple</t>
  </si>
  <si>
    <t xml:space="preserve">ROL-915</t>
  </si>
  <si>
    <t xml:space="preserve">Wandering Cultivator</t>
  </si>
  <si>
    <t xml:space="preserve">Independent practitioner outside major sect protection and resource structures.</t>
  </si>
  <si>
    <t xml:space="preserve">rogue cultivator; wandering immortal</t>
  </si>
  <si>
    <t xml:space="preserve">ROL-916</t>
  </si>
  <si>
    <t xml:space="preserve">Demonic Cultivator</t>
  </si>
  <si>
    <t xml:space="preserve">Practitioner whose methods are heterodox, predatory, taboo, corruptive, or merely politically stigmatized.</t>
  </si>
  <si>
    <t xml:space="preserve">demonic cultivator; devil cultivator</t>
  </si>
  <si>
    <t xml:space="preserve">ROL-917</t>
  </si>
  <si>
    <t xml:space="preserve">Immortal and Ascendant</t>
  </si>
  <si>
    <t xml:space="preserve">Advanced cultivator who has crossed a major threshold of mortality, realm, or cosmic status.</t>
  </si>
  <si>
    <t xml:space="preserve">immortal; ascendant; transcendent</t>
  </si>
  <si>
    <t xml:space="preserve">ROL-918</t>
  </si>
  <si>
    <t xml:space="preserve">System User</t>
  </si>
  <si>
    <t xml:space="preserve">Character whose abilities, statistics, quests, or growth are explicitly mediated by an interface-like system.</t>
  </si>
  <si>
    <t xml:space="preserve">system user; status-window protagonist</t>
  </si>
  <si>
    <t xml:space="preserve">ROL-919</t>
  </si>
  <si>
    <t xml:space="preserve">Reincarnated Specialist</t>
  </si>
  <si>
    <t xml:space="preserve">Character whose previous-life knowledge functions as a persistent vocational advantage in a new world or body.</t>
  </si>
  <si>
    <t xml:space="preserve">reincarnator; second-life expert</t>
  </si>
  <si>
    <t xml:space="preserve">ROL-920</t>
  </si>
  <si>
    <t xml:space="preserve">Summoned Hero</t>
  </si>
  <si>
    <t xml:space="preserve">Person transported or called into another world to perform a designated heroic function.</t>
  </si>
  <si>
    <t xml:space="preserve">summoned hero; isekai hero</t>
  </si>
  <si>
    <t xml:space="preserve">ROL-921</t>
  </si>
  <si>
    <t xml:space="preserve">Class-Changer</t>
  </si>
  <si>
    <t xml:space="preserve">Character whose defining progression mechanic is moving among jobs or classes and retaining selected abilities.</t>
  </si>
  <si>
    <t xml:space="preserve">job changer; class switcher</t>
  </si>
  <si>
    <t xml:space="preserve">ROL-922</t>
  </si>
  <si>
    <t xml:space="preserve">Prestige-Class Aspirant</t>
  </si>
  <si>
    <t xml:space="preserve">Character who advances into a specialized elite role after meeting prerequisites or narrative trials.</t>
  </si>
  <si>
    <t xml:space="preserve">advanced class; prestige class; promotion</t>
  </si>
  <si>
    <t xml:space="preserve">ROL-923</t>
  </si>
  <si>
    <t xml:space="preserve">Apprentice</t>
  </si>
  <si>
    <t xml:space="preserve">Learner formally attached to a master, guild, school, or craft lineage.</t>
  </si>
  <si>
    <t xml:space="preserve">apprentice; trainee; novice</t>
  </si>
  <si>
    <t xml:space="preserve">ROL-924</t>
  </si>
  <si>
    <t xml:space="preserve">Journeyman</t>
  </si>
  <si>
    <t xml:space="preserve">Intermediate practitioner recognized as competent but not yet a master.</t>
  </si>
  <si>
    <t xml:space="preserve">journeyman; adept</t>
  </si>
  <si>
    <t xml:space="preserve">ROL-925</t>
  </si>
  <si>
    <t xml:space="preserve">Master</t>
  </si>
  <si>
    <t xml:space="preserve">Senior practitioner authorized to teach, certify, lead, or embody a complete tradition.</t>
  </si>
  <si>
    <t xml:space="preserve">master; grandmaster; sensei-like</t>
  </si>
  <si>
    <t xml:space="preserve">ROL-926</t>
  </si>
  <si>
    <t xml:space="preserve">Ranked Hunter</t>
  </si>
  <si>
    <t xml:space="preserve">Licensed or system-ranked specialist who clears monsters, gates, dungeons, or supernatural incidents.</t>
  </si>
  <si>
    <t xml:space="preserve">ranked hunter; guild hunter</t>
  </si>
  <si>
    <t xml:space="preserve">ROL-927</t>
  </si>
  <si>
    <t xml:space="preserve">Tamer-Trainer</t>
  </si>
  <si>
    <t xml:space="preserve">Progression role centered on collecting, evolving, breeding, or commanding creatures.</t>
  </si>
  <si>
    <t xml:space="preserve">monster trainer; tamer; handler</t>
  </si>
  <si>
    <t xml:space="preserve">ROL-928</t>
  </si>
  <si>
    <t xml:space="preserve">Crafting-Class Specialist</t>
  </si>
  <si>
    <t xml:space="preserve">Character whose advancement is primarily through production, quality, recipes, and economic mastery.</t>
  </si>
  <si>
    <t xml:space="preserve">crafting class; artisan class</t>
  </si>
  <si>
    <t xml:space="preserve">ROL-929</t>
  </si>
  <si>
    <t xml:space="preserve">Gathering-Class Specialist</t>
  </si>
  <si>
    <t xml:space="preserve">Character whose progression is tied to resource acquisition, exploration, and environmental knowledge.</t>
  </si>
  <si>
    <t xml:space="preserve">gathering class; miner; botanist</t>
  </si>
  <si>
    <t xml:space="preserve">ROL-930</t>
  </si>
  <si>
    <t xml:space="preserve">Support-Class Specialist</t>
  </si>
  <si>
    <t xml:space="preserve">Character whose advancement is primarily measured through enabling allies rather than direct damage.</t>
  </si>
  <si>
    <t xml:space="preserve">support class; buffer; healer</t>
  </si>
  <si>
    <t xml:space="preserve">ROL-931</t>
  </si>
  <si>
    <t xml:space="preserve">Hidden-Class Bearer</t>
  </si>
  <si>
    <t xml:space="preserve">Character who unlocks a rare, secret, unique, or forbidden class unavailable to ordinary people.</t>
  </si>
  <si>
    <t xml:space="preserve">hidden class; unique job; secret profession</t>
  </si>
  <si>
    <t xml:space="preserve">ROL-932</t>
  </si>
  <si>
    <t xml:space="preserve">Classless Skill-Builder</t>
  </si>
  <si>
    <t xml:space="preserve">Character developed through freely chosen skills, attributes, perks, or techniques rather than a fixed class.</t>
  </si>
  <si>
    <t xml:space="preserve">classless build; skill-based adventurer</t>
  </si>
  <si>
    <t xml:space="preserve">PWR-100</t>
  </si>
  <si>
    <t xml:space="preserve">Source and Authorization Models</t>
  </si>
  <si>
    <t xml:space="preserve">How power is granted, inherited, learned, bargained for, or embodied.</t>
  </si>
  <si>
    <t xml:space="preserve">A power tradition describes source and method, not the user's profession or moral alignment.</t>
  </si>
  <si>
    <t xml:space="preserve">Allows classes and beings to be compared independently of local job names.</t>
  </si>
  <si>
    <t xml:space="preserve">PWR-200</t>
  </si>
  <si>
    <t xml:space="preserve">Elemental and Natural Domains</t>
  </si>
  <si>
    <t xml:space="preserve">Power organized around matter, energy, weather, life, animals, and environments.</t>
  </si>
  <si>
    <t xml:space="preserve">PWR-300</t>
  </si>
  <si>
    <t xml:space="preserve">Soul, Death, and Body Domains</t>
  </si>
  <si>
    <t xml:space="preserve">Power acting on life force, blood, flesh, memory, souls, death, and transformation.</t>
  </si>
  <si>
    <t xml:space="preserve">PWR-400</t>
  </si>
  <si>
    <t xml:space="preserve">Mind, Perception, Fate, and Reality Domains</t>
  </si>
  <si>
    <t xml:space="preserve">Power acting on thought, dreams, information, probability, time, space, and causality.</t>
  </si>
  <si>
    <t xml:space="preserve">PWR-500</t>
  </si>
  <si>
    <t xml:space="preserve">Symbolic, Performative, and Technical Methods</t>
  </si>
  <si>
    <t xml:space="preserve">Power encoded in words, names, runes, music, dance, mathematics, artifacts, craft, or technology.</t>
  </si>
  <si>
    <t xml:space="preserve">PWR-600</t>
  </si>
  <si>
    <t xml:space="preserve">Oppositional and Meta-Magical Traditions</t>
  </si>
  <si>
    <t xml:space="preserve">Power that copies, suppresses, corrupts, randomizes, or otherwise modifies other powers and systems.</t>
  </si>
  <si>
    <t xml:space="preserve">PWR-101</t>
  </si>
  <si>
    <t xml:space="preserve">Learned Arcana</t>
  </si>
  <si>
    <t xml:space="preserve">Power acquired through study, practice, notation, memorization, experimentation, and teachable technique.</t>
  </si>
  <si>
    <t xml:space="preserve">Record source, method, cost, limits, access, and social control separately.</t>
  </si>
  <si>
    <t xml:space="preserve">wizardry; learned magic; scholastic arcana</t>
  </si>
  <si>
    <t xml:space="preserve">Defines who can access power, why it works, and what obligations accompany it.</t>
  </si>
  <si>
    <t xml:space="preserve">PWR-102</t>
  </si>
  <si>
    <t xml:space="preserve">Innate Sorcery</t>
  </si>
  <si>
    <t xml:space="preserve">Power arising from birth, bloodline, species, mutation, emotion, or an internal supernatural faculty.</t>
  </si>
  <si>
    <t xml:space="preserve">sorcery; innate magic; bloodline gift</t>
  </si>
  <si>
    <t xml:space="preserve">PWR-103</t>
  </si>
  <si>
    <t xml:space="preserve">Divine Miracle</t>
  </si>
  <si>
    <t xml:space="preserve">Power granted, mediated, or authorized by a deity, sacred order, cosmic law, or religious covenant.</t>
  </si>
  <si>
    <t xml:space="preserve">divine magic; miracle; blessing</t>
  </si>
  <si>
    <t xml:space="preserve">PWR-104</t>
  </si>
  <si>
    <t xml:space="preserve">Pact and Contract Magic</t>
  </si>
  <si>
    <t xml:space="preserve">Power obtained through negotiated obligation with a spirit, fiend, deity, patron, artifact, or institution.</t>
  </si>
  <si>
    <t xml:space="preserve">pact magic; contract; bargain</t>
  </si>
  <si>
    <t xml:space="preserve">PWR-105</t>
  </si>
  <si>
    <t xml:space="preserve">Spirit Mediation</t>
  </si>
  <si>
    <t xml:space="preserve">Power exercised by communicating with, hosting, appeasing, bargaining with, or directing spirits.</t>
  </si>
  <si>
    <t xml:space="preserve">spirit magic; shamanism; mediumship</t>
  </si>
  <si>
    <t xml:space="preserve">PWR-106</t>
  </si>
  <si>
    <t xml:space="preserve">Animistic Reciprocity</t>
  </si>
  <si>
    <t xml:space="preserve">Power grounded in reciprocal relationships with places, animals, ancestors, objects, and nonhuman persons.</t>
  </si>
  <si>
    <t xml:space="preserve">animism; reciprocal spirit practice</t>
  </si>
  <si>
    <t xml:space="preserve">PWR-107</t>
  </si>
  <si>
    <t xml:space="preserve">Ancestral Power</t>
  </si>
  <si>
    <t xml:space="preserve">Abilities inherited from or actively supplied by ancestors, lineage memory, relics, or clan spirits.</t>
  </si>
  <si>
    <t xml:space="preserve">ancestor magic; lineage blessing</t>
  </si>
  <si>
    <t xml:space="preserve">PWR-108</t>
  </si>
  <si>
    <t xml:space="preserve">Bloodline Inheritance</t>
  </si>
  <si>
    <t xml:space="preserve">Power transmitted genealogically through family, species, royal descent, or magical heredity.</t>
  </si>
  <si>
    <t xml:space="preserve">bloodline power; inherited gift</t>
  </si>
  <si>
    <t xml:space="preserve">PWR-109</t>
  </si>
  <si>
    <t xml:space="preserve">Chosen or Invested Power</t>
  </si>
  <si>
    <t xml:space="preserve">Power bestowed by selection, office, prophecy, relic, crown, deity, or institution.</t>
  </si>
  <si>
    <t xml:space="preserve">chosen power; investiture; mantle</t>
  </si>
  <si>
    <t xml:space="preserve">PWR-110</t>
  </si>
  <si>
    <t xml:space="preserve">Artifact-Mediated Power</t>
  </si>
  <si>
    <t xml:space="preserve">Abilities accessible primarily through a weapon, relic, book, ring, mask, suit, or other external object.</t>
  </si>
  <si>
    <t xml:space="preserve">artifact magic; relic power; focus-dependent power</t>
  </si>
  <si>
    <t xml:space="preserve">PWR-111</t>
  </si>
  <si>
    <t xml:space="preserve">Symbiotic Power</t>
  </si>
  <si>
    <t xml:space="preserve">Abilities produced by partnership or entanglement with another organism, spirit, machine, or entity.</t>
  </si>
  <si>
    <t xml:space="preserve">symbiote power; bonded entity; host power</t>
  </si>
  <si>
    <t xml:space="preserve">PWR-112</t>
  </si>
  <si>
    <t xml:space="preserve">Possession and Channeling</t>
  </si>
  <si>
    <t xml:space="preserve">Power gained by allowing another being to inhabit, speak through, or partially control the user.</t>
  </si>
  <si>
    <t xml:space="preserve">channeling; possession power; vessel</t>
  </si>
  <si>
    <t xml:space="preserve">PWR-113</t>
  </si>
  <si>
    <t xml:space="preserve">Mutation and Enhancement</t>
  </si>
  <si>
    <t xml:space="preserve">Power created through alchemy, surgery, exposure, infection, breeding, or deliberate biological alteration.</t>
  </si>
  <si>
    <t xml:space="preserve">mutation; augmentation; enhancement</t>
  </si>
  <si>
    <t xml:space="preserve">PWR-114</t>
  </si>
  <si>
    <t xml:space="preserve">Cultivation and Internal Refinement</t>
  </si>
  <si>
    <t xml:space="preserve">Power developed through repeated refinement of body, breath, energy, spirit, insight, and cosmological stage.</t>
  </si>
  <si>
    <t xml:space="preserve">cultivation; qi refinement; internal alchemy</t>
  </si>
  <si>
    <t xml:space="preserve">Preserve Chinese philosophical and literary contexts rather than treating cultivation as a generic level system.</t>
  </si>
  <si>
    <t xml:space="preserve">PWR-115</t>
  </si>
  <si>
    <t xml:space="preserve">Martial Ki or Qi</t>
  </si>
  <si>
    <t xml:space="preserve">Extraordinary physical and energetic feats generated through breath, internal energy, focus, and trained bodily discipline.</t>
  </si>
  <si>
    <t xml:space="preserve">ki; qi; chi; aura</t>
  </si>
  <si>
    <t xml:space="preserve">PWR-116</t>
  </si>
  <si>
    <t xml:space="preserve">Psychic Faculty</t>
  </si>
  <si>
    <t xml:space="preserve">Power framed as an inherent or trained capacity of mind rather than spellcraft.</t>
  </si>
  <si>
    <t xml:space="preserve">psionics; psychic power; mental discipline</t>
  </si>
  <si>
    <t xml:space="preserve">PWR-117</t>
  </si>
  <si>
    <t xml:space="preserve">Technological Access</t>
  </si>
  <si>
    <t xml:space="preserve">Extraordinary effects produced by sufficiently advanced machinery, code, implants, or engineered systems within a fantasy setting.</t>
  </si>
  <si>
    <t xml:space="preserve">technology; magitech; cybernetics</t>
  </si>
  <si>
    <t xml:space="preserve">PWR-118</t>
  </si>
  <si>
    <t xml:space="preserve">Environmental Attunement</t>
  </si>
  <si>
    <t xml:space="preserve">Power drawn from local terrain, ley lines, weather, seasons, or a specific ecological relationship.</t>
  </si>
  <si>
    <t xml:space="preserve">ley power; land bond; terrain magic</t>
  </si>
  <si>
    <t xml:space="preserve">PWR-119</t>
  </si>
  <si>
    <t xml:space="preserve">Sacrifice and Costly Exchange</t>
  </si>
  <si>
    <t xml:space="preserve">Power activated through loss of blood, life, memory, years, emotion, identity, wealth, or another valued resource.</t>
  </si>
  <si>
    <t xml:space="preserve">sacrifice magic; equivalent exchange; costly spell</t>
  </si>
  <si>
    <t xml:space="preserve">PWR-120</t>
  </si>
  <si>
    <t xml:space="preserve">Emotional Power</t>
  </si>
  <si>
    <t xml:space="preserve">Power amplified, shaped, or triggered by love, rage, hope, fear, grief, resolve, or collective feeling.</t>
  </si>
  <si>
    <t xml:space="preserve">emotion magic; heart power; rage power</t>
  </si>
  <si>
    <t xml:space="preserve">PWR-121</t>
  </si>
  <si>
    <t xml:space="preserve">Faith-Responsive Power</t>
  </si>
  <si>
    <t xml:space="preserve">Power whose magnitude or availability depends on belief, worship, devotion, communal recognition, or doctrinal alignment.</t>
  </si>
  <si>
    <t xml:space="preserve">faith magic; belief power</t>
  </si>
  <si>
    <t xml:space="preserve">PWR-122</t>
  </si>
  <si>
    <t xml:space="preserve">Narrative or Conceptual Authority</t>
  </si>
  <si>
    <t xml:space="preserve">Power derived from names, stories, roles, archetypes, reputation, symbolic office, or metaphysical recognition.</t>
  </si>
  <si>
    <t xml:space="preserve">story magic; mantle; conceptual power</t>
  </si>
  <si>
    <t xml:space="preserve">PWR-201</t>
  </si>
  <si>
    <t xml:space="preserve">Fire Magic</t>
  </si>
  <si>
    <t xml:space="preserve">Control or creation of flame, heat, combustion, ash, magma, or solar fire.</t>
  </si>
  <si>
    <t xml:space="preserve">pyromancy; firebending-like; flame magic</t>
  </si>
  <si>
    <t xml:space="preserve">Damage, defense, mobility, environmental control, ecological identity, and symbolic alignment.</t>
  </si>
  <si>
    <t xml:space="preserve">PWR-202</t>
  </si>
  <si>
    <t xml:space="preserve">Water Magic</t>
  </si>
  <si>
    <t xml:space="preserve">Control or creation of water, currents, pressure, moisture, tides, and fluid motion.</t>
  </si>
  <si>
    <t xml:space="preserve">hydromancy; water magic</t>
  </si>
  <si>
    <t xml:space="preserve">PWR-203</t>
  </si>
  <si>
    <t xml:space="preserve">Ice and Cold Magic</t>
  </si>
  <si>
    <t xml:space="preserve">Control of freezing, snow, ice, cold, thermal extraction, and preservation.</t>
  </si>
  <si>
    <t xml:space="preserve">cryomancy; frost magic</t>
  </si>
  <si>
    <t xml:space="preserve">PWR-204</t>
  </si>
  <si>
    <t xml:space="preserve">Air and Wind Magic</t>
  </si>
  <si>
    <t xml:space="preserve">Control of wind, air pressure, flight, breath, and sometimes sound.</t>
  </si>
  <si>
    <t xml:space="preserve">aeromancy; wind magic</t>
  </si>
  <si>
    <t xml:space="preserve">PWR-205</t>
  </si>
  <si>
    <t xml:space="preserve">Earth and Stone Magic</t>
  </si>
  <si>
    <t xml:space="preserve">Control of soil, stone, sand, metal-bearing earth, terrain, and seismic force.</t>
  </si>
  <si>
    <t xml:space="preserve">geomancy; earth magic</t>
  </si>
  <si>
    <t xml:space="preserve">PWR-206</t>
  </si>
  <si>
    <t xml:space="preserve">Lightning and Storm Magic</t>
  </si>
  <si>
    <t xml:space="preserve">Control of lightning, thunder, storms, charged energy, and violent weather.</t>
  </si>
  <si>
    <t xml:space="preserve">electromancy; storm magic; thunder magic</t>
  </si>
  <si>
    <t xml:space="preserve">PWR-207</t>
  </si>
  <si>
    <t xml:space="preserve">Light and Radiance Magic</t>
  </si>
  <si>
    <t xml:space="preserve">Control of illumination, lasers, revelation, radiance, purity, or photonic force.</t>
  </si>
  <si>
    <t xml:space="preserve">light magic; radiant power</t>
  </si>
  <si>
    <t xml:space="preserve">PWR-208</t>
  </si>
  <si>
    <t xml:space="preserve">Shadow and Darkness Magic</t>
  </si>
  <si>
    <t xml:space="preserve">Control of darkness, concealment, silhouettes, absence, fear, or umbral substance.</t>
  </si>
  <si>
    <t xml:space="preserve">shadow magic; darkness; umbral power</t>
  </si>
  <si>
    <t xml:space="preserve">PWR-209</t>
  </si>
  <si>
    <t xml:space="preserve">Plant and Growth Magic</t>
  </si>
  <si>
    <t xml:space="preserve">Acceleration, shaping, communication, or weaponization of plant life and vegetation.</t>
  </si>
  <si>
    <t xml:space="preserve">plant magic; green magic; floramancy</t>
  </si>
  <si>
    <t xml:space="preserve">PWR-210</t>
  </si>
  <si>
    <t xml:space="preserve">Animal and Beast Magic</t>
  </si>
  <si>
    <t xml:space="preserve">Communication with, transformation into, command of, or empowerment through animals.</t>
  </si>
  <si>
    <t xml:space="preserve">beast magic; zoopathy; animal speech</t>
  </si>
  <si>
    <t xml:space="preserve">PWR-211</t>
  </si>
  <si>
    <t xml:space="preserve">Fungal and Spore Magic</t>
  </si>
  <si>
    <t xml:space="preserve">Power involving mushrooms, mycelia, spores, decomposition, hallucination, and ecological networks.</t>
  </si>
  <si>
    <t xml:space="preserve">fungal magic; sporecraft</t>
  </si>
  <si>
    <t xml:space="preserve">PWR-212</t>
  </si>
  <si>
    <t xml:space="preserve">Weather Magic</t>
  </si>
  <si>
    <t xml:space="preserve">Broad control of rain, drought, clouds, seasons, temperature, and atmospheric systems.</t>
  </si>
  <si>
    <t xml:space="preserve">weather working; climate magic</t>
  </si>
  <si>
    <t xml:space="preserve">PWR-213</t>
  </si>
  <si>
    <t xml:space="preserve">Sea and Tide Magic</t>
  </si>
  <si>
    <t xml:space="preserve">Marine power associated with tides, salt, depth, currents, storms, and ocean beings.</t>
  </si>
  <si>
    <t xml:space="preserve">tide magic; sea magic</t>
  </si>
  <si>
    <t xml:space="preserve">PWR-214</t>
  </si>
  <si>
    <t xml:space="preserve">Metal Magic</t>
  </si>
  <si>
    <t xml:space="preserve">Control, sensing, shaping, or transmutation of metal and metallic properties.</t>
  </si>
  <si>
    <t xml:space="preserve">metallomancy; metalbending-like</t>
  </si>
  <si>
    <t xml:space="preserve">PWR-215</t>
  </si>
  <si>
    <t xml:space="preserve">Crystal and Gem Magic</t>
  </si>
  <si>
    <t xml:space="preserve">Power stored, refracted, amplified, or structured through crystals and gemstones.</t>
  </si>
  <si>
    <t xml:space="preserve">crystal magic; gemcraft</t>
  </si>
  <si>
    <t xml:space="preserve">PWR-216</t>
  </si>
  <si>
    <t xml:space="preserve">Poison and Toxin Magic</t>
  </si>
  <si>
    <t xml:space="preserve">Creation, manipulation, purification, or magical intensification of toxins and venoms.</t>
  </si>
  <si>
    <t xml:space="preserve">poison magic; venomcraft; toxicology</t>
  </si>
  <si>
    <t xml:space="preserve">PWR-217</t>
  </si>
  <si>
    <t xml:space="preserve">Sound and Vibration Magic</t>
  </si>
  <si>
    <t xml:space="preserve">Manipulation of sound, resonance, silence, vibration, and harmonic structure.</t>
  </si>
  <si>
    <t xml:space="preserve">sonomancy; resonance magic</t>
  </si>
  <si>
    <t xml:space="preserve">PWR-218</t>
  </si>
  <si>
    <t xml:space="preserve">Gravity Magic</t>
  </si>
  <si>
    <t xml:space="preserve">Control of weight, attraction, falling, compression, and spatial curvature.</t>
  </si>
  <si>
    <t xml:space="preserve">gravity magic; graviturgy</t>
  </si>
  <si>
    <t xml:space="preserve">PWR-219</t>
  </si>
  <si>
    <t xml:space="preserve">Solar Magic</t>
  </si>
  <si>
    <t xml:space="preserve">Power derived specifically from the sun, daylight, solar cycles, or solar divinity.</t>
  </si>
  <si>
    <t xml:space="preserve">sun magic; solar power</t>
  </si>
  <si>
    <t xml:space="preserve">PWR-220</t>
  </si>
  <si>
    <t xml:space="preserve">Lunar Magic</t>
  </si>
  <si>
    <t xml:space="preserve">Power derived from the moon, tides, night, dreams, phases, or lunar divinity.</t>
  </si>
  <si>
    <t xml:space="preserve">moon magic; lunar power</t>
  </si>
  <si>
    <t xml:space="preserve">PWR-221</t>
  </si>
  <si>
    <t xml:space="preserve">Seasonal Magic</t>
  </si>
  <si>
    <t xml:space="preserve">Power structured by spring, summer, autumn, winter, harvest, or cyclical environmental change.</t>
  </si>
  <si>
    <t xml:space="preserve">season magic; winter power; spring magic</t>
  </si>
  <si>
    <t xml:space="preserve">PWR-222</t>
  </si>
  <si>
    <t xml:space="preserve">Nature or Primal Magic</t>
  </si>
  <si>
    <t xml:space="preserve">Broad magic of ecosystems, wilderness, growth, decay, animals, weather, and elemental reciprocity.</t>
  </si>
  <si>
    <t xml:space="preserve">nature magic; primal magic; druidic power</t>
  </si>
  <si>
    <t xml:space="preserve">PWR-301</t>
  </si>
  <si>
    <t xml:space="preserve">Healing and Restoration</t>
  </si>
  <si>
    <t xml:space="preserve">Repair of bodies, minds, souls, conditions, injuries, disease, and exhausted resources.</t>
  </si>
  <si>
    <t xml:space="preserve">healing magic; restoration; cure</t>
  </si>
  <si>
    <t xml:space="preserve">Healing, horror, transformation, immortality, identity, bodily stakes, and life-death cosmology.</t>
  </si>
  <si>
    <t xml:space="preserve">PWR-302</t>
  </si>
  <si>
    <t xml:space="preserve">Life and Vitality Magic</t>
  </si>
  <si>
    <t xml:space="preserve">Manipulation of life force, growth, fertility, vigor, aging, and biological energy.</t>
  </si>
  <si>
    <t xml:space="preserve">life magic; vitality; biomancy</t>
  </si>
  <si>
    <t xml:space="preserve">PWR-303</t>
  </si>
  <si>
    <t xml:space="preserve">Necromancy</t>
  </si>
  <si>
    <t xml:space="preserve">Magic involving corpses, death, ghosts, souls, entropy, funerary practice, and undead animation.</t>
  </si>
  <si>
    <t xml:space="preserve">necromancy; death magic</t>
  </si>
  <si>
    <t xml:space="preserve">PWR-304</t>
  </si>
  <si>
    <t xml:space="preserve">Soul Magic</t>
  </si>
  <si>
    <t xml:space="preserve">Direct manipulation, transfer, division, binding, consumption, or restoration of souls.</t>
  </si>
  <si>
    <t xml:space="preserve">soulcraft; anima magic; spirit essence</t>
  </si>
  <si>
    <t xml:space="preserve">PWR-305</t>
  </si>
  <si>
    <t xml:space="preserve">Blood Magic</t>
  </si>
  <si>
    <t xml:space="preserve">Use of blood as fuel, medium, identity marker, sacrifice, weapon, or inherited key.</t>
  </si>
  <si>
    <t xml:space="preserve">hemomancy; blood sorcery</t>
  </si>
  <si>
    <t xml:space="preserve">PWR-306</t>
  </si>
  <si>
    <t xml:space="preserve">Bone Magic</t>
  </si>
  <si>
    <t xml:space="preserve">Use of bones as weapons, armor, divinatory media, structural matter, or links to the dead.</t>
  </si>
  <si>
    <t xml:space="preserve">osteomancy; bonecraft</t>
  </si>
  <si>
    <t xml:space="preserve">PWR-307</t>
  </si>
  <si>
    <t xml:space="preserve">Flesh and Body Magic</t>
  </si>
  <si>
    <t xml:space="preserve">Reshaping of anatomy, organs, tissue, appearance, disease, or biological capability.</t>
  </si>
  <si>
    <t xml:space="preserve">fleshcraft; biomancy; body magic</t>
  </si>
  <si>
    <t xml:space="preserve">PWR-308</t>
  </si>
  <si>
    <t xml:space="preserve">Disease and Plague Magic</t>
  </si>
  <si>
    <t xml:space="preserve">Creation, spread, control, diagnosis, or supernatural embodiment of disease.</t>
  </si>
  <si>
    <t xml:space="preserve">plague magic; pestilence; diseasecraft</t>
  </si>
  <si>
    <t xml:space="preserve">PWR-309</t>
  </si>
  <si>
    <t xml:space="preserve">Transformation Magic</t>
  </si>
  <si>
    <t xml:space="preserve">Alteration of bodies, species, size, material, sex, age, or physical properties.</t>
  </si>
  <si>
    <t xml:space="preserve">transformation; polymorph; transfiguration</t>
  </si>
  <si>
    <t xml:space="preserve">PWR-310</t>
  </si>
  <si>
    <t xml:space="preserve">Shapeshifting</t>
  </si>
  <si>
    <t xml:space="preserve">Self-transformation into alternate forms as a repeatable identity or combat practice.</t>
  </si>
  <si>
    <t xml:space="preserve">shapechange; wildshape; morphing</t>
  </si>
  <si>
    <t xml:space="preserve">PWR-311</t>
  </si>
  <si>
    <t xml:space="preserve">Resurrection</t>
  </si>
  <si>
    <t xml:space="preserve">Restoration of a dead person to life, body, memory, or social continuity.</t>
  </si>
  <si>
    <t xml:space="preserve">resurrection; revival; return from death</t>
  </si>
  <si>
    <t xml:space="preserve">PWR-312</t>
  </si>
  <si>
    <t xml:space="preserve">Immortality Magic</t>
  </si>
  <si>
    <t xml:space="preserve">Prevention, transfer, suspension, or evasion of aging and death.</t>
  </si>
  <si>
    <t xml:space="preserve">immortality; longevity; eternal life</t>
  </si>
  <si>
    <t xml:space="preserve">PWR-313</t>
  </si>
  <si>
    <t xml:space="preserve">Memory Magic</t>
  </si>
  <si>
    <t xml:space="preserve">Reading, editing, erasing, storing, transferring, or embodying memory.</t>
  </si>
  <si>
    <t xml:space="preserve">memory magic; mnemonics; recollection craft</t>
  </si>
  <si>
    <t xml:space="preserve">PWR-314</t>
  </si>
  <si>
    <t xml:space="preserve">Emotion Magic</t>
  </si>
  <si>
    <t xml:space="preserve">Direct manipulation or embodiment of fear, love, grief, courage, desire, anger, and morale.</t>
  </si>
  <si>
    <t xml:space="preserve">empathy magic; emotion control</t>
  </si>
  <si>
    <t xml:space="preserve">PWR-315</t>
  </si>
  <si>
    <t xml:space="preserve">Pain and Wound Magic</t>
  </si>
  <si>
    <t xml:space="preserve">Power derived from inflicting, absorbing, transferring, delaying, or weaponizing pain and injury.</t>
  </si>
  <si>
    <t xml:space="preserve">pain magic; wound transfer</t>
  </si>
  <si>
    <t xml:space="preserve">PWR-316</t>
  </si>
  <si>
    <t xml:space="preserve">Shadow-Soul and Astral Projection</t>
  </si>
  <si>
    <t xml:space="preserve">Separation of consciousness or soul from the body for travel, combat, spying, or ritual.</t>
  </si>
  <si>
    <t xml:space="preserve">astral projection; spirit walk; soul travel</t>
  </si>
  <si>
    <t xml:space="preserve">PWR-317</t>
  </si>
  <si>
    <t xml:space="preserve">Reincarnation</t>
  </si>
  <si>
    <t xml:space="preserve">Transfer or recurrence of identity, soul, memory, or destiny into another life or body.</t>
  </si>
  <si>
    <t xml:space="preserve">reincarnation; rebirth; samsara analogue</t>
  </si>
  <si>
    <t xml:space="preserve">Religious doctrines of rebirth differ substantially from fantasy memory-retaining reincarnation systems.</t>
  </si>
  <si>
    <t xml:space="preserve">PWR-318</t>
  </si>
  <si>
    <t xml:space="preserve">Consumption and Assimilation</t>
  </si>
  <si>
    <t xml:space="preserve">Acquisition of traits, memories, powers, or forms by eating, absorbing, or merging with others.</t>
  </si>
  <si>
    <t xml:space="preserve">devour; absorb; assimilation</t>
  </si>
  <si>
    <t xml:space="preserve">PWR-319</t>
  </si>
  <si>
    <t xml:space="preserve">Parasite and Infection Power</t>
  </si>
  <si>
    <t xml:space="preserve">Abilities transmitted or operated through infection, spores, parasites, viruses, or invasive symbionts.</t>
  </si>
  <si>
    <t xml:space="preserve">infection power; parasitic magic</t>
  </si>
  <si>
    <t xml:space="preserve">PWR-320</t>
  </si>
  <si>
    <t xml:space="preserve">Death and Entropy</t>
  </si>
  <si>
    <t xml:space="preserve">Control of decay, endings, corrosion, aging, exhaustion, silence, and the tendency of systems to break down.</t>
  </si>
  <si>
    <t xml:space="preserve">entropy magic; decay; death force</t>
  </si>
  <si>
    <t xml:space="preserve">PWR-401</t>
  </si>
  <si>
    <t xml:space="preserve">Telepathy</t>
  </si>
  <si>
    <t xml:space="preserve">Transmission, reception, or sharing of thoughts without ordinary senses.</t>
  </si>
  <si>
    <t xml:space="preserve">telepathy; mind speech</t>
  </si>
  <si>
    <t xml:space="preserve">Information, control, foresight, mobility, metaphysical puzzles, and high-level reality alteration.</t>
  </si>
  <si>
    <t xml:space="preserve">PWR-402</t>
  </si>
  <si>
    <t xml:space="preserve">Telekinesis</t>
  </si>
  <si>
    <t xml:space="preserve">Movement or force applied through mind or psychic power.</t>
  </si>
  <si>
    <t xml:space="preserve">telekinesis; psychokinesis</t>
  </si>
  <si>
    <t xml:space="preserve">PWR-403</t>
  </si>
  <si>
    <t xml:space="preserve">Mind Control</t>
  </si>
  <si>
    <t xml:space="preserve">Compulsion, domination, possession, behavioral rewriting, or enforced obedience.</t>
  </si>
  <si>
    <t xml:space="preserve">domination; mind control; command</t>
  </si>
  <si>
    <t xml:space="preserve">PWR-404</t>
  </si>
  <si>
    <t xml:space="preserve">Illusion and Glamour</t>
  </si>
  <si>
    <t xml:space="preserve">Creation or alteration of perception without necessarily changing underlying reality.</t>
  </si>
  <si>
    <t xml:space="preserve">illusion; glamour; phantasm</t>
  </si>
  <si>
    <t xml:space="preserve">PWR-405</t>
  </si>
  <si>
    <t xml:space="preserve">Dream and Nightmare Magic</t>
  </si>
  <si>
    <t xml:space="preserve">Entry into, shaping of, or attacks through dreams and nightmares.</t>
  </si>
  <si>
    <t xml:space="preserve">oneiromancy; dreamwalking; nightmare magic</t>
  </si>
  <si>
    <t xml:space="preserve">PWR-406</t>
  </si>
  <si>
    <t xml:space="preserve">Divination</t>
  </si>
  <si>
    <t xml:space="preserve">Acquisition of hidden knowledge through supernatural perception, symbols, omens, or remote viewing.</t>
  </si>
  <si>
    <t xml:space="preserve">divination; scrying; augury</t>
  </si>
  <si>
    <t xml:space="preserve">PWR-407</t>
  </si>
  <si>
    <t xml:space="preserve">Prophecy</t>
  </si>
  <si>
    <t xml:space="preserve">Knowledge or declaration of future events framed as destiny, revelation, probability, or self-fulfilling structure.</t>
  </si>
  <si>
    <t xml:space="preserve">prophecy; foresight; precognition</t>
  </si>
  <si>
    <t xml:space="preserve">PWR-408</t>
  </si>
  <si>
    <t xml:space="preserve">Fate and Destiny Magic</t>
  </si>
  <si>
    <t xml:space="preserve">Manipulation of predetermined outcomes, narrative roles, life paths, or metaphysical necessity.</t>
  </si>
  <si>
    <t xml:space="preserve">fate magic; destiny; thread cutting</t>
  </si>
  <si>
    <t xml:space="preserve">PWR-409</t>
  </si>
  <si>
    <t xml:space="preserve">Luck and Probability Magic</t>
  </si>
  <si>
    <t xml:space="preserve">Alteration of chance, coincidence, critical outcomes, risk, and statistical likelihood.</t>
  </si>
  <si>
    <t xml:space="preserve">luck magic; probability control</t>
  </si>
  <si>
    <t xml:space="preserve">PWR-410</t>
  </si>
  <si>
    <t xml:space="preserve">Time Magic</t>
  </si>
  <si>
    <t xml:space="preserve">Manipulation of speed, sequence, duration, aging, loops, temporal travel, or causality.</t>
  </si>
  <si>
    <t xml:space="preserve">chronomancy; haste; slow; time travel</t>
  </si>
  <si>
    <t xml:space="preserve">PWR-411</t>
  </si>
  <si>
    <t xml:space="preserve">Space and Portal Magic</t>
  </si>
  <si>
    <t xml:space="preserve">Manipulation of position, distance, gates, dimensions, teleportation, and containment.</t>
  </si>
  <si>
    <t xml:space="preserve">spatial magic; portal magic; teleportation</t>
  </si>
  <si>
    <t xml:space="preserve">PWR-412</t>
  </si>
  <si>
    <t xml:space="preserve">Reality Warping</t>
  </si>
  <si>
    <t xml:space="preserve">Direct alteration of physical, magical, or causal rules beyond a narrower domain.</t>
  </si>
  <si>
    <t xml:space="preserve">reality warping; wish magic; world editing</t>
  </si>
  <si>
    <t xml:space="preserve">PWR-413</t>
  </si>
  <si>
    <t xml:space="preserve">Creation Magic</t>
  </si>
  <si>
    <t xml:space="preserve">Bringing matter, beings, landscapes, or laws into existence rather than merely transforming existing things.</t>
  </si>
  <si>
    <t xml:space="preserve">creation; genesis; conjured reality</t>
  </si>
  <si>
    <t xml:space="preserve">PWR-414</t>
  </si>
  <si>
    <t xml:space="preserve">Destruction and Disintegration</t>
  </si>
  <si>
    <t xml:space="preserve">Erasure or breakdown of matter, energy, souls, or magical structures.</t>
  </si>
  <si>
    <t xml:space="preserve">disintegration; annihilation; unmaking</t>
  </si>
  <si>
    <t xml:space="preserve">PWR-415</t>
  </si>
  <si>
    <t xml:space="preserve">Dream-Reality Manifestation</t>
  </si>
  <si>
    <t xml:space="preserve">Making thoughts, stories, fears, dreams, or imagination materially real.</t>
  </si>
  <si>
    <t xml:space="preserve">imagination magic; dream made real</t>
  </si>
  <si>
    <t xml:space="preserve">PWR-416</t>
  </si>
  <si>
    <t xml:space="preserve">Conceptual Magic</t>
  </si>
  <si>
    <t xml:space="preserve">Manipulation of abstract properties such as ownership, distance, identity, silence, victory, or names.</t>
  </si>
  <si>
    <t xml:space="preserve">concept magic; abstract authority</t>
  </si>
  <si>
    <t xml:space="preserve">PWR-417</t>
  </si>
  <si>
    <t xml:space="preserve">Narrative and Story Magic</t>
  </si>
  <si>
    <t xml:space="preserve">Power that operates through stories, tropes, roles, genre expectations, or textual reality.</t>
  </si>
  <si>
    <t xml:space="preserve">story magic; narrative causality</t>
  </si>
  <si>
    <t xml:space="preserve">PWR-418</t>
  </si>
  <si>
    <t xml:space="preserve">Dimensional and Planar Magic</t>
  </si>
  <si>
    <t xml:space="preserve">Travel, binding, alteration, or exploitation of distinct planes and cosmological layers.</t>
  </si>
  <si>
    <t xml:space="preserve">planar magic; dimension craft</t>
  </si>
  <si>
    <t xml:space="preserve">PWR-419</t>
  </si>
  <si>
    <t xml:space="preserve">Void and Null Magic</t>
  </si>
  <si>
    <t xml:space="preserve">Use of emptiness, anti-magic, anti-reality, silence, or negation as active power.</t>
  </si>
  <si>
    <t xml:space="preserve">void magic; null power; negation</t>
  </si>
  <si>
    <t xml:space="preserve">PWR-420</t>
  </si>
  <si>
    <t xml:space="preserve">Cosmic and Stellar Magic</t>
  </si>
  <si>
    <t xml:space="preserve">Power drawn from stars, constellations, cosmic radiation, deep space, or celestial order.</t>
  </si>
  <si>
    <t xml:space="preserve">astral magic; star magic; cosmic power</t>
  </si>
  <si>
    <t xml:space="preserve">PWR-421</t>
  </si>
  <si>
    <t xml:space="preserve">Information and Code Magic</t>
  </si>
  <si>
    <t xml:space="preserve">Power that treats reality, spells, names, memories, or systems as editable information.</t>
  </si>
  <si>
    <t xml:space="preserve">code magic; information magic; hacking reality</t>
  </si>
  <si>
    <t xml:space="preserve">PWR-422</t>
  </si>
  <si>
    <t xml:space="preserve">Mirror and Reflection Magic</t>
  </si>
  <si>
    <t xml:space="preserve">Power involving mirrors, doubles, reflected attacks, alternate selves, and reversed spaces.</t>
  </si>
  <si>
    <t xml:space="preserve">mirror magic; reflection; inversion</t>
  </si>
  <si>
    <t xml:space="preserve">PWR-423</t>
  </si>
  <si>
    <t xml:space="preserve">Emotion-Sense and Empathy</t>
  </si>
  <si>
    <t xml:space="preserve">Perception of emotions, intentions, bonds, and social states rather than direct control.</t>
  </si>
  <si>
    <t xml:space="preserve">empathy; aura reading</t>
  </si>
  <si>
    <t xml:space="preserve">PWR-424</t>
  </si>
  <si>
    <t xml:space="preserve">Truth and Lie Magic</t>
  </si>
  <si>
    <t xml:space="preserve">Detection, enforcement, concealment, or ontological manipulation of truth and falsehood.</t>
  </si>
  <si>
    <t xml:space="preserve">truth magic; oath detection; liecraft</t>
  </si>
  <si>
    <t xml:space="preserve">PWR-501</t>
  </si>
  <si>
    <t xml:space="preserve">Rune Magic</t>
  </si>
  <si>
    <t xml:space="preserve">Power stored or activated through carved or written runes with culturally specific symbolic systems.</t>
  </si>
  <si>
    <t xml:space="preserve">runes; runecraft; runic magic</t>
  </si>
  <si>
    <t xml:space="preserve">Encoding, storing, channeling, and institutionalizing power through repeatable media and practices.</t>
  </si>
  <si>
    <t xml:space="preserve">PWR-502</t>
  </si>
  <si>
    <t xml:space="preserve">Sigils, Seals, and Wards</t>
  </si>
  <si>
    <t xml:space="preserve">Power structured through diagrams, boundaries, written marks, talismans, and protective or binding symbols.</t>
  </si>
  <si>
    <t xml:space="preserve">sigil magic; seals; wards</t>
  </si>
  <si>
    <t xml:space="preserve">PWR-503</t>
  </si>
  <si>
    <t xml:space="preserve">True Names and Naming</t>
  </si>
  <si>
    <t xml:space="preserve">Power gained by knowing, speaking, granting, erasing, or changing a being's true name.</t>
  </si>
  <si>
    <t xml:space="preserve">true-name magic; naming; name binding</t>
  </si>
  <si>
    <t xml:space="preserve">PWR-504</t>
  </si>
  <si>
    <t xml:space="preserve">Word and Language Magic</t>
  </si>
  <si>
    <t xml:space="preserve">Power exercised through grammar, commands, poetry, sacred speech, or magical languages.</t>
  </si>
  <si>
    <t xml:space="preserve">word magic; logomancy; power words</t>
  </si>
  <si>
    <t xml:space="preserve">PWR-505</t>
  </si>
  <si>
    <t xml:space="preserve">Writing and Book Magic</t>
  </si>
  <si>
    <t xml:space="preserve">Spells or beings stored, summoned, modified, or enacted through texts, grimoires, scrolls, and written narratives.</t>
  </si>
  <si>
    <t xml:space="preserve">grimoire magic; scrollcraft; living book</t>
  </si>
  <si>
    <t xml:space="preserve">PWR-506</t>
  </si>
  <si>
    <t xml:space="preserve">Talisman and Charm Magic</t>
  </si>
  <si>
    <t xml:space="preserve">Prepared portable inscriptions, knots, amulets, papers, or tokens that hold specific effects.</t>
  </si>
  <si>
    <t xml:space="preserve">talisman; charm; amulet; ofuda-like</t>
  </si>
  <si>
    <t xml:space="preserve">Ofuda and related talismans have specific Japanese religious contexts; preserve source distinctions.</t>
  </si>
  <si>
    <t xml:space="preserve">PWR-507</t>
  </si>
  <si>
    <t xml:space="preserve">Circle and Geometric Magic</t>
  </si>
  <si>
    <t xml:space="preserve">Power generated by circles, arrays, sacred geometry, spatial relationships, and formal diagrams.</t>
  </si>
  <si>
    <t xml:space="preserve">magic circle; array; sacred geometry</t>
  </si>
  <si>
    <t xml:space="preserve">PWR-508</t>
  </si>
  <si>
    <t xml:space="preserve">Mathematical Magic</t>
  </si>
  <si>
    <t xml:space="preserve">Power controlled through numbers, ratios, equations, calculation, or algorithmic conditions.</t>
  </si>
  <si>
    <t xml:space="preserve">mathemagic; arithmancy; calculation</t>
  </si>
  <si>
    <t xml:space="preserve">PWR-509</t>
  </si>
  <si>
    <t xml:space="preserve">Music and Song Magic</t>
  </si>
  <si>
    <t xml:space="preserve">Power channeled through melody, rhythm, harmony, voice, instruments, and collective performance.</t>
  </si>
  <si>
    <t xml:space="preserve">song magic; bardic music; spell-song</t>
  </si>
  <si>
    <t xml:space="preserve">PWR-510</t>
  </si>
  <si>
    <t xml:space="preserve">Dance and Movement Magic</t>
  </si>
  <si>
    <t xml:space="preserve">Power channeled through choreographed movement, posture, gesture, and embodied rhythm.</t>
  </si>
  <si>
    <t xml:space="preserve">dance magic; mudra-like gesture; battle dance</t>
  </si>
  <si>
    <t xml:space="preserve">PWR-511</t>
  </si>
  <si>
    <t xml:space="preserve">Visual Art and Painting Magic</t>
  </si>
  <si>
    <t xml:space="preserve">Images, sculpture, calligraphy, or design used to create, trap, animate, or alter reality.</t>
  </si>
  <si>
    <t xml:space="preserve">painting magic; pictomancy; art sorcery</t>
  </si>
  <si>
    <t xml:space="preserve">PWR-512</t>
  </si>
  <si>
    <t xml:space="preserve">Mask and Costume Magic</t>
  </si>
  <si>
    <t xml:space="preserve">Power accessed through masks, ritual clothing, identities, personas, and transformation regalia.</t>
  </si>
  <si>
    <t xml:space="preserve">mask magic; transformation costume</t>
  </si>
  <si>
    <t xml:space="preserve">PWR-513</t>
  </si>
  <si>
    <t xml:space="preserve">Alchemy</t>
  </si>
  <si>
    <t xml:space="preserve">Systematic transformation of substances, life, and essences through compounds, symbols, reactions, and equivalence.</t>
  </si>
  <si>
    <t xml:space="preserve">alchemy; potioncraft; transmutation</t>
  </si>
  <si>
    <t xml:space="preserve">PWR-514</t>
  </si>
  <si>
    <t xml:space="preserve">Potion and Consumable Magic</t>
  </si>
  <si>
    <t xml:space="preserve">Prepared single-use substances that store healing, transformation, enhancement, or harmful effects.</t>
  </si>
  <si>
    <t xml:space="preserve">potioncraft; elixir; bomb</t>
  </si>
  <si>
    <t xml:space="preserve">PWR-515</t>
  </si>
  <si>
    <t xml:space="preserve">Artifice and Enchantment</t>
  </si>
  <si>
    <t xml:space="preserve">Construction of persistent magical items, devices, constructs, and infused tools.</t>
  </si>
  <si>
    <t xml:space="preserve">artifice; enchanting; magical engineering</t>
  </si>
  <si>
    <t xml:space="preserve">PWR-516</t>
  </si>
  <si>
    <t xml:space="preserve">Magitech</t>
  </si>
  <si>
    <t xml:space="preserve">Integrated magical and technological systems in which spells, crystals, engines, code, and industry interoperate.</t>
  </si>
  <si>
    <t xml:space="preserve">magitech; arcane technology</t>
  </si>
  <si>
    <t xml:space="preserve">PWR-517</t>
  </si>
  <si>
    <t xml:space="preserve">Clockwork and Mechanical Magic</t>
  </si>
  <si>
    <t xml:space="preserve">Power expressed through gears, automata, precision devices, stored motion, and engineered mechanisms.</t>
  </si>
  <si>
    <t xml:space="preserve">clockwork magic; mechanical sorcery</t>
  </si>
  <si>
    <t xml:space="preserve">PWR-518</t>
  </si>
  <si>
    <t xml:space="preserve">Weapon-Channeling</t>
  </si>
  <si>
    <t xml:space="preserve">Power delivered or focused through blades, bows, guns, armor, or martial forms.</t>
  </si>
  <si>
    <t xml:space="preserve">spellblade; weapon art; channeling weapon</t>
  </si>
  <si>
    <t xml:space="preserve">PWR-519</t>
  </si>
  <si>
    <t xml:space="preserve">Card, Dice, and Game Magic</t>
  </si>
  <si>
    <t xml:space="preserve">Power activated through cards, dice, games, wagers, hands, draws, or symbolic randomness.</t>
  </si>
  <si>
    <t xml:space="preserve">card magic; dice magic; game sorcery</t>
  </si>
  <si>
    <t xml:space="preserve">PWR-520</t>
  </si>
  <si>
    <t xml:space="preserve">Cooking and Food Magic</t>
  </si>
  <si>
    <t xml:space="preserve">Food preparation that heals, buffs, transforms, enchants, or creates social and ritual power.</t>
  </si>
  <si>
    <t xml:space="preserve">culinary magic; enchanted cuisine</t>
  </si>
  <si>
    <t xml:space="preserve">PWR-521</t>
  </si>
  <si>
    <t xml:space="preserve">Weaving, Thread, and Knot Magic</t>
  </si>
  <si>
    <t xml:space="preserve">Power encoded in textiles, threads, knots, fate strings, nets, and patterns.</t>
  </si>
  <si>
    <t xml:space="preserve">thread magic; knot magic; weaving</t>
  </si>
  <si>
    <t xml:space="preserve">PWR-522</t>
  </si>
  <si>
    <t xml:space="preserve">Tattoo, Scar, and Body-Script Magic</t>
  </si>
  <si>
    <t xml:space="preserve">Power inscribed directly on the body through tattoos, brands, scars, seals, or circuits.</t>
  </si>
  <si>
    <t xml:space="preserve">tattoo magic; body runes; brands</t>
  </si>
  <si>
    <t xml:space="preserve">PWR-523</t>
  </si>
  <si>
    <t xml:space="preserve">Relic and Inheritance Magic</t>
  </si>
  <si>
    <t xml:space="preserve">Power preserved in ancestral objects, crowns, swords, bloodline treasures, and institutional regalia.</t>
  </si>
  <si>
    <t xml:space="preserve">relic power; heirloom magic</t>
  </si>
  <si>
    <t xml:space="preserve">PWR-524</t>
  </si>
  <si>
    <t xml:space="preserve">Architecture and City Magic</t>
  </si>
  <si>
    <t xml:space="preserve">Magic embedded in buildings, roads, walls, cities, temples, and spatial infrastructure.</t>
  </si>
  <si>
    <t xml:space="preserve">architectural magic; warded city; living fortress</t>
  </si>
  <si>
    <t xml:space="preserve">PWR-525</t>
  </si>
  <si>
    <t xml:space="preserve">Cartographic and Map Magic</t>
  </si>
  <si>
    <t xml:space="preserve">Maps used to reveal, reshape, navigate, claim, or create territory and dimensions.</t>
  </si>
  <si>
    <t xml:space="preserve">map magic; cartomancy; wayfinding</t>
  </si>
  <si>
    <t xml:space="preserve">PWR-526</t>
  </si>
  <si>
    <t xml:space="preserve">Law, Oath, and Contract Magic</t>
  </si>
  <si>
    <t xml:space="preserve">Power enforced through sworn promises, legal language, geasa, jurisdiction, and metaphysical contracts.</t>
  </si>
  <si>
    <t xml:space="preserve">oath magic; geas; contract law</t>
  </si>
  <si>
    <t xml:space="preserve">PWR-527</t>
  </si>
  <si>
    <t xml:space="preserve">Ritual Sacrifice</t>
  </si>
  <si>
    <t xml:space="preserve">Ceremonial exchange of life, blood, wealth, memory, or symbolic value for supernatural effect.</t>
  </si>
  <si>
    <t xml:space="preserve">sacrificial magic; offering; blood rite</t>
  </si>
  <si>
    <t xml:space="preserve">PWR-528</t>
  </si>
  <si>
    <t xml:space="preserve">Prayer and Liturgy</t>
  </si>
  <si>
    <t xml:space="preserve">Power activated through prescribed worship, recitation, communal rite, devotion, and sacred office.</t>
  </si>
  <si>
    <t xml:space="preserve">prayer; liturgy; hymn</t>
  </si>
  <si>
    <t xml:space="preserve">PWR-529</t>
  </si>
  <si>
    <t xml:space="preserve">Meditation and Breath Practice</t>
  </si>
  <si>
    <t xml:space="preserve">Power developed through concentration, breath, visualization, internal circulation, and disciplined awareness.</t>
  </si>
  <si>
    <t xml:space="preserve">meditation; breathwork; internal practice</t>
  </si>
  <si>
    <t xml:space="preserve">PWR-530</t>
  </si>
  <si>
    <t xml:space="preserve">Dance-Combat Forms</t>
  </si>
  <si>
    <t xml:space="preserve">Martial techniques whose effectiveness depends on ritualized movement, cadence, and embodied pattern.</t>
  </si>
  <si>
    <t xml:space="preserve">battle dance; martial form; kata-like magic</t>
  </si>
  <si>
    <t xml:space="preserve">PWR-601</t>
  </si>
  <si>
    <t xml:space="preserve">Copy and Mimicry</t>
  </si>
  <si>
    <t xml:space="preserve">Acquisition or reproduction of another being's spells, techniques, forms, or traits.</t>
  </si>
  <si>
    <t xml:space="preserve">copy magic; mimicry; skill theft</t>
  </si>
  <si>
    <t xml:space="preserve">Counters, escalation, copying, corruption, rule modification, and system-level interaction.</t>
  </si>
  <si>
    <t xml:space="preserve">PWR-602</t>
  </si>
  <si>
    <t xml:space="preserve">Power Theft and Drain</t>
  </si>
  <si>
    <t xml:space="preserve">Removal and appropriation of energy, abilities, levels, memories, or supernatural status.</t>
  </si>
  <si>
    <t xml:space="preserve">power drain; ability theft; siphoning</t>
  </si>
  <si>
    <t xml:space="preserve">PWR-603</t>
  </si>
  <si>
    <t xml:space="preserve">Anti-Magic and Nullification</t>
  </si>
  <si>
    <t xml:space="preserve">Suppression, cancellation, resistance, severance, or absence of magic.</t>
  </si>
  <si>
    <t xml:space="preserve">anti-magic; nullification; silence</t>
  </si>
  <si>
    <t xml:space="preserve">PWR-604</t>
  </si>
  <si>
    <t xml:space="preserve">Dispel and Countermagic</t>
  </si>
  <si>
    <t xml:space="preserve">Reactive interruption, unraveling, reflection, or removal of active spells and enchantments.</t>
  </si>
  <si>
    <t xml:space="preserve">dispel; counterspell; spellbreak</t>
  </si>
  <si>
    <t xml:space="preserve">PWR-605</t>
  </si>
  <si>
    <t xml:space="preserve">Wild and Chaos Magic</t>
  </si>
  <si>
    <t xml:space="preserve">Unstable power producing unpredictable, emergent, probabilistic, or reality-warping effects.</t>
  </si>
  <si>
    <t xml:space="preserve">wild magic; chaos magic</t>
  </si>
  <si>
    <t xml:space="preserve">PWR-606</t>
  </si>
  <si>
    <t xml:space="preserve">Order and Law Magic</t>
  </si>
  <si>
    <t xml:space="preserve">Power that stabilizes, binds, regularizes, categorizes, and enforces cosmic or social rules.</t>
  </si>
  <si>
    <t xml:space="preserve">law magic; order magic; binding</t>
  </si>
  <si>
    <t xml:space="preserve">PWR-607</t>
  </si>
  <si>
    <t xml:space="preserve">Corruption and Taint</t>
  </si>
  <si>
    <t xml:space="preserve">Power that spreads metaphysical pollution, mutation, moral compromise, madness, or environmental degradation.</t>
  </si>
  <si>
    <t xml:space="preserve">corruption; taint; blight</t>
  </si>
  <si>
    <t xml:space="preserve">PWR-608</t>
  </si>
  <si>
    <t xml:space="preserve">Forbidden and Taboo Magic</t>
  </si>
  <si>
    <t xml:space="preserve">Practices prohibited because of cost, danger, doctrine, social power, or moral boundary.</t>
  </si>
  <si>
    <t xml:space="preserve">forbidden magic; black arts; taboo spell</t>
  </si>
  <si>
    <t xml:space="preserve">PWR-609</t>
  </si>
  <si>
    <t xml:space="preserve">Chaos Mutation</t>
  </si>
  <si>
    <t xml:space="preserve">Power that changes bodies and abilities unpredictably through exposure to disorder or hostile magic.</t>
  </si>
  <si>
    <t xml:space="preserve">mutation; warp change; chaos gift</t>
  </si>
  <si>
    <t xml:space="preserve">PWR-610</t>
  </si>
  <si>
    <t xml:space="preserve">Metamagic</t>
  </si>
  <si>
    <t xml:space="preserve">Techniques that alter a spell's range, duration, target, form, cost, or rule behavior.</t>
  </si>
  <si>
    <t xml:space="preserve">metamagic; spell shaping</t>
  </si>
  <si>
    <t xml:space="preserve">PWR-611</t>
  </si>
  <si>
    <t xml:space="preserve">Magic Absorption</t>
  </si>
  <si>
    <t xml:space="preserve">Conversion of incoming magic into energy, healing, stored power, or immunity.</t>
  </si>
  <si>
    <t xml:space="preserve">spell absorption; mana drain</t>
  </si>
  <si>
    <t xml:space="preserve">PWR-612</t>
  </si>
  <si>
    <t xml:space="preserve">Reflection and Redirection</t>
  </si>
  <si>
    <t xml:space="preserve">Returning, transferring, or retargeting powers and attacks.</t>
  </si>
  <si>
    <t xml:space="preserve">reflect; redirect; rebound</t>
  </si>
  <si>
    <t xml:space="preserve">PWR-613</t>
  </si>
  <si>
    <t xml:space="preserve">Sealing and Binding</t>
  </si>
  <si>
    <t xml:space="preserve">Restraining beings, powers, memories, portals, or conditions through containment.</t>
  </si>
  <si>
    <t xml:space="preserve">seal; bind; imprison</t>
  </si>
  <si>
    <t xml:space="preserve">PWR-614</t>
  </si>
  <si>
    <t xml:space="preserve">Exorcism and Banishment</t>
  </si>
  <si>
    <t xml:space="preserve">Expelling possessing, summoned, undead, or extraplanar beings from a body or realm.</t>
  </si>
  <si>
    <t xml:space="preserve">banishment; exorcism; dismissal</t>
  </si>
  <si>
    <t xml:space="preserve">PWR-615</t>
  </si>
  <si>
    <t xml:space="preserve">Power Amplification</t>
  </si>
  <si>
    <t xml:space="preserve">Increasing another ability's scale, duration, precision, or output through support or resonance.</t>
  </si>
  <si>
    <t xml:space="preserve">amplification; empower; boost</t>
  </si>
  <si>
    <t xml:space="preserve">PWR-616</t>
  </si>
  <si>
    <t xml:space="preserve">Power Suppression</t>
  </si>
  <si>
    <t xml:space="preserve">Reducing or preventing another being's access to abilities without fully removing them.</t>
  </si>
  <si>
    <t xml:space="preserve">suppression; dampening; inhibitor</t>
  </si>
  <si>
    <t xml:space="preserve">PWR-617</t>
  </si>
  <si>
    <t xml:space="preserve">Adaptive Resistance</t>
  </si>
  <si>
    <t xml:space="preserve">Developing immunity or counters after exposure to an attack or environment.</t>
  </si>
  <si>
    <t xml:space="preserve">adaptation; evolving resistance</t>
  </si>
  <si>
    <t xml:space="preserve">PWR-618</t>
  </si>
  <si>
    <t xml:space="preserve">Randomized and Luck-Based Power</t>
  </si>
  <si>
    <t xml:space="preserve">Effects selected or modified by chance, draws, dice, uncertain tables, or probability.</t>
  </si>
  <si>
    <t xml:space="preserve">random magic; roulette; gamble</t>
  </si>
  <si>
    <t xml:space="preserve">PWR-619</t>
  </si>
  <si>
    <t xml:space="preserve">Combination and Fusion</t>
  </si>
  <si>
    <t xml:space="preserve">Merging beings, powers, spells, elements, or classes into a composite form.</t>
  </si>
  <si>
    <t xml:space="preserve">fusion; synthesis; combination</t>
  </si>
  <si>
    <t xml:space="preserve">PWR-620</t>
  </si>
  <si>
    <t xml:space="preserve">Transformation Sequence</t>
  </si>
  <si>
    <t xml:space="preserve">Power accessed through a repeatable change of form that also changes equipment, role, and identity.</t>
  </si>
  <si>
    <t xml:space="preserve">henshin; magical transformation; battle form</t>
  </si>
  <si>
    <t xml:space="preserve">PWR-621</t>
  </si>
  <si>
    <t xml:space="preserve">Limit Break and Crisis Power</t>
  </si>
  <si>
    <t xml:space="preserve">Temporary extraordinary output triggered by danger, damage, emotion, or accumulated resource.</t>
  </si>
  <si>
    <t xml:space="preserve">limit break; desperation move; overdrive</t>
  </si>
  <si>
    <t xml:space="preserve">PWR-622</t>
  </si>
  <si>
    <t xml:space="preserve">World-System Authority</t>
  </si>
  <si>
    <t xml:space="preserve">Administrative or interface-like power to inspect, assign, edit, spawn, or override system rules.</t>
  </si>
  <si>
    <t xml:space="preserve">system authority; administrator power; game master power</t>
  </si>
  <si>
    <t xml:space="preserve">STA-100</t>
  </si>
  <si>
    <t xml:space="preserve">Death and Undeath States</t>
  </si>
  <si>
    <t xml:space="preserve">Conditions arising from death, interrupted death, postmortem persistence, or necromantic continuation.</t>
  </si>
  <si>
    <t xml:space="preserve">A state is acquired or changeable; do not automatically treat it as a species, culture, or profession.</t>
  </si>
  <si>
    <t xml:space="preserve">Models templates, curses, awakenings, and transformations independently of the base person.</t>
  </si>
  <si>
    <t xml:space="preserve">STA-200</t>
  </si>
  <si>
    <t xml:space="preserve">Bodily Transformation States</t>
  </si>
  <si>
    <t xml:space="preserve">Changes to species, anatomy, scale, material, health, or biological capability.</t>
  </si>
  <si>
    <t xml:space="preserve">STA-300</t>
  </si>
  <si>
    <t xml:space="preserve">Spiritual and Identity States</t>
  </si>
  <si>
    <t xml:space="preserve">Changes to soul, memory, possession, consciousness, destiny, or continuity of self.</t>
  </si>
  <si>
    <t xml:space="preserve">STA-400</t>
  </si>
  <si>
    <t xml:space="preserve">Empowerment, Bond, and Alignment States</t>
  </si>
  <si>
    <t xml:space="preserve">Acquired affiliations, awakenings, blessings, pacts, attunements, and power-bearing conditions.</t>
  </si>
  <si>
    <t xml:space="preserve">STA-500</t>
  </si>
  <si>
    <t xml:space="preserve">Displacement and Meta-Narrative States</t>
  </si>
  <si>
    <t xml:space="preserve">Conditions involving reincarnation, summoning, time travel, systemization, or migration between worlds.</t>
  </si>
  <si>
    <t xml:space="preserve">STA-101</t>
  </si>
  <si>
    <t xml:space="preserve">Dead</t>
  </si>
  <si>
    <t xml:space="preserve">Biological life has ended and no continuing agency is assumed.</t>
  </si>
  <si>
    <t xml:space="preserve">Record reversibility, agency, transmission, cost, social recognition, and identity continuity.</t>
  </si>
  <si>
    <t xml:space="preserve">death; deceased</t>
  </si>
  <si>
    <t xml:space="preserve">Horror, immortality, grief, persistence, postmortem duty, and life-death cosmology.</t>
  </si>
  <si>
    <t xml:space="preserve">STA-102</t>
  </si>
  <si>
    <t xml:space="preserve">Ghosthood</t>
  </si>
  <si>
    <t xml:space="preserve">The deceased persists as a disembodied spirit retaining some identity or attachment.</t>
  </si>
  <si>
    <t xml:space="preserve">ghost; shade; spirit</t>
  </si>
  <si>
    <t xml:space="preserve">STA-103</t>
  </si>
  <si>
    <t xml:space="preserve">Revenant Return</t>
  </si>
  <si>
    <t xml:space="preserve">A dead person returns bodily or spiritually to complete a specific purpose.</t>
  </si>
  <si>
    <t xml:space="preserve">revenant; returned dead</t>
  </si>
  <si>
    <t xml:space="preserve">STA-104</t>
  </si>
  <si>
    <t xml:space="preserve">Zombification</t>
  </si>
  <si>
    <t xml:space="preserve">A corpse or living person becomes a decayed, controlled, infected, or hunger-driven undead body.</t>
  </si>
  <si>
    <t xml:space="preserve">zombie; walking dead; infection</t>
  </si>
  <si>
    <t xml:space="preserve">STA-105</t>
  </si>
  <si>
    <t xml:space="preserve">Skeletal Animation</t>
  </si>
  <si>
    <t xml:space="preserve">Bones are animated as a servant, soldier, or autonomous undead form.</t>
  </si>
  <si>
    <t xml:space="preserve">skeleton; bone animation</t>
  </si>
  <si>
    <t xml:space="preserve">STA-106</t>
  </si>
  <si>
    <t xml:space="preserve">Vampirism</t>
  </si>
  <si>
    <t xml:space="preserve">A person becomes a blood-, life-, emotion-, or soul-feeding immortal or undead being.</t>
  </si>
  <si>
    <t xml:space="preserve">vampire; blood curse</t>
  </si>
  <si>
    <t xml:space="preserve">STA-107</t>
  </si>
  <si>
    <t xml:space="preserve">Lichdom</t>
  </si>
  <si>
    <t xml:space="preserve">A person deliberately converts into an undead, soul-anchored form to preserve intellect and power.</t>
  </si>
  <si>
    <t xml:space="preserve">lich; soul vessel</t>
  </si>
  <si>
    <t xml:space="preserve">STA-108</t>
  </si>
  <si>
    <t xml:space="preserve">Wight or Wraith Transformation</t>
  </si>
  <si>
    <t xml:space="preserve">A person becomes a powerful spectral or preserved undead associated with draining, curse, or barrow power.</t>
  </si>
  <si>
    <t xml:space="preserve">wight; wraith; shade</t>
  </si>
  <si>
    <t xml:space="preserve">STA-109</t>
  </si>
  <si>
    <t xml:space="preserve">Mummification and Tomb Binding</t>
  </si>
  <si>
    <t xml:space="preserve">A preserved dead body is animated or bound to royal, funerary, or territorial duties.</t>
  </si>
  <si>
    <t xml:space="preserve">mummy; tomb guardian</t>
  </si>
  <si>
    <t xml:space="preserve">STA-110</t>
  </si>
  <si>
    <t xml:space="preserve">Death-Knight Transformation</t>
  </si>
  <si>
    <t xml:space="preserve">A martial figure becomes undead or death-bound while retaining skill, armor, and command.</t>
  </si>
  <si>
    <t xml:space="preserve">death knight; grave knight</t>
  </si>
  <si>
    <t xml:space="preserve">STA-111</t>
  </si>
  <si>
    <t xml:space="preserve">Soul Trapping</t>
  </si>
  <si>
    <t xml:space="preserve">A soul is confined in an object, body, location, spell, or captor rather than passing on.</t>
  </si>
  <si>
    <t xml:space="preserve">soul trap; spirit prison</t>
  </si>
  <si>
    <t xml:space="preserve">STA-112</t>
  </si>
  <si>
    <t xml:space="preserve">Soul Fragmentation</t>
  </si>
  <si>
    <t xml:space="preserve">A person's soul or identity is divided into pieces, vessels, copies, or incomplete aspects.</t>
  </si>
  <si>
    <t xml:space="preserve">soul split; horcrux-like division; fragment</t>
  </si>
  <si>
    <t xml:space="preserve">STA-113</t>
  </si>
  <si>
    <t xml:space="preserve">A dead person is restored to life with some degree of bodily and identity continuity.</t>
  </si>
  <si>
    <t xml:space="preserve">resurrection; revival</t>
  </si>
  <si>
    <t xml:space="preserve">STA-114</t>
  </si>
  <si>
    <t xml:space="preserve">Imperfect Resurrection</t>
  </si>
  <si>
    <t xml:space="preserve">Return from death introduces missing memories, altered personality, corruption, decay, or a wrong soul.</t>
  </si>
  <si>
    <t xml:space="preserve">flawed revival; wrong return</t>
  </si>
  <si>
    <t xml:space="preserve">STA-115</t>
  </si>
  <si>
    <t xml:space="preserve">Undead Servitude</t>
  </si>
  <si>
    <t xml:space="preserve">An undead being's agency is constrained by a creator, necromancer, oath, object, or command structure.</t>
  </si>
  <si>
    <t xml:space="preserve">controlled undead; thrall</t>
  </si>
  <si>
    <t xml:space="preserve">STA-116</t>
  </si>
  <si>
    <t xml:space="preserve">Deathlessness</t>
  </si>
  <si>
    <t xml:space="preserve">A person persists beyond death through sacred or metaphysical means without fitting conventional undeath.</t>
  </si>
  <si>
    <t xml:space="preserve">deathless; blessed immortal; ancestral guardian</t>
  </si>
  <si>
    <t xml:space="preserve">STA-201</t>
  </si>
  <si>
    <t xml:space="preserve">Lycanthropy and Therianthropic Curse</t>
  </si>
  <si>
    <t xml:space="preserve">A person transforms into an animal or hybrid form through curse, infection, inheritance, ritual, or lunar cycle.</t>
  </si>
  <si>
    <t xml:space="preserve">lycanthropy; werewolf curse; therianthropy</t>
  </si>
  <si>
    <t xml:space="preserve">Transformation, horror, empowerment, identity, embodiment, and combat-mode change.</t>
  </si>
  <si>
    <t xml:space="preserve">STA-202</t>
  </si>
  <si>
    <t xml:space="preserve">Voluntary Shapeshifting</t>
  </si>
  <si>
    <t xml:space="preserve">A person consciously changes form as an ability rather than an involuntary affliction.</t>
  </si>
  <si>
    <t xml:space="preserve">shapeshift; wildshape; transformation</t>
  </si>
  <si>
    <t xml:space="preserve">STA-203</t>
  </si>
  <si>
    <t xml:space="preserve">Polymorph Enchantment</t>
  </si>
  <si>
    <t xml:space="preserve">External magic changes a being into another form, temporarily or permanently.</t>
  </si>
  <si>
    <t xml:space="preserve">polymorph; transfiguration; transformation spell</t>
  </si>
  <si>
    <t xml:space="preserve">STA-204</t>
  </si>
  <si>
    <t xml:space="preserve">Petrification</t>
  </si>
  <si>
    <t xml:space="preserve">A body is converted into stone, crystal, salt, metal, or another immobile material.</t>
  </si>
  <si>
    <t xml:space="preserve">petrified; turned to stone</t>
  </si>
  <si>
    <t xml:space="preserve">STA-205</t>
  </si>
  <si>
    <t xml:space="preserve">Miniaturization or Gigantification</t>
  </si>
  <si>
    <t xml:space="preserve">A being's scale is altered significantly without changing identity.</t>
  </si>
  <si>
    <t xml:space="preserve">shrink; enlarge; giant form</t>
  </si>
  <si>
    <t xml:space="preserve">STA-206</t>
  </si>
  <si>
    <t xml:space="preserve">Alchemical Enhancement</t>
  </si>
  <si>
    <t xml:space="preserve">A body is deliberately altered by potions, mutagens, trials, or alchemical procedures.</t>
  </si>
  <si>
    <t xml:space="preserve">mutation; witcher-like trial; mutagen</t>
  </si>
  <si>
    <t xml:space="preserve">STA-207</t>
  </si>
  <si>
    <t xml:space="preserve">Magical Mutation</t>
  </si>
  <si>
    <t xml:space="preserve">Exposure to magic produces new anatomy, powers, instability, or species-like traits.</t>
  </si>
  <si>
    <t xml:space="preserve">mutation; warp change; mana mutation</t>
  </si>
  <si>
    <t xml:space="preserve">STA-208</t>
  </si>
  <si>
    <t xml:space="preserve">Demonic Transformation</t>
  </si>
  <si>
    <t xml:space="preserve">A mortal becomes partly or wholly demonic through pact, corruption, possession, ancestry, or ascension.</t>
  </si>
  <si>
    <t xml:space="preserve">demon form; fiend transformation</t>
  </si>
  <si>
    <t xml:space="preserve">STA-209</t>
  </si>
  <si>
    <t xml:space="preserve">Celestial Transformation</t>
  </si>
  <si>
    <t xml:space="preserve">A mortal becomes angelic, saintly, radiant, or aligned with a celestial order.</t>
  </si>
  <si>
    <t xml:space="preserve">angelic ascension; celestial form</t>
  </si>
  <si>
    <t xml:space="preserve">STA-210</t>
  </si>
  <si>
    <t xml:space="preserve">Draconic Transformation</t>
  </si>
  <si>
    <t xml:space="preserve">A being acquires dragon traits or becomes a dragon through lineage, magic, curse, or cultivation.</t>
  </si>
  <si>
    <t xml:space="preserve">dragon form; half-dragon; dragon ascension</t>
  </si>
  <si>
    <t xml:space="preserve">STA-211</t>
  </si>
  <si>
    <t xml:space="preserve">Beast Transformation</t>
  </si>
  <si>
    <t xml:space="preserve">A person develops permanent or temporary animal traits outside classic lycanthropy.</t>
  </si>
  <si>
    <t xml:space="preserve">beast form; feral transformation</t>
  </si>
  <si>
    <t xml:space="preserve">STA-212</t>
  </si>
  <si>
    <t xml:space="preserve">Plant Transformation</t>
  </si>
  <si>
    <t xml:space="preserve">A person becomes plantlike, tree-bound, fungal, or integrated with an ecosystem.</t>
  </si>
  <si>
    <t xml:space="preserve">tree form; plant curse; fungal change</t>
  </si>
  <si>
    <t xml:space="preserve">STA-213</t>
  </si>
  <si>
    <t xml:space="preserve">Construct Conversion</t>
  </si>
  <si>
    <t xml:space="preserve">A biological person is transferred into armor, a machine, golem, doll, or artificial body.</t>
  </si>
  <si>
    <t xml:space="preserve">mechanization; soul armor; construct body</t>
  </si>
  <si>
    <t xml:space="preserve">STA-214</t>
  </si>
  <si>
    <t xml:space="preserve">Cyborg or Magitech Augmentation</t>
  </si>
  <si>
    <t xml:space="preserve">A person gains mechanical, magical, or artificial replacement parts and enhanced capabilities.</t>
  </si>
  <si>
    <t xml:space="preserve">cyborg; prosthetic enhancement; magitech augmentation</t>
  </si>
  <si>
    <t xml:space="preserve">STA-215</t>
  </si>
  <si>
    <t xml:space="preserve">Body Swap</t>
  </si>
  <si>
    <t xml:space="preserve">Two or more minds exchange bodies while retaining some identity continuity.</t>
  </si>
  <si>
    <t xml:space="preserve">body swap; exchanged bodies</t>
  </si>
  <si>
    <t xml:space="preserve">STA-216</t>
  </si>
  <si>
    <t xml:space="preserve">Age Transformation</t>
  </si>
  <si>
    <t xml:space="preserve">A person is magically aged, rejuvenated, frozen at an age, or shifted along their lifespan.</t>
  </si>
  <si>
    <t xml:space="preserve">de-aging; rapid aging; youth curse</t>
  </si>
  <si>
    <t xml:space="preserve">STA-217</t>
  </si>
  <si>
    <t xml:space="preserve">Sex or Gendered Embodiment Change</t>
  </si>
  <si>
    <t xml:space="preserve">A person's bodily sex or gendered form changes through magic, biology, curse, or transformation.</t>
  </si>
  <si>
    <t xml:space="preserve">sex change; gender transformation; form change</t>
  </si>
  <si>
    <t xml:space="preserve">STA-218</t>
  </si>
  <si>
    <t xml:space="preserve">Disease or Magical Illness</t>
  </si>
  <si>
    <t xml:space="preserve">A supernatural or mundane disease alters function, identity, social status, or powers.</t>
  </si>
  <si>
    <t xml:space="preserve">plague; magical disease; curse sickness</t>
  </si>
  <si>
    <t xml:space="preserve">STA-219</t>
  </si>
  <si>
    <t xml:space="preserve">Parasitic Infection</t>
  </si>
  <si>
    <t xml:space="preserve">An organism or supernatural agent inhabits and changes a host body.</t>
  </si>
  <si>
    <t xml:space="preserve">parasite; infection; host state</t>
  </si>
  <si>
    <t xml:space="preserve">STA-220</t>
  </si>
  <si>
    <t xml:space="preserve">Symbiotic Bond</t>
  </si>
  <si>
    <t xml:space="preserve">A host and another being form a mutually sustaining bodily and power relationship.</t>
  </si>
  <si>
    <t xml:space="preserve">symbiote; bonded organism</t>
  </si>
  <si>
    <t xml:space="preserve">STA-221</t>
  </si>
  <si>
    <t xml:space="preserve">Possessed Body</t>
  </si>
  <si>
    <t xml:space="preserve">An external being occupies or shares the body, with degrees of control and coexistence.</t>
  </si>
  <si>
    <t xml:space="preserve">possession; vessel; ridden</t>
  </si>
  <si>
    <t xml:space="preserve">STA-222</t>
  </si>
  <si>
    <t xml:space="preserve">Cloned or Replicated Body</t>
  </si>
  <si>
    <t xml:space="preserve">A person exists in a copied, reconstructed, or duplicate biological form.</t>
  </si>
  <si>
    <t xml:space="preserve">clone body; replica; vat-grown</t>
  </si>
  <si>
    <t xml:space="preserve">STA-223</t>
  </si>
  <si>
    <t xml:space="preserve">Artificial Rebirth</t>
  </si>
  <si>
    <t xml:space="preserve">A person is recreated in an engineered or manufactured body after death or destruction.</t>
  </si>
  <si>
    <t xml:space="preserve">reconstruction; synthetic resurrection</t>
  </si>
  <si>
    <t xml:space="preserve">STA-224</t>
  </si>
  <si>
    <t xml:space="preserve">Berserk State</t>
  </si>
  <si>
    <t xml:space="preserve">A temporary form grants heightened power while reducing judgment, control, safety, or identity.</t>
  </si>
  <si>
    <t xml:space="preserve">berserk; rage form; frenzy</t>
  </si>
  <si>
    <t xml:space="preserve">STA-225</t>
  </si>
  <si>
    <t xml:space="preserve">Overdrive or Limit State</t>
  </si>
  <si>
    <t xml:space="preserve">Accumulated stress or resource unlocks temporary exceptional output beyond normal limits.</t>
  </si>
  <si>
    <t xml:space="preserve">limit break; overdrive; crisis form</t>
  </si>
  <si>
    <t xml:space="preserve">STA-226</t>
  </si>
  <si>
    <t xml:space="preserve">Elemental Attunement</t>
  </si>
  <si>
    <t xml:space="preserve">A body becomes aligned with or partially composed of an element.</t>
  </si>
  <si>
    <t xml:space="preserve">fire-touched; frostbound; elemental form</t>
  </si>
  <si>
    <t xml:space="preserve">STA-227</t>
  </si>
  <si>
    <t xml:space="preserve">Corrupted or Blighted Body</t>
  </si>
  <si>
    <t xml:space="preserve">Hostile magic, taint, or environmental force deforms and empowers the body while imposing cost.</t>
  </si>
  <si>
    <t xml:space="preserve">corruption; blight; taint</t>
  </si>
  <si>
    <t xml:space="preserve">STA-228</t>
  </si>
  <si>
    <t xml:space="preserve">Cursed Mark or Brand</t>
  </si>
  <si>
    <t xml:space="preserve">A visible or hidden inscription changes abilities, obligations, fate, or bodily integrity.</t>
  </si>
  <si>
    <t xml:space="preserve">curse mark; brand; seal</t>
  </si>
  <si>
    <t xml:space="preserve">STA-229</t>
  </si>
  <si>
    <t xml:space="preserve">Living Weapon State</t>
  </si>
  <si>
    <t xml:space="preserve">A person becomes or can transform into a weapon, armor, or tool.</t>
  </si>
  <si>
    <t xml:space="preserve">weapon form; living blade</t>
  </si>
  <si>
    <t xml:space="preserve">STA-230</t>
  </si>
  <si>
    <t xml:space="preserve">Hybridization</t>
  </si>
  <si>
    <t xml:space="preserve">A person permanently combines biological or metaphysical traits from multiple kinds.</t>
  </si>
  <si>
    <t xml:space="preserve">hybrid; splice; chimera state</t>
  </si>
  <si>
    <t xml:space="preserve">STA-301</t>
  </si>
  <si>
    <t xml:space="preserve">Possession</t>
  </si>
  <si>
    <t xml:space="preserve">A spirit, demon, deity, ancestor, or alien intelligence enters and influences a person.</t>
  </si>
  <si>
    <t xml:space="preserve">possessed; ridden; vessel</t>
  </si>
  <si>
    <t xml:space="preserve">Agency, identity, obligation, memory, corruption, sacred status, and interpersonal metaphysics.</t>
  </si>
  <si>
    <t xml:space="preserve">STA-302</t>
  </si>
  <si>
    <t xml:space="preserve">Co-Possession and Shared Body</t>
  </si>
  <si>
    <t xml:space="preserve">Multiple minds or souls coexist in one body with negotiated or shifting control.</t>
  </si>
  <si>
    <t xml:space="preserve">shared body; cohabitation; plural vessel</t>
  </si>
  <si>
    <t xml:space="preserve">STA-303</t>
  </si>
  <si>
    <t xml:space="preserve">A person's choices are externally compelled, overwritten, or constrained.</t>
  </si>
  <si>
    <t xml:space="preserve">dominated; enthralled; controlled</t>
  </si>
  <si>
    <t xml:space="preserve">STA-304</t>
  </si>
  <si>
    <t xml:space="preserve">Charm and Enchantment</t>
  </si>
  <si>
    <t xml:space="preserve">A person's emotions, loyalties, perceptions, or desires are supernaturally altered.</t>
  </si>
  <si>
    <t xml:space="preserve">charmed; bewitched; enchanted</t>
  </si>
  <si>
    <t xml:space="preserve">STA-305</t>
  </si>
  <si>
    <t xml:space="preserve">Memory Loss</t>
  </si>
  <si>
    <t xml:space="preserve">Identity-relevant memory is removed, sealed, damaged, or inaccessible.</t>
  </si>
  <si>
    <t xml:space="preserve">amnesia; memory seal</t>
  </si>
  <si>
    <t xml:space="preserve">STA-306</t>
  </si>
  <si>
    <t xml:space="preserve">Memory Implantation</t>
  </si>
  <si>
    <t xml:space="preserve">False or external memories are inserted, creating altered identity or allegiance.</t>
  </si>
  <si>
    <t xml:space="preserve">implanted memory; fabricated past</t>
  </si>
  <si>
    <t xml:space="preserve">STA-307</t>
  </si>
  <si>
    <t xml:space="preserve">Soul Bond</t>
  </si>
  <si>
    <t xml:space="preserve">Two or more beings share life, sensation, fate, power, or mortality through a spiritual connection.</t>
  </si>
  <si>
    <t xml:space="preserve">soul bond; life link; fated pair</t>
  </si>
  <si>
    <t xml:space="preserve">STA-308</t>
  </si>
  <si>
    <t xml:space="preserve">Familiar Bond</t>
  </si>
  <si>
    <t xml:space="preserve">A practitioner and companion spirit or creature share communication, power, senses, or life force.</t>
  </si>
  <si>
    <t xml:space="preserve">familiar bond; companion link</t>
  </si>
  <si>
    <t xml:space="preserve">STA-309</t>
  </si>
  <si>
    <t xml:space="preserve">Oathbound State</t>
  </si>
  <si>
    <t xml:space="preserve">A vow or geas grants power and imposes metaphysical consequences for violation.</t>
  </si>
  <si>
    <t xml:space="preserve">oathbound; geas; vow</t>
  </si>
  <si>
    <t xml:space="preserve">STA-310</t>
  </si>
  <si>
    <t xml:space="preserve">Pact-Bound State</t>
  </si>
  <si>
    <t xml:space="preserve">A person is contractually linked to a patron, spirit, fiend, or artifact.</t>
  </si>
  <si>
    <t xml:space="preserve">pactbound; warlock pact; contract</t>
  </si>
  <si>
    <t xml:space="preserve">STA-311</t>
  </si>
  <si>
    <t xml:space="preserve">Cursed State</t>
  </si>
  <si>
    <t xml:space="preserve">A persistent hostile condition is imposed through magic, fate, taboo, inheritance, or transgression.</t>
  </si>
  <si>
    <t xml:space="preserve">curse; hex; malediction</t>
  </si>
  <si>
    <t xml:space="preserve">STA-312</t>
  </si>
  <si>
    <t xml:space="preserve">Blessed State</t>
  </si>
  <si>
    <t xml:space="preserve">A persistent beneficial condition is granted by sacred, cosmic, ancestral, or social authority.</t>
  </si>
  <si>
    <t xml:space="preserve">blessing; benediction; favor</t>
  </si>
  <si>
    <t xml:space="preserve">STA-313</t>
  </si>
  <si>
    <t xml:space="preserve">Marked by Destiny</t>
  </si>
  <si>
    <t xml:space="preserve">A person is identified by prophecy, fate, symbol, birth sign, or cosmic role.</t>
  </si>
  <si>
    <t xml:space="preserve">chosen one; destined; marked</t>
  </si>
  <si>
    <t xml:space="preserve">STA-314</t>
  </si>
  <si>
    <t xml:space="preserve">Corrupted Mind or Soul</t>
  </si>
  <si>
    <t xml:space="preserve">A person's values, perceptions, agency, or spiritual integrity are eroded by hostile power.</t>
  </si>
  <si>
    <t xml:space="preserve">corruption; madness; taint</t>
  </si>
  <si>
    <t xml:space="preserve">STA-315</t>
  </si>
  <si>
    <t xml:space="preserve">Madness or Altered Perception</t>
  </si>
  <si>
    <t xml:space="preserve">A person experiences reality through a destabilized or supernaturally expanded mental state.</t>
  </si>
  <si>
    <t xml:space="preserve">madness; insanity; eldritch perception</t>
  </si>
  <si>
    <t xml:space="preserve">Avoid using mental illness as shorthand for evil or cosmic insight; distinguish clinical, magical, and narrative states.</t>
  </si>
  <si>
    <t xml:space="preserve">STA-316</t>
  </si>
  <si>
    <t xml:space="preserve">Ascension</t>
  </si>
  <si>
    <t xml:space="preserve">A person crosses into a higher metaphysical, divine, immortal, or cosmological state.</t>
  </si>
  <si>
    <t xml:space="preserve">ascended; apotheosis; transcendence</t>
  </si>
  <si>
    <t xml:space="preserve">STA-317</t>
  </si>
  <si>
    <t xml:space="preserve">Fall or Spiritual Inversion</t>
  </si>
  <si>
    <t xml:space="preserve">A sacred, heroic, or ordered being becomes corrupted, exiled, demonic, or opposed to former purpose.</t>
  </si>
  <si>
    <t xml:space="preserve">fallen; corrupted angel; dark transformation</t>
  </si>
  <si>
    <t xml:space="preserve">STA-318</t>
  </si>
  <si>
    <t xml:space="preserve">Awakening</t>
  </si>
  <si>
    <t xml:space="preserve">Dormant power, memory, species identity, or cosmic role becomes active.</t>
  </si>
  <si>
    <t xml:space="preserve">awakening; power activation; true self</t>
  </si>
  <si>
    <t xml:space="preserve">STA-319</t>
  </si>
  <si>
    <t xml:space="preserve">Sealed Power</t>
  </si>
  <si>
    <t xml:space="preserve">A person's abilities, identity, memories, or dangerous entity are suppressed by a seal.</t>
  </si>
  <si>
    <t xml:space="preserve">sealed; bound power; limiter</t>
  </si>
  <si>
    <t xml:space="preserve">STA-320</t>
  </si>
  <si>
    <t xml:space="preserve">Fragmented Identity</t>
  </si>
  <si>
    <t xml:space="preserve">A person contains separated personas, reincarnated selves, clones, echoes, or magical partitions.</t>
  </si>
  <si>
    <t xml:space="preserve">split identity; multiple selves; shard</t>
  </si>
  <si>
    <t xml:space="preserve">STA-321</t>
  </si>
  <si>
    <t xml:space="preserve">Merged Identity</t>
  </si>
  <si>
    <t xml:space="preserve">Multiple persons, souls, memories, or timelines fuse into one continuing self.</t>
  </si>
  <si>
    <t xml:space="preserve">fusion; gestalt; composite self</t>
  </si>
  <si>
    <t xml:space="preserve">STA-322</t>
  </si>
  <si>
    <t xml:space="preserve">Name Loss or Identity Erasure</t>
  </si>
  <si>
    <t xml:space="preserve">A person's name, social existence, memory in others, or metaphysical identity is removed.</t>
  </si>
  <si>
    <t xml:space="preserve">nameless; erased; forgotten</t>
  </si>
  <si>
    <t xml:space="preserve">STA-323</t>
  </si>
  <si>
    <t xml:space="preserve">True-Name Binding</t>
  </si>
  <si>
    <t xml:space="preserve">Knowledge or ownership of a true name constrains or empowers another being.</t>
  </si>
  <si>
    <t xml:space="preserve">name-bound; true-name pact</t>
  </si>
  <si>
    <t xml:space="preserve">STA-324</t>
  </si>
  <si>
    <t xml:space="preserve">Soul Debt</t>
  </si>
  <si>
    <t xml:space="preserve">A person's soul, afterlife, reincarnation, or service is owed under contract or judgment.</t>
  </si>
  <si>
    <t xml:space="preserve">soul debt; damned; claimed</t>
  </si>
  <si>
    <t xml:space="preserve">STA-325</t>
  </si>
  <si>
    <t xml:space="preserve">Haunted State</t>
  </si>
  <si>
    <t xml:space="preserve">A living person or place is persistently accompanied or affected by the dead.</t>
  </si>
  <si>
    <t xml:space="preserve">haunted; ghost-bound</t>
  </si>
  <si>
    <t xml:space="preserve">STA-326</t>
  </si>
  <si>
    <t xml:space="preserve">Channeling State</t>
  </si>
  <si>
    <t xml:space="preserve">A person temporarily allows a spirit, deity, ancestor, or archetypal power to act through them.</t>
  </si>
  <si>
    <t xml:space="preserve">channeling; invocation; mounted by spirit</t>
  </si>
  <si>
    <t xml:space="preserve">STA-401</t>
  </si>
  <si>
    <t xml:space="preserve">Chosen Champion</t>
  </si>
  <si>
    <t xml:space="preserve">A person is formally selected by deity, artifact, institution, prophecy, or people to bear power and responsibility.</t>
  </si>
  <si>
    <t xml:space="preserve">chosen; champion; bearer</t>
  </si>
  <si>
    <t xml:space="preserve">Status, access, duty, progression, patronage, and role-based empowerment.</t>
  </si>
  <si>
    <t xml:space="preserve">STA-402</t>
  </si>
  <si>
    <t xml:space="preserve">Relic Bearer</t>
  </si>
  <si>
    <t xml:space="preserve">A person's role and abilities depend on possession or acceptance by a unique artifact.</t>
  </si>
  <si>
    <t xml:space="preserve">ring bearer; sword bearer; relic host</t>
  </si>
  <si>
    <t xml:space="preserve">STA-403</t>
  </si>
  <si>
    <t xml:space="preserve">Crowned or Invested Sovereign</t>
  </si>
  <si>
    <t xml:space="preserve">A ruler gains metaphysical or magical authority through coronation, mantle, office, or regalia.</t>
  </si>
  <si>
    <t xml:space="preserve">invested king; crown-bonded; mantle</t>
  </si>
  <si>
    <t xml:space="preserve">STA-404</t>
  </si>
  <si>
    <t xml:space="preserve">Class Awakening</t>
  </si>
  <si>
    <t xml:space="preserve">A formal class, job, or vocation becomes available through system recognition or personal breakthrough.</t>
  </si>
  <si>
    <t xml:space="preserve">class awakening; job unlock</t>
  </si>
  <si>
    <t xml:space="preserve">STA-405</t>
  </si>
  <si>
    <t xml:space="preserve">Hidden-Class State</t>
  </si>
  <si>
    <t xml:space="preserve">A rare or unique class is acquired under exceptional conditions.</t>
  </si>
  <si>
    <t xml:space="preserve">hidden class; unique profession</t>
  </si>
  <si>
    <t xml:space="preserve">STA-406</t>
  </si>
  <si>
    <t xml:space="preserve">Divine Favor</t>
  </si>
  <si>
    <t xml:space="preserve">A deity or sacred power actively supports, protects, or empowers a person.</t>
  </si>
  <si>
    <t xml:space="preserve">favored; blessed; god-touched</t>
  </si>
  <si>
    <t xml:space="preserve">STA-407</t>
  </si>
  <si>
    <t xml:space="preserve">Divine Disfavor</t>
  </si>
  <si>
    <t xml:space="preserve">A deity or sacred order withdraws power, curses, exiles, or marks a person.</t>
  </si>
  <si>
    <t xml:space="preserve">forsaken; cursed by god; fallen from grace</t>
  </si>
  <si>
    <t xml:space="preserve">STA-408</t>
  </si>
  <si>
    <t xml:space="preserve">Elemental Bond</t>
  </si>
  <si>
    <t xml:space="preserve">A person forms a persistent connection with an elemental, spirit, or natural domain.</t>
  </si>
  <si>
    <t xml:space="preserve">element-bonded; fire chosen; tidebound</t>
  </si>
  <si>
    <t xml:space="preserve">STA-409</t>
  </si>
  <si>
    <t xml:space="preserve">Dragon Bond</t>
  </si>
  <si>
    <t xml:space="preserve">A person and dragon share loyalty, sensation, power, life, or magical resonance.</t>
  </si>
  <si>
    <t xml:space="preserve">dragon rider bond; dragonmarked; draconic pact</t>
  </si>
  <si>
    <t xml:space="preserve">STA-410</t>
  </si>
  <si>
    <t xml:space="preserve">Monster Bond</t>
  </si>
  <si>
    <t xml:space="preserve">A person is linked with a specific monster or companion that defines powers and identity.</t>
  </si>
  <si>
    <t xml:space="preserve">monster tamer bond; beast partner</t>
  </si>
  <si>
    <t xml:space="preserve">STA-411</t>
  </si>
  <si>
    <t xml:space="preserve">Weapon Bond</t>
  </si>
  <si>
    <t xml:space="preserve">A weapon chooses, recognizes, feeds on, or shares power with its wielder.</t>
  </si>
  <si>
    <t xml:space="preserve">soulbound weapon; cursed sword bond</t>
  </si>
  <si>
    <t xml:space="preserve">STA-412</t>
  </si>
  <si>
    <t xml:space="preserve">Armor or Suit Bond</t>
  </si>
  <si>
    <t xml:space="preserve">A person is linked with magical armor, a powered suit, or a living defensive system.</t>
  </si>
  <si>
    <t xml:space="preserve">living armor; bonded suit</t>
  </si>
  <si>
    <t xml:space="preserve">STA-413</t>
  </si>
  <si>
    <t xml:space="preserve">A practitioner shares senses, power, or life with a small spirit or magical creature.</t>
  </si>
  <si>
    <t xml:space="preserve">familiar; pact companion</t>
  </si>
  <si>
    <t xml:space="preserve">STA-414</t>
  </si>
  <si>
    <t xml:space="preserve">Patronage</t>
  </si>
  <si>
    <t xml:space="preserve">A powerful entity supplies resources, protection, or supernatural ability in exchange for service or alignment.</t>
  </si>
  <si>
    <t xml:space="preserve">patron; sponsor; warlock patron</t>
  </si>
  <si>
    <t xml:space="preserve">STA-415</t>
  </si>
  <si>
    <t xml:space="preserve">Initiation</t>
  </si>
  <si>
    <t xml:space="preserve">A person is ritually admitted into a tradition and gains new knowledge, status, or power.</t>
  </si>
  <si>
    <t xml:space="preserve">initiate; inducted; mystery rite</t>
  </si>
  <si>
    <t xml:space="preserve">STA-416</t>
  </si>
  <si>
    <t xml:space="preserve">Ordination</t>
  </si>
  <si>
    <t xml:space="preserve">A person receives formal religious authority and access to sacred functions.</t>
  </si>
  <si>
    <t xml:space="preserve">ordained; consecrated</t>
  </si>
  <si>
    <t xml:space="preserve">STA-417</t>
  </si>
  <si>
    <t xml:space="preserve">Knighthood or Oath Investiture</t>
  </si>
  <si>
    <t xml:space="preserve">A person receives martial-social status through oath, accolade, or order membership.</t>
  </si>
  <si>
    <t xml:space="preserve">knighted; sworn; dubbed</t>
  </si>
  <si>
    <t xml:space="preserve">STA-418</t>
  </si>
  <si>
    <t xml:space="preserve">Cultivation Breakthrough</t>
  </si>
  <si>
    <t xml:space="preserve">A practitioner crosses a defined stage or realm of internal development.</t>
  </si>
  <si>
    <t xml:space="preserve">breakthrough; realm advancement</t>
  </si>
  <si>
    <t xml:space="preserve">STA-419</t>
  </si>
  <si>
    <t xml:space="preserve">Level-Up or Rank-Up</t>
  </si>
  <si>
    <t xml:space="preserve">A system recognizes accumulated experience or achievement with increased capability or status.</t>
  </si>
  <si>
    <t xml:space="preserve">level up; rank up; promotion</t>
  </si>
  <si>
    <t xml:space="preserve">STA-420</t>
  </si>
  <si>
    <t xml:space="preserve">Blessed Bloodline Activation</t>
  </si>
  <si>
    <t xml:space="preserve">Dormant inherited power manifests due to age, crisis, ritual, or contact.</t>
  </si>
  <si>
    <t xml:space="preserve">bloodline awakening; heritage power</t>
  </si>
  <si>
    <t xml:space="preserve">STA-421</t>
  </si>
  <si>
    <t xml:space="preserve">Corruption Empowerment</t>
  </si>
  <si>
    <t xml:space="preserve">A hostile force grants real power while deepening dependence, mutation, or moral risk.</t>
  </si>
  <si>
    <t xml:space="preserve">dark gift; corruption boon; tainted power</t>
  </si>
  <si>
    <t xml:space="preserve">STA-422</t>
  </si>
  <si>
    <t xml:space="preserve">Sacrificial Empowerment</t>
  </si>
  <si>
    <t xml:space="preserve">A person gains power by permanently surrendering life, memory, body, relationship, or future.</t>
  </si>
  <si>
    <t xml:space="preserve">sacrifice; equivalent exchange; burned lifespan</t>
  </si>
  <si>
    <t xml:space="preserve">STA-423</t>
  </si>
  <si>
    <t xml:space="preserve">Collective Empowerment</t>
  </si>
  <si>
    <t xml:space="preserve">A person's power depends on followers, worshipers, social recognition, or group synchronization.</t>
  </si>
  <si>
    <t xml:space="preserve">faith power; leader aura; collective resonance</t>
  </si>
  <si>
    <t xml:space="preserve">STA-424</t>
  </si>
  <si>
    <t xml:space="preserve">Territorial Attunement</t>
  </si>
  <si>
    <t xml:space="preserve">A person's authority and power increase within a bound land, city, dungeon, or domain.</t>
  </si>
  <si>
    <t xml:space="preserve">domain lord; land bond; lair power</t>
  </si>
  <si>
    <t xml:space="preserve">STA-425</t>
  </si>
  <si>
    <t xml:space="preserve">Mantle or Office Power</t>
  </si>
  <si>
    <t xml:space="preserve">An office, title, role, or archetype grants powers independent of the holder's prior abilities.</t>
  </si>
  <si>
    <t xml:space="preserve">mantle; office power; inherited role</t>
  </si>
  <si>
    <t xml:space="preserve">STA-501</t>
  </si>
  <si>
    <t xml:space="preserve">Reincarnated</t>
  </si>
  <si>
    <t xml:space="preserve">A person is born again in another life, sometimes retaining memory, skills, or destiny.</t>
  </si>
  <si>
    <t xml:space="preserve">reincarnated; reborn; second life</t>
  </si>
  <si>
    <t xml:space="preserve">Second-life narratives, portal fantasy, game systems, time travel, and alternate identity.</t>
  </si>
  <si>
    <t xml:space="preserve">STA-502</t>
  </si>
  <si>
    <t xml:space="preserve">Transmigrated or Isekai-Displaced</t>
  </si>
  <si>
    <t xml:space="preserve">A person moves from one world to another in the same or a new body.</t>
  </si>
  <si>
    <t xml:space="preserve">isekai; transmigration; world transfer</t>
  </si>
  <si>
    <t xml:space="preserve">STA-503</t>
  </si>
  <si>
    <t xml:space="preserve">Summoned</t>
  </si>
  <si>
    <t xml:space="preserve">A person or being is called into another place or world by ritual, system, deity, or crisis.</t>
  </si>
  <si>
    <t xml:space="preserve">summoned hero; called being</t>
  </si>
  <si>
    <t xml:space="preserve">STA-504</t>
  </si>
  <si>
    <t xml:space="preserve">Banished or Exiled Across Realms</t>
  </si>
  <si>
    <t xml:space="preserve">A person is forcibly removed to another land, plane, time, or world.</t>
  </si>
  <si>
    <t xml:space="preserve">banished; planar exile</t>
  </si>
  <si>
    <t xml:space="preserve">STA-505</t>
  </si>
  <si>
    <t xml:space="preserve">Time-Displaced</t>
  </si>
  <si>
    <t xml:space="preserve">A person travels or is stranded in another era.</t>
  </si>
  <si>
    <t xml:space="preserve">time traveler; frozen survivor; temporal exile</t>
  </si>
  <si>
    <t xml:space="preserve">STA-506</t>
  </si>
  <si>
    <t xml:space="preserve">Time-Looped</t>
  </si>
  <si>
    <t xml:space="preserve">A person repeatedly experiences a bounded sequence while retaining some memory or change.</t>
  </si>
  <si>
    <t xml:space="preserve">time loop; regression; reset</t>
  </si>
  <si>
    <t xml:space="preserve">STA-507</t>
  </si>
  <si>
    <t xml:space="preserve">Regressor</t>
  </si>
  <si>
    <t xml:space="preserve">A person returns to an earlier point in their own life with knowledge of the prior timeline.</t>
  </si>
  <si>
    <t xml:space="preserve">regressor; returner; second chance</t>
  </si>
  <si>
    <t xml:space="preserve">STA-508</t>
  </si>
  <si>
    <t xml:space="preserve">Body-Reincarnated</t>
  </si>
  <si>
    <t xml:space="preserve">A person's mind or soul awakens in the body of another person, creature, or fictional character.</t>
  </si>
  <si>
    <t xml:space="preserve">body transmigration; possession reincarnation</t>
  </si>
  <si>
    <t xml:space="preserve">STA-509</t>
  </si>
  <si>
    <t xml:space="preserve">Monster Reincarnation</t>
  </si>
  <si>
    <t xml:space="preserve">A person is reborn as a monster, nonhuman species, object, or low-status being.</t>
  </si>
  <si>
    <t xml:space="preserve">slime reincarnation; monster rebirth; object isekai</t>
  </si>
  <si>
    <t xml:space="preserve">STA-510</t>
  </si>
  <si>
    <t xml:space="preserve">Systemized</t>
  </si>
  <si>
    <t xml:space="preserve">A person becomes subject to visible statistics, quests, levels, classes, or interface rules.</t>
  </si>
  <si>
    <t xml:space="preserve">system user; status window; gamified existence</t>
  </si>
  <si>
    <t xml:space="preserve">STA-511</t>
  </si>
  <si>
    <t xml:space="preserve">Player Avatar State</t>
  </si>
  <si>
    <t xml:space="preserve">A person's agency is mediated through a game avatar, virtual body, summoned vessel, or remote projection.</t>
  </si>
  <si>
    <t xml:space="preserve">avatar; player character; logged-in body</t>
  </si>
  <si>
    <t xml:space="preserve">STA-512</t>
  </si>
  <si>
    <t xml:space="preserve">NPC Awakening</t>
  </si>
  <si>
    <t xml:space="preserve">A game-like or scripted character becomes self-aware, autonomous, or aware of narrative constraints.</t>
  </si>
  <si>
    <t xml:space="preserve">awakened NPC; self-aware construct</t>
  </si>
  <si>
    <t xml:space="preserve">STA-513</t>
  </si>
  <si>
    <t xml:space="preserve">Narrative Possession</t>
  </si>
  <si>
    <t xml:space="preserve">A person enters, replaces, or influences a character within a known story.</t>
  </si>
  <si>
    <t xml:space="preserve">novel transmigration; character possession</t>
  </si>
  <si>
    <t xml:space="preserve">STA-514</t>
  </si>
  <si>
    <t xml:space="preserve">Parallel-Self Contact</t>
  </si>
  <si>
    <t xml:space="preserve">A person meets, merges with, or exchanges information with alternate timeline versions of themselves.</t>
  </si>
  <si>
    <t xml:space="preserve">alternate self; multiverse double</t>
  </si>
  <si>
    <t xml:space="preserve">STA-515</t>
  </si>
  <si>
    <t xml:space="preserve">World Reset Survivor</t>
  </si>
  <si>
    <t xml:space="preserve">A person retains identity or memory through a cosmic, historical, or system-wide reset.</t>
  </si>
  <si>
    <t xml:space="preserve">reset survivor; loop survivor</t>
  </si>
  <si>
    <t xml:space="preserve">STA-516</t>
  </si>
  <si>
    <t xml:space="preserve">Sealed or Sleeping Age</t>
  </si>
  <si>
    <t xml:space="preserve">A person survives across eras through stasis, enchanted sleep, petrification, or burial.</t>
  </si>
  <si>
    <t xml:space="preserve">sleeping hero; stasis; sealed ancient</t>
  </si>
  <si>
    <t xml:space="preserve">STA-517</t>
  </si>
  <si>
    <t xml:space="preserve">Planar Refugee</t>
  </si>
  <si>
    <t xml:space="preserve">A person or people relocates because their world or plane is destroyed, inaccessible, or hostile.</t>
  </si>
  <si>
    <t xml:space="preserve">world refugee; planar diaspora</t>
  </si>
  <si>
    <t xml:space="preserve">STA-518</t>
  </si>
  <si>
    <t xml:space="preserve">Summoned Familiar State</t>
  </si>
  <si>
    <t xml:space="preserve">A being is called into service under binding rules and may be returned or dismissed.</t>
  </si>
  <si>
    <t xml:space="preserve">summoned creature; familiar; eidolon</t>
  </si>
  <si>
    <t xml:space="preserve">STA-519</t>
  </si>
  <si>
    <t xml:space="preserve">Copy or Echo Incarnation</t>
  </si>
  <si>
    <t xml:space="preserve">A new person is generated from another's data, memory, soul fragment, or recorded pattern.</t>
  </si>
  <si>
    <t xml:space="preserve">echo; digital soul; magical copy</t>
  </si>
  <si>
    <t xml:space="preserve">STA-520</t>
  </si>
  <si>
    <t xml:space="preserve">Dream Incarnation</t>
  </si>
  <si>
    <t xml:space="preserve">A person or being manifests from dream, story, imagination, or collective belief.</t>
  </si>
  <si>
    <t xml:space="preserve">dreamborn; thoughtform; tulpa-like</t>
  </si>
  <si>
    <t xml:space="preserve">The term 'tulpa' has specific Tibetan Buddhist roots and a modern occult history; use with care.</t>
  </si>
  <si>
    <t xml:space="preserve">INS-100</t>
  </si>
  <si>
    <t xml:space="preserve">Professional and Economic Organizations</t>
  </si>
  <si>
    <t xml:space="preserve">Guilds, companies, colleges, and networks organized around work, trade, craft, or adventure.</t>
  </si>
  <si>
    <t xml:space="preserve">An institution is an organized collective; membership may confer a role, identity, power, or status without being any of those itself.</t>
  </si>
  <si>
    <t xml:space="preserve">Supports comparison of guilds, orders, schools, factions, and political structures.</t>
  </si>
  <si>
    <t xml:space="preserve">INS-200</t>
  </si>
  <si>
    <t xml:space="preserve">Martial and Protective Organizations</t>
  </si>
  <si>
    <t xml:space="preserve">Armies, knightly orders, guards, ranger lodges, mercenary companies, and specialist hunters.</t>
  </si>
  <si>
    <t xml:space="preserve">INS-300</t>
  </si>
  <si>
    <t xml:space="preserve">Religious and Magical Organizations</t>
  </si>
  <si>
    <t xml:space="preserve">Churches, cults, temples, covens, circles, academies, sects, and initiatory traditions.</t>
  </si>
  <si>
    <t xml:space="preserve">INS-400</t>
  </si>
  <si>
    <t xml:space="preserve">Kinship, Political, and Secret Organizations</t>
  </si>
  <si>
    <t xml:space="preserve">Clans, houses, tribes, courts, castes, councils, conspiracies, and covert networks.</t>
  </si>
  <si>
    <t xml:space="preserve">INS-101</t>
  </si>
  <si>
    <t xml:space="preserve">Adventurers' Guild</t>
  </si>
  <si>
    <t xml:space="preserve">Organization that registers, ranks, contracts, equips, regulates, or rewards adventurers.</t>
  </si>
  <si>
    <t xml:space="preserve">Record membership rules, hierarchy, resources, jurisdiction, ideology, and relation to the state.</t>
  </si>
  <si>
    <t xml:space="preserve">adventurer guild; quest guild; hunters' association</t>
  </si>
  <si>
    <t xml:space="preserve">Labor regulation, training, contracting, economic coordination, and social mobility.</t>
  </si>
  <si>
    <t xml:space="preserve">INS-102</t>
  </si>
  <si>
    <t xml:space="preserve">Mage Guild</t>
  </si>
  <si>
    <t xml:space="preserve">Professional body that licenses, trains, employs, protects, or controls magic users.</t>
  </si>
  <si>
    <t xml:space="preserve">mages' guild; wizard guild; arcane association</t>
  </si>
  <si>
    <t xml:space="preserve">INS-103</t>
  </si>
  <si>
    <t xml:space="preserve">Thieves' Guild</t>
  </si>
  <si>
    <t xml:space="preserve">Organized network that coordinates theft, fences goods, enforces territory, and regulates underworld conduct.</t>
  </si>
  <si>
    <t xml:space="preserve">thieves guild; criminal guild</t>
  </si>
  <si>
    <t xml:space="preserve">INS-104</t>
  </si>
  <si>
    <t xml:space="preserve">Assassins' Guild</t>
  </si>
  <si>
    <t xml:space="preserve">Institution that trains, contracts, legitimizes, or ritualizes professional killing.</t>
  </si>
  <si>
    <t xml:space="preserve">assassin guild; killers' order</t>
  </si>
  <si>
    <t xml:space="preserve">INS-105</t>
  </si>
  <si>
    <t xml:space="preserve">Merchants' Guild</t>
  </si>
  <si>
    <t xml:space="preserve">Association coordinating trade rights, prices, caravans, credit, lobbying, and commercial protection.</t>
  </si>
  <si>
    <t xml:space="preserve">merchant guild; trade league</t>
  </si>
  <si>
    <t xml:space="preserve">INS-106</t>
  </si>
  <si>
    <t xml:space="preserve">Artisans' Guild</t>
  </si>
  <si>
    <t xml:space="preserve">Professional association controlling training, quality, markets, and status within a craft.</t>
  </si>
  <si>
    <t xml:space="preserve">craft guild; smiths' guild; builders' guild</t>
  </si>
  <si>
    <t xml:space="preserve">INS-107</t>
  </si>
  <si>
    <t xml:space="preserve">Bardic College</t>
  </si>
  <si>
    <t xml:space="preserve">Institution preserving performance traditions, lore, magical music, and professional networks.</t>
  </si>
  <si>
    <t xml:space="preserve">bard college; minstrel guild</t>
  </si>
  <si>
    <t xml:space="preserve">INS-108</t>
  </si>
  <si>
    <t xml:space="preserve">Scholarly Society</t>
  </si>
  <si>
    <t xml:space="preserve">Association devoted to research, antiquities, natural philosophy, magic, history, or exploration.</t>
  </si>
  <si>
    <t xml:space="preserve">learned society; academy; research order</t>
  </si>
  <si>
    <t xml:space="preserve">INS-109</t>
  </si>
  <si>
    <t xml:space="preserve">Explorers' Society</t>
  </si>
  <si>
    <t xml:space="preserve">Institution funding and coordinating expeditions, maps, discoveries, and colonial or scientific projects.</t>
  </si>
  <si>
    <t xml:space="preserve">explorers guild; geographical society</t>
  </si>
  <si>
    <t xml:space="preserve">INS-110</t>
  </si>
  <si>
    <t xml:space="preserve">Caravan Consortium</t>
  </si>
  <si>
    <t xml:space="preserve">Network of merchants, guards, guides, and financiers managing long-distance overland trade.</t>
  </si>
  <si>
    <t xml:space="preserve">caravan league; trade consortium</t>
  </si>
  <si>
    <t xml:space="preserve">INS-111</t>
  </si>
  <si>
    <t xml:space="preserve">Banking or Moneylending House</t>
  </si>
  <si>
    <t xml:space="preserve">Institution controlling credit, currency, debt, exchange, and political leverage.</t>
  </si>
  <si>
    <t xml:space="preserve">banking house; iron bank analogue; moneylenders</t>
  </si>
  <si>
    <t xml:space="preserve">INS-112</t>
  </si>
  <si>
    <t xml:space="preserve">Crafting Company</t>
  </si>
  <si>
    <t xml:space="preserve">Organized production enterprise combining artisans, capital, magical labor, and distribution.</t>
  </si>
  <si>
    <t xml:space="preserve">workshop company; manufactury; atelier</t>
  </si>
  <si>
    <t xml:space="preserve">INS-113</t>
  </si>
  <si>
    <t xml:space="preserve">Hunters' Association</t>
  </si>
  <si>
    <t xml:space="preserve">Professional registry that ranks and dispatches hunters against monsters, gates, bounties, or supernatural threats.</t>
  </si>
  <si>
    <t xml:space="preserve">hunter association; slayer guild</t>
  </si>
  <si>
    <t xml:space="preserve">INS-114</t>
  </si>
  <si>
    <t xml:space="preserve">Courier Network</t>
  </si>
  <si>
    <t xml:space="preserve">Organization specializing in rapid, secure, magical, aerial, or interplanar communication.</t>
  </si>
  <si>
    <t xml:space="preserve">messenger guild; postal order</t>
  </si>
  <si>
    <t xml:space="preserve">INS-115</t>
  </si>
  <si>
    <t xml:space="preserve">Healers' College</t>
  </si>
  <si>
    <t xml:space="preserve">Institution training and regulating physicians, apothecaries, clerics, or magical healers.</t>
  </si>
  <si>
    <t xml:space="preserve">healers guild; medical college</t>
  </si>
  <si>
    <t xml:space="preserve">INS-201</t>
  </si>
  <si>
    <t xml:space="preserve">Army or Legion</t>
  </si>
  <si>
    <t xml:space="preserve">Formal standing or mobilized military organized into hierarchy, units, logistics, and state service.</t>
  </si>
  <si>
    <t xml:space="preserve">army; legion; host</t>
  </si>
  <si>
    <t xml:space="preserve">Defense, conquest, policing, specialist threat response, and military identity.</t>
  </si>
  <si>
    <t xml:space="preserve">INS-202</t>
  </si>
  <si>
    <t xml:space="preserve">Royal Guard</t>
  </si>
  <si>
    <t xml:space="preserve">Elite military unit charged with protecting a sovereign, dynasty, palace, or sacred capital.</t>
  </si>
  <si>
    <t xml:space="preserve">royal guard; kingsguard; praetorian guard analogue</t>
  </si>
  <si>
    <t xml:space="preserve">INS-203</t>
  </si>
  <si>
    <t xml:space="preserve">City Watch</t>
  </si>
  <si>
    <t xml:space="preserve">Urban force responsible for policing, fire response, defense, and public order.</t>
  </si>
  <si>
    <t xml:space="preserve">city watch; town guard; constabulary</t>
  </si>
  <si>
    <t xml:space="preserve">INS-204</t>
  </si>
  <si>
    <t xml:space="preserve">Knightly Order</t>
  </si>
  <si>
    <t xml:space="preserve">Oath-bound fraternity or institution of elite warriors organized around service, chivalry, faith, or territory.</t>
  </si>
  <si>
    <t xml:space="preserve">knightly order; order of knights</t>
  </si>
  <si>
    <t xml:space="preserve">INS-205</t>
  </si>
  <si>
    <t xml:space="preserve">Holy Military Order</t>
  </si>
  <si>
    <t xml:space="preserve">Religiously authorized armed institution combining warfare, sacred vows, and institutional mission.</t>
  </si>
  <si>
    <t xml:space="preserve">holy order; templars; crusading order</t>
  </si>
  <si>
    <t xml:space="preserve">INS-206</t>
  </si>
  <si>
    <t xml:space="preserve">Mercenary Company</t>
  </si>
  <si>
    <t xml:space="preserve">Contract military organization with internal identity, leadership, logistics, and market reputation.</t>
  </si>
  <si>
    <t xml:space="preserve">free company; mercenary band; sellsword company</t>
  </si>
  <si>
    <t xml:space="preserve">INS-207</t>
  </si>
  <si>
    <t xml:space="preserve">Ranger Lodge</t>
  </si>
  <si>
    <t xml:space="preserve">Distributed organization of scouts, wardens, hunters, and frontier guardians.</t>
  </si>
  <si>
    <t xml:space="preserve">ranger lodge; wardens; border watch</t>
  </si>
  <si>
    <t xml:space="preserve">INS-208</t>
  </si>
  <si>
    <t xml:space="preserve">Monster-Hunter Order</t>
  </si>
  <si>
    <t xml:space="preserve">Institution that trains specialists, preserves monster lore, and manages contracts or existential threats.</t>
  </si>
  <si>
    <t xml:space="preserve">monster hunters; slayer order; witchers analogue</t>
  </si>
  <si>
    <t xml:space="preserve">INS-209</t>
  </si>
  <si>
    <t xml:space="preserve">Witcher School</t>
  </si>
  <si>
    <t xml:space="preserve">Source-specific school lineage that trains and mutates witchers, with distinctive techniques and symbols.</t>
  </si>
  <si>
    <t xml:space="preserve">School of the Wolf; witcher school</t>
  </si>
  <si>
    <t xml:space="preserve">Reserve 'witcher school' for Witcher continuities; use monster-hunter school for analogues.</t>
  </si>
  <si>
    <t xml:space="preserve">INS-210</t>
  </si>
  <si>
    <t xml:space="preserve">Mage-Hunter or Witch-Hunter Order</t>
  </si>
  <si>
    <t xml:space="preserve">Organization authorized to police, capture, suppress, or kill magic users and forbidden practitioners.</t>
  </si>
  <si>
    <t xml:space="preserve">witch hunters; spellbreakers; templars</t>
  </si>
  <si>
    <t xml:space="preserve">INS-211</t>
  </si>
  <si>
    <t xml:space="preserve">Assassin Order</t>
  </si>
  <si>
    <t xml:space="preserve">Secretive or state-linked martial institution specializing in targeted killing, infiltration, and political intervention.</t>
  </si>
  <si>
    <t xml:space="preserve">assassin order; hidden blades; faceless order analogue</t>
  </si>
  <si>
    <t xml:space="preserve">INS-212</t>
  </si>
  <si>
    <t xml:space="preserve">Spy Service</t>
  </si>
  <si>
    <t xml:space="preserve">State or faction organization for intelligence, covert action, surveillance, and counterintelligence.</t>
  </si>
  <si>
    <t xml:space="preserve">secret service; spy network; intelligence bureau</t>
  </si>
  <si>
    <t xml:space="preserve">INS-213</t>
  </si>
  <si>
    <t xml:space="preserve">Rebel Army</t>
  </si>
  <si>
    <t xml:space="preserve">Military-political organization opposing an empire, tyrant, occupier, caste, or ruling dynasty.</t>
  </si>
  <si>
    <t xml:space="preserve">resistance; rebellion; liberation army</t>
  </si>
  <si>
    <t xml:space="preserve">INS-214</t>
  </si>
  <si>
    <t xml:space="preserve">Warband</t>
  </si>
  <si>
    <t xml:space="preserve">Small or medium force held together by personal loyalty, kinship, plunder, prestige, or charismatic command.</t>
  </si>
  <si>
    <t xml:space="preserve">warband; retinue; raiding host</t>
  </si>
  <si>
    <t xml:space="preserve">INS-215</t>
  </si>
  <si>
    <t xml:space="preserve">Tribal Warrior Society</t>
  </si>
  <si>
    <t xml:space="preserve">Age-grade, kinship, ritual, or prestige organization through which a community structures warfare.</t>
  </si>
  <si>
    <t xml:space="preserve">warrior society; age set; clan guard</t>
  </si>
  <si>
    <t xml:space="preserve">INS-216</t>
  </si>
  <si>
    <t xml:space="preserve">Dragon-Rider Order</t>
  </si>
  <si>
    <t xml:space="preserve">Elite institution organized around bonding, training, and deploying dragon-mounted warriors.</t>
  </si>
  <si>
    <t xml:space="preserve">dragon riders; dragon corps</t>
  </si>
  <si>
    <t xml:space="preserve">INS-217</t>
  </si>
  <si>
    <t xml:space="preserve">Beast Cavalry Corps</t>
  </si>
  <si>
    <t xml:space="preserve">Military unit specialized in nonhuman mounts and their care, breeding, and tactics.</t>
  </si>
  <si>
    <t xml:space="preserve">griffin riders; wolf cavalry; chocobo knights</t>
  </si>
  <si>
    <t xml:space="preserve">INS-218</t>
  </si>
  <si>
    <t xml:space="preserve">Necromantic Army</t>
  </si>
  <si>
    <t xml:space="preserve">Military institution whose manpower, logistics, and command structure depend on undead forces.</t>
  </si>
  <si>
    <t xml:space="preserve">undead legion; corpse army; bone host</t>
  </si>
  <si>
    <t xml:space="preserve">INS-219</t>
  </si>
  <si>
    <t xml:space="preserve">Construct Legion</t>
  </si>
  <si>
    <t xml:space="preserve">Military force composed substantially of golems, automata, summoned weapons, or artificial soldiers.</t>
  </si>
  <si>
    <t xml:space="preserve">golem army; clockwork legion</t>
  </si>
  <si>
    <t xml:space="preserve">INS-220</t>
  </si>
  <si>
    <t xml:space="preserve">Adventuring Company</t>
  </si>
  <si>
    <t xml:space="preserve">Persistent party or organization that undertakes quests, exploration, contracts, and combat as a collective enterprise.</t>
  </si>
  <si>
    <t xml:space="preserve">adventuring company; fellowship; party</t>
  </si>
  <si>
    <t xml:space="preserve">INS-301</t>
  </si>
  <si>
    <t xml:space="preserve">Church</t>
  </si>
  <si>
    <t xml:space="preserve">Large organized religious institution with doctrine, clergy, property, hierarchy, and public authority.</t>
  </si>
  <si>
    <t xml:space="preserve">church; organized faith; ecclesia</t>
  </si>
  <si>
    <t xml:space="preserve">Doctrine, initiation, training, ritual authority, magical knowledge, and spiritual governance.</t>
  </si>
  <si>
    <t xml:space="preserve">INS-302</t>
  </si>
  <si>
    <t xml:space="preserve">Temple Institution</t>
  </si>
  <si>
    <t xml:space="preserve">Sacred complex and its personnel organized around worship, offerings, festivals, or divine service.</t>
  </si>
  <si>
    <t xml:space="preserve">temple; shrine network; priesthood</t>
  </si>
  <si>
    <t xml:space="preserve">INS-303</t>
  </si>
  <si>
    <t xml:space="preserve">Cult</t>
  </si>
  <si>
    <t xml:space="preserve">Initiatory, secret, marginal, localized, or antagonist-framed religious organization.</t>
  </si>
  <si>
    <t xml:space="preserve">cult; mystery cult; dark cult</t>
  </si>
  <si>
    <t xml:space="preserve">Use descriptively rather than as an automatic synonym for irrational or evil religion.</t>
  </si>
  <si>
    <t xml:space="preserve">INS-304</t>
  </si>
  <si>
    <t xml:space="preserve">Monastery</t>
  </si>
  <si>
    <t xml:space="preserve">Residential religious community organized around discipline, vows, study, labor, and spiritual practice.</t>
  </si>
  <si>
    <t xml:space="preserve">monastery; abbey; cloister</t>
  </si>
  <si>
    <t xml:space="preserve">INS-305</t>
  </si>
  <si>
    <t xml:space="preserve">Convent or Nunnery</t>
  </si>
  <si>
    <t xml:space="preserve">Residential community of women or gender-specific religious practitioners.</t>
  </si>
  <si>
    <t xml:space="preserve">convent; nunnery; sisterhood</t>
  </si>
  <si>
    <t xml:space="preserve">INS-306</t>
  </si>
  <si>
    <t xml:space="preserve">Coven</t>
  </si>
  <si>
    <t xml:space="preserve">Small group of witches or magical practitioners joined for ritual, mutual protection, lineage, or teaching.</t>
  </si>
  <si>
    <t xml:space="preserve">coven; witch circle</t>
  </si>
  <si>
    <t xml:space="preserve">INS-307</t>
  </si>
  <si>
    <t xml:space="preserve">Druid Circle</t>
  </si>
  <si>
    <t xml:space="preserve">Community or council of nature practitioners organized around groves, seasons, land, and initiatory ranks.</t>
  </si>
  <si>
    <t xml:space="preserve">druid circle; grove council</t>
  </si>
  <si>
    <t xml:space="preserve">INS-308</t>
  </si>
  <si>
    <t xml:space="preserve">Mage Academy</t>
  </si>
  <si>
    <t xml:space="preserve">Formal school that teaches, certifies, researches, and socializes magic users.</t>
  </si>
  <si>
    <t xml:space="preserve">magic academy; wizard school; arcane university</t>
  </si>
  <si>
    <t xml:space="preserve">INS-309</t>
  </si>
  <si>
    <t xml:space="preserve">Magical College or School</t>
  </si>
  <si>
    <t xml:space="preserve">Specialized institution devoted to a particular tradition, element, profession, or philosophy of magic.</t>
  </si>
  <si>
    <t xml:space="preserve">school of magic; college; tower</t>
  </si>
  <si>
    <t xml:space="preserve">INS-310</t>
  </si>
  <si>
    <t xml:space="preserve">Mystery School</t>
  </si>
  <si>
    <t xml:space="preserve">Initiatory organization that transmits esoteric knowledge through graded secrecy and ritual experience.</t>
  </si>
  <si>
    <t xml:space="preserve">mystery school; occult order</t>
  </si>
  <si>
    <t xml:space="preserve">INS-311</t>
  </si>
  <si>
    <t xml:space="preserve">Martial Sect</t>
  </si>
  <si>
    <t xml:space="preserve">Lineage-based institution transmitting combat arts, manuals, masters, and cultivation resources.</t>
  </si>
  <si>
    <t xml:space="preserve">sect; martial school; cultivation clan</t>
  </si>
  <si>
    <t xml:space="preserve">In wuxia/xianxia, 'sect' carries specific genre structures distinct from a Western church or guild.</t>
  </si>
  <si>
    <t xml:space="preserve">INS-312</t>
  </si>
  <si>
    <t xml:space="preserve">Cultivation Sect</t>
  </si>
  <si>
    <t xml:space="preserve">Hierarchical organization supporting spiritual advancement through masters, disciples, techniques, territory, and resources.</t>
  </si>
  <si>
    <t xml:space="preserve">immortal sect; cultivation school</t>
  </si>
  <si>
    <t xml:space="preserve">INS-313</t>
  </si>
  <si>
    <t xml:space="preserve">Necromancer Cabal</t>
  </si>
  <si>
    <t xml:space="preserve">Secret or formal organization of death-magic practitioners sharing rites, research, or political goals.</t>
  </si>
  <si>
    <t xml:space="preserve">necromancer cabal; death circle</t>
  </si>
  <si>
    <t xml:space="preserve">INS-314</t>
  </si>
  <si>
    <t xml:space="preserve">Demonological Order</t>
  </si>
  <si>
    <t xml:space="preserve">Institution studying, summoning, binding, worshiping, or combating demons.</t>
  </si>
  <si>
    <t xml:space="preserve">diabolist order; demonology circle</t>
  </si>
  <si>
    <t xml:space="preserve">INS-315</t>
  </si>
  <si>
    <t xml:space="preserve">Exorcist Order</t>
  </si>
  <si>
    <t xml:space="preserve">Religious-magical institution trained to identify and remove possession, curses, and hostile spirits.</t>
  </si>
  <si>
    <t xml:space="preserve">exorcists; spirit wardens</t>
  </si>
  <si>
    <t xml:space="preserve">INS-316</t>
  </si>
  <si>
    <t xml:space="preserve">Inquisition</t>
  </si>
  <si>
    <t xml:space="preserve">Centralized body investigating doctrine, heresy, corruption, possession, and forbidden practice.</t>
  </si>
  <si>
    <t xml:space="preserve">inquisition; holy office</t>
  </si>
  <si>
    <t xml:space="preserve">INS-317</t>
  </si>
  <si>
    <t xml:space="preserve">Oracle College</t>
  </si>
  <si>
    <t xml:space="preserve">Institution that trains, houses, regulates, or interprets prophets, seers, and diviners.</t>
  </si>
  <si>
    <t xml:space="preserve">oracle temple; seers' college</t>
  </si>
  <si>
    <t xml:space="preserve">INS-318</t>
  </si>
  <si>
    <t xml:space="preserve">Summoners' Circle</t>
  </si>
  <si>
    <t xml:space="preserve">Organization regulating contracts with spirits, monsters, eidolons, or extraplanar beings.</t>
  </si>
  <si>
    <t xml:space="preserve">summoner guild; callers' circle</t>
  </si>
  <si>
    <t xml:space="preserve">INS-319</t>
  </si>
  <si>
    <t xml:space="preserve">Alchemical Lodge</t>
  </si>
  <si>
    <t xml:space="preserve">Institution of alchemists organized around laboratories, recipes, secrets, certification, and patronage.</t>
  </si>
  <si>
    <t xml:space="preserve">alchemist guild; hermetic lodge</t>
  </si>
  <si>
    <t xml:space="preserve">INS-320</t>
  </si>
  <si>
    <t xml:space="preserve">Secret Magical Society</t>
  </si>
  <si>
    <t xml:space="preserve">Covert network preserving forbidden lore, influencing politics, or protecting hidden supernatural communities.</t>
  </si>
  <si>
    <t xml:space="preserve">secret order; occult society; hidden council</t>
  </si>
  <si>
    <t xml:space="preserve">INS-401</t>
  </si>
  <si>
    <t xml:space="preserve">Noble House</t>
  </si>
  <si>
    <t xml:space="preserve">Dynastic kin group controlling titles, land, offices, retainers, marriage alliances, and inherited reputation.</t>
  </si>
  <si>
    <t xml:space="preserve">great house; noble family; dynasty</t>
  </si>
  <si>
    <t xml:space="preserve">Kinship, governance, secrecy, social rank, factional identity, and collective action.</t>
  </si>
  <si>
    <t xml:space="preserve">INS-402</t>
  </si>
  <si>
    <t xml:space="preserve">Clan</t>
  </si>
  <si>
    <t xml:space="preserve">Extended kinship and identity group organized through descent, adoption, territory, memory, and mutual obligation.</t>
  </si>
  <si>
    <t xml:space="preserve">clan; lineage; sept</t>
  </si>
  <si>
    <t xml:space="preserve">INS-403</t>
  </si>
  <si>
    <t xml:space="preserve">Tribe</t>
  </si>
  <si>
    <t xml:space="preserve">Political-cultural community structured through kinship, locality, language, ritual, or shared leadership.</t>
  </si>
  <si>
    <t xml:space="preserve">tribe; people; tribal confederation</t>
  </si>
  <si>
    <t xml:space="preserve">Use cautiously and source-specifically; the term can impose outsider simplifications on diverse societies.</t>
  </si>
  <si>
    <t xml:space="preserve">INS-404</t>
  </si>
  <si>
    <t xml:space="preserve">Dynasty</t>
  </si>
  <si>
    <t xml:space="preserve">Sequence and institution of rulers connected by descent, marriage, adoption, or claimed continuity.</t>
  </si>
  <si>
    <t xml:space="preserve">dynasty; royal line</t>
  </si>
  <si>
    <t xml:space="preserve">INS-405</t>
  </si>
  <si>
    <t xml:space="preserve">Royal Court</t>
  </si>
  <si>
    <t xml:space="preserve">Household and political arena surrounding a sovereign, including nobles, officials, servants, rivals, and ritual.</t>
  </si>
  <si>
    <t xml:space="preserve">court; palace faction</t>
  </si>
  <si>
    <t xml:space="preserve">INS-406</t>
  </si>
  <si>
    <t xml:space="preserve">Fae Court</t>
  </si>
  <si>
    <t xml:space="preserve">Otherworldly political society structured by noble rank, season, etiquette, bargain, and supernatural allegiance.</t>
  </si>
  <si>
    <t xml:space="preserve">seelie court; winter court; faerie court</t>
  </si>
  <si>
    <t xml:space="preserve">INS-407</t>
  </si>
  <si>
    <t xml:space="preserve">Council or Conclave</t>
  </si>
  <si>
    <t xml:space="preserve">Collective decision-making institution of elders, mages, nobles, guilds, gods, or faction representatives.</t>
  </si>
  <si>
    <t xml:space="preserve">council; conclave; senate</t>
  </si>
  <si>
    <t xml:space="preserve">INS-408</t>
  </si>
  <si>
    <t xml:space="preserve">Caste</t>
  </si>
  <si>
    <t xml:space="preserve">Hereditary or ascribed status category organizing occupation, marriage, privilege, purity, and social mobility.</t>
  </si>
  <si>
    <t xml:space="preserve">caste; estate; birth order</t>
  </si>
  <si>
    <t xml:space="preserve">Do not flatten real-world caste systems into neutral fantasy flavor; record coercion and ideology.</t>
  </si>
  <si>
    <t xml:space="preserve">INS-409</t>
  </si>
  <si>
    <t xml:space="preserve">Estate or Social Order</t>
  </si>
  <si>
    <t xml:space="preserve">Legally recognized social stratum such as clergy, nobility, commoners, or magical citizens.</t>
  </si>
  <si>
    <t xml:space="preserve">estate; order; social rank</t>
  </si>
  <si>
    <t xml:space="preserve">INS-410</t>
  </si>
  <si>
    <t xml:space="preserve">Tribal Confederation</t>
  </si>
  <si>
    <t xml:space="preserve">Alliance of autonomous kin or local groups under shared leadership, ritual, defense, or migration.</t>
  </si>
  <si>
    <t xml:space="preserve">confederation; league; horde</t>
  </si>
  <si>
    <t xml:space="preserve">INS-411</t>
  </si>
  <si>
    <t xml:space="preserve">Secret Society</t>
  </si>
  <si>
    <t xml:space="preserve">Covert membership organization with hidden goals, rites, symbols, and influence.</t>
  </si>
  <si>
    <t xml:space="preserve">secret society; conspiracy; lodge</t>
  </si>
  <si>
    <t xml:space="preserve">INS-412</t>
  </si>
  <si>
    <t xml:space="preserve">Revolutionary Cell</t>
  </si>
  <si>
    <t xml:space="preserve">Small clandestine organization coordinating rebellion, sabotage, propaganda, and mutual security.</t>
  </si>
  <si>
    <t xml:space="preserve">rebel cell; resistance network</t>
  </si>
  <si>
    <t xml:space="preserve">INS-413</t>
  </si>
  <si>
    <t xml:space="preserve">Spy Network</t>
  </si>
  <si>
    <t xml:space="preserve">Distributed set of agents, handlers, informants, safe houses, and communication channels.</t>
  </si>
  <si>
    <t xml:space="preserve">spy ring; whisper network</t>
  </si>
  <si>
    <t xml:space="preserve">INS-414</t>
  </si>
  <si>
    <t xml:space="preserve">Criminal Syndicate</t>
  </si>
  <si>
    <t xml:space="preserve">Large illicit organization combining violence, trade, corruption, and territorial governance.</t>
  </si>
  <si>
    <t xml:space="preserve">syndicate; mafia-like house; cartel</t>
  </si>
  <si>
    <t xml:space="preserve">INS-415</t>
  </si>
  <si>
    <t xml:space="preserve">Thieves' Cant Network</t>
  </si>
  <si>
    <t xml:space="preserve">Loose underworld community linked by codes, fences, signals, reputation, and shared safe spaces.</t>
  </si>
  <si>
    <t xml:space="preserve">cant network; underworld fraternity</t>
  </si>
  <si>
    <t xml:space="preserve">INS-416</t>
  </si>
  <si>
    <t xml:space="preserve">Diaspora Network</t>
  </si>
  <si>
    <t xml:space="preserve">Translocal community maintaining identity, kinship, trade, ritual, and political ties across multiple societies.</t>
  </si>
  <si>
    <t xml:space="preserve">diaspora; exile network</t>
  </si>
  <si>
    <t xml:space="preserve">INS-417</t>
  </si>
  <si>
    <t xml:space="preserve">Household Retinue</t>
  </si>
  <si>
    <t xml:space="preserve">Personal body of servants, guards, advisers, artisans, and dependents attached to an elite patron.</t>
  </si>
  <si>
    <t xml:space="preserve">retinue; household; sworn companions</t>
  </si>
  <si>
    <t xml:space="preserve">INS-418</t>
  </si>
  <si>
    <t xml:space="preserve">Covenant Community</t>
  </si>
  <si>
    <t xml:space="preserve">Group bound by shared oath, supernatural contract, migration story, or sacred law.</t>
  </si>
  <si>
    <t xml:space="preserve">covenant; sworn people</t>
  </si>
  <si>
    <t xml:space="preserve">INS-419</t>
  </si>
  <si>
    <t xml:space="preserve">Hive Hierarchy</t>
  </si>
  <si>
    <t xml:space="preserve">Institutional organization based on biological caste, queen or core control, pheromonal coordination, or collective mind.</t>
  </si>
  <si>
    <t xml:space="preserve">hive; brood; swarm hierarchy</t>
  </si>
  <si>
    <t xml:space="preserve">INS-420</t>
  </si>
  <si>
    <t xml:space="preserve">Dungeon Faction</t>
  </si>
  <si>
    <t xml:space="preserve">Organized group inhabiting, controlling, exploiting, or surviving within a dungeon ecology.</t>
  </si>
  <si>
    <t xml:space="preserve">dungeon faction; floor society</t>
  </si>
  <si>
    <t xml:space="preserve">INS-421</t>
  </si>
  <si>
    <t xml:space="preserve">Interplanar Consortium</t>
  </si>
  <si>
    <t xml:space="preserve">Organization operating across worlds or planes through portals, trade, diplomacy, or conquest.</t>
  </si>
  <si>
    <t xml:space="preserve">planar league; multiversal company</t>
  </si>
  <si>
    <t xml:space="preserve">INS-422</t>
  </si>
  <si>
    <t xml:space="preserve">Adventuring Party</t>
  </si>
  <si>
    <t xml:space="preserve">Small task-oriented group whose complementary roles, bonds, and shared journey form a durable social unit.</t>
  </si>
  <si>
    <t xml:space="preserve">party; fellowship; hero band</t>
  </si>
  <si>
    <t xml:space="preserve">NAR-100</t>
  </si>
  <si>
    <t xml:space="preserve">Hero and Protagonist Archetypes</t>
  </si>
  <si>
    <t xml:space="preserve">Recurring protagonist identities, origins, burdens, and transformation arcs.</t>
  </si>
  <si>
    <t xml:space="preserve">Narrative function is not an in-world species, profession, morality, or game class.</t>
  </si>
  <si>
    <t xml:space="preserve">Supports comparative literary and media analysis across otherwise incompatible settings.</t>
  </si>
  <si>
    <t xml:space="preserve">NAR-200</t>
  </si>
  <si>
    <t xml:space="preserve">Companion, Mentor, and Party Archetypes</t>
  </si>
  <si>
    <t xml:space="preserve">Recurring functions within fellowships, teams, courts, and adventuring parties.</t>
  </si>
  <si>
    <t xml:space="preserve">NAR-300</t>
  </si>
  <si>
    <t xml:space="preserve">Antagonist and Threat Archetypes</t>
  </si>
  <si>
    <t xml:space="preserve">Recurring villain, monster, empire, corruption, and catastrophe roles.</t>
  </si>
  <si>
    <t xml:space="preserve">NAR-400</t>
  </si>
  <si>
    <t xml:space="preserve">Plot and Journey Archetypes</t>
  </si>
  <si>
    <t xml:space="preserve">Recurring quest structures, reversals, destinies, and forms of narrative progression.</t>
  </si>
  <si>
    <t xml:space="preserve">NAR-101</t>
  </si>
  <si>
    <t xml:space="preserve">Chosen One</t>
  </si>
  <si>
    <t xml:space="preserve">Protagonist marked by prophecy, lineage, divine selection, unique immunity, or exclusive capacity to resolve the central conflict.</t>
  </si>
  <si>
    <t xml:space="preserve">A character can occupy several narrative functions over time; record arc and point of view.</t>
  </si>
  <si>
    <t xml:space="preserve">chosen one; prophesied hero; selected savior</t>
  </si>
  <si>
    <t xml:space="preserve">Structures identification, growth, burden, agency, legitimacy, and transformation.</t>
  </si>
  <si>
    <t xml:space="preserve">NAR-102</t>
  </si>
  <si>
    <t xml:space="preserve">Reluctant Hero</t>
  </si>
  <si>
    <t xml:space="preserve">Protagonist who resists responsibility, danger, power, or public identity before accepting action.</t>
  </si>
  <si>
    <t xml:space="preserve">reluctant hero; unwilling champion</t>
  </si>
  <si>
    <t xml:space="preserve">NAR-103</t>
  </si>
  <si>
    <t xml:space="preserve">Ordinary Person Drawn into Wonder</t>
  </si>
  <si>
    <t xml:space="preserve">Protagonist from an apparently mundane life who enters a larger magical world.</t>
  </si>
  <si>
    <t xml:space="preserve">everyperson hero; portal-fantasy protagonist; unsuspecting traveler</t>
  </si>
  <si>
    <t xml:space="preserve">NAR-104</t>
  </si>
  <si>
    <t xml:space="preserve">Farmboy or Village-Origin Hero</t>
  </si>
  <si>
    <t xml:space="preserve">Low-status rural protagonist whose journey expands from local life to world-scale stakes.</t>
  </si>
  <si>
    <t xml:space="preserve">farmboy hero; village girl; shepherd prince</t>
  </si>
  <si>
    <t xml:space="preserve">NAR-105</t>
  </si>
  <si>
    <t xml:space="preserve">Orphan Hero</t>
  </si>
  <si>
    <t xml:space="preserve">Protagonist whose uncertain or severed family ties enable hidden lineage, independence, longing, or social marginality.</t>
  </si>
  <si>
    <t xml:space="preserve">orphan; foundling; abandoned heir</t>
  </si>
  <si>
    <t xml:space="preserve">NAR-106</t>
  </si>
  <si>
    <t xml:space="preserve">Hidden Royal or Secret Heir</t>
  </si>
  <si>
    <t xml:space="preserve">Protagonist whose concealed ancestry grants a claim, burden, target, or political destiny.</t>
  </si>
  <si>
    <t xml:space="preserve">secret prince; lost princess; hidden heir</t>
  </si>
  <si>
    <t xml:space="preserve">NAR-107</t>
  </si>
  <si>
    <t xml:space="preserve">Exiled Heir</t>
  </si>
  <si>
    <t xml:space="preserve">Dispossessed dynastic figure seeking survival, restoration, revenge, or a new identity.</t>
  </si>
  <si>
    <t xml:space="preserve">exiled prince; dispossessed queen; wandering heir</t>
  </si>
  <si>
    <t xml:space="preserve">NAR-108</t>
  </si>
  <si>
    <t xml:space="preserve">Returning King or Restorer</t>
  </si>
  <si>
    <t xml:space="preserve">Figure whose return promises legitimate order, healing, unification, or contested restoration.</t>
  </si>
  <si>
    <t xml:space="preserve">returning king; rightful ruler; restorer</t>
  </si>
  <si>
    <t xml:space="preserve">NAR-109</t>
  </si>
  <si>
    <t xml:space="preserve">Cursed Hero</t>
  </si>
  <si>
    <t xml:space="preserve">Protagonist whose power or destiny is inseparable from a damaging curse, corruption, hunger, or transformation.</t>
  </si>
  <si>
    <t xml:space="preserve">cursed warrior; doomed champion; monster within</t>
  </si>
  <si>
    <t xml:space="preserve">NAR-110</t>
  </si>
  <si>
    <t xml:space="preserve">Monster Protagonist</t>
  </si>
  <si>
    <t xml:space="preserve">Nonhuman or socially monstrous protagonist whose point of view challenges ordinary categories of personhood and threat.</t>
  </si>
  <si>
    <t xml:space="preserve">monster hero; nonhuman protagonist</t>
  </si>
  <si>
    <t xml:space="preserve">NAR-111</t>
  </si>
  <si>
    <t xml:space="preserve">Antihero</t>
  </si>
  <si>
    <t xml:space="preserve">Central figure whose methods, motives, virtues, or social identity conflict with conventional heroism.</t>
  </si>
  <si>
    <t xml:space="preserve">antihero; morally gray protagonist</t>
  </si>
  <si>
    <t xml:space="preserve">NAR-112</t>
  </si>
  <si>
    <t xml:space="preserve">Tragic Hero</t>
  </si>
  <si>
    <t xml:space="preserve">Protagonist whose greatness, flaw, obligation, or circumstances lead toward irreversible ruin.</t>
  </si>
  <si>
    <t xml:space="preserve">tragic hero; doomed hero</t>
  </si>
  <si>
    <t xml:space="preserve">NAR-113</t>
  </si>
  <si>
    <t xml:space="preserve">Fallen Hero</t>
  </si>
  <si>
    <t xml:space="preserve">Former champion who becomes compromised, corrupt, defeated, antagonistic, or unable to embody prior ideals.</t>
  </si>
  <si>
    <t xml:space="preserve">fallen hero; broken champion</t>
  </si>
  <si>
    <t xml:space="preserve">NAR-114</t>
  </si>
  <si>
    <t xml:space="preserve">Redeemed Villain</t>
  </si>
  <si>
    <t xml:space="preserve">Former antagonist who accepts responsibility, changes allegiance, or sacrifices for a better cause.</t>
  </si>
  <si>
    <t xml:space="preserve">redemption arc; former villain ally</t>
  </si>
  <si>
    <t xml:space="preserve">NAR-115</t>
  </si>
  <si>
    <t xml:space="preserve">Corrupted Champion</t>
  </si>
  <si>
    <t xml:space="preserve">Heroic figure gradually transformed into an agent of the threat they opposed.</t>
  </si>
  <si>
    <t xml:space="preserve">corrupted hero; dark champion; fallen paladin</t>
  </si>
  <si>
    <t xml:space="preserve">NAR-116</t>
  </si>
  <si>
    <t xml:space="preserve">Byronic or Brooding Hero</t>
  </si>
  <si>
    <t xml:space="preserve">Charismatic, isolated, transgressive protagonist marked by guilt, pride, secrecy, or destructive intensity.</t>
  </si>
  <si>
    <t xml:space="preserve">Byronic hero; brooding swordsman</t>
  </si>
  <si>
    <t xml:space="preserve">NAR-117</t>
  </si>
  <si>
    <t xml:space="preserve">Rogue with a Heart</t>
  </si>
  <si>
    <t xml:space="preserve">Self-interested thief, smuggler, mercenary, or trickster who repeatedly reveals loyalty and moral limits.</t>
  </si>
  <si>
    <t xml:space="preserve">lovable rogue; scoundrel hero</t>
  </si>
  <si>
    <t xml:space="preserve">NAR-118</t>
  </si>
  <si>
    <t xml:space="preserve">Naive Innocent</t>
  </si>
  <si>
    <t xml:space="preserve">Protagonist whose lack of worldly knowledge exposes corruption, renews wonder, or requires painful maturation.</t>
  </si>
  <si>
    <t xml:space="preserve">innocent; sheltered hero; pure heart</t>
  </si>
  <si>
    <t xml:space="preserve">NAR-119</t>
  </si>
  <si>
    <t xml:space="preserve">Last of Their Kind</t>
  </si>
  <si>
    <t xml:space="preserve">Character burdened by cultural extinction, unique biology, lost knowledge, or the end of a lineage.</t>
  </si>
  <si>
    <t xml:space="preserve">last survivor; final heir; lone immortal</t>
  </si>
  <si>
    <t xml:space="preserve">NAR-120</t>
  </si>
  <si>
    <t xml:space="preserve">Heir to a Dangerous Power</t>
  </si>
  <si>
    <t xml:space="preserve">Protagonist inherits an artifact, bloodline, throne, curse, enemy, or cosmic role they did not choose.</t>
  </si>
  <si>
    <t xml:space="preserve">burdened heir; legacy bearer</t>
  </si>
  <si>
    <t xml:space="preserve">NAR-121</t>
  </si>
  <si>
    <t xml:space="preserve">Sacrificial Hero</t>
  </si>
  <si>
    <t xml:space="preserve">Protagonist whose arc culminates in voluntary loss of life, power, identity, future, or relationship for others.</t>
  </si>
  <si>
    <t xml:space="preserve">martyr hero; self-sacrificing champion</t>
  </si>
  <si>
    <t xml:space="preserve">NAR-122</t>
  </si>
  <si>
    <t xml:space="preserve">Survivor Protagonist</t>
  </si>
  <si>
    <t xml:space="preserve">Central figure defined by endurance through catastrophe, war, abuse, exile, or civilizational collapse.</t>
  </si>
  <si>
    <t xml:space="preserve">survivor; last remnant; refugee hero</t>
  </si>
  <si>
    <t xml:space="preserve">NAR-123</t>
  </si>
  <si>
    <t xml:space="preserve">Revenge Seeker</t>
  </si>
  <si>
    <t xml:space="preserve">Protagonist whose journey is organized around retribution and the moral consequences of pursuing it.</t>
  </si>
  <si>
    <t xml:space="preserve">avenger; vengeance hero</t>
  </si>
  <si>
    <t xml:space="preserve">NAR-124</t>
  </si>
  <si>
    <t xml:space="preserve">Seeker of Knowledge</t>
  </si>
  <si>
    <t xml:space="preserve">Protagonist driven by mystery, forbidden truth, exploration, archaeology, or magical research.</t>
  </si>
  <si>
    <t xml:space="preserve">seeker; scholar hero; truth hunter</t>
  </si>
  <si>
    <t xml:space="preserve">NAR-125</t>
  </si>
  <si>
    <t xml:space="preserve">Pilgrim or Spiritual Seeker</t>
  </si>
  <si>
    <t xml:space="preserve">Protagonist whose external journey parallels transformation of faith, identity, or enlightenment.</t>
  </si>
  <si>
    <t xml:space="preserve">pilgrim; seeker; holy wanderer</t>
  </si>
  <si>
    <t xml:space="preserve">NAR-126</t>
  </si>
  <si>
    <t xml:space="preserve">Reincarnated Protagonist</t>
  </si>
  <si>
    <t xml:space="preserve">Protagonist begins a new life with some memory, advantage, regret, or unfinished purpose from a prior existence.</t>
  </si>
  <si>
    <t xml:space="preserve">reincarnator; second-life hero</t>
  </si>
  <si>
    <t xml:space="preserve">NAR-127</t>
  </si>
  <si>
    <t xml:space="preserve">Transmigrated or Isekai Protagonist</t>
  </si>
  <si>
    <t xml:space="preserve">Protagonist enters another world and interprets it through knowledge and identity from elsewhere.</t>
  </si>
  <si>
    <t xml:space="preserve">isekai hero; world traveler; summoned outsider</t>
  </si>
  <si>
    <t xml:space="preserve">NAR-128</t>
  </si>
  <si>
    <t xml:space="preserve">Protagonist returns to an earlier point with knowledge of a failed future and attempts to change events.</t>
  </si>
  <si>
    <t xml:space="preserve">regression hero; time returner</t>
  </si>
  <si>
    <t xml:space="preserve">NAR-129</t>
  </si>
  <si>
    <t xml:space="preserve">Time-Loop Protagonist</t>
  </si>
  <si>
    <t xml:space="preserve">Protagonist repeatedly experiences events, accumulating knowledge while facing psychological and causal constraints.</t>
  </si>
  <si>
    <t xml:space="preserve">loop hero; reset survivor</t>
  </si>
  <si>
    <t xml:space="preserve">NAR-130</t>
  </si>
  <si>
    <t xml:space="preserve">Overpowered Protagonist</t>
  </si>
  <si>
    <t xml:space="preserve">Central figure begins with or rapidly gains power that destabilizes ordinary conflict and shifts emphasis to identity, politics, or comedy.</t>
  </si>
  <si>
    <t xml:space="preserve">OP protagonist; invincible hero</t>
  </si>
  <si>
    <t xml:space="preserve">NAR-131</t>
  </si>
  <si>
    <t xml:space="preserve">Underdog</t>
  </si>
  <si>
    <t xml:space="preserve">Protagonist begins with low status, weak power, stigma, or structural disadvantage and advances through skill, allies, or persistence.</t>
  </si>
  <si>
    <t xml:space="preserve">underdog; weak-to-strong hero</t>
  </si>
  <si>
    <t xml:space="preserve">NAR-132</t>
  </si>
  <si>
    <t xml:space="preserve">False Chosen One</t>
  </si>
  <si>
    <t xml:space="preserve">Character is mistakenly or manipulatively identified as the prophesied savior, or the prophecy itself is subverted.</t>
  </si>
  <si>
    <t xml:space="preserve">false hero; mistaken chosen one</t>
  </si>
  <si>
    <t xml:space="preserve">NAR-133</t>
  </si>
  <si>
    <t xml:space="preserve">Multiple or Collective Protagonist</t>
  </si>
  <si>
    <t xml:space="preserve">Narrative distributes central agency across a party, family, army, city, or ensemble rather than one hero.</t>
  </si>
  <si>
    <t xml:space="preserve">ensemble cast; collective hero</t>
  </si>
  <si>
    <t xml:space="preserve">NAR-134</t>
  </si>
  <si>
    <t xml:space="preserve">Unreliable Protagonist</t>
  </si>
  <si>
    <t xml:space="preserve">Central viewpoint misperceives, conceals, forgets, or distorts key realities.</t>
  </si>
  <si>
    <t xml:space="preserve">unreliable narrator; fragmented hero</t>
  </si>
  <si>
    <t xml:space="preserve">NAR-135</t>
  </si>
  <si>
    <t xml:space="preserve">Villain Protagonist</t>
  </si>
  <si>
    <t xml:space="preserve">Narrative centers a ruler, conqueror, monster, criminal, or antagonist-coded figure without requiring moral rehabilitation.</t>
  </si>
  <si>
    <t xml:space="preserve">villain lead; demon lord protagonist</t>
  </si>
  <si>
    <t xml:space="preserve">NAR-136</t>
  </si>
  <si>
    <t xml:space="preserve">Dungeon-Lord Protagonist</t>
  </si>
  <si>
    <t xml:space="preserve">Central figure builds, governs, or embodies a dungeon and negotiates between management, ecology, defense, and conquest.</t>
  </si>
  <si>
    <t xml:space="preserve">dungeon core; dungeon master protagonist</t>
  </si>
  <si>
    <t xml:space="preserve">NAR-137</t>
  </si>
  <si>
    <t xml:space="preserve">Crafting or Builder Protagonist</t>
  </si>
  <si>
    <t xml:space="preserve">Central figure solves problems primarily through making, settlement, economy, food, or infrastructure rather than combat.</t>
  </si>
  <si>
    <t xml:space="preserve">crafter hero; kingdom builder; culinary protagonist</t>
  </si>
  <si>
    <t xml:space="preserve">NAR-138</t>
  </si>
  <si>
    <t xml:space="preserve">Healer Protagonist</t>
  </si>
  <si>
    <t xml:space="preserve">Central figure's primary power and moral conflict centers on care, restoration, triage, and the politics of healing.</t>
  </si>
  <si>
    <t xml:space="preserve">healer lead; saint protagonist</t>
  </si>
  <si>
    <t xml:space="preserve">NAR-139</t>
  </si>
  <si>
    <t xml:space="preserve">Noncombatant Witness</t>
  </si>
  <si>
    <t xml:space="preserve">Central figure lacks conventional heroic power but mediates events through observation, memory, diplomacy, or survival.</t>
  </si>
  <si>
    <t xml:space="preserve">witness; chronicler; ordinary observer</t>
  </si>
  <si>
    <t xml:space="preserve">NAR-201</t>
  </si>
  <si>
    <t xml:space="preserve">Wise Mentor</t>
  </si>
  <si>
    <t xml:space="preserve">Experienced guide who supplies knowledge, moral framing, training, and often exits so the hero must act independently.</t>
  </si>
  <si>
    <t xml:space="preserve">mentor; wise old teacher; sage guide</t>
  </si>
  <si>
    <t xml:space="preserve">Structures group chemistry, exposition, emotional balance, conflict, competence, and found family.</t>
  </si>
  <si>
    <t xml:space="preserve">NAR-202</t>
  </si>
  <si>
    <t xml:space="preserve">Warrior Mentor</t>
  </si>
  <si>
    <t xml:space="preserve">Veteran who trains martial skill, discipline, courage, and survival through embodied example.</t>
  </si>
  <si>
    <t xml:space="preserve">swordmaster mentor; old soldier</t>
  </si>
  <si>
    <t xml:space="preserve">NAR-203</t>
  </si>
  <si>
    <t xml:space="preserve">Trickster Mentor</t>
  </si>
  <si>
    <t xml:space="preserve">Teacher who uses riddles, deception, humiliation, paradox, or misdirection to provoke growth.</t>
  </si>
  <si>
    <t xml:space="preserve">trickster teacher; eccentric master</t>
  </si>
  <si>
    <t xml:space="preserve">NAR-204</t>
  </si>
  <si>
    <t xml:space="preserve">Corrupt or False Mentor</t>
  </si>
  <si>
    <t xml:space="preserve">Guide whose teaching conceals exploitation, ideological capture, betrayal, or self-serving design.</t>
  </si>
  <si>
    <t xml:space="preserve">false teacher; manipulative master</t>
  </si>
  <si>
    <t xml:space="preserve">NAR-205</t>
  </si>
  <si>
    <t xml:space="preserve">Guardian</t>
  </si>
  <si>
    <t xml:space="preserve">Protector whose primary narrative function is preserving the hero, place, relic, or community.</t>
  </si>
  <si>
    <t xml:space="preserve">guardian; protector; sworn shield</t>
  </si>
  <si>
    <t xml:space="preserve">NAR-206</t>
  </si>
  <si>
    <t xml:space="preserve">Threshold Guardian</t>
  </si>
  <si>
    <t xml:space="preserve">Figure or force that tests whether the hero may enter a new realm, status, truth, or stage.</t>
  </si>
  <si>
    <t xml:space="preserve">gatekeeper; threshold guardian; trial keeper</t>
  </si>
  <si>
    <t xml:space="preserve">NAR-207</t>
  </si>
  <si>
    <t xml:space="preserve">Herald</t>
  </si>
  <si>
    <t xml:space="preserve">Messenger or event that announces change and calls the protagonist into the larger conflict.</t>
  </si>
  <si>
    <t xml:space="preserve">herald; summons; bearer of news</t>
  </si>
  <si>
    <t xml:space="preserve">NAR-208</t>
  </si>
  <si>
    <t xml:space="preserve">Loyal Companion</t>
  </si>
  <si>
    <t xml:space="preserve">Steadfast ally whose constancy, affection, or practical support anchors the protagonist.</t>
  </si>
  <si>
    <t xml:space="preserve">faithful friend; companion; sidekick</t>
  </si>
  <si>
    <t xml:space="preserve">NAR-209</t>
  </si>
  <si>
    <t xml:space="preserve">Lancer or Second-in-Command</t>
  </si>
  <si>
    <t xml:space="preserve">Capable contrasting partner who challenges the leader and often embodies an alternate method or worldview.</t>
  </si>
  <si>
    <t xml:space="preserve">lancer; lieutenant; rival ally</t>
  </si>
  <si>
    <t xml:space="preserve">NAR-210</t>
  </si>
  <si>
    <t xml:space="preserve">Heart of the Group</t>
  </si>
  <si>
    <t xml:space="preserve">Member who sustains empathy, cohesion, hope, and moral connection among more instrumental allies.</t>
  </si>
  <si>
    <t xml:space="preserve">heart; emotional center; peacemaker</t>
  </si>
  <si>
    <t xml:space="preserve">NAR-211</t>
  </si>
  <si>
    <t xml:space="preserve">Brains or Strategist</t>
  </si>
  <si>
    <t xml:space="preserve">Member who contributes planning, scholarship, invention, or analysis rather than primary force.</t>
  </si>
  <si>
    <t xml:space="preserve">brains; tactician; scholar</t>
  </si>
  <si>
    <t xml:space="preserve">NAR-212</t>
  </si>
  <si>
    <t xml:space="preserve">Muscle or Heavy</t>
  </si>
  <si>
    <t xml:space="preserve">Member whose role is physical force, intimidation, carrying capacity, and protection.</t>
  </si>
  <si>
    <t xml:space="preserve">muscle; bruiser; strong one</t>
  </si>
  <si>
    <t xml:space="preserve">NAR-213</t>
  </si>
  <si>
    <t xml:space="preserve">Healer or Caregiver</t>
  </si>
  <si>
    <t xml:space="preserve">Member who restores bodies, morale, and relationships and often sees costs ignored by warriors.</t>
  </si>
  <si>
    <t xml:space="preserve">healer; medic; caregiver</t>
  </si>
  <si>
    <t xml:space="preserve">NAR-214</t>
  </si>
  <si>
    <t xml:space="preserve">Rogue Specialist</t>
  </si>
  <si>
    <t xml:space="preserve">Member who opens locks, scouts, infiltrates, deceives, and operates in morally flexible spaces.</t>
  </si>
  <si>
    <t xml:space="preserve">rogue; thief; scout</t>
  </si>
  <si>
    <t xml:space="preserve">NAR-215</t>
  </si>
  <si>
    <t xml:space="preserve">Mage Specialist</t>
  </si>
  <si>
    <t xml:space="preserve">Member whose magic solves problems beyond ordinary physical capability and often introduces metaphysical risk.</t>
  </si>
  <si>
    <t xml:space="preserve">wizard; caster; magical expert</t>
  </si>
  <si>
    <t xml:space="preserve">NAR-216</t>
  </si>
  <si>
    <t xml:space="preserve">Comic Relief</t>
  </si>
  <si>
    <t xml:space="preserve">Member who releases tension, exposes absurdity, humanizes the group, or masks deeper pain.</t>
  </si>
  <si>
    <t xml:space="preserve">comic relief; fool; jester companion</t>
  </si>
  <si>
    <t xml:space="preserve">NAR-217</t>
  </si>
  <si>
    <t xml:space="preserve">Innocent or Child Figure</t>
  </si>
  <si>
    <t xml:space="preserve">Member whose vulnerability, wonder, or moral clarity alters the group's behavior.</t>
  </si>
  <si>
    <t xml:space="preserve">child companion; innocent; ward</t>
  </si>
  <si>
    <t xml:space="preserve">NAR-218</t>
  </si>
  <si>
    <t xml:space="preserve">Mascot Companion</t>
  </si>
  <si>
    <t xml:space="preserve">Small, distinctive, often nonhuman ally serving emotional, comic, branding, or hidden-power functions.</t>
  </si>
  <si>
    <t xml:space="preserve">mascot; familiar; cute companion</t>
  </si>
  <si>
    <t xml:space="preserve">NAR-219</t>
  </si>
  <si>
    <t xml:space="preserve">Animal Companion</t>
  </si>
  <si>
    <t xml:space="preserve">Nonhuman ally whose bond with a character provides loyalty, senses, mobility, symbolism, or combat support.</t>
  </si>
  <si>
    <t xml:space="preserve">animal companion; bonded beast; mount</t>
  </si>
  <si>
    <t xml:space="preserve">NAR-220</t>
  </si>
  <si>
    <t xml:space="preserve">Rival</t>
  </si>
  <si>
    <t xml:space="preserve">Character pursuing similar goals whose competition drives skill, identity, jealousy, or mutual recognition.</t>
  </si>
  <si>
    <t xml:space="preserve">rival; competitor; opposing champion</t>
  </si>
  <si>
    <t xml:space="preserve">NAR-221</t>
  </si>
  <si>
    <t xml:space="preserve">Foil</t>
  </si>
  <si>
    <t xml:space="preserve">Character constructed to highlight another character's traits through contrast or parallel.</t>
  </si>
  <si>
    <t xml:space="preserve">foil; mirror character</t>
  </si>
  <si>
    <t xml:space="preserve">NAR-222</t>
  </si>
  <si>
    <t xml:space="preserve">Ambiguous Ally</t>
  </si>
  <si>
    <t xml:space="preserve">Helper whose motives, loyalties, identity, or future betrayal remain uncertain.</t>
  </si>
  <si>
    <t xml:space="preserve">shapeshifter ally; questionable companion</t>
  </si>
  <si>
    <t xml:space="preserve">NAR-223</t>
  </si>
  <si>
    <t xml:space="preserve">Betrayer</t>
  </si>
  <si>
    <t xml:space="preserve">Trusted member whose defection, deception, or divided loyalty reorganizes the conflict.</t>
  </si>
  <si>
    <t xml:space="preserve">traitor; betrayer; turncoat</t>
  </si>
  <si>
    <t xml:space="preserve">NAR-224</t>
  </si>
  <si>
    <t xml:space="preserve">Double Agent</t>
  </si>
  <si>
    <t xml:space="preserve">Character simultaneously embedded in opposed factions, creating divided identity and information asymmetry.</t>
  </si>
  <si>
    <t xml:space="preserve">double agent; mole; secret loyalist</t>
  </si>
  <si>
    <t xml:space="preserve">NAR-225</t>
  </si>
  <si>
    <t xml:space="preserve">Redeemed Enemy Ally</t>
  </si>
  <si>
    <t xml:space="preserve">Former opponent who joins the group and must negotiate trust, guilt, and different values.</t>
  </si>
  <si>
    <t xml:space="preserve">enemy-to-ally; redeemed antagonist</t>
  </si>
  <si>
    <t xml:space="preserve">NAR-226</t>
  </si>
  <si>
    <t xml:space="preserve">Old Friend from the Past</t>
  </si>
  <si>
    <t xml:space="preserve">Character whose prior bond reveals history, unresolved debt, or a version of the protagonist before the story.</t>
  </si>
  <si>
    <t xml:space="preserve">old companion; childhood friend; former comrade</t>
  </si>
  <si>
    <t xml:space="preserve">NAR-227</t>
  </si>
  <si>
    <t xml:space="preserve">Royal or Political Companion</t>
  </si>
  <si>
    <t xml:space="preserve">Party member whose status connects the journey to governance, succession, diplomacy, or public legitimacy.</t>
  </si>
  <si>
    <t xml:space="preserve">prince companion; noble hostage; envoy</t>
  </si>
  <si>
    <t xml:space="preserve">NAR-228</t>
  </si>
  <si>
    <t xml:space="preserve">Guide to the Otherworld</t>
  </si>
  <si>
    <t xml:space="preserve">Local or liminal companion who interprets an unfamiliar culture, realm, species, or magical system.</t>
  </si>
  <si>
    <t xml:space="preserve">guide; cultural mediator; Virgil figure</t>
  </si>
  <si>
    <t xml:space="preserve">NAR-229</t>
  </si>
  <si>
    <t xml:space="preserve">Chronicler</t>
  </si>
  <si>
    <t xml:space="preserve">Companion who records, narrates, memorializes, or mythologizes the group's deeds.</t>
  </si>
  <si>
    <t xml:space="preserve">chronicler; bard; witness</t>
  </si>
  <si>
    <t xml:space="preserve">NAR-230</t>
  </si>
  <si>
    <t xml:space="preserve">Member responsible for decisions, coordination, trust, and burden allocation rather than necessarily being strongest.</t>
  </si>
  <si>
    <t xml:space="preserve">leader; captain; face</t>
  </si>
  <si>
    <t xml:space="preserve">NAR-231</t>
  </si>
  <si>
    <t xml:space="preserve">The Fellowship</t>
  </si>
  <si>
    <t xml:space="preserve">Complementary group united by a shared quest, oath, threat, or artifact-bearing mission.</t>
  </si>
  <si>
    <t xml:space="preserve">fellowship; hero party; adventuring band</t>
  </si>
  <si>
    <t xml:space="preserve">NAR-232</t>
  </si>
  <si>
    <t xml:space="preserve">Found Family</t>
  </si>
  <si>
    <t xml:space="preserve">Group whose emotional bonds become a substitute or alternative to biological kinship.</t>
  </si>
  <si>
    <t xml:space="preserve">found family; chosen family; crew</t>
  </si>
  <si>
    <t xml:space="preserve">NAR-233</t>
  </si>
  <si>
    <t xml:space="preserve">Dysfunctional Party</t>
  </si>
  <si>
    <t xml:space="preserve">Group held together by necessity despite conflict, secrecy, incompatible values, or unstable roles.</t>
  </si>
  <si>
    <t xml:space="preserve">ragtag band; broken fellowship; reluctant allies</t>
  </si>
  <si>
    <t xml:space="preserve">NAR-234</t>
  </si>
  <si>
    <t xml:space="preserve">Rotating Ensemble</t>
  </si>
  <si>
    <t xml:space="preserve">Narrative structure where party membership changes across arcs, locations, generations, or strategic needs.</t>
  </si>
  <si>
    <t xml:space="preserve">rotating cast; recruitable party</t>
  </si>
  <si>
    <t xml:space="preserve">NAR-235</t>
  </si>
  <si>
    <t xml:space="preserve">Generational Fellowship</t>
  </si>
  <si>
    <t xml:space="preserve">Quest or conflict carried by successors, descendants, reincarnations, or multiple eras of heroes.</t>
  </si>
  <si>
    <t xml:space="preserve">legacy party; generational saga</t>
  </si>
  <si>
    <t xml:space="preserve">NAR-301</t>
  </si>
  <si>
    <t xml:space="preserve">Dark Lord</t>
  </si>
  <si>
    <t xml:space="preserve">Central sovereign antagonist embodying domination, conquest, corruption, or concentrated metaphysical evil.</t>
  </si>
  <si>
    <t xml:space="preserve">dark lord; shadow king; evil overlord</t>
  </si>
  <si>
    <t xml:space="preserve">Structures conflict, fear, political critique, temptation, apocalypse, and moral contrast.</t>
  </si>
  <si>
    <t xml:space="preserve">NAR-302</t>
  </si>
  <si>
    <t xml:space="preserve">Antagonist ruling demons, monsters, or a dark realm and often positioned against a designated hero.</t>
  </si>
  <si>
    <t xml:space="preserve">demon king; maou; archfiend ruler</t>
  </si>
  <si>
    <t xml:space="preserve">NAR-303</t>
  </si>
  <si>
    <t xml:space="preserve">Tyrant</t>
  </si>
  <si>
    <t xml:space="preserve">Ruler whose oppression, fear, extraction, and violence define the political conflict.</t>
  </si>
  <si>
    <t xml:space="preserve">tyrant; despot; cruel king</t>
  </si>
  <si>
    <t xml:space="preserve">NAR-304</t>
  </si>
  <si>
    <t xml:space="preserve">Usurper</t>
  </si>
  <si>
    <t xml:space="preserve">Figure who has seized a throne, title, identity, or sacred office considered illegitimate.</t>
  </si>
  <si>
    <t xml:space="preserve">usurper; false king; throne thief</t>
  </si>
  <si>
    <t xml:space="preserve">NAR-305</t>
  </si>
  <si>
    <t xml:space="preserve">Witch Queen or Sorcerous Sovereign</t>
  </si>
  <si>
    <t xml:space="preserve">Powerful female-coded ruler whose magic, autonomy, sexuality, age, or ambition is framed as threat or fascination.</t>
  </si>
  <si>
    <t xml:space="preserve">witch queen; sorceress-empress; ice queen</t>
  </si>
  <si>
    <t xml:space="preserve">Analyze gendered framing rather than treating the archetype as a neutral villain type.</t>
  </si>
  <si>
    <t xml:space="preserve">NAR-306</t>
  </si>
  <si>
    <t xml:space="preserve">Necromancer King</t>
  </si>
  <si>
    <t xml:space="preserve">Ruler whose sovereignty rests on undeath, death magic, tomb empires, or armies of the dead.</t>
  </si>
  <si>
    <t xml:space="preserve">lich king; necromancer lord; death emperor</t>
  </si>
  <si>
    <t xml:space="preserve">NAR-307</t>
  </si>
  <si>
    <t xml:space="preserve">Fallen God</t>
  </si>
  <si>
    <t xml:space="preserve">Former or diminished deity whose grievance, corruption, exile, or return threatens the world.</t>
  </si>
  <si>
    <t xml:space="preserve">fallen deity; mad god; imprisoned god</t>
  </si>
  <si>
    <t xml:space="preserve">NAR-308</t>
  </si>
  <si>
    <t xml:space="preserve">Ancient Evil</t>
  </si>
  <si>
    <t xml:space="preserve">Threat from a prior age whose return reveals suppressed history and unfinished conflict.</t>
  </si>
  <si>
    <t xml:space="preserve">ancient evil; elder darkness; old enemy</t>
  </si>
  <si>
    <t xml:space="preserve">NAR-309</t>
  </si>
  <si>
    <t xml:space="preserve">Sealed Evil</t>
  </si>
  <si>
    <t xml:space="preserve">Antagonist contained rather than destroyed and released through error, design, or cyclical necessity.</t>
  </si>
  <si>
    <t xml:space="preserve">sealed demon; sleeping evil; broken prison</t>
  </si>
  <si>
    <t xml:space="preserve">NAR-310</t>
  </si>
  <si>
    <t xml:space="preserve">Cosmic Horror</t>
  </si>
  <si>
    <t xml:space="preserve">Threat whose ontology, scale, or indifference destabilizes ordinary identity, morality, and comprehension.</t>
  </si>
  <si>
    <t xml:space="preserve">eldritch threat; outer god; incomprehensible enemy</t>
  </si>
  <si>
    <t xml:space="preserve">NAR-311</t>
  </si>
  <si>
    <t xml:space="preserve">Corrupting Artifact</t>
  </si>
  <si>
    <t xml:space="preserve">Object that tempts, dominates, transforms, or concentrates destructive power around its bearer.</t>
  </si>
  <si>
    <t xml:space="preserve">cursed ring; evil sword; dark relic</t>
  </si>
  <si>
    <t xml:space="preserve">NAR-312</t>
  </si>
  <si>
    <t xml:space="preserve">Corrupted Hero Antagonist</t>
  </si>
  <si>
    <t xml:space="preserve">Former champion now serving the enemy, curse, ideology, or power they once opposed.</t>
  </si>
  <si>
    <t xml:space="preserve">fallen champion; dark mirror; corrupted paladin</t>
  </si>
  <si>
    <t xml:space="preserve">NAR-313</t>
  </si>
  <si>
    <t xml:space="preserve">Mirror Rival</t>
  </si>
  <si>
    <t xml:space="preserve">Antagonist with parallel origin, power, or goal who embodies the protagonist's rejected path.</t>
  </si>
  <si>
    <t xml:space="preserve">dark reflection; rival; shadow self</t>
  </si>
  <si>
    <t xml:space="preserve">NAR-314</t>
  </si>
  <si>
    <t xml:space="preserve">Dragon Adversary</t>
  </si>
  <si>
    <t xml:space="preserve">Dragon functioning as hoarder, destroyer, tyrant, ecological catastrophe, or final trial.</t>
  </si>
  <si>
    <t xml:space="preserve">dragon villain; wyrm tyrant</t>
  </si>
  <si>
    <t xml:space="preserve">NAR-315</t>
  </si>
  <si>
    <t xml:space="preserve">Dragon Mentor or Hidden Sovereign</t>
  </si>
  <si>
    <t xml:space="preserve">Dragon whose age and power make it patron, teacher, judge, ruler, or morally ambiguous custodian.</t>
  </si>
  <si>
    <t xml:space="preserve">wise dragon; dragon patron</t>
  </si>
  <si>
    <t xml:space="preserve">NAR-316</t>
  </si>
  <si>
    <t xml:space="preserve">Monster Horde</t>
  </si>
  <si>
    <t xml:space="preserve">Mass antagonist framed as overwhelming, depersonalized, reproducing, invading, or civilizationally alien.</t>
  </si>
  <si>
    <t xml:space="preserve">horde; swarm; monster army</t>
  </si>
  <si>
    <t xml:space="preserve">Examine dehumanization and racial coding when peoples are rendered as anonymous hordes.</t>
  </si>
  <si>
    <t xml:space="preserve">NAR-317</t>
  </si>
  <si>
    <t xml:space="preserve">Evil Empire</t>
  </si>
  <si>
    <t xml:space="preserve">Expansionist state whose institutions, army, ideology, and extraction produce the conflict.</t>
  </si>
  <si>
    <t xml:space="preserve">dark empire; imperial antagonist</t>
  </si>
  <si>
    <t xml:space="preserve">NAR-318</t>
  </si>
  <si>
    <t xml:space="preserve">Decadent Court</t>
  </si>
  <si>
    <t xml:space="preserve">Elite political order whose corruption, intrigue, spectacle, and detachment endanger society.</t>
  </si>
  <si>
    <t xml:space="preserve">corrupt court; decadent aristocracy</t>
  </si>
  <si>
    <t xml:space="preserve">NAR-319</t>
  </si>
  <si>
    <t xml:space="preserve">Fanatical Theocracy</t>
  </si>
  <si>
    <t xml:space="preserve">Religious state or movement whose certainty licenses persecution, war, or suppression.</t>
  </si>
  <si>
    <t xml:space="preserve">zealot regime; holy empire</t>
  </si>
  <si>
    <t xml:space="preserve">NAR-320</t>
  </si>
  <si>
    <t xml:space="preserve">Mage Tyranny</t>
  </si>
  <si>
    <t xml:space="preserve">Rule by magic users who monopolize supernatural power and subordinate nonusers.</t>
  </si>
  <si>
    <t xml:space="preserve">mageocracy villain; sorcerer caste</t>
  </si>
  <si>
    <t xml:space="preserve">NAR-321</t>
  </si>
  <si>
    <t xml:space="preserve">Machine or Construct Overlord</t>
  </si>
  <si>
    <t xml:space="preserve">Artificial intelligence, golem ruler, dungeon core, or automated system that dominates living beings.</t>
  </si>
  <si>
    <t xml:space="preserve">machine lord; construct tyrant; control system</t>
  </si>
  <si>
    <t xml:space="preserve">NAR-322</t>
  </si>
  <si>
    <t xml:space="preserve">Hive Mind Threat</t>
  </si>
  <si>
    <t xml:space="preserve">Collective intelligence that erases individuality, assimilates populations, or overwhelms through coordination.</t>
  </si>
  <si>
    <t xml:space="preserve">hive mind; swarm queen; collective enemy</t>
  </si>
  <si>
    <t xml:space="preserve">NAR-323</t>
  </si>
  <si>
    <t xml:space="preserve">Plague or Corruption</t>
  </si>
  <si>
    <t xml:space="preserve">Impersonal spreading threat that transforms bodies, landscapes, institutions, and loyalties.</t>
  </si>
  <si>
    <t xml:space="preserve">blight; plague; taint; corruption</t>
  </si>
  <si>
    <t xml:space="preserve">NAR-324</t>
  </si>
  <si>
    <t xml:space="preserve">False Savior</t>
  </si>
  <si>
    <t xml:space="preserve">Charismatic figure claiming or appearing to save society while advancing domination, sacrifice, or deception.</t>
  </si>
  <si>
    <t xml:space="preserve">false messiah; benevolent tyrant; savior villain</t>
  </si>
  <si>
    <t xml:space="preserve">NAR-325</t>
  </si>
  <si>
    <t xml:space="preserve">Cult Leader</t>
  </si>
  <si>
    <t xml:space="preserve">Antagonist who converts devotion, secrecy, charisma, and ritual into power and control.</t>
  </si>
  <si>
    <t xml:space="preserve">cult leader; prophet villain; high priest</t>
  </si>
  <si>
    <t xml:space="preserve">NAR-326</t>
  </si>
  <si>
    <t xml:space="preserve">Mad Wizard</t>
  </si>
  <si>
    <t xml:space="preserve">Powerful practitioner whose obsession, isolation, grief, ideology, or experiment threatens others.</t>
  </si>
  <si>
    <t xml:space="preserve">mad mage; reckless artificer; forbidden scholar</t>
  </si>
  <si>
    <t xml:space="preserve">Avoid equating mental illness with evil; identify the actual motive and narrative mechanism.</t>
  </si>
  <si>
    <t xml:space="preserve">NAR-327</t>
  </si>
  <si>
    <t xml:space="preserve">Trickster Antagonist</t>
  </si>
  <si>
    <t xml:space="preserve">Opponent who destabilizes through riddles, deception, games, contracts, or humiliation rather than conquest.</t>
  </si>
  <si>
    <t xml:space="preserve">trickster villain; fae adversary; game master</t>
  </si>
  <si>
    <t xml:space="preserve">NAR-328</t>
  </si>
  <si>
    <t xml:space="preserve">Predatory Aristocrat</t>
  </si>
  <si>
    <t xml:space="preserve">Elite antagonist who consumes, exploits, hunts, or treats others as property, often coded as vampire or decadent noble.</t>
  </si>
  <si>
    <t xml:space="preserve">vampire lord; cruel noble; hunter aristocrat</t>
  </si>
  <si>
    <t xml:space="preserve">NAR-329</t>
  </si>
  <si>
    <t xml:space="preserve">Sympathetic Monster</t>
  </si>
  <si>
    <t xml:space="preserve">Antagonist whose violence coexists with understandable need, persecution, grief, or incompatible ecology.</t>
  </si>
  <si>
    <t xml:space="preserve">tragic monster; misunderstood beast</t>
  </si>
  <si>
    <t xml:space="preserve">NAR-330</t>
  </si>
  <si>
    <t xml:space="preserve">Unstoppable Hunter</t>
  </si>
  <si>
    <t xml:space="preserve">Relentless pursuer whose narrow purpose, superior power, or supernatural tracking drives suspense.</t>
  </si>
  <si>
    <t xml:space="preserve">nemesis; dark rider; bounty hunter</t>
  </si>
  <si>
    <t xml:space="preserve">NAR-331</t>
  </si>
  <si>
    <t xml:space="preserve">Body-Snatcher</t>
  </si>
  <si>
    <t xml:space="preserve">Threat that steals appearances, bodies, memories, or social positions and destroys trust.</t>
  </si>
  <si>
    <t xml:space="preserve">doppelganger threat; infiltrator; parasite</t>
  </si>
  <si>
    <t xml:space="preserve">NAR-332</t>
  </si>
  <si>
    <t xml:space="preserve">Possessor or Tempter</t>
  </si>
  <si>
    <t xml:space="preserve">Entity that conquers through desire, bargains, addiction, or occupation of the body.</t>
  </si>
  <si>
    <t xml:space="preserve">possessing demon; tempter; patron villain</t>
  </si>
  <si>
    <t xml:space="preserve">NAR-333</t>
  </si>
  <si>
    <t xml:space="preserve">World-Eater</t>
  </si>
  <si>
    <t xml:space="preserve">Entity or force that consumes worlds, gods, magic, souls, timelines, or reality itself.</t>
  </si>
  <si>
    <t xml:space="preserve">world eater; devourer; apocalypse beast</t>
  </si>
  <si>
    <t xml:space="preserve">NAR-334</t>
  </si>
  <si>
    <t xml:space="preserve">Nature's Revenge</t>
  </si>
  <si>
    <t xml:space="preserve">Ecological, divine, or spirit antagonist arising from exploitation, imbalance, desecration, or human expansion.</t>
  </si>
  <si>
    <t xml:space="preserve">vengeful forest; wrathful land; eco-apocalypse</t>
  </si>
  <si>
    <t xml:space="preserve">NAR-335</t>
  </si>
  <si>
    <t xml:space="preserve">Colonial or Imperial Invader</t>
  </si>
  <si>
    <t xml:space="preserve">Outside power that conquers territory, suppresses culture, extracts resources, and redraws identity.</t>
  </si>
  <si>
    <t xml:space="preserve">invader; colonizer; occupying empire</t>
  </si>
  <si>
    <t xml:space="preserve">NAR-336</t>
  </si>
  <si>
    <t xml:space="preserve">Internal Traitor</t>
  </si>
  <si>
    <t xml:space="preserve">Trusted insider who enables catastrophe through betrayal, ideology, coercion, or ambition.</t>
  </si>
  <si>
    <t xml:space="preserve">traitor; conspirator; turncloak</t>
  </si>
  <si>
    <t xml:space="preserve">NAR-337</t>
  </si>
  <si>
    <t xml:space="preserve">Rival Adventuring Party</t>
  </si>
  <si>
    <t xml:space="preserve">Competing group that mirrors the protagonists and contests quests, rewards, reputation, or morality.</t>
  </si>
  <si>
    <t xml:space="preserve">rival party; opposing guild team</t>
  </si>
  <si>
    <t xml:space="preserve">NAR-338</t>
  </si>
  <si>
    <t xml:space="preserve">Dungeon as Antagonist</t>
  </si>
  <si>
    <t xml:space="preserve">A site or system itself behaves as adaptive, hostile, hungry, sentient, or structurally exploitative.</t>
  </si>
  <si>
    <t xml:space="preserve">living dungeon; death maze; hostile world</t>
  </si>
  <si>
    <t xml:space="preserve">NAR-339</t>
  </si>
  <si>
    <t xml:space="preserve">Inevitable Catastrophe</t>
  </si>
  <si>
    <t xml:space="preserve">Threat such as winter, flood, eclipse, conjunction, or magical cycle that cannot be defeated in ordinary personal combat.</t>
  </si>
  <si>
    <t xml:space="preserve">long winter; convergence; apocalypse cycle</t>
  </si>
  <si>
    <t xml:space="preserve">NAR-340</t>
  </si>
  <si>
    <t xml:space="preserve">Ideology as Antagonist</t>
  </si>
  <si>
    <t xml:space="preserve">The central threat is a doctrine, social order, prejudice, or incentive system embodied by many actors rather than one villain.</t>
  </si>
  <si>
    <t xml:space="preserve">systemic evil; oppressive ideology; caste order</t>
  </si>
  <si>
    <t xml:space="preserve">NAR-401</t>
  </si>
  <si>
    <t xml:space="preserve">Quest for a Relic</t>
  </si>
  <si>
    <t xml:space="preserve">Characters seek, destroy, deliver, assemble, or understand an object of exceptional power.</t>
  </si>
  <si>
    <t xml:space="preserve">artifact quest; relic hunt; ring quest</t>
  </si>
  <si>
    <t xml:space="preserve">Structures quests, arcs, genre expectations, causality, escalation, and world transformation.</t>
  </si>
  <si>
    <t xml:space="preserve">NAR-402</t>
  </si>
  <si>
    <t xml:space="preserve">Destroy the Artifact</t>
  </si>
  <si>
    <t xml:space="preserve">The only viable solution is to unmake or return a dangerous object rather than wield it.</t>
  </si>
  <si>
    <t xml:space="preserve">destroy the ring; unmake the weapon</t>
  </si>
  <si>
    <t xml:space="preserve">NAR-403</t>
  </si>
  <si>
    <t xml:space="preserve">Collect the Fragments</t>
  </si>
  <si>
    <t xml:space="preserve">Power, identity, map, weapon, or seal must be reconstructed from dispersed components.</t>
  </si>
  <si>
    <t xml:space="preserve">shard quest; collectathon; broken crown</t>
  </si>
  <si>
    <t xml:space="preserve">NAR-404</t>
  </si>
  <si>
    <t xml:space="preserve">Rescue Quest</t>
  </si>
  <si>
    <t xml:space="preserve">Characters seek to recover a captive, missing person, stolen soul, or endangered community.</t>
  </si>
  <si>
    <t xml:space="preserve">rescue; save the princess; recover the child</t>
  </si>
  <si>
    <t xml:space="preserve">NAR-405</t>
  </si>
  <si>
    <t xml:space="preserve">Reclaim the Throne</t>
  </si>
  <si>
    <t xml:space="preserve">A dispossessed claimant seeks restoration, legitimacy, or transformation of the monarchy.</t>
  </si>
  <si>
    <t xml:space="preserve">restoration quest; return of the king</t>
  </si>
  <si>
    <t xml:space="preserve">NAR-406</t>
  </si>
  <si>
    <t xml:space="preserve">Slay the Monster</t>
  </si>
  <si>
    <t xml:space="preserve">Community or hero confronts a singular predator, dragon, demon, or legendary beast.</t>
  </si>
  <si>
    <t xml:space="preserve">monster hunt; dragon slaying</t>
  </si>
  <si>
    <t xml:space="preserve">NAR-407</t>
  </si>
  <si>
    <t xml:space="preserve">Defeat the Dark Lord</t>
  </si>
  <si>
    <t xml:space="preserve">A coalition or chosen hero seeks to overthrow a central sovereign antagonist.</t>
  </si>
  <si>
    <t xml:space="preserve">hero versus demon lord; final confrontation</t>
  </si>
  <si>
    <t xml:space="preserve">NAR-408</t>
  </si>
  <si>
    <t xml:space="preserve">Seal or Banish the Threat</t>
  </si>
  <si>
    <t xml:space="preserve">The antagonist cannot be killed conventionally and must be contained, exiled, or returned.</t>
  </si>
  <si>
    <t xml:space="preserve">sealing; banishment; prison restoration</t>
  </si>
  <si>
    <t xml:space="preserve">NAR-409</t>
  </si>
  <si>
    <t xml:space="preserve">Journey to the Otherworld</t>
  </si>
  <si>
    <t xml:space="preserve">Characters cross into faerie, underworld, dream, spirit, divine, or alien realms and return changed.</t>
  </si>
  <si>
    <t xml:space="preserve">katabasis; faerie journey; spirit world</t>
  </si>
  <si>
    <t xml:space="preserve">NAR-410</t>
  </si>
  <si>
    <t xml:space="preserve">Descent into the Underworld</t>
  </si>
  <si>
    <t xml:space="preserve">A living character enters the realm of the dead to recover knowledge, person, power, or self.</t>
  </si>
  <si>
    <t xml:space="preserve">katabasis; underworld quest</t>
  </si>
  <si>
    <t xml:space="preserve">The term has classical roots but comparable descent narratives occur widely; avoid assuming direct influence.</t>
  </si>
  <si>
    <t xml:space="preserve">NAR-411</t>
  </si>
  <si>
    <t xml:space="preserve">Pilgrimage</t>
  </si>
  <si>
    <t xml:space="preserve">Travel to sacred places organizes spiritual, social, and political transformation.</t>
  </si>
  <si>
    <t xml:space="preserve">pilgrimage; holy journey</t>
  </si>
  <si>
    <t xml:space="preserve">NAR-412</t>
  </si>
  <si>
    <t xml:space="preserve">Tournament Arc</t>
  </si>
  <si>
    <t xml:space="preserve">Formal competition structures conflict, ranking, spectacle, alliances, and revelation of techniques.</t>
  </si>
  <si>
    <t xml:space="preserve">tournament; trials; arena arc</t>
  </si>
  <si>
    <t xml:space="preserve">NAR-413</t>
  </si>
  <si>
    <t xml:space="preserve">Training Arc</t>
  </si>
  <si>
    <t xml:space="preserve">Narrative pauses or reorganizes around acquiring skills, discipline, insight, or mastery.</t>
  </si>
  <si>
    <t xml:space="preserve">training sequence; apprenticeship; cultivation retreat</t>
  </si>
  <si>
    <t xml:space="preserve">NAR-414</t>
  </si>
  <si>
    <t xml:space="preserve">Heist</t>
  </si>
  <si>
    <t xml:space="preserve">A team plans and executes the theft, substitution, rescue, or sabotage of a highly protected target.</t>
  </si>
  <si>
    <t xml:space="preserve">heist; caper; infiltration mission</t>
  </si>
  <si>
    <t xml:space="preserve">NAR-415</t>
  </si>
  <si>
    <t xml:space="preserve">Siege</t>
  </si>
  <si>
    <t xml:space="preserve">Narrative concentrates conflict around the defense or capture of a fortified place.</t>
  </si>
  <si>
    <t xml:space="preserve">siege; last stand; fortress defense</t>
  </si>
  <si>
    <t xml:space="preserve">NAR-416</t>
  </si>
  <si>
    <t xml:space="preserve">War of Succession</t>
  </si>
  <si>
    <t xml:space="preserve">Competing dynastic claims generate political, military, magical, and familial conflict.</t>
  </si>
  <si>
    <t xml:space="preserve">succession crisis; civil war; throne war</t>
  </si>
  <si>
    <t xml:space="preserve">NAR-417</t>
  </si>
  <si>
    <t xml:space="preserve">Rebellion Against Empire</t>
  </si>
  <si>
    <t xml:space="preserve">Subordinate peoples or factions organize resistance against imperial domination.</t>
  </si>
  <si>
    <t xml:space="preserve">rebellion; liberation war; resistance</t>
  </si>
  <si>
    <t xml:space="preserve">NAR-418</t>
  </si>
  <si>
    <t xml:space="preserve">Apocalypse and Prevention</t>
  </si>
  <si>
    <t xml:space="preserve">Characters attempt to stop or survive world-ending transformation, invasion, or cosmic collapse.</t>
  </si>
  <si>
    <t xml:space="preserve">apocalypse; end of the world; calamity</t>
  </si>
  <si>
    <t xml:space="preserve">NAR-419</t>
  </si>
  <si>
    <t xml:space="preserve">Post-Apocalyptic Restoration</t>
  </si>
  <si>
    <t xml:space="preserve">Characters rebuild society, memory, ecology, or institutions after civilizational collapse.</t>
  </si>
  <si>
    <t xml:space="preserve">rebuilding; remnant world; recovery</t>
  </si>
  <si>
    <t xml:space="preserve">NAR-420</t>
  </si>
  <si>
    <t xml:space="preserve">Cycle of Ages</t>
  </si>
  <si>
    <t xml:space="preserve">History moves through repeated ages, cataclysms, reincarnations, or cosmic renewals.</t>
  </si>
  <si>
    <t xml:space="preserve">age cycle; wheel of time; eternal recurrence</t>
  </si>
  <si>
    <t xml:space="preserve">NAR-421</t>
  </si>
  <si>
    <t xml:space="preserve">Time Loop</t>
  </si>
  <si>
    <t xml:space="preserve">Repeated events create knowledge asymmetry, experimentation, and psychological cost.</t>
  </si>
  <si>
    <t xml:space="preserve">loop; reset; return by death</t>
  </si>
  <si>
    <t xml:space="preserve">NAR-422</t>
  </si>
  <si>
    <t xml:space="preserve">Prophecy Fulfillment</t>
  </si>
  <si>
    <t xml:space="preserve">Plot tests whether a foretold event is inevitable, interpretable, manipulated, or self-caused.</t>
  </si>
  <si>
    <t xml:space="preserve">prophecy; destiny; foretold war</t>
  </si>
  <si>
    <t xml:space="preserve">NAR-423</t>
  </si>
  <si>
    <t xml:space="preserve">Prophecy Subversion</t>
  </si>
  <si>
    <t xml:space="preserve">Characters evade, reinterpret, break, or expose the constructed nature of destiny.</t>
  </si>
  <si>
    <t xml:space="preserve">defy fate; false prophecy; broken destiny</t>
  </si>
  <si>
    <t xml:space="preserve">NAR-424</t>
  </si>
  <si>
    <t xml:space="preserve">Hidden World Revealed</t>
  </si>
  <si>
    <t xml:space="preserve">An ordinary or suppressed reality opens onto secret magic, species, institutions, or history.</t>
  </si>
  <si>
    <t xml:space="preserve">masquerade breach; hidden kingdom; secret world</t>
  </si>
  <si>
    <t xml:space="preserve">NAR-425</t>
  </si>
  <si>
    <t xml:space="preserve">Return of Magic</t>
  </si>
  <si>
    <t xml:space="preserve">Magic, gods, dragons, or supernatural beings re-enter a world where they had faded or vanished.</t>
  </si>
  <si>
    <t xml:space="preserve">magic returns; age of wonder; dragons awaken</t>
  </si>
  <si>
    <t xml:space="preserve">NAR-426</t>
  </si>
  <si>
    <t xml:space="preserve">Fading of Magic</t>
  </si>
  <si>
    <t xml:space="preserve">The world transitions away from mythic beings, enchantment, immortality, or elder ages.</t>
  </si>
  <si>
    <t xml:space="preserve">magic fades; end of elves; disenchantment</t>
  </si>
  <si>
    <t xml:space="preserve">NAR-427</t>
  </si>
  <si>
    <t xml:space="preserve">Fall of an Empire</t>
  </si>
  <si>
    <t xml:space="preserve">Narrative tracks the collapse of a political order through war, decadence, succession, invasion, or metaphysical change.</t>
  </si>
  <si>
    <t xml:space="preserve">imperial collapse; end of age</t>
  </si>
  <si>
    <t xml:space="preserve">NAR-428</t>
  </si>
  <si>
    <t xml:space="preserve">Rise of a New Order</t>
  </si>
  <si>
    <t xml:space="preserve">New state, religion, species, technology, or magical system displaces older structures.</t>
  </si>
  <si>
    <t xml:space="preserve">new age; revolution; consolidation</t>
  </si>
  <si>
    <t xml:space="preserve">NAR-429</t>
  </si>
  <si>
    <t xml:space="preserve">Forbidden Knowledge</t>
  </si>
  <si>
    <t xml:space="preserve">Characters pursue truths whose acquisition itself creates danger, transformation, or ethical crisis.</t>
  </si>
  <si>
    <t xml:space="preserve">forbidden tome; cosmic revelation; sealed lore</t>
  </si>
  <si>
    <t xml:space="preserve">NAR-430</t>
  </si>
  <si>
    <t xml:space="preserve">Cost of Power</t>
  </si>
  <si>
    <t xml:space="preserve">Plot centers the escalating personal, social, or metaphysical price of supernatural ability.</t>
  </si>
  <si>
    <t xml:space="preserve">corruption arc; equivalent exchange; dark bargain</t>
  </si>
  <si>
    <t xml:space="preserve">NAR-431</t>
  </si>
  <si>
    <t xml:space="preserve">Identity Mystery</t>
  </si>
  <si>
    <t xml:space="preserve">Central conflict concerns who a character truly is, whose body or memories they possess, or what species they belong to.</t>
  </si>
  <si>
    <t xml:space="preserve">amnesia mystery; hidden lineage; body snatcher</t>
  </si>
  <si>
    <t xml:space="preserve">NAR-432</t>
  </si>
  <si>
    <t xml:space="preserve">Found Family Journey</t>
  </si>
  <si>
    <t xml:space="preserve">The quest's deepest resolution is formation of durable bonds among socially displaced characters.</t>
  </si>
  <si>
    <t xml:space="preserve">found family; fellowship bonding</t>
  </si>
  <si>
    <t xml:space="preserve">NAR-433</t>
  </si>
  <si>
    <t xml:space="preserve">Generational Saga</t>
  </si>
  <si>
    <t xml:space="preserve">Conflict, inheritance, trauma, and institutions are traced across multiple generations.</t>
  </si>
  <si>
    <t xml:space="preserve">family saga; legacy cycle; descendants</t>
  </si>
  <si>
    <t xml:space="preserve">NAR-434</t>
  </si>
  <si>
    <t xml:space="preserve">Multiple-Route or Branching Narrative</t>
  </si>
  <si>
    <t xml:space="preserve">Story permits divergent alliances, endings, moral paths, or political outcomes.</t>
  </si>
  <si>
    <t xml:space="preserve">branching route; alignment path; choice narrative</t>
  </si>
  <si>
    <t xml:space="preserve">NAR-435</t>
  </si>
  <si>
    <t xml:space="preserve">New Game Plus or Recursive Journey</t>
  </si>
  <si>
    <t xml:space="preserve">A completed or failed narrative is revisited with retained knowledge, power, or altered conditions.</t>
  </si>
  <si>
    <t xml:space="preserve">NG+; regression; recursive story</t>
  </si>
  <si>
    <t xml:space="preserve">NAR-436</t>
  </si>
  <si>
    <t xml:space="preserve">Dungeon Crawl</t>
  </si>
  <si>
    <t xml:space="preserve">Progress is organized through exploration of hostile layered spaces, encounters, resources, and discovery.</t>
  </si>
  <si>
    <t xml:space="preserve">dungeon crawl; labyrinth expedition</t>
  </si>
  <si>
    <t xml:space="preserve">NAR-437</t>
  </si>
  <si>
    <t xml:space="preserve">Kingdom Building</t>
  </si>
  <si>
    <t xml:space="preserve">Narrative centers settlement, governance, diplomacy, economy, and institutional creation.</t>
  </si>
  <si>
    <t xml:space="preserve">kingdom builder; city management; realm founding</t>
  </si>
  <si>
    <t xml:space="preserve">NAR-438</t>
  </si>
  <si>
    <t xml:space="preserve">School or Academy Arc</t>
  </si>
  <si>
    <t xml:space="preserve">Training institution becomes the setting for social sorting, rivalry, hidden politics, and power acquisition.</t>
  </si>
  <si>
    <t xml:space="preserve">magic school; academy story; sect training</t>
  </si>
  <si>
    <t xml:space="preserve">NAR-439</t>
  </si>
  <si>
    <t xml:space="preserve">Monster-of-the-Week Structure</t>
  </si>
  <si>
    <t xml:space="preserve">Episodic threats allow recurring investigation, hunting, moral variation, and gradual worldbuilding.</t>
  </si>
  <si>
    <t xml:space="preserve">monster of the week; case arc</t>
  </si>
  <si>
    <t xml:space="preserve">NAR-440</t>
  </si>
  <si>
    <t xml:space="preserve">Road or Wandering Narrative</t>
  </si>
  <si>
    <t xml:space="preserve">Characters move continuously among local communities, producing episodic comparison and accumulating relationships.</t>
  </si>
  <si>
    <t xml:space="preserve">wandering hero; journey tale; traveling party</t>
  </si>
  <si>
    <t xml:space="preserve">CIV-100</t>
  </si>
  <si>
    <t xml:space="preserve">Polity and Governance Archetypes</t>
  </si>
  <si>
    <t xml:space="preserve">Reusable forms of political organization, legitimacy, and rule.</t>
  </si>
  <si>
    <t xml:space="preserve">A civilization archetype is an analytical pattern, not a claim that cultures are homogeneous or biologically determined.</t>
  </si>
  <si>
    <t xml:space="preserve">Supports comparison of social worldbuilding without reducing peoples to one culture.</t>
  </si>
  <si>
    <t xml:space="preserve">CIV-200</t>
  </si>
  <si>
    <t xml:space="preserve">Settlement and Environmental Archetypes</t>
  </si>
  <si>
    <t xml:space="preserve">Societies organized around distinctive habitats, mobility, and spatial forms.</t>
  </si>
  <si>
    <t xml:space="preserve">CIV-300</t>
  </si>
  <si>
    <t xml:space="preserve">Economic and Institutional Archetypes</t>
  </si>
  <si>
    <t xml:space="preserve">Societies shaped by guilds, adventuring economies, craft, magic, trade, or industrial systems.</t>
  </si>
  <si>
    <t xml:space="preserve">CIV-400</t>
  </si>
  <si>
    <t xml:space="preserve">Historical and Ideological Archetypes</t>
  </si>
  <si>
    <t xml:space="preserve">Societies defined by decline, exile, colonization, rebellion, sacred mission, or relations with other peoples.</t>
  </si>
  <si>
    <t xml:space="preserve">CIV-101</t>
  </si>
  <si>
    <t xml:space="preserve">Feudal Monarchy</t>
  </si>
  <si>
    <t xml:space="preserve">Realm organized around hereditary sovereignty, landholding elites, vassalage, and layered personal obligation.</t>
  </si>
  <si>
    <t xml:space="preserve">Separate political form, economy, religion, ethnicity, ecology, and moral framing.</t>
  </si>
  <si>
    <t xml:space="preserve">feudal kingdom; crown and vassals</t>
  </si>
  <si>
    <t xml:space="preserve">Models legitimacy, hierarchy, law, conflict, succession, and state capacity.</t>
  </si>
  <si>
    <t xml:space="preserve">CIV-102</t>
  </si>
  <si>
    <t xml:space="preserve">Centralized Empire</t>
  </si>
  <si>
    <t xml:space="preserve">Large territorial state governed through bureaucracy, taxation, armies, provinces, and imperial ideology.</t>
  </si>
  <si>
    <t xml:space="preserve">empire; imperial state</t>
  </si>
  <si>
    <t xml:space="preserve">CIV-103</t>
  </si>
  <si>
    <t xml:space="preserve">Decentralized Empire or Hegemony</t>
  </si>
  <si>
    <t xml:space="preserve">Large political sphere held through tribute, alliances, client rulers, or uneven control.</t>
  </si>
  <si>
    <t xml:space="preserve">hegemony; tributary empire; loose empire</t>
  </si>
  <si>
    <t xml:space="preserve">CIV-104</t>
  </si>
  <si>
    <t xml:space="preserve">City-State</t>
  </si>
  <si>
    <t xml:space="preserve">Independent city and its territory functioning as a sovereign political community.</t>
  </si>
  <si>
    <t xml:space="preserve">city-state; polis; free city</t>
  </si>
  <si>
    <t xml:space="preserve">CIV-105</t>
  </si>
  <si>
    <t xml:space="preserve">Merchant Republic</t>
  </si>
  <si>
    <t xml:space="preserve">Polity where commercial elites, guilds, councils, or elected magistrates dominate governance.</t>
  </si>
  <si>
    <t xml:space="preserve">merchant republic; trade city; oligarchic republic</t>
  </si>
  <si>
    <t xml:space="preserve">CIV-106</t>
  </si>
  <si>
    <t xml:space="preserve">Theocracy</t>
  </si>
  <si>
    <t xml:space="preserve">Polity in which sacred law, priesthood, deity, or religious legitimacy directly governs public authority.</t>
  </si>
  <si>
    <t xml:space="preserve">theocracy; temple state; holy kingdom</t>
  </si>
  <si>
    <t xml:space="preserve">CIV-107</t>
  </si>
  <si>
    <t xml:space="preserve">Mageocracy</t>
  </si>
  <si>
    <t xml:space="preserve">Polity ruled by magic users or institutions that monopolize supernatural expertise.</t>
  </si>
  <si>
    <t xml:space="preserve">mageocracy; wizard council; sorcerer caste</t>
  </si>
  <si>
    <t xml:space="preserve">CIV-108</t>
  </si>
  <si>
    <t xml:space="preserve">Necrocracy</t>
  </si>
  <si>
    <t xml:space="preserve">Polity ruled by undead, necromancers, ancestors, or institutions of death.</t>
  </si>
  <si>
    <t xml:space="preserve">necromantic state; vampire kingdom; lich empire</t>
  </si>
  <si>
    <t xml:space="preserve">CIV-109</t>
  </si>
  <si>
    <t xml:space="preserve">God-Kingdom</t>
  </si>
  <si>
    <t xml:space="preserve">Polity ruled by a living deity, avatar, divine monarch, or sovereign treated as cosmologically necessary.</t>
  </si>
  <si>
    <t xml:space="preserve">god-king realm; divine monarchy</t>
  </si>
  <si>
    <t xml:space="preserve">CIV-110</t>
  </si>
  <si>
    <t xml:space="preserve">Dragon-Ruled Realm</t>
  </si>
  <si>
    <t xml:space="preserve">Polity governed by dragons, dragon riders, draconic bloodlines, or tribute to a dragon sovereign.</t>
  </si>
  <si>
    <t xml:space="preserve">dragon empire; wyrm kingdom</t>
  </si>
  <si>
    <t xml:space="preserve">CIV-111</t>
  </si>
  <si>
    <t xml:space="preserve">Demon Realm or Infernal State</t>
  </si>
  <si>
    <t xml:space="preserve">Polity inhabited or ruled by demons and structured through conquest, hierarchy, contracts, or metaphysical appetite.</t>
  </si>
  <si>
    <t xml:space="preserve">demon kingdom; infernal hierarchy</t>
  </si>
  <si>
    <t xml:space="preserve">CIV-112</t>
  </si>
  <si>
    <t xml:space="preserve">Fae Court Polity</t>
  </si>
  <si>
    <t xml:space="preserve">Otherworldly realm organized through court, season, etiquette, personal bond, and supernatural sovereignty.</t>
  </si>
  <si>
    <t xml:space="preserve">faerie court; seasonal kingdom</t>
  </si>
  <si>
    <t xml:space="preserve">CIV-113</t>
  </si>
  <si>
    <t xml:space="preserve">Alliance of local, clan, or kin groups retaining autonomy under shared ritual, defense, or leadership.</t>
  </si>
  <si>
    <t xml:space="preserve">confederation; league of tribes</t>
  </si>
  <si>
    <t xml:space="preserve">CIV-114</t>
  </si>
  <si>
    <t xml:space="preserve">Clan Polity</t>
  </si>
  <si>
    <t xml:space="preserve">Political order in which extended kin groups are the main units of law, land, warfare, and authority.</t>
  </si>
  <si>
    <t xml:space="preserve">clan society; house rule</t>
  </si>
  <si>
    <t xml:space="preserve">CIV-115</t>
  </si>
  <si>
    <t xml:space="preserve">Caste State</t>
  </si>
  <si>
    <t xml:space="preserve">Polity whose law and economy assign rights and roles through hereditary or ascribed categories.</t>
  </si>
  <si>
    <t xml:space="preserve">caste order; estate society</t>
  </si>
  <si>
    <t xml:space="preserve">CIV-116</t>
  </si>
  <si>
    <t xml:space="preserve">Council Republic</t>
  </si>
  <si>
    <t xml:space="preserve">Polity governed by collective councils of elders, guilds, houses, mages, or citizens.</t>
  </si>
  <si>
    <t xml:space="preserve">council state; senate; conclave rule</t>
  </si>
  <si>
    <t xml:space="preserve">CIV-117</t>
  </si>
  <si>
    <t xml:space="preserve">Military Dictatorship</t>
  </si>
  <si>
    <t xml:space="preserve">Polity where military command structures directly control government and succession.</t>
  </si>
  <si>
    <t xml:space="preserve">junta; war council; martial state</t>
  </si>
  <si>
    <t xml:space="preserve">CIV-118</t>
  </si>
  <si>
    <t xml:space="preserve">Warlord Fragmentation</t>
  </si>
  <si>
    <t xml:space="preserve">Region divided among personal military rulers, shifting coalitions, and weak central institutions.</t>
  </si>
  <si>
    <t xml:space="preserve">warlord era; fractured realm</t>
  </si>
  <si>
    <t xml:space="preserve">CIV-119</t>
  </si>
  <si>
    <t xml:space="preserve">Elective Monarchy</t>
  </si>
  <si>
    <t xml:space="preserve">Monarchy in which a defined elite or assembly chooses among eligible rulers.</t>
  </si>
  <si>
    <t xml:space="preserve">elected king; prince-electors</t>
  </si>
  <si>
    <t xml:space="preserve">CIV-120</t>
  </si>
  <si>
    <t xml:space="preserve">Dual or Sacred Kingship</t>
  </si>
  <si>
    <t xml:space="preserve">Rule divided between paired sovereigns or between ritual and military authorities.</t>
  </si>
  <si>
    <t xml:space="preserve">dual monarchy; sacred king and war chief</t>
  </si>
  <si>
    <t xml:space="preserve">CIV-121</t>
  </si>
  <si>
    <t xml:space="preserve">Hive Polity</t>
  </si>
  <si>
    <t xml:space="preserve">Society organized through biological caste, queen or core authority, and collective coordination.</t>
  </si>
  <si>
    <t xml:space="preserve">hive state; brood society</t>
  </si>
  <si>
    <t xml:space="preserve">CIV-122</t>
  </si>
  <si>
    <t xml:space="preserve">Collective-Mind Polity</t>
  </si>
  <si>
    <t xml:space="preserve">Society governed through shared consciousness or distributed cognition rather than individual institutions.</t>
  </si>
  <si>
    <t xml:space="preserve">hive mind civilization; consensus mind</t>
  </si>
  <si>
    <t xml:space="preserve">CIV-123</t>
  </si>
  <si>
    <t xml:space="preserve">Anarchic or Stateless Network</t>
  </si>
  <si>
    <t xml:space="preserve">Society coordinated through custom, kinship, guilds, communes, or voluntary networks without centralized state authority.</t>
  </si>
  <si>
    <t xml:space="preserve">stateless society; free communes; network polity</t>
  </si>
  <si>
    <t xml:space="preserve">CIV-124</t>
  </si>
  <si>
    <t xml:space="preserve">Colonial Administration</t>
  </si>
  <si>
    <t xml:space="preserve">Political order imposed by an outside power to extract resources, settle territory, or govern subordinate peoples.</t>
  </si>
  <si>
    <t xml:space="preserve">colony; imperial province; occupied territory</t>
  </si>
  <si>
    <t xml:space="preserve">CIV-125</t>
  </si>
  <si>
    <t xml:space="preserve">Rebel or Revolutionary Government</t>
  </si>
  <si>
    <t xml:space="preserve">Emergent authority formed through resistance, liberation, councils, cells, or wartime necessity.</t>
  </si>
  <si>
    <t xml:space="preserve">rebel alliance; provisional government; commune</t>
  </si>
  <si>
    <t xml:space="preserve">CIV-201</t>
  </si>
  <si>
    <t xml:space="preserve">Elven Forest Realm</t>
  </si>
  <si>
    <t xml:space="preserve">Long-lived or magical society integrated with forests, hidden paths, ancient memory, and selective isolation.</t>
  </si>
  <si>
    <t xml:space="preserve">forest kingdom; woodland elves; living city</t>
  </si>
  <si>
    <t xml:space="preserve">Models habitat, mobility, built environment, subsistence, defense, and ecological relation.</t>
  </si>
  <si>
    <t xml:space="preserve">CIV-202</t>
  </si>
  <si>
    <t xml:space="preserve">Dwarven Mountain Hold</t>
  </si>
  <si>
    <t xml:space="preserve">Subterranean or mountain society organized around halls, mining, craft, clan, fortification, and ancestral continuity.</t>
  </si>
  <si>
    <t xml:space="preserve">mountain hold; underkingdom; delving realm</t>
  </si>
  <si>
    <t xml:space="preserve">CIV-203</t>
  </si>
  <si>
    <t xml:space="preserve">Orcish Warband or Confederacy</t>
  </si>
  <si>
    <t xml:space="preserve">Mobile or semi-settled orc-centered society organized around clans, warfare, honor, survival, or contested nationhood.</t>
  </si>
  <si>
    <t xml:space="preserve">orc horde; clan confederacy; warcamp</t>
  </si>
  <si>
    <t xml:space="preserve">CIV-204</t>
  </si>
  <si>
    <t xml:space="preserve">Goblin Undercity</t>
  </si>
  <si>
    <t xml:space="preserve">Dense subterranean or marginal settlement built around scavenging, tunnels, traps, trade, craft, and survival.</t>
  </si>
  <si>
    <t xml:space="preserve">goblin warrens; undercity; tunnel town</t>
  </si>
  <si>
    <t xml:space="preserve">CIV-205</t>
  </si>
  <si>
    <t xml:space="preserve">Nomadic Horse Culture</t>
  </si>
  <si>
    <t xml:space="preserve">Mobile pastoral society whose economy, warfare, status, and cosmology center on horses and open land.</t>
  </si>
  <si>
    <t xml:space="preserve">steppe nomads; horse lords; mounted clans</t>
  </si>
  <si>
    <t xml:space="preserve">Avoid collapsing distinct Eurasian and other pastoral societies into a single 'horse barbarian' stereotype.</t>
  </si>
  <si>
    <t xml:space="preserve">CIV-206</t>
  </si>
  <si>
    <t xml:space="preserve">Seafaring Raider Culture</t>
  </si>
  <si>
    <t xml:space="preserve">Maritime society combining trade, exploration, raiding, fishing, shipbuilding, and coastal politics.</t>
  </si>
  <si>
    <t xml:space="preserve">sea raiders; reavers; longship culture</t>
  </si>
  <si>
    <t xml:space="preserve">CIV-207</t>
  </si>
  <si>
    <t xml:space="preserve">Maritime Trading League</t>
  </si>
  <si>
    <t xml:space="preserve">Network of port cities and islands linked by commerce, navies, diasporas, and merchant law.</t>
  </si>
  <si>
    <t xml:space="preserve">trade league; island confederacy; thalassocracy</t>
  </si>
  <si>
    <t xml:space="preserve">CIV-208</t>
  </si>
  <si>
    <t xml:space="preserve">Desert Caravan Culture</t>
  </si>
  <si>
    <t xml:space="preserve">Society organized around oases, caravans, water rights, mobile trade, pastoralism, and desert survival.</t>
  </si>
  <si>
    <t xml:space="preserve">caravan society; oasis cities; desert confederation</t>
  </si>
  <si>
    <t xml:space="preserve">CIV-209</t>
  </si>
  <si>
    <t xml:space="preserve">Steppe Khanate</t>
  </si>
  <si>
    <t xml:space="preserve">Mobile imperial or confederated polity built on cavalry, tribute, kinship, and expansive grassland networks.</t>
  </si>
  <si>
    <t xml:space="preserve">khanate; horse empire</t>
  </si>
  <si>
    <t xml:space="preserve">CIV-210</t>
  </si>
  <si>
    <t xml:space="preserve">Icebound Survival Culture</t>
  </si>
  <si>
    <t xml:space="preserve">Society adapted to extreme cold through seasonal mobility, communal stores, specialized technology, and spiritual ecology.</t>
  </si>
  <si>
    <t xml:space="preserve">northern clans; tundra people; frost realm</t>
  </si>
  <si>
    <t xml:space="preserve">CIV-211</t>
  </si>
  <si>
    <t xml:space="preserve">Undersea Kingdom</t>
  </si>
  <si>
    <t xml:space="preserve">Aquatic polity organized around reefs, trenches, currents, pressure, maritime resources, and relation to surface worlds.</t>
  </si>
  <si>
    <t xml:space="preserve">merfolk kingdom; deep realm; coral city</t>
  </si>
  <si>
    <t xml:space="preserve">CIV-212</t>
  </si>
  <si>
    <t xml:space="preserve">Floating City or Sky Realm</t>
  </si>
  <si>
    <t xml:space="preserve">Settlement suspended in air, carried by creatures, built on islands, or maintained through magic or technology.</t>
  </si>
  <si>
    <t xml:space="preserve">sky city; floating islands; cloud kingdom</t>
  </si>
  <si>
    <t xml:space="preserve">CIV-213</t>
  </si>
  <si>
    <t xml:space="preserve">Underground Civilization</t>
  </si>
  <si>
    <t xml:space="preserve">Large society beneath the surface with its own agriculture, trade, light systems, and cosmology.</t>
  </si>
  <si>
    <t xml:space="preserve">underdark realm; subterranean empire; cavern society</t>
  </si>
  <si>
    <t xml:space="preserve">CIV-214</t>
  </si>
  <si>
    <t xml:space="preserve">Hidden Valley or Secret Kingdom</t>
  </si>
  <si>
    <t xml:space="preserve">Geographically or magically isolated society protected from external history and change.</t>
  </si>
  <si>
    <t xml:space="preserve">hidden kingdom; lost valley; concealed realm</t>
  </si>
  <si>
    <t xml:space="preserve">CIV-215</t>
  </si>
  <si>
    <t xml:space="preserve">Frontier March</t>
  </si>
  <si>
    <t xml:space="preserve">Border society shaped by defense, settlement, cultural exchange, monster threat, and weak central control.</t>
  </si>
  <si>
    <t xml:space="preserve">marches; borderlands; frontier</t>
  </si>
  <si>
    <t xml:space="preserve">CIV-216</t>
  </si>
  <si>
    <t xml:space="preserve">Walled Free City</t>
  </si>
  <si>
    <t xml:space="preserve">Independent fortified city whose identity centers on defense, trade, guilds, and negotiated citizenship.</t>
  </si>
  <si>
    <t xml:space="preserve">free city; fortress city; city republic</t>
  </si>
  <si>
    <t xml:space="preserve">CIV-217</t>
  </si>
  <si>
    <t xml:space="preserve">Monastic Mountain Society</t>
  </si>
  <si>
    <t xml:space="preserve">Community organized around isolated monasteries, pilgrimage, martial discipline, and spiritual landscape.</t>
  </si>
  <si>
    <t xml:space="preserve">mountain sect; monastery realm; sacred peaks</t>
  </si>
  <si>
    <t xml:space="preserve">CIV-218</t>
  </si>
  <si>
    <t xml:space="preserve">Living City</t>
  </si>
  <si>
    <t xml:space="preserve">Settlement that is biologically, magically, spiritually, or mechanically alive and participates in governance or ecology.</t>
  </si>
  <si>
    <t xml:space="preserve">sentient city; city organism; living fortress</t>
  </si>
  <si>
    <t xml:space="preserve">CIV-219</t>
  </si>
  <si>
    <t xml:space="preserve">Dungeon Civilization</t>
  </si>
  <si>
    <t xml:space="preserve">Society adapted to a multi-level hostile or resource-rich dungeon as permanent habitat.</t>
  </si>
  <si>
    <t xml:space="preserve">dungeon city; labyrinth society; floor kingdom</t>
  </si>
  <si>
    <t xml:space="preserve">CIV-220</t>
  </si>
  <si>
    <t xml:space="preserve">Migratory World or Fleet Culture</t>
  </si>
  <si>
    <t xml:space="preserve">People living in moving ships, caravans, beasts, cities, or planar routes rather than fixed territory.</t>
  </si>
  <si>
    <t xml:space="preserve">fleet people; wandering city; migrant nation</t>
  </si>
  <si>
    <t xml:space="preserve">CIV-221</t>
  </si>
  <si>
    <t xml:space="preserve">Ruined-City Remnant</t>
  </si>
  <si>
    <t xml:space="preserve">Community inhabiting and reusing the infrastructure of a fallen civilization.</t>
  </si>
  <si>
    <t xml:space="preserve">ruin dwellers; post-imperial city; scavenger settlement</t>
  </si>
  <si>
    <t xml:space="preserve">CIV-222</t>
  </si>
  <si>
    <t xml:space="preserve">Spirit-Integrated Landscape Society</t>
  </si>
  <si>
    <t xml:space="preserve">Community whose law and livelihood explicitly include local spirits, ancestors, sacred beings, and reciprocal ecological obligations.</t>
  </si>
  <si>
    <t xml:space="preserve">spirit village; animist polity; kami-integrated society</t>
  </si>
  <si>
    <t xml:space="preserve">CIV-223</t>
  </si>
  <si>
    <t xml:space="preserve">Monster-Human Coexistence Settlement</t>
  </si>
  <si>
    <t xml:space="preserve">Society built around negotiated citizenship, ecology, law, and economy among humans and beings usually treated as monsters.</t>
  </si>
  <si>
    <t xml:space="preserve">mixed-species city; monster town; coexistence realm</t>
  </si>
  <si>
    <t xml:space="preserve">CIV-224</t>
  </si>
  <si>
    <t xml:space="preserve">Isolationist Island Culture</t>
  </si>
  <si>
    <t xml:space="preserve">Insular society protected or constrained by sea, taboo, magic, limited resources, and controlled contact.</t>
  </si>
  <si>
    <t xml:space="preserve">island kingdom; closed realm</t>
  </si>
  <si>
    <t xml:space="preserve">CIV-225</t>
  </si>
  <si>
    <t xml:space="preserve">Pilgrimage City</t>
  </si>
  <si>
    <t xml:space="preserve">Settlement whose economy, architecture, authority, and population center on sacred travel and ritual visitation.</t>
  </si>
  <si>
    <t xml:space="preserve">holy city; shrine town; pilgrimage center</t>
  </si>
  <si>
    <t xml:space="preserve">CIV-301</t>
  </si>
  <si>
    <t xml:space="preserve">Guild-Dominated City</t>
  </si>
  <si>
    <t xml:space="preserve">Urban society where professional guilds exercise major political, legal, economic, and military power.</t>
  </si>
  <si>
    <t xml:space="preserve">guild city; craft oligarchy</t>
  </si>
  <si>
    <t xml:space="preserve">Models labor, resources, institutions, trade, technology, magic access, and incentives.</t>
  </si>
  <si>
    <t xml:space="preserve">CIV-302</t>
  </si>
  <si>
    <t xml:space="preserve">Adventurer Economy</t>
  </si>
  <si>
    <t xml:space="preserve">Society that institutionalizes quests, monster parts, dungeon loot, ranks, and mobile armed freelancers.</t>
  </si>
  <si>
    <t xml:space="preserve">adventurer guild economy; quest market</t>
  </si>
  <si>
    <t xml:space="preserve">CIV-303</t>
  </si>
  <si>
    <t xml:space="preserve">Dungeon Extraction Economy</t>
  </si>
  <si>
    <t xml:space="preserve">Economy built around harvesting artifacts, minerals, monsters, mana, or knowledge from dangerous sites.</t>
  </si>
  <si>
    <t xml:space="preserve">dungeon mining; relic economy; delver economy</t>
  </si>
  <si>
    <t xml:space="preserve">CIV-304</t>
  </si>
  <si>
    <t xml:space="preserve">Magical Academy Society</t>
  </si>
  <si>
    <t xml:space="preserve">Society whose elite formation, research, status, and innovation center on magic schools and examinations.</t>
  </si>
  <si>
    <t xml:space="preserve">wizard-school society; academy city</t>
  </si>
  <si>
    <t xml:space="preserve">CIV-305</t>
  </si>
  <si>
    <t xml:space="preserve">Artisan and Smith Culture</t>
  </si>
  <si>
    <t xml:space="preserve">Society in which craft mastery, workshops, guild lineages, and objects organize status and identity.</t>
  </si>
  <si>
    <t xml:space="preserve">smith culture; artisan republic; forge society</t>
  </si>
  <si>
    <t xml:space="preserve">CIV-306</t>
  </si>
  <si>
    <t xml:space="preserve">Merchant Diaspora</t>
  </si>
  <si>
    <t xml:space="preserve">Transregional commercial community maintaining kinship, law, language, and trust across multiple polities.</t>
  </si>
  <si>
    <t xml:space="preserve">trade diaspora; caravan people; merchant minority</t>
  </si>
  <si>
    <t xml:space="preserve">CIV-307</t>
  </si>
  <si>
    <t xml:space="preserve">Agrarian Temple Economy</t>
  </si>
  <si>
    <t xml:space="preserve">Society where temples coordinate land, storage, redistribution, calendars, labor, and ritual legitimacy.</t>
  </si>
  <si>
    <t xml:space="preserve">temple economy; sacred granary</t>
  </si>
  <si>
    <t xml:space="preserve">CIV-308</t>
  </si>
  <si>
    <t xml:space="preserve">Tribute Economy</t>
  </si>
  <si>
    <t xml:space="preserve">Political economy based on subordinate groups delivering goods, labor, hostages, or symbolic submission to a center.</t>
  </si>
  <si>
    <t xml:space="preserve">tribute system; imperial extraction</t>
  </si>
  <si>
    <t xml:space="preserve">CIV-309</t>
  </si>
  <si>
    <t xml:space="preserve">Slave or Bonded-Labor Economy</t>
  </si>
  <si>
    <t xml:space="preserve">Society structurally dependent on coerced labor, ownership, debt bondage, or magically enforced service.</t>
  </si>
  <si>
    <t xml:space="preserve">slave empire; thrall economy; debt bondage</t>
  </si>
  <si>
    <t xml:space="preserve">CIV-310</t>
  </si>
  <si>
    <t xml:space="preserve">Necromantic Labor Economy</t>
  </si>
  <si>
    <t xml:space="preserve">Economy using undead labor, raising ethical and political questions about bodies, souls, unemployment, and control.</t>
  </si>
  <si>
    <t xml:space="preserve">undead workforce; skeleton labor; necro-economy</t>
  </si>
  <si>
    <t xml:space="preserve">CIV-311</t>
  </si>
  <si>
    <t xml:space="preserve">Construct Labor Economy</t>
  </si>
  <si>
    <t xml:space="preserve">Society dependent on golems, automata, homunculi, or engineered workers.</t>
  </si>
  <si>
    <t xml:space="preserve">golem industry; clockwork labor; artificial servants</t>
  </si>
  <si>
    <t xml:space="preserve">CIV-312</t>
  </si>
  <si>
    <t xml:space="preserve">Magitech Industrial Society</t>
  </si>
  <si>
    <t xml:space="preserve">Society combining mass production, magical energy, engineering, corporations, and disruptive technological change.</t>
  </si>
  <si>
    <t xml:space="preserve">magitech empire; crystal industry; arcane industrialism</t>
  </si>
  <si>
    <t xml:space="preserve">CIV-313</t>
  </si>
  <si>
    <t xml:space="preserve">Post-Scarcity Magical Society</t>
  </si>
  <si>
    <t xml:space="preserve">Society where creation, teleportation, automation, or divine provision reduces ordinary material scarcity.</t>
  </si>
  <si>
    <t xml:space="preserve">utopian magic economy; replicator society</t>
  </si>
  <si>
    <t xml:space="preserve">CIV-314</t>
  </si>
  <si>
    <t xml:space="preserve">Mana Resource Economy</t>
  </si>
  <si>
    <t xml:space="preserve">Economy organized around extraction, storage, taxation, trade, or depletion of magical energy.</t>
  </si>
  <si>
    <t xml:space="preserve">mana economy; crystal trade; ley extraction</t>
  </si>
  <si>
    <t xml:space="preserve">CIV-315</t>
  </si>
  <si>
    <t xml:space="preserve">Monster-Part Economy</t>
  </si>
  <si>
    <t xml:space="preserve">Craft, medicine, magic, food, and trade depend on hunting and processing supernatural creatures.</t>
  </si>
  <si>
    <t xml:space="preserve">monster materials; hunter economy; alchemical parts</t>
  </si>
  <si>
    <t xml:space="preserve">CIV-316</t>
  </si>
  <si>
    <t xml:space="preserve">Relic and Salvage Economy</t>
  </si>
  <si>
    <t xml:space="preserve">Society depends on artifacts and infrastructure recovered from a more advanced or magical past.</t>
  </si>
  <si>
    <t xml:space="preserve">salvage culture; ruin economy; precursor technology</t>
  </si>
  <si>
    <t xml:space="preserve">CIV-317</t>
  </si>
  <si>
    <t xml:space="preserve">Caravan Trade Network</t>
  </si>
  <si>
    <t xml:space="preserve">Long-distance exchange organized through routes, seasonal markets, guides, guards, and negotiated passage.</t>
  </si>
  <si>
    <t xml:space="preserve">silk-road analogue; caravan system</t>
  </si>
  <si>
    <t xml:space="preserve">CIV-318</t>
  </si>
  <si>
    <t xml:space="preserve">Pirate Confederacy Economy</t>
  </si>
  <si>
    <t xml:space="preserve">Maritime economy combining plunder, smuggling, protection, free ports, and informal law.</t>
  </si>
  <si>
    <t xml:space="preserve">pirate haven; corsair league</t>
  </si>
  <si>
    <t xml:space="preserve">CIV-319</t>
  </si>
  <si>
    <t xml:space="preserve">Mage Monopoly</t>
  </si>
  <si>
    <t xml:space="preserve">Magic users or institutions control key services such as healing, transport, weather, communication, or warfare.</t>
  </si>
  <si>
    <t xml:space="preserve">arcane monopoly; licensed magic; spell cartel</t>
  </si>
  <si>
    <t xml:space="preserve">CIV-320</t>
  </si>
  <si>
    <t xml:space="preserve">Anti-Magic Economy</t>
  </si>
  <si>
    <t xml:space="preserve">Society restricts supernatural practice and develops institutions, technology, or ideology to replace and suppress it.</t>
  </si>
  <si>
    <t xml:space="preserve">null state; anti-mage society; technocratic reaction</t>
  </si>
  <si>
    <t xml:space="preserve">CIV-321</t>
  </si>
  <si>
    <t xml:space="preserve">Crafting-Progression Society</t>
  </si>
  <si>
    <t xml:space="preserve">Status and power are gained through recipe discovery, quality tiers, production classes, and artisan levels.</t>
  </si>
  <si>
    <t xml:space="preserve">crafting world; production class society</t>
  </si>
  <si>
    <t xml:space="preserve">CIV-322</t>
  </si>
  <si>
    <t xml:space="preserve">Quest Board Governance</t>
  </si>
  <si>
    <t xml:space="preserve">Public needs and state functions are outsourced through standardized posted missions and rewards.</t>
  </si>
  <si>
    <t xml:space="preserve">quest board; bounty administration; adventurer contracting</t>
  </si>
  <si>
    <t xml:space="preserve">CIV-401</t>
  </si>
  <si>
    <t xml:space="preserve">Ancient Golden-Age Civilization</t>
  </si>
  <si>
    <t xml:space="preserve">Idealized or genuinely advanced predecessor society whose achievements define present aspirations.</t>
  </si>
  <si>
    <t xml:space="preserve">golden age; elder civilization; high age</t>
  </si>
  <si>
    <t xml:space="preserve">Models historical memory, decline, identity, ideology, trauma, supremacy, reform, and intergroup relations.</t>
  </si>
  <si>
    <t xml:space="preserve">CIV-402</t>
  </si>
  <si>
    <t xml:space="preserve">Fallen Ancient Empire</t>
  </si>
  <si>
    <t xml:space="preserve">Powerful predecessor civilization destroyed by hubris, war, corruption, magic, or catastrophe, leaving ruins and legacies.</t>
  </si>
  <si>
    <t xml:space="preserve">fallen empire; precursor civilization; lost age</t>
  </si>
  <si>
    <t xml:space="preserve">CIV-403</t>
  </si>
  <si>
    <t xml:space="preserve">Lost Civilization</t>
  </si>
  <si>
    <t xml:space="preserve">Society absent from present knowledge except through ruins, texts, descendants, or hidden survival.</t>
  </si>
  <si>
    <t xml:space="preserve">lost city; vanished people; forgotten kingdom</t>
  </si>
  <si>
    <t xml:space="preserve">CIV-404</t>
  </si>
  <si>
    <t xml:space="preserve">Fading Elder People</t>
  </si>
  <si>
    <t xml:space="preserve">Long-lived or ancient culture declining demographically, magically, politically, or historically.</t>
  </si>
  <si>
    <t xml:space="preserve">fading elves; last immortals; elder remnant</t>
  </si>
  <si>
    <t xml:space="preserve">CIV-405</t>
  </si>
  <si>
    <t xml:space="preserve">Post-Apocalyptic Remnant</t>
  </si>
  <si>
    <t xml:space="preserve">Community surviving after civilizational collapse with partial knowledge and repurposed ruins.</t>
  </si>
  <si>
    <t xml:space="preserve">remnant society; after-the-fall culture</t>
  </si>
  <si>
    <t xml:space="preserve">CIV-406</t>
  </si>
  <si>
    <t xml:space="preserve">Diaspora or Exile People</t>
  </si>
  <si>
    <t xml:space="preserve">Community dispersed from a homeland while maintaining memory, identity, law, and return narratives.</t>
  </si>
  <si>
    <t xml:space="preserve">diaspora; exiles; displaced people</t>
  </si>
  <si>
    <t xml:space="preserve">CIV-407</t>
  </si>
  <si>
    <t xml:space="preserve">Colonized People</t>
  </si>
  <si>
    <t xml:space="preserve">Population subjected to outside rule, settlement, extraction, cultural suppression, or racial hierarchy.</t>
  </si>
  <si>
    <t xml:space="preserve">colonized realm; occupied people; subject nation</t>
  </si>
  <si>
    <t xml:space="preserve">CIV-408</t>
  </si>
  <si>
    <t xml:space="preserve">Rebel Alliance</t>
  </si>
  <si>
    <t xml:space="preserve">Coalition of factions and peoples united against empire or tyranny despite different interests.</t>
  </si>
  <si>
    <t xml:space="preserve">resistance; rebel coalition; liberation front</t>
  </si>
  <si>
    <t xml:space="preserve">CIV-409</t>
  </si>
  <si>
    <t xml:space="preserve">Utopian Enclave</t>
  </si>
  <si>
    <t xml:space="preserve">Protected community presented as unusually just, harmonious, abundant, or enlightened, often with hidden costs.</t>
  </si>
  <si>
    <t xml:space="preserve">utopia; hidden paradise; ideal city</t>
  </si>
  <si>
    <t xml:space="preserve">CIV-410</t>
  </si>
  <si>
    <t xml:space="preserve">Dystopian Magical State</t>
  </si>
  <si>
    <t xml:space="preserve">Society where magic, prophecy, surveillance, caste, immortality, or system rules enable pervasive control.</t>
  </si>
  <si>
    <t xml:space="preserve">magical dystopia; sorcerous police state</t>
  </si>
  <si>
    <t xml:space="preserve">CIV-411</t>
  </si>
  <si>
    <t xml:space="preserve">Isolationist Elder Realm</t>
  </si>
  <si>
    <t xml:space="preserve">Ancient society that limits contact to preserve culture, safety, purity, secrecy, or power.</t>
  </si>
  <si>
    <t xml:space="preserve">hidden elves; closed kingdom; sealed nation</t>
  </si>
  <si>
    <t xml:space="preserve">CIV-412</t>
  </si>
  <si>
    <t xml:space="preserve">Expansionist Empire</t>
  </si>
  <si>
    <t xml:space="preserve">State ideologically and institutionally committed to conquest, assimilation, settlement, and tribute.</t>
  </si>
  <si>
    <t xml:space="preserve">conquering empire; imperial machine</t>
  </si>
  <si>
    <t xml:space="preserve">CIV-413</t>
  </si>
  <si>
    <t xml:space="preserve">Holy Mission Society</t>
  </si>
  <si>
    <t xml:space="preserve">Culture organized around sacred destiny, pilgrimage, conversion, crusade, or protection of cosmic order.</t>
  </si>
  <si>
    <t xml:space="preserve">chosen kingdom; crusading realm; sacred mandate</t>
  </si>
  <si>
    <t xml:space="preserve">CIV-414</t>
  </si>
  <si>
    <t xml:space="preserve">Ritualized Warrior Culture</t>
  </si>
  <si>
    <t xml:space="preserve">Society in which martial status, initiation, duels, raiding, or honor codes organize adulthood and hierarchy.</t>
  </si>
  <si>
    <t xml:space="preserve">warrior society; martial caste; honor culture</t>
  </si>
  <si>
    <t xml:space="preserve">CIV-415</t>
  </si>
  <si>
    <t xml:space="preserve">Scholar-Bureaucratic Culture</t>
  </si>
  <si>
    <t xml:space="preserve">Society where examinations, literacy, records, and learned officials organize status and governance.</t>
  </si>
  <si>
    <t xml:space="preserve">exam state; scholar officials; literati analogue</t>
  </si>
  <si>
    <t xml:space="preserve">CIV-416</t>
  </si>
  <si>
    <t xml:space="preserve">Ancestor-Governed Society</t>
  </si>
  <si>
    <t xml:space="preserve">Living institutions are directly constrained or advised by active ancestors, preserved rulers, or ancestral law.</t>
  </si>
  <si>
    <t xml:space="preserve">ancestor council; dead rulers; lineage state</t>
  </si>
  <si>
    <t xml:space="preserve">CIV-417</t>
  </si>
  <si>
    <t xml:space="preserve">Prophecy-Governed Society</t>
  </si>
  <si>
    <t xml:space="preserve">Political and social decisions are organized around oracles, foretold roles, auspicious timing, or fate institutions.</t>
  </si>
  <si>
    <t xml:space="preserve">oracle state; fate bureaucracy; prophetic kingdom</t>
  </si>
  <si>
    <t xml:space="preserve">CIV-418</t>
  </si>
  <si>
    <t xml:space="preserve">Cyclically Destroyed Society</t>
  </si>
  <si>
    <t xml:space="preserve">Civilization repeatedly collapses and renews through cosmic ages, resets, invasions, or ritual catastrophe.</t>
  </si>
  <si>
    <t xml:space="preserve">cycle civilization; recurring calamity; age reset</t>
  </si>
  <si>
    <t xml:space="preserve">CIV-419</t>
  </si>
  <si>
    <t xml:space="preserve">Memory-Erased Society</t>
  </si>
  <si>
    <t xml:space="preserve">A people has lost or been deprived of history, names, magic, or knowledge through deliberate or supernatural means.</t>
  </si>
  <si>
    <t xml:space="preserve">amnesiac culture; erased past; censored world</t>
  </si>
  <si>
    <t xml:space="preserve">CIV-420</t>
  </si>
  <si>
    <t xml:space="preserve">Reconciled Multi-People Federation</t>
  </si>
  <si>
    <t xml:space="preserve">Polity built through negotiated coexistence among formerly hostile species, cultures, or realms.</t>
  </si>
  <si>
    <t xml:space="preserve">federation; alliance of peoples; plural kingdom</t>
  </si>
  <si>
    <t xml:space="preserve">CIV-421</t>
  </si>
  <si>
    <t xml:space="preserve">Segregated Multi-People Society</t>
  </si>
  <si>
    <t xml:space="preserve">Polity formally or informally separates peoples by district, occupation, law, caste, or magical status.</t>
  </si>
  <si>
    <t xml:space="preserve">racial caste state; species quarters; divided realm</t>
  </si>
  <si>
    <t xml:space="preserve">CIV-422</t>
  </si>
  <si>
    <t xml:space="preserve">Human-Supremacist State</t>
  </si>
  <si>
    <t xml:space="preserve">Political order asserting human dominance and restricting, assimilating, or eliminating other beings.</t>
  </si>
  <si>
    <t xml:space="preserve">human empire; anti-nonhuman regime</t>
  </si>
  <si>
    <t xml:space="preserve">CIV-423</t>
  </si>
  <si>
    <t xml:space="preserve">Elder-People Supremacist State</t>
  </si>
  <si>
    <t xml:space="preserve">Political order asserting the inherited right of an ancient, magical, or long-lived people to dominate others.</t>
  </si>
  <si>
    <t xml:space="preserve">elven empire; dragon supremacy; immortal caste</t>
  </si>
  <si>
    <t xml:space="preserve">CIV-424</t>
  </si>
  <si>
    <t xml:space="preserve">Monster-Reclamation Society</t>
  </si>
  <si>
    <t xml:space="preserve">Formerly demonized beings establish personhood, law, homeland, or political agency.</t>
  </si>
  <si>
    <t xml:space="preserve">monster nation; reclaimed orcs; undead rights society</t>
  </si>
  <si>
    <t xml:space="preserve">CIV-425</t>
  </si>
  <si>
    <t xml:space="preserve">World-Tree Civilization</t>
  </si>
  <si>
    <t xml:space="preserve">Society organized physically and cosmologically around a sacred or living tree connecting realms.</t>
  </si>
  <si>
    <t xml:space="preserve">world tree city; tree kingdom; canopy civilization</t>
  </si>
  <si>
    <t xml:space="preserve">CIV-426</t>
  </si>
  <si>
    <t xml:space="preserve">Dragon-Cycle Civilization</t>
  </si>
  <si>
    <t xml:space="preserve">Society's eras, legitimacy, or catastrophe are structured by dragon births, flights, bonds, or returns.</t>
  </si>
  <si>
    <t xml:space="preserve">age of dragons; dragon dynasties; draconic cycle</t>
  </si>
  <si>
    <t xml:space="preserve">MEC-100</t>
  </si>
  <si>
    <t xml:space="preserve">Combat Function Archetypes</t>
  </si>
  <si>
    <t xml:space="preserve">Encounter roles defined by damage, protection, healing, control, mobility, and target selection.</t>
  </si>
  <si>
    <t xml:space="preserve">Mechanical role describes rules behavior; it does not by itself establish lore, profession, or personality.</t>
  </si>
  <si>
    <t xml:space="preserve">Enables comparison among tabletop classes, tactical jobs, CRPG builds, JRPG roles, and MMO functions.</t>
  </si>
  <si>
    <t xml:space="preserve">MEC-200</t>
  </si>
  <si>
    <t xml:space="preserve">Resource and Casting Models</t>
  </si>
  <si>
    <t xml:space="preserve">How abilities are prepared, paid for, refreshed, risked, or sequenced.</t>
  </si>
  <si>
    <t xml:space="preserve">MEC-300</t>
  </si>
  <si>
    <t xml:space="preserve">Progression and Build Models</t>
  </si>
  <si>
    <t xml:space="preserve">How characters gain, combine, switch, and specialize abilities over time.</t>
  </si>
  <si>
    <t xml:space="preserve">MEC-400</t>
  </si>
  <si>
    <t xml:space="preserve">Unit and Encounter Models</t>
  </si>
  <si>
    <t xml:space="preserve">Roles defined by party structure, companions, monsters, bosses, crafting, or noncombat play.</t>
  </si>
  <si>
    <t xml:space="preserve">MEC-101</t>
  </si>
  <si>
    <t xml:space="preserve">Tank</t>
  </si>
  <si>
    <t xml:space="preserve">Role designed to absorb damage, maintain enemy attention, and protect more vulnerable allies.</t>
  </si>
  <si>
    <t xml:space="preserve">Record system, edition, encounter assumptions, and party size before comparing balance.</t>
  </si>
  <si>
    <t xml:space="preserve">tank; defender; frontliner</t>
  </si>
  <si>
    <t xml:space="preserve">Defines party contribution, encounter behavior, targeting, survivability, and tactical niche.</t>
  </si>
  <si>
    <t xml:space="preserve">MEC-102</t>
  </si>
  <si>
    <t xml:space="preserve">Main Tank</t>
  </si>
  <si>
    <t xml:space="preserve">Primary durable character expected to hold bosses or major enemies continuously.</t>
  </si>
  <si>
    <t xml:space="preserve">main tank; primary defender</t>
  </si>
  <si>
    <t xml:space="preserve">MEC-103</t>
  </si>
  <si>
    <t xml:space="preserve">Off-Tank</t>
  </si>
  <si>
    <t xml:space="preserve">Secondary defender who handles adds, swaps, support, or temporary tanking.</t>
  </si>
  <si>
    <t xml:space="preserve">off-tank; secondary tank</t>
  </si>
  <si>
    <t xml:space="preserve">MEC-104</t>
  </si>
  <si>
    <t xml:space="preserve">Bruiser</t>
  </si>
  <si>
    <t xml:space="preserve">Durable damage dealer balancing survivability and pressure without full tank specialization.</t>
  </si>
  <si>
    <t xml:space="preserve">bruiser; juggernaut; brawler</t>
  </si>
  <si>
    <t xml:space="preserve">MEC-105</t>
  </si>
  <si>
    <t xml:space="preserve">Melee Striker</t>
  </si>
  <si>
    <t xml:space="preserve">High-damage role operating at close range and often relying on positioning or mobility.</t>
  </si>
  <si>
    <t xml:space="preserve">melee DPS; striker; assassin</t>
  </si>
  <si>
    <t xml:space="preserve">MEC-106</t>
  </si>
  <si>
    <t xml:space="preserve">Ranged Striker</t>
  </si>
  <si>
    <t xml:space="preserve">Damage role attacking from distance through bows, guns, spells, or projectiles.</t>
  </si>
  <si>
    <t xml:space="preserve">ranged DPS; marksman; artillery</t>
  </si>
  <si>
    <t xml:space="preserve">MEC-107</t>
  </si>
  <si>
    <t xml:space="preserve">Burst Damage</t>
  </si>
  <si>
    <t xml:space="preserve">Role or build optimized for short windows of exceptionally high output.</t>
  </si>
  <si>
    <t xml:space="preserve">burst DPS; nova; execution</t>
  </si>
  <si>
    <t xml:space="preserve">MEC-108</t>
  </si>
  <si>
    <t xml:space="preserve">Sustained Damage</t>
  </si>
  <si>
    <t xml:space="preserve">Role or build optimized for consistent output over extended encounters.</t>
  </si>
  <si>
    <t xml:space="preserve">sustained DPS; damage over time; attrition</t>
  </si>
  <si>
    <t xml:space="preserve">MEC-109</t>
  </si>
  <si>
    <t xml:space="preserve">Area-of-Effect Damage</t>
  </si>
  <si>
    <t xml:space="preserve">Role specializing in damaging many targets or controlling zones.</t>
  </si>
  <si>
    <t xml:space="preserve">AoE; cleave; blaster</t>
  </si>
  <si>
    <t xml:space="preserve">MEC-110</t>
  </si>
  <si>
    <t xml:space="preserve">Single-Target Damage</t>
  </si>
  <si>
    <t xml:space="preserve">Role specializing in concentrated damage against one priority target.</t>
  </si>
  <si>
    <t xml:space="preserve">boss killer; duelist; sniper</t>
  </si>
  <si>
    <t xml:space="preserve">MEC-111</t>
  </si>
  <si>
    <t xml:space="preserve">Damage-over-Time Specialist</t>
  </si>
  <si>
    <t xml:space="preserve">Role applying persistent effects that accumulate or spread over time.</t>
  </si>
  <si>
    <t xml:space="preserve">DoT class; poisoner; curse damage</t>
  </si>
  <si>
    <t xml:space="preserve">MEC-112</t>
  </si>
  <si>
    <t xml:space="preserve">Role restoring health, removing conditions, and preventing defeat.</t>
  </si>
  <si>
    <t xml:space="preserve">healer; medic; restoration</t>
  </si>
  <si>
    <t xml:space="preserve">MEC-113</t>
  </si>
  <si>
    <t xml:space="preserve">Burst Healer</t>
  </si>
  <si>
    <t xml:space="preserve">Healer specializing in rapid recovery after sudden damage.</t>
  </si>
  <si>
    <t xml:space="preserve">burst healing; direct healer</t>
  </si>
  <si>
    <t xml:space="preserve">MEC-114</t>
  </si>
  <si>
    <t xml:space="preserve">Sustain Healer</t>
  </si>
  <si>
    <t xml:space="preserve">Healer specializing in regeneration, efficiency, and long encounters.</t>
  </si>
  <si>
    <t xml:space="preserve">heal-over-time; sustain healer</t>
  </si>
  <si>
    <t xml:space="preserve">MEC-115</t>
  </si>
  <si>
    <t xml:space="preserve">Barrier or Shield Healer</t>
  </si>
  <si>
    <t xml:space="preserve">Support role preventing damage through wards, shields, and predictive mitigation.</t>
  </si>
  <si>
    <t xml:space="preserve">barrier healer; shield support</t>
  </si>
  <si>
    <t xml:space="preserve">MEC-116</t>
  </si>
  <si>
    <t xml:space="preserve">Buffer</t>
  </si>
  <si>
    <t xml:space="preserve">Role increasing allies' damage, defense, speed, accuracy, resource gain, or other capabilities.</t>
  </si>
  <si>
    <t xml:space="preserve">buffer; enhancer; support</t>
  </si>
  <si>
    <t xml:space="preserve">MEC-117</t>
  </si>
  <si>
    <t xml:space="preserve">Debuffer</t>
  </si>
  <si>
    <t xml:space="preserve">Role weakening enemies through status conditions, vulnerability, slow, silence, or reduced attributes.</t>
  </si>
  <si>
    <t xml:space="preserve">debuffer; hexer; status specialist</t>
  </si>
  <si>
    <t xml:space="preserve">MEC-118</t>
  </si>
  <si>
    <t xml:space="preserve">Controller</t>
  </si>
  <si>
    <t xml:space="preserve">Role shaping enemy options, movement, actions, zones, and encounter tempo.</t>
  </si>
  <si>
    <t xml:space="preserve">controller; battlefield control; lockdown</t>
  </si>
  <si>
    <t xml:space="preserve">MEC-119</t>
  </si>
  <si>
    <t xml:space="preserve">Crowd-Control Specialist</t>
  </si>
  <si>
    <t xml:space="preserve">Role disabling or displacing multiple enemies through stun, sleep, fear, roots, and similar effects.</t>
  </si>
  <si>
    <t xml:space="preserve">CC; mesmerist; crowd controller</t>
  </si>
  <si>
    <t xml:space="preserve">MEC-120</t>
  </si>
  <si>
    <t xml:space="preserve">Skirmisher</t>
  </si>
  <si>
    <t xml:space="preserve">Mobile role that enters and exits danger, exploits flanks, and avoids sustained contact.</t>
  </si>
  <si>
    <t xml:space="preserve">skirmisher; mobile striker; harasser</t>
  </si>
  <si>
    <t xml:space="preserve">MEC-121</t>
  </si>
  <si>
    <t xml:space="preserve">Artillery</t>
  </si>
  <si>
    <t xml:space="preserve">Long-range role with high output, area effects, or setup requirements and low close-range safety.</t>
  </si>
  <si>
    <t xml:space="preserve">artillery; siege caster; sniper mage</t>
  </si>
  <si>
    <t xml:space="preserve">MEC-122</t>
  </si>
  <si>
    <t xml:space="preserve">Role optimized for target access, burst, stealth, and elimination of vulnerable priorities.</t>
  </si>
  <si>
    <t xml:space="preserve">assassin; rogue burst; executioner</t>
  </si>
  <si>
    <t xml:space="preserve">MEC-123</t>
  </si>
  <si>
    <t xml:space="preserve">Defender</t>
  </si>
  <si>
    <t xml:space="preserve">Role preventing harm through interception, control, blocking, and threat management rather than only raw health.</t>
  </si>
  <si>
    <t xml:space="preserve">defender; protector; guardian</t>
  </si>
  <si>
    <t xml:space="preserve">MEC-124</t>
  </si>
  <si>
    <t xml:space="preserve">Leader or Tactical Support</t>
  </si>
  <si>
    <t xml:space="preserve">Role granting actions, movement, morale, healing, or coordination to allies.</t>
  </si>
  <si>
    <t xml:space="preserve">leader; warlord; commander</t>
  </si>
  <si>
    <t xml:space="preserve">MEC-125</t>
  </si>
  <si>
    <t xml:space="preserve">Zone Controller</t>
  </si>
  <si>
    <t xml:space="preserve">Role creating persistent hazardous, protective, or restrictive areas.</t>
  </si>
  <si>
    <t xml:space="preserve">zone control; field caster; trapper</t>
  </si>
  <si>
    <t xml:space="preserve">MEC-126</t>
  </si>
  <si>
    <t xml:space="preserve">Counterattacker</t>
  </si>
  <si>
    <t xml:space="preserve">Role whose output depends on parries, retaliation, reflected damage, or enemy actions.</t>
  </si>
  <si>
    <t xml:space="preserve">counter tank; riposte; reactive fighter</t>
  </si>
  <si>
    <t xml:space="preserve">MEC-127</t>
  </si>
  <si>
    <t xml:space="preserve">Glass Cannon</t>
  </si>
  <si>
    <t xml:space="preserve">Role with exceptional output and low durability or narrow defensive margin.</t>
  </si>
  <si>
    <t xml:space="preserve">glass cannon; fragile nuker</t>
  </si>
  <si>
    <t xml:space="preserve">MEC-128</t>
  </si>
  <si>
    <t xml:space="preserve">Jack-of-All-Trades</t>
  </si>
  <si>
    <t xml:space="preserve">Flexible role competent in many functions but not dominant in any one.</t>
  </si>
  <si>
    <t xml:space="preserve">generalist; red mage; hybrid</t>
  </si>
  <si>
    <t xml:space="preserve">MEC-129</t>
  </si>
  <si>
    <t xml:space="preserve">Specialist</t>
  </si>
  <si>
    <t xml:space="preserve">Role extremely strong in a narrow function and weak outside it.</t>
  </si>
  <si>
    <t xml:space="preserve">specialist; niche class</t>
  </si>
  <si>
    <t xml:space="preserve">MEC-130</t>
  </si>
  <si>
    <t xml:space="preserve">Skill Monkey</t>
  </si>
  <si>
    <t xml:space="preserve">Role with broad noncombat skills, expertise, utility, and problem-solving coverage.</t>
  </si>
  <si>
    <t xml:space="preserve">skill monkey; expert; rogue utility</t>
  </si>
  <si>
    <t xml:space="preserve">MEC-131</t>
  </si>
  <si>
    <t xml:space="preserve">Face</t>
  </si>
  <si>
    <t xml:space="preserve">Character optimized for persuasion, deception, leadership, and social interaction.</t>
  </si>
  <si>
    <t xml:space="preserve">party face; diplomat; charisma build</t>
  </si>
  <si>
    <t xml:space="preserve">MEC-132</t>
  </si>
  <si>
    <t xml:space="preserve">Character optimized for perception, stealth, navigation, initiative, and information gathering.</t>
  </si>
  <si>
    <t xml:space="preserve">scout; recon; explorer</t>
  </si>
  <si>
    <t xml:space="preserve">MEC-133</t>
  </si>
  <si>
    <t xml:space="preserve">Trap and Hazard Specialist</t>
  </si>
  <si>
    <t xml:space="preserve">Role detecting, disarming, creating, or exploiting traps and environmental dangers.</t>
  </si>
  <si>
    <t xml:space="preserve">trapper; dungeon specialist; engineer</t>
  </si>
  <si>
    <t xml:space="preserve">MEC-134</t>
  </si>
  <si>
    <t xml:space="preserve">Summoner or Pet Role</t>
  </si>
  <si>
    <t xml:space="preserve">Role whose effectiveness is substantially mediated through controllable companions.</t>
  </si>
  <si>
    <t xml:space="preserve">pet class; summoner; minion master</t>
  </si>
  <si>
    <t xml:space="preserve">MEC-135</t>
  </si>
  <si>
    <t xml:space="preserve">Transforming Role</t>
  </si>
  <si>
    <t xml:space="preserve">Role switches stat profile, abilities, body, or function through transformation.</t>
  </si>
  <si>
    <t xml:space="preserve">shifter; stance form; magical transformation</t>
  </si>
  <si>
    <t xml:space="preserve">MEC-136</t>
  </si>
  <si>
    <t xml:space="preserve">Stance Switcher</t>
  </si>
  <si>
    <t xml:space="preserve">Role alternates among mutually exclusive modes optimized for different situations.</t>
  </si>
  <si>
    <t xml:space="preserve">stance class; mode switcher; form changer</t>
  </si>
  <si>
    <t xml:space="preserve">MEC-137</t>
  </si>
  <si>
    <t xml:space="preserve">Mimic or Copy Role</t>
  </si>
  <si>
    <t xml:space="preserve">Role acquires or reproduces abilities used by enemies or allies.</t>
  </si>
  <si>
    <t xml:space="preserve">mimic; blue mage; skill copier</t>
  </si>
  <si>
    <t xml:space="preserve">MEC-138</t>
  </si>
  <si>
    <t xml:space="preserve">Luck or Random Role</t>
  </si>
  <si>
    <t xml:space="preserve">Role accepts variance through cards, dice, random skills, proc chains, or probabilistic outcomes.</t>
  </si>
  <si>
    <t xml:space="preserve">gambler; RNG class; random caster</t>
  </si>
  <si>
    <t xml:space="preserve">MEC-201</t>
  </si>
  <si>
    <t xml:space="preserve">Vancian or Prepared Casting</t>
  </si>
  <si>
    <t xml:space="preserve">Caster selects a limited set of spells in advance and expends prepared uses or slots.</t>
  </si>
  <si>
    <t xml:space="preserve">prepared caster; Vancian magic; spell slots</t>
  </si>
  <si>
    <t xml:space="preserve">Defines pacing, preparation, risk, repeatability, and the cost structure of power.</t>
  </si>
  <si>
    <t xml:space="preserve">MEC-202</t>
  </si>
  <si>
    <t xml:space="preserve">Spontaneous Casting</t>
  </si>
  <si>
    <t xml:space="preserve">Caster knows a limited repertoire but chooses which known spell to use at the moment of casting.</t>
  </si>
  <si>
    <t xml:space="preserve">spontaneous caster; sorcerer model</t>
  </si>
  <si>
    <t xml:space="preserve">MEC-203</t>
  </si>
  <si>
    <t xml:space="preserve">Mana Pool</t>
  </si>
  <si>
    <t xml:space="preserve">Abilities consume a shared regenerating or refillable magical resource.</t>
  </si>
  <si>
    <t xml:space="preserve">mana; MP; magic points</t>
  </si>
  <si>
    <t xml:space="preserve">MEC-204</t>
  </si>
  <si>
    <t xml:space="preserve">Per-Encounter Resource</t>
  </si>
  <si>
    <t xml:space="preserve">Abilities refresh after each encounter, battle, or short rest.</t>
  </si>
  <si>
    <t xml:space="preserve">encounter powers; battle charges</t>
  </si>
  <si>
    <t xml:space="preserve">MEC-205</t>
  </si>
  <si>
    <t xml:space="preserve">Per-Day Resource</t>
  </si>
  <si>
    <t xml:space="preserve">Abilities refresh after extended rest, daily reset, or in-world cycle.</t>
  </si>
  <si>
    <t xml:space="preserve">daily powers; spell slots; long-rest resource</t>
  </si>
  <si>
    <t xml:space="preserve">MEC-206</t>
  </si>
  <si>
    <t xml:space="preserve">Cooldown Model</t>
  </si>
  <si>
    <t xml:space="preserve">Abilities become unavailable for fixed real-time or turn-based intervals after use.</t>
  </si>
  <si>
    <t xml:space="preserve">cooldown; recharge timer</t>
  </si>
  <si>
    <t xml:space="preserve">MEC-207</t>
  </si>
  <si>
    <t xml:space="preserve">Charge Model</t>
  </si>
  <si>
    <t xml:space="preserve">Abilities have a limited number of stored uses that recover individually or under conditions.</t>
  </si>
  <si>
    <t xml:space="preserve">charges; ammunition; spell uses</t>
  </si>
  <si>
    <t xml:space="preserve">MEC-208</t>
  </si>
  <si>
    <t xml:space="preserve">Builder-Spender</t>
  </si>
  <si>
    <t xml:space="preserve">Basic actions generate a resource that stronger actions consume.</t>
  </si>
  <si>
    <t xml:space="preserve">combo points; rage; gauge; builder spender</t>
  </si>
  <si>
    <t xml:space="preserve">MEC-209</t>
  </si>
  <si>
    <t xml:space="preserve">Health-Cost Casting</t>
  </si>
  <si>
    <t xml:space="preserve">Abilities consume the user's life, wounds, blood, or maximum health.</t>
  </si>
  <si>
    <t xml:space="preserve">blood magic cost; HP casting</t>
  </si>
  <si>
    <t xml:space="preserve">MEC-210</t>
  </si>
  <si>
    <t xml:space="preserve">Sacrifice-Cost System</t>
  </si>
  <si>
    <t xml:space="preserve">Power consumes permanent or narratively costly resources such as allies, years, items, memories, or souls.</t>
  </si>
  <si>
    <t xml:space="preserve">sacrifice; equivalent exchange; burn resource</t>
  </si>
  <si>
    <t xml:space="preserve">MEC-211</t>
  </si>
  <si>
    <t xml:space="preserve">Item-Based Casting</t>
  </si>
  <si>
    <t xml:space="preserve">Abilities require consumable scrolls, reagents, bombs, cards, ammunition, or crafted items.</t>
  </si>
  <si>
    <t xml:space="preserve">item user; alchemist; consumable caster</t>
  </si>
  <si>
    <t xml:space="preserve">MEC-212</t>
  </si>
  <si>
    <t xml:space="preserve">Ammo and Reload Model</t>
  </si>
  <si>
    <t xml:space="preserve">Ranged actions depend on ammunition count, magazines, reload actions, or preparation.</t>
  </si>
  <si>
    <t xml:space="preserve">ammo; reload; quiver</t>
  </si>
  <si>
    <t xml:space="preserve">MEC-213</t>
  </si>
  <si>
    <t xml:space="preserve">Stamina or Energy Pool</t>
  </si>
  <si>
    <t xml:space="preserve">Physical actions consume a regenerating resource governing pace and mobility.</t>
  </si>
  <si>
    <t xml:space="preserve">stamina; energy; endurance</t>
  </si>
  <si>
    <t xml:space="preserve">MEC-214</t>
  </si>
  <si>
    <t xml:space="preserve">Rage or Damage-Fueled Resource</t>
  </si>
  <si>
    <t xml:space="preserve">Taking or dealing damage generates power used for stronger abilities.</t>
  </si>
  <si>
    <t xml:space="preserve">rage; fury; wrath</t>
  </si>
  <si>
    <t xml:space="preserve">MEC-215</t>
  </si>
  <si>
    <t xml:space="preserve">Limit Gauge</t>
  </si>
  <si>
    <t xml:space="preserve">Exceptional abilities become available through accumulated combat stress, damage, time, or team action.</t>
  </si>
  <si>
    <t xml:space="preserve">limit break; overdrive; ultimate gauge</t>
  </si>
  <si>
    <t xml:space="preserve">MEC-216</t>
  </si>
  <si>
    <t xml:space="preserve">Combo Chain</t>
  </si>
  <si>
    <t xml:space="preserve">Abilities gain value when executed in specified sequences or timing windows.</t>
  </si>
  <si>
    <t xml:space="preserve">combo; chain; rotation</t>
  </si>
  <si>
    <t xml:space="preserve">MEC-217</t>
  </si>
  <si>
    <t xml:space="preserve">Position-Based Bonuses</t>
  </si>
  <si>
    <t xml:space="preserve">Abilities depend on flanking, facing, elevation, range bands, or exact spatial relationship.</t>
  </si>
  <si>
    <t xml:space="preserve">positional; backstab; high ground</t>
  </si>
  <si>
    <t xml:space="preserve">MEC-218</t>
  </si>
  <si>
    <t xml:space="preserve">Reaction or Interrupt Model</t>
  </si>
  <si>
    <t xml:space="preserve">Power is reserved for responses to triggers, enemy actions, or timing windows.</t>
  </si>
  <si>
    <t xml:space="preserve">reaction; counter; interrupt</t>
  </si>
  <si>
    <t xml:space="preserve">MEC-219</t>
  </si>
  <si>
    <t xml:space="preserve">Random Draw Model</t>
  </si>
  <si>
    <t xml:space="preserve">Available abilities or bonuses are determined by drawing cards, runes, dice, or random options.</t>
  </si>
  <si>
    <t xml:space="preserve">deck; draw; roulette</t>
  </si>
  <si>
    <t xml:space="preserve">MEC-220</t>
  </si>
  <si>
    <t xml:space="preserve">Corruption or Instability Meter</t>
  </si>
  <si>
    <t xml:space="preserve">Using power increases a dangerous secondary resource that can cause mutation, failure, or loss of control.</t>
  </si>
  <si>
    <t xml:space="preserve">corruption meter; heat; instability</t>
  </si>
  <si>
    <t xml:space="preserve">MEC-221</t>
  </si>
  <si>
    <t xml:space="preserve">Heat or Overload Model</t>
  </si>
  <si>
    <t xml:space="preserve">Power generates heat or strain requiring cooldown, venting, or risk management.</t>
  </si>
  <si>
    <t xml:space="preserve">heat; overcharge; overload</t>
  </si>
  <si>
    <t xml:space="preserve">MEC-222</t>
  </si>
  <si>
    <t xml:space="preserve">Concentration and Channeling</t>
  </si>
  <si>
    <t xml:space="preserve">Power requires continuous focus and can be interrupted by movement, damage, or competing actions.</t>
  </si>
  <si>
    <t xml:space="preserve">channel; concentration; maintained spell</t>
  </si>
  <si>
    <t xml:space="preserve">MEC-223</t>
  </si>
  <si>
    <t xml:space="preserve">Ritual Time Model</t>
  </si>
  <si>
    <t xml:space="preserve">Power requires extended setup, materials, participants, or precise conditions rather than ordinary action economy.</t>
  </si>
  <si>
    <t xml:space="preserve">ritual; cast time; ceremony</t>
  </si>
  <si>
    <t xml:space="preserve">MEC-224</t>
  </si>
  <si>
    <t xml:space="preserve">No-Resource or At-Will Model</t>
  </si>
  <si>
    <t xml:space="preserve">Core abilities can be used freely, with balance achieved through lower impact, conditions, or action opportunity.</t>
  </si>
  <si>
    <t xml:space="preserve">at-will; basic action; cantrip</t>
  </si>
  <si>
    <t xml:space="preserve">MEC-225</t>
  </si>
  <si>
    <t xml:space="preserve">Durability or Equipment Wear</t>
  </si>
  <si>
    <t xml:space="preserve">Power depends on tools that degrade, break, consume maintenance, or lose enchantment.</t>
  </si>
  <si>
    <t xml:space="preserve">durability; weapon wear; repair</t>
  </si>
  <si>
    <t xml:space="preserve">MEC-226</t>
  </si>
  <si>
    <t xml:space="preserve">Soul or Follower Resource</t>
  </si>
  <si>
    <t xml:space="preserve">Abilities consume captured souls, minions, worship, corpses, followers, or social authority.</t>
  </si>
  <si>
    <t xml:space="preserve">souls; corpses; faith; minion resource</t>
  </si>
  <si>
    <t xml:space="preserve">MEC-301</t>
  </si>
  <si>
    <t xml:space="preserve">Fixed Class</t>
  </si>
  <si>
    <t xml:space="preserve">Character progression occurs within one defined class with limited or no switching.</t>
  </si>
  <si>
    <t xml:space="preserve">single class; fixed job</t>
  </si>
  <si>
    <t xml:space="preserve">Defines character differentiation, advancement, replayability, and build identity.</t>
  </si>
  <si>
    <t xml:space="preserve">MEC-302</t>
  </si>
  <si>
    <t xml:space="preserve">Class Change or Job System</t>
  </si>
  <si>
    <t xml:space="preserve">Characters can switch among jobs, often carrying selected levels or abilities.</t>
  </si>
  <si>
    <t xml:space="preserve">job change; class switch; license system</t>
  </si>
  <si>
    <t xml:space="preserve">MEC-303</t>
  </si>
  <si>
    <t xml:space="preserve">Multiclassing</t>
  </si>
  <si>
    <t xml:space="preserve">Character combines progression from two or more classes.</t>
  </si>
  <si>
    <t xml:space="preserve">multiclass; dual class; hybrid build</t>
  </si>
  <si>
    <t xml:space="preserve">MEC-304</t>
  </si>
  <si>
    <t xml:space="preserve">Subclass Specialization</t>
  </si>
  <si>
    <t xml:space="preserve">A broad class branches into a narrower path with distinct abilities and identity.</t>
  </si>
  <si>
    <t xml:space="preserve">subclass; specialization; archetype</t>
  </si>
  <si>
    <t xml:space="preserve">MEC-305</t>
  </si>
  <si>
    <t xml:space="preserve">Prestige or Advanced Class</t>
  </si>
  <si>
    <t xml:space="preserve">Specialized class unlocked after prerequisites, promotion, item, story event, or high rank.</t>
  </si>
  <si>
    <t xml:space="preserve">prestige class; advanced job; promotion</t>
  </si>
  <si>
    <t xml:space="preserve">MEC-306</t>
  </si>
  <si>
    <t xml:space="preserve">Classless Skill System</t>
  </si>
  <si>
    <t xml:space="preserve">Characters buy or improve individual skills, attributes, perks, and powers without fixed classes.</t>
  </si>
  <si>
    <t xml:space="preserve">skill-based; classless; point buy</t>
  </si>
  <si>
    <t xml:space="preserve">MEC-307</t>
  </si>
  <si>
    <t xml:space="preserve">Talent Tree</t>
  </si>
  <si>
    <t xml:space="preserve">Progression involves selecting connected passive and active upgrades along branches.</t>
  </si>
  <si>
    <t xml:space="preserve">skill tree; talent tree; perk tree</t>
  </si>
  <si>
    <t xml:space="preserve">MEC-308</t>
  </si>
  <si>
    <t xml:space="preserve">Loadout-Based Build</t>
  </si>
  <si>
    <t xml:space="preserve">Character identity changes through equipped abilities, weapons, cards, spells, or modules rather than permanent class.</t>
  </si>
  <si>
    <t xml:space="preserve">loadout; deck build; ability slots</t>
  </si>
  <si>
    <t xml:space="preserve">MEC-309</t>
  </si>
  <si>
    <t xml:space="preserve">Equipment-Defined Role</t>
  </si>
  <si>
    <t xml:space="preserve">Weapons, armor, tools, or relics substantially determine available abilities and party function.</t>
  </si>
  <si>
    <t xml:space="preserve">weapon class; gear build; equipment role</t>
  </si>
  <si>
    <t xml:space="preserve">MEC-310</t>
  </si>
  <si>
    <t xml:space="preserve">Level-Based Progression</t>
  </si>
  <si>
    <t xml:space="preserve">Capabilities rise through discrete levels earned by experience or milestones.</t>
  </si>
  <si>
    <t xml:space="preserve">levels; XP; rank</t>
  </si>
  <si>
    <t xml:space="preserve">MEC-311</t>
  </si>
  <si>
    <t xml:space="preserve">Skill-Use Progression</t>
  </si>
  <si>
    <t xml:space="preserve">Skills improve through repeated use rather than global level allocation.</t>
  </si>
  <si>
    <t xml:space="preserve">use-based leveling; practice progression</t>
  </si>
  <si>
    <t xml:space="preserve">MEC-312</t>
  </si>
  <si>
    <t xml:space="preserve">Point-Buy Progression</t>
  </si>
  <si>
    <t xml:space="preserve">Players allocate earned points directly among attributes, skills, powers, or perks.</t>
  </si>
  <si>
    <t xml:space="preserve">point buy; free allocation</t>
  </si>
  <si>
    <t xml:space="preserve">MEC-313</t>
  </si>
  <si>
    <t xml:space="preserve">Narrative Advancement</t>
  </si>
  <si>
    <t xml:space="preserve">New abilities and status are gained primarily through story events, relationships, training, and consequences.</t>
  </si>
  <si>
    <t xml:space="preserve">milestone; fiction-first advancement</t>
  </si>
  <si>
    <t xml:space="preserve">MEC-314</t>
  </si>
  <si>
    <t xml:space="preserve">Rank and Promotion System</t>
  </si>
  <si>
    <t xml:space="preserve">Progression is tied to formal military, guild, hunter, or sect rank.</t>
  </si>
  <si>
    <t xml:space="preserve">promotion; guild rank; hunter grade</t>
  </si>
  <si>
    <t xml:space="preserve">MEC-315</t>
  </si>
  <si>
    <t xml:space="preserve">Cultivation Realm System</t>
  </si>
  <si>
    <t xml:space="preserve">Progression passes through named metaphysical stages with qualitative transformations.</t>
  </si>
  <si>
    <t xml:space="preserve">cultivation stages; realms; breakthroughs</t>
  </si>
  <si>
    <t xml:space="preserve">MEC-316</t>
  </si>
  <si>
    <t xml:space="preserve">Evolution System</t>
  </si>
  <si>
    <t xml:space="preserve">A creature or character changes species, form, or class after meeting conditions.</t>
  </si>
  <si>
    <t xml:space="preserve">evolution; class evolution; metamorphosis</t>
  </si>
  <si>
    <t xml:space="preserve">MEC-317</t>
  </si>
  <si>
    <t xml:space="preserve">Reincarnation or Reset Progression</t>
  </si>
  <si>
    <t xml:space="preserve">Character restarts with retained bonuses, knowledge, traits, or meta-currency.</t>
  </si>
  <si>
    <t xml:space="preserve">rebirth; prestige reset; new game plus</t>
  </si>
  <si>
    <t xml:space="preserve">MEC-318</t>
  </si>
  <si>
    <t xml:space="preserve">Inheritance System</t>
  </si>
  <si>
    <t xml:space="preserve">Abilities, items, titles, or traits pass to descendants, successors, clones, or later runs.</t>
  </si>
  <si>
    <t xml:space="preserve">legacy; bloodline; generational transfer</t>
  </si>
  <si>
    <t xml:space="preserve">MEC-319</t>
  </si>
  <si>
    <t xml:space="preserve">Companion Collection System</t>
  </si>
  <si>
    <t xml:space="preserve">Progression centers on recruiting, summoning, breeding, or improving a roster of allies.</t>
  </si>
  <si>
    <t xml:space="preserve">monster collection; gacha roster; recruit system</t>
  </si>
  <si>
    <t xml:space="preserve">MEC-320</t>
  </si>
  <si>
    <t xml:space="preserve">Crafting Progression</t>
  </si>
  <si>
    <t xml:space="preserve">Character grows through recipes, material quality, tools, workshop capacity, and production mastery.</t>
  </si>
  <si>
    <t xml:space="preserve">craft levels; artisan progression</t>
  </si>
  <si>
    <t xml:space="preserve">MEC-321</t>
  </si>
  <si>
    <t xml:space="preserve">Faction Reputation Progression</t>
  </si>
  <si>
    <t xml:space="preserve">Access and power increase through standing with institutions, peoples, or political groups.</t>
  </si>
  <si>
    <t xml:space="preserve">reputation; renown; faction rank</t>
  </si>
  <si>
    <t xml:space="preserve">MEC-322</t>
  </si>
  <si>
    <t xml:space="preserve">Moral Alignment Progression</t>
  </si>
  <si>
    <t xml:space="preserve">Abilities, classes, factions, or outcomes change in response to ethical or ideological choices.</t>
  </si>
  <si>
    <t xml:space="preserve">alignment path; morality meter; law/chaos</t>
  </si>
  <si>
    <t xml:space="preserve">MEC-323</t>
  </si>
  <si>
    <t xml:space="preserve">Transformation Progression</t>
  </si>
  <si>
    <t xml:space="preserve">Character unlocks increasingly powerful forms, modes, or sequences.</t>
  </si>
  <si>
    <t xml:space="preserve">form ladder; transformations; ascension</t>
  </si>
  <si>
    <t xml:space="preserve">MEC-324</t>
  </si>
  <si>
    <t xml:space="preserve">Copy-and-Learn Progression</t>
  </si>
  <si>
    <t xml:space="preserve">Growth depends on observing, consuming, defeating, or analyzing other beings.</t>
  </si>
  <si>
    <t xml:space="preserve">blue mage learning; skill absorption; mimic progression</t>
  </si>
  <si>
    <t xml:space="preserve">MEC-325</t>
  </si>
  <si>
    <t xml:space="preserve">Procedural or Random Build</t>
  </si>
  <si>
    <t xml:space="preserve">Available powers are generated or offered unpredictably, making adaptation central.</t>
  </si>
  <si>
    <t xml:space="preserve">roguelike build; random perks; draft progression</t>
  </si>
  <si>
    <t xml:space="preserve">MEC-326</t>
  </si>
  <si>
    <t xml:space="preserve">Deck-Building Progression</t>
  </si>
  <si>
    <t xml:space="preserve">Character's tactical identity is defined by acquiring, removing, and combining cards or actions.</t>
  </si>
  <si>
    <t xml:space="preserve">deckbuilder; card loadout; spell deck</t>
  </si>
  <si>
    <t xml:space="preserve">MEC-327</t>
  </si>
  <si>
    <t xml:space="preserve">Social-Bond Progression</t>
  </si>
  <si>
    <t xml:space="preserve">Relationships unlock abilities, classes, teamwork actions, or narrative power.</t>
  </si>
  <si>
    <t xml:space="preserve">support rank; bonds; social links</t>
  </si>
  <si>
    <t xml:space="preserve">MEC-328</t>
  </si>
  <si>
    <t xml:space="preserve">Settlement or Kingdom Progression</t>
  </si>
  <si>
    <t xml:space="preserve">Character power grows through building institutions, population, territory, and infrastructure.</t>
  </si>
  <si>
    <t xml:space="preserve">kingdom building; base upgrade; domain play</t>
  </si>
  <si>
    <t xml:space="preserve">MEC-329</t>
  </si>
  <si>
    <t xml:space="preserve">World-Level Scaling</t>
  </si>
  <si>
    <t xml:space="preserve">Enemies and encounters adjust to character level or progression rather than fixed geography.</t>
  </si>
  <si>
    <t xml:space="preserve">level scaling; adaptive world</t>
  </si>
  <si>
    <t xml:space="preserve">MEC-330</t>
  </si>
  <si>
    <t xml:space="preserve">Horizontal Progression</t>
  </si>
  <si>
    <t xml:space="preserve">Growth expands options and flexibility without large numerical power increases.</t>
  </si>
  <si>
    <t xml:space="preserve">horizontal growth; sidegrades</t>
  </si>
  <si>
    <t xml:space="preserve">MEC-331</t>
  </si>
  <si>
    <t xml:space="preserve">Vertical Progression</t>
  </si>
  <si>
    <t xml:space="preserve">Growth primarily increases numerical power, rank, tier, and access to stronger content.</t>
  </si>
  <si>
    <t xml:space="preserve">vertical growth; gear treadmill</t>
  </si>
  <si>
    <t xml:space="preserve">MEC-401</t>
  </si>
  <si>
    <t xml:space="preserve">Player Character</t>
  </si>
  <si>
    <t xml:space="preserve">Individually controlled primary unit through which the player acts and progresses.</t>
  </si>
  <si>
    <t xml:space="preserve">PC; hero unit; avatar</t>
  </si>
  <si>
    <t xml:space="preserve">Defines control, encounter design, party composition, recruitment, loss, and noncombat gameplay.</t>
  </si>
  <si>
    <t xml:space="preserve">MEC-402</t>
  </si>
  <si>
    <t xml:space="preserve">Companion Character</t>
  </si>
  <si>
    <t xml:space="preserve">Persistent allied character with distinct identity, progression, and relationship to the player.</t>
  </si>
  <si>
    <t xml:space="preserve">companion; party member; follower</t>
  </si>
  <si>
    <t xml:space="preserve">MEC-403</t>
  </si>
  <si>
    <t xml:space="preserve">Hireling or Mercenary Unit</t>
  </si>
  <si>
    <t xml:space="preserve">Replaceable or contract-based ally with limited narrative centrality.</t>
  </si>
  <si>
    <t xml:space="preserve">hireling; mercenary; generic unit</t>
  </si>
  <si>
    <t xml:space="preserve">MEC-404</t>
  </si>
  <si>
    <t xml:space="preserve">Summoned Unit</t>
  </si>
  <si>
    <t xml:space="preserve">Temporary or persistent ally created or called by an ability.</t>
  </si>
  <si>
    <t xml:space="preserve">summon; minion; eidolon</t>
  </si>
  <si>
    <t xml:space="preserve">MEC-405</t>
  </si>
  <si>
    <t xml:space="preserve">Pet or Tamed Unit</t>
  </si>
  <si>
    <t xml:space="preserve">Companion creature trained, collected, or bonded rather than conventionally recruited.</t>
  </si>
  <si>
    <t xml:space="preserve">pet; tamed monster; familiar</t>
  </si>
  <si>
    <t xml:space="preserve">MEC-406</t>
  </si>
  <si>
    <t xml:space="preserve">Swarm or Squad Unit</t>
  </si>
  <si>
    <t xml:space="preserve">One game unit represents multiple bodies acting together.</t>
  </si>
  <si>
    <t xml:space="preserve">squad; swarm; troop unit</t>
  </si>
  <si>
    <t xml:space="preserve">MEC-407</t>
  </si>
  <si>
    <t xml:space="preserve">Hero Unit</t>
  </si>
  <si>
    <t xml:space="preserve">Named elite unit with superior abilities, progression, and narrative significance.</t>
  </si>
  <si>
    <t xml:space="preserve">hero; commander; named unit</t>
  </si>
  <si>
    <t xml:space="preserve">MEC-408</t>
  </si>
  <si>
    <t xml:space="preserve">Boss Unit</t>
  </si>
  <si>
    <t xml:space="preserve">Encounter-defining enemy with exceptional health, phases, immunities, and mechanics.</t>
  </si>
  <si>
    <t xml:space="preserve">boss; raid boss; final enemy</t>
  </si>
  <si>
    <t xml:space="preserve">MEC-409</t>
  </si>
  <si>
    <t xml:space="preserve">Elite or Mini-Boss</t>
  </si>
  <si>
    <t xml:space="preserve">Stronger-than-normal enemy introducing special mechanics without full boss scope.</t>
  </si>
  <si>
    <t xml:space="preserve">elite; champion enemy; miniboss</t>
  </si>
  <si>
    <t xml:space="preserve">MEC-410</t>
  </si>
  <si>
    <t xml:space="preserve">Glass-Cannon Enemy</t>
  </si>
  <si>
    <t xml:space="preserve">Enemy designed to deal severe damage but collapse quickly if reached or controlled.</t>
  </si>
  <si>
    <t xml:space="preserve">artillery mob; fragile caster</t>
  </si>
  <si>
    <t xml:space="preserve">MEC-411</t>
  </si>
  <si>
    <t xml:space="preserve">Tank Enemy</t>
  </si>
  <si>
    <t xml:space="preserve">Enemy designed to block access, absorb attention, or protect others.</t>
  </si>
  <si>
    <t xml:space="preserve">brute; defender mob; guardian</t>
  </si>
  <si>
    <t xml:space="preserve">MEC-412</t>
  </si>
  <si>
    <t xml:space="preserve">Support Enemy</t>
  </si>
  <si>
    <t xml:space="preserve">Enemy that heals, buffs, summons, controls, or enables other enemies.</t>
  </si>
  <si>
    <t xml:space="preserve">support mob; healer enemy; buffer</t>
  </si>
  <si>
    <t xml:space="preserve">MEC-413</t>
  </si>
  <si>
    <t xml:space="preserve">Controller Enemy</t>
  </si>
  <si>
    <t xml:space="preserve">Enemy that alters terrain, movement, positioning, status, or action economy.</t>
  </si>
  <si>
    <t xml:space="preserve">control mob; caster enemy</t>
  </si>
  <si>
    <t xml:space="preserve">MEC-414</t>
  </si>
  <si>
    <t xml:space="preserve">Phased Boss</t>
  </si>
  <si>
    <t xml:space="preserve">Boss changes abilities, arena, targets, form, or rules at health or time thresholds.</t>
  </si>
  <si>
    <t xml:space="preserve">multi-phase boss; transformation boss</t>
  </si>
  <si>
    <t xml:space="preserve">MEC-415</t>
  </si>
  <si>
    <t xml:space="preserve">Puzzle Boss</t>
  </si>
  <si>
    <t xml:space="preserve">Encounter requires understanding a pattern, environment, item, or rule rather than raw damage alone.</t>
  </si>
  <si>
    <t xml:space="preserve">gimmick boss; puzzle encounter</t>
  </si>
  <si>
    <t xml:space="preserve">MEC-416</t>
  </si>
  <si>
    <t xml:space="preserve">Raid Role</t>
  </si>
  <si>
    <t xml:space="preserve">Highly specialized function designed for coordinated large-group encounters.</t>
  </si>
  <si>
    <t xml:space="preserve">raid tank; raid healer; raid DPS</t>
  </si>
  <si>
    <t xml:space="preserve">MEC-417</t>
  </si>
  <si>
    <t xml:space="preserve">Tactical Job Unit</t>
  </si>
  <si>
    <t xml:space="preserve">Unit whose class determines movement, equipment, skills, and battlefield role in a grid or turn-based system.</t>
  </si>
  <si>
    <t xml:space="preserve">job unit; tactical class; classmark unit</t>
  </si>
  <si>
    <t xml:space="preserve">MEC-418</t>
  </si>
  <si>
    <t xml:space="preserve">Crafting Class</t>
  </si>
  <si>
    <t xml:space="preserve">Playable profession with its own progression, actions, quality systems, and economic role.</t>
  </si>
  <si>
    <t xml:space="preserve">crafter; disciple of the hand; artisan class</t>
  </si>
  <si>
    <t xml:space="preserve">MEC-419</t>
  </si>
  <si>
    <t xml:space="preserve">Gathering Class</t>
  </si>
  <si>
    <t xml:space="preserve">Playable profession centered on resource nodes, routes, perception, and collection.</t>
  </si>
  <si>
    <t xml:space="preserve">MEC-420</t>
  </si>
  <si>
    <t xml:space="preserve">Social or Diplomatic Class</t>
  </si>
  <si>
    <t xml:space="preserve">Class whose primary mechanics concern persuasion, status, networks, negotiation, and influence.</t>
  </si>
  <si>
    <t xml:space="preserve">face class; courtier; diplomat</t>
  </si>
  <si>
    <t xml:space="preserve">MEC-421</t>
  </si>
  <si>
    <t xml:space="preserve">Exploration Class</t>
  </si>
  <si>
    <t xml:space="preserve">Class optimized for navigation, environmental hazards, mapping, travel, and discovery.</t>
  </si>
  <si>
    <t xml:space="preserve">explorer; ranger; delver</t>
  </si>
  <si>
    <t xml:space="preserve">MEC-422</t>
  </si>
  <si>
    <t xml:space="preserve">Monster Class</t>
  </si>
  <si>
    <t xml:space="preserve">Playable or recruitable class restricted to a creature type or nonhuman body.</t>
  </si>
  <si>
    <t xml:space="preserve">dragon class; beast class; undead class</t>
  </si>
  <si>
    <t xml:space="preserve">MEC-423</t>
  </si>
  <si>
    <t xml:space="preserve">Unique Character Class</t>
  </si>
  <si>
    <t xml:space="preserve">Class available only to a named character and tied to story identity.</t>
  </si>
  <si>
    <t xml:space="preserve">unique job; special class; lord class</t>
  </si>
  <si>
    <t xml:space="preserve">MEC-424</t>
  </si>
  <si>
    <t xml:space="preserve">Enemy-Only Class</t>
  </si>
  <si>
    <t xml:space="preserve">Role or rules package unavailable to ordinary players and designed for opposition.</t>
  </si>
  <si>
    <t xml:space="preserve">enemy class; boss job; monster-only role</t>
  </si>
  <si>
    <t xml:space="preserve">MEC-425</t>
  </si>
  <si>
    <t xml:space="preserve">Guest Unit</t>
  </si>
  <si>
    <t xml:space="preserve">Temporary allied character controlled wholly or partly by the game or story.</t>
  </si>
  <si>
    <t xml:space="preserve">guest; escort; temporary companion</t>
  </si>
  <si>
    <t xml:space="preserve">MEC-426</t>
  </si>
  <si>
    <t xml:space="preserve">Permadeath Unit</t>
  </si>
  <si>
    <t xml:space="preserve">Character can be permanently lost, making recruitment and risk central.</t>
  </si>
  <si>
    <t xml:space="preserve">permadeath; ironman unit; casualty</t>
  </si>
  <si>
    <t xml:space="preserve">MEC-427</t>
  </si>
  <si>
    <t xml:space="preserve">Recruitable Enemy</t>
  </si>
  <si>
    <t xml:space="preserve">Opponent can become a player-controlled unit through persuasion, capture, taming, or story choice.</t>
  </si>
  <si>
    <t xml:space="preserve">recruit; tame; charm enemy</t>
  </si>
  <si>
    <t xml:space="preserve">MEC-428</t>
  </si>
  <si>
    <t xml:space="preserve">Faction Unit</t>
  </si>
  <si>
    <t xml:space="preserve">Unit's identity and rules depend on membership in a political, ethnic, religious, or military faction.</t>
  </si>
  <si>
    <t xml:space="preserve">faction troop; army unit; clan unit</t>
  </si>
  <si>
    <t xml:space="preserve">MEC-429</t>
  </si>
  <si>
    <t xml:space="preserve">Transformation Unit</t>
  </si>
  <si>
    <t xml:space="preserve">Unit changes class, form, species, allegiance, or stat profile during battle.</t>
  </si>
  <si>
    <t xml:space="preserve">morph unit; phase unit; evolving monster</t>
  </si>
  <si>
    <t xml:space="preserve">MEC-430</t>
  </si>
  <si>
    <t xml:space="preserve">Dungeon Core or Management Unit</t>
  </si>
  <si>
    <t xml:space="preserve">Player controls the environment, spawn system, rooms, economy, or monsters rather than a single adventurer.</t>
  </si>
  <si>
    <t xml:space="preserve">dungeon core; overlord mode; management avatar</t>
  </si>
  <si>
    <t xml:space="preserve">ART-000</t>
  </si>
  <si>
    <t xml:space="preserve">Objects, equipment, texts, containers, vehicles, mounts, and constructed instruments whose identity or power is narratively, ritually, cosmologically, or mechanically significant.</t>
  </si>
  <si>
    <t xml:space="preserve">A top-level analytical domain. Source records may link to several domains without being reduced to any one of them.</t>
  </si>
  <si>
    <t xml:space="preserve">Provides a primary comparison axis for the database.</t>
  </si>
  <si>
    <t xml:space="preserve">Preserve the source's own categories and avoid treating a comparative family as an indigenous or canonical taxonomy.</t>
  </si>
  <si>
    <t xml:space="preserve">ART-100</t>
  </si>
  <si>
    <t xml:space="preserve">Empowered Objects &amp; Relics</t>
  </si>
  <si>
    <t xml:space="preserve">Objects distinguished by sacred history, unique agency, inherited authority, stored power, or singular narrative status.</t>
  </si>
  <si>
    <t xml:space="preserve">An organizing family rather than a source-native universal; classify a source concept at the narrowest defensible level.</t>
  </si>
  <si>
    <t xml:space="preserve">Organizes source-specific records and normalized subfamilies.</t>
  </si>
  <si>
    <t xml:space="preserve">Preserve source-specific terminology, metaphysics, ritual context, and cultural ownership; use this family for comparison, not as a claim of historical equivalence.</t>
  </si>
  <si>
    <t xml:space="preserve">ART-200</t>
  </si>
  <si>
    <t xml:space="preserve">Weapons &amp; Instruments of Power</t>
  </si>
  <si>
    <t xml:space="preserve">Weapons, tools, and performance instruments whose capabilities exceed ordinary equipment or carry special authorization.</t>
  </si>
  <si>
    <t xml:space="preserve">ART-300</t>
  </si>
  <si>
    <t xml:space="preserve">Protective &amp; Transformative Gear</t>
  </si>
  <si>
    <t xml:space="preserve">Armor, garments, jewelry, masks, prostheses, and equipment that protect, conceal, authorize, or transform the bearer.</t>
  </si>
  <si>
    <t xml:space="preserve">ART-400</t>
  </si>
  <si>
    <t xml:space="preserve">Texts, Symbols &amp; Containers</t>
  </si>
  <si>
    <t xml:space="preserve">Books, tablets, maps, seals, vessels, mirrors, gems, and other objects that store, reveal, bind, encode, or transmit power.</t>
  </si>
  <si>
    <t xml:space="preserve">ART-500</t>
  </si>
  <si>
    <t xml:space="preserve">Vehicles, Mounts &amp; Conveyances</t>
  </si>
  <si>
    <t xml:space="preserve">Chariots, ships, mounts, mobile fortresses, and devices that enable exceptional travel, warfare, or passage between realms.</t>
  </si>
  <si>
    <t xml:space="preserve">ART-600</t>
  </si>
  <si>
    <t xml:space="preserve">Keys, Seals &amp; Control Objects</t>
  </si>
  <si>
    <t xml:space="preserve">Objects that open, close, bind, command, summon, anchor, or regulate beings, territories, powers, and realms.</t>
  </si>
  <si>
    <t xml:space="preserve">ART-700</t>
  </si>
  <si>
    <t xml:space="preserve">Artifacts by Narrative Function</t>
  </si>
  <si>
    <t xml:space="preserve">Object archetypes defined chiefly by what stories, quests, institutions, or conflicts require characters to do with them.</t>
  </si>
  <si>
    <t xml:space="preserve">ART-101</t>
  </si>
  <si>
    <t xml:space="preserve">Sacred Relic</t>
  </si>
  <si>
    <t xml:space="preserve">An object treated as holy through divine association, ritual use, contact with a revered being, or participation in sacred history.</t>
  </si>
  <si>
    <t xml:space="preserve">Sacred status may matter more than overt magical effects.</t>
  </si>
  <si>
    <t xml:space="preserve">body relic; shrine relic; contact relic</t>
  </si>
  <si>
    <t xml:space="preserve">legitimacy, healing, pilgrimage, protection</t>
  </si>
  <si>
    <t xml:space="preserve">holy relic; sacred object</t>
  </si>
  <si>
    <t xml:space="preserve">Framework core</t>
  </si>
  <si>
    <t xml:space="preserve">ART-102</t>
  </si>
  <si>
    <t xml:space="preserve">Divine Gift Artifact</t>
  </si>
  <si>
    <t xml:space="preserve">An exceptional object bestowed by a deity or celestial agent upon a mortal, lineage, people, or institution.</t>
  </si>
  <si>
    <t xml:space="preserve">The gift relationship and conditions are part of the artifact, not incidental flavor.</t>
  </si>
  <si>
    <t xml:space="preserve">god-given weapon; heavenly garment; divine tool</t>
  </si>
  <si>
    <t xml:space="preserve">authorization, aid, testing, covenant</t>
  </si>
  <si>
    <t xml:space="preserve">divine gift; boon-object</t>
  </si>
  <si>
    <t xml:space="preserve">ART-103</t>
  </si>
  <si>
    <t xml:space="preserve">Ancestral Relic</t>
  </si>
  <si>
    <t xml:space="preserve">An inherited object that embodies lineage memory, authority, obligation, or accumulated ancestral presence.</t>
  </si>
  <si>
    <t xml:space="preserve">Inheritance may be social or spiritual rather than genetic.</t>
  </si>
  <si>
    <t xml:space="preserve">heirloom blade; ancestor tablet; clan treasure</t>
  </si>
  <si>
    <t xml:space="preserve">succession, memory, identity, obligation</t>
  </si>
  <si>
    <t xml:space="preserve">ancestral relic; heirloom</t>
  </si>
  <si>
    <t xml:space="preserve">ART-104</t>
  </si>
  <si>
    <t xml:space="preserve">Royal Regalia</t>
  </si>
  <si>
    <t xml:space="preserve">A set or object that materially signifies legitimate sovereignty or eligibility to rule.</t>
  </si>
  <si>
    <t xml:space="preserve">Regalia can authorize office without granting combat power.</t>
  </si>
  <si>
    <t xml:space="preserve">crown; scepter; seal; throne; royal sword</t>
  </si>
  <si>
    <t xml:space="preserve">coronation, succession, recognition, governance</t>
  </si>
  <si>
    <t xml:space="preserve">regalia; crown jewels</t>
  </si>
  <si>
    <t xml:space="preserve">ART-105</t>
  </si>
  <si>
    <t xml:space="preserve">Artifact of Office</t>
  </si>
  <si>
    <t xml:space="preserve">An object inseparable from a formal social, religious, magical, or military office.</t>
  </si>
  <si>
    <t xml:space="preserve">Unlike generic equipment, its possession signifies or enables institutional authority.</t>
  </si>
  <si>
    <t xml:space="preserve">staff of office; badge; ritual key; command seal</t>
  </si>
  <si>
    <t xml:space="preserve">authorization, continuity, role transfer</t>
  </si>
  <si>
    <t xml:space="preserve">insignia; office relic</t>
  </si>
  <si>
    <t xml:space="preserve">ART-106</t>
  </si>
  <si>
    <t xml:space="preserve">World-Shaping Artifact</t>
  </si>
  <si>
    <t xml:space="preserve">An object capable of creating, sustaining, altering, dividing, or destroying worlds, ages, landscapes, or fundamental conditions.</t>
  </si>
  <si>
    <t xml:space="preserve">Scale of effect distinguishes it from ordinary powerful items.</t>
  </si>
  <si>
    <t xml:space="preserve">creation engine; world stone; cosmic forge</t>
  </si>
  <si>
    <t xml:space="preserve">creation, catastrophe, restoration, cosmological leverage</t>
  </si>
  <si>
    <t xml:space="preserve">world artifact; creation relic</t>
  </si>
  <si>
    <t xml:space="preserve">ART-107</t>
  </si>
  <si>
    <t xml:space="preserve">Civilization-Founding Artifact</t>
  </si>
  <si>
    <t xml:space="preserve">An object around which a polity, craft, law, economy, or collective identity is established.</t>
  </si>
  <si>
    <t xml:space="preserve">Its importance is institutional and historical as well as magical.</t>
  </si>
  <si>
    <t xml:space="preserve">culture-bringing tool; first flame; founding tablet</t>
  </si>
  <si>
    <t xml:space="preserve">civilization, legitimacy, cultural memory</t>
  </si>
  <si>
    <t xml:space="preserve">founding relic; culture object</t>
  </si>
  <si>
    <t xml:space="preserve">ART-108</t>
  </si>
  <si>
    <t xml:space="preserve">Sentient Artifact</t>
  </si>
  <si>
    <t xml:space="preserve">An object with self-awareness, voice, intention, appetite, judgment, or independent decision-making.</t>
  </si>
  <si>
    <t xml:space="preserve">A speaking interface alone does not prove personhood; agency is the key distinction.</t>
  </si>
  <si>
    <t xml:space="preserve">talking sword; sapient book; living crown</t>
  </si>
  <si>
    <t xml:space="preserve">companion, tempter, judge, adviser</t>
  </si>
  <si>
    <t xml:space="preserve">sentient item; intelligent weapon</t>
  </si>
  <si>
    <t xml:space="preserve">ART-109</t>
  </si>
  <si>
    <t xml:space="preserve">Soul-Bound Artifact</t>
  </si>
  <si>
    <t xml:space="preserve">An object linked to a particular soul so that ownership, power, injury, survival, or identity is mutually dependent.</t>
  </si>
  <si>
    <t xml:space="preserve">Differs from a merely attuned item because the bond is ontologically consequential.</t>
  </si>
  <si>
    <t xml:space="preserve">life-linked weapon; bonded familiar object</t>
  </si>
  <si>
    <t xml:space="preserve">identity, vulnerability, inheritance, resurrection</t>
  </si>
  <si>
    <t xml:space="preserve">soulbound item; bonded relic</t>
  </si>
  <si>
    <t xml:space="preserve">ART-110</t>
  </si>
  <si>
    <t xml:space="preserve">Living Artifact</t>
  </si>
  <si>
    <t xml:space="preserve">A crafted or cultivated object that grows, heals, reproduces, hungers, or otherwise behaves as living matter.</t>
  </si>
  <si>
    <t xml:space="preserve">It may be sentient, but life and agency are separate questions.</t>
  </si>
  <si>
    <t xml:space="preserve">grown armor; symbiotic tool; organic ship</t>
  </si>
  <si>
    <t xml:space="preserve">adaptation, companionship, bodily ambiguity</t>
  </si>
  <si>
    <t xml:space="preserve">living weapon; organic relic</t>
  </si>
  <si>
    <t xml:space="preserve">ART-111</t>
  </si>
  <si>
    <t xml:space="preserve">Corrupting Object or Relic</t>
  </si>
  <si>
    <t xml:space="preserve">An object whose use, proximity, or possession degrades body, mind, ethics, identity, environment, or social relations.</t>
  </si>
  <si>
    <t xml:space="preserve">Corruption may be active agency, side effect, addiction, or social temptation.</t>
  </si>
  <si>
    <t xml:space="preserve">tainted relic; addictive item; cursed treasure</t>
  </si>
  <si>
    <t xml:space="preserve">temptation, escalation, contamination</t>
  </si>
  <si>
    <t xml:space="preserve">corrupting relic; tainted item</t>
  </si>
  <si>
    <t xml:space="preserve">ART-112</t>
  </si>
  <si>
    <t xml:space="preserve">Cursed Artifact</t>
  </si>
  <si>
    <t xml:space="preserve">An object that imposes a supernatural penalty, prohibition, destiny, haunting, or unwanted bond.</t>
  </si>
  <si>
    <t xml:space="preserve">Not every costly artifact is cursed; the condition must act as an imposed affliction or binding.</t>
  </si>
  <si>
    <t xml:space="preserve">doom-object; haunted jewel; ill-fated blade</t>
  </si>
  <si>
    <t xml:space="preserve">punishment, mystery, burden, release quest</t>
  </si>
  <si>
    <t xml:space="preserve">cursed object; accursed treasure</t>
  </si>
  <si>
    <t xml:space="preserve">ART-113</t>
  </si>
  <si>
    <t xml:space="preserve">Fragmented Artifact</t>
  </si>
  <si>
    <t xml:space="preserve">A once-whole object whose separated pieces retain identity or power and must be recovered, guarded, or kept apart.</t>
  </si>
  <si>
    <t xml:space="preserve">The fragments are constitutive parts rather than merely a collection of similar items.</t>
  </si>
  <si>
    <t xml:space="preserve">shards; seals; scattered keys</t>
  </si>
  <si>
    <t xml:space="preserve">quest structure, reconstruction, distributed risk</t>
  </si>
  <si>
    <t xml:space="preserve">artifact shards; broken relic</t>
  </si>
  <si>
    <t xml:space="preserve">ART-114</t>
  </si>
  <si>
    <t xml:space="preserve">Unique Relic</t>
  </si>
  <si>
    <t xml:space="preserve">A singular named object that cannot normally be reproduced within the setting's ordinary craft or magic economy.</t>
  </si>
  <si>
    <t xml:space="preserve">Uniqueness may be historical, material, legal, or metaphysical.</t>
  </si>
  <si>
    <t xml:space="preserve">one-of-a-kind weapon; singular crown</t>
  </si>
  <si>
    <t xml:space="preserve">identity, prestige, plot leverage</t>
  </si>
  <si>
    <t xml:space="preserve">unique artifact; named relic</t>
  </si>
  <si>
    <t xml:space="preserve">ART-115</t>
  </si>
  <si>
    <t xml:space="preserve">Replicable Magic Item</t>
  </si>
  <si>
    <t xml:space="preserve">An empowered object produced through repeatable craft, ritual, technology, or institutional manufacture.</t>
  </si>
  <si>
    <t xml:space="preserve">Its category is defined by reproducibility, unlike singular relics.</t>
  </si>
  <si>
    <t xml:space="preserve">enchanted tool; potion; standard wand</t>
  </si>
  <si>
    <t xml:space="preserve">economy, equipment progression, infrastructure</t>
  </si>
  <si>
    <t xml:space="preserve">magic item; enchanted gear</t>
  </si>
  <si>
    <t xml:space="preserve">ART-116</t>
  </si>
  <si>
    <t xml:space="preserve">Consumable Relic</t>
  </si>
  <si>
    <t xml:space="preserve">A rare or potent object designed to be expended, broken, burned, eaten, offered, or otherwise consumed in use.</t>
  </si>
  <si>
    <t xml:space="preserve">Consumption is intrinsic to its operation, not accidental destruction.</t>
  </si>
  <si>
    <t xml:space="preserve">single-use charm; sacred draught; ritual token</t>
  </si>
  <si>
    <t xml:space="preserve">scarcity, sacrifice, emergency power</t>
  </si>
  <si>
    <t xml:space="preserve">consumable artifact; one-use relic</t>
  </si>
  <si>
    <t xml:space="preserve">ART-117</t>
  </si>
  <si>
    <t xml:space="preserve">Counterfeit or False Relic</t>
  </si>
  <si>
    <t xml:space="preserve">An object presented as sacred, royal, ancient, or unique despite lacking the claimed provenance or power.</t>
  </si>
  <si>
    <t xml:space="preserve">It may still gain real social or magical force through belief, institutions, or substitution.</t>
  </si>
  <si>
    <t xml:space="preserve">forged crown; false grail; replica idol</t>
  </si>
  <si>
    <t xml:space="preserve">deception, legitimacy crisis, critique of authenticity</t>
  </si>
  <si>
    <t xml:space="preserve">false relic; counterfeit artifact</t>
  </si>
  <si>
    <t xml:space="preserve">ART-201</t>
  </si>
  <si>
    <t xml:space="preserve">Divine Weapon</t>
  </si>
  <si>
    <t xml:space="preserve">A weapon made, owned, authorized, or empowered by divine beings or sacred cosmology.</t>
  </si>
  <si>
    <t xml:space="preserve">Its divine relation may impose eligibility, ritual, or moral conditions.</t>
  </si>
  <si>
    <t xml:space="preserve">god-weapon; heavenly arm</t>
  </si>
  <si>
    <t xml:space="preserve">championship, judgment, cosmic warfare</t>
  </si>
  <si>
    <t xml:space="preserve">divine weapon; god arm</t>
  </si>
  <si>
    <t xml:space="preserve">ART-202</t>
  </si>
  <si>
    <t xml:space="preserve">Celestial or Astral Weapon</t>
  </si>
  <si>
    <t xml:space="preserve">A weapon associated with stars, heavens, cosmic forces, or celestial materials rather than a specific deity.</t>
  </si>
  <si>
    <t xml:space="preserve">Celestial origin is not automatically holy or benevolent.</t>
  </si>
  <si>
    <t xml:space="preserve">star blade; moon bow; solar spear</t>
  </si>
  <si>
    <t xml:space="preserve">cosmic warfare, illumination, destiny</t>
  </si>
  <si>
    <t xml:space="preserve">celestial weapon; astral arm</t>
  </si>
  <si>
    <t xml:space="preserve">ART-203</t>
  </si>
  <si>
    <t xml:space="preserve">Elemental Weapon</t>
  </si>
  <si>
    <t xml:space="preserve">A weapon whose identity or principal effect is bound to fire, water, air, earth, lightning, ice, or another elemental domain.</t>
  </si>
  <si>
    <t xml:space="preserve">An ordinary weapon temporarily enchanted with an element may be a lesser implementation.</t>
  </si>
  <si>
    <t xml:space="preserve">flame sword; thunder hammer; ice spear</t>
  </si>
  <si>
    <t xml:space="preserve">damage typing, environmental control, symbolism</t>
  </si>
  <si>
    <t xml:space="preserve">elemental arm; flame blade</t>
  </si>
  <si>
    <t xml:space="preserve">ART-204</t>
  </si>
  <si>
    <t xml:space="preserve">Slayer Weapon</t>
  </si>
  <si>
    <t xml:space="preserve">A weapon specialized against a named being-type, condition, lineage, or metaphysical category.</t>
  </si>
  <si>
    <t xml:space="preserve">Specialization may derive from material, blessing, history, or a conditional rule.</t>
  </si>
  <si>
    <t xml:space="preserve">dragon-slayer; demon blade; undead bane</t>
  </si>
  <si>
    <t xml:space="preserve">monster hunting, counterplay, taboo violence</t>
  </si>
  <si>
    <t xml:space="preserve">slayer weapon; bane</t>
  </si>
  <si>
    <t xml:space="preserve">ART-205</t>
  </si>
  <si>
    <t xml:space="preserve">Rightful-Ruler Weapon</t>
  </si>
  <si>
    <t xml:space="preserve">A weapon that identifies, tests, or authorizes a legitimate sovereign or chosen successor.</t>
  </si>
  <si>
    <t xml:space="preserve">The recognition function distinguishes it from ordinary royal armament.</t>
  </si>
  <si>
    <t xml:space="preserve">sword in stone; king's spear</t>
  </si>
  <si>
    <t xml:space="preserve">succession, legitimacy, revelation</t>
  </si>
  <si>
    <t xml:space="preserve">sovereign weapon; kingmaking blade</t>
  </si>
  <si>
    <t xml:space="preserve">ART-206</t>
  </si>
  <si>
    <t xml:space="preserve">Oath-Bound Weapon</t>
  </si>
  <si>
    <t xml:space="preserve">A weapon whose use, power, custody, or consequences are governed by a vow, geas, contract, or code.</t>
  </si>
  <si>
    <t xml:space="preserve">The binding rule may constrain both bearer and weapon.</t>
  </si>
  <si>
    <t xml:space="preserve">vow blade; covenant spear</t>
  </si>
  <si>
    <t xml:space="preserve">discipline, accountability, tragic obligation</t>
  </si>
  <si>
    <t xml:space="preserve">oath weapon; bound blade</t>
  </si>
  <si>
    <t xml:space="preserve">ART-207</t>
  </si>
  <si>
    <t xml:space="preserve">Bloodline Weapon</t>
  </si>
  <si>
    <t xml:space="preserve">A weapon that responds to descent, kinship, inherited essence, or a recognized lineage.</t>
  </si>
  <si>
    <t xml:space="preserve">Bloodline recognition is distinct from social inheritance alone.</t>
  </si>
  <si>
    <t xml:space="preserve">ancestral sword; lineage bow</t>
  </si>
  <si>
    <t xml:space="preserve">identity, succession, exclusion</t>
  </si>
  <si>
    <t xml:space="preserve">bloodline weapon; heirloom arm</t>
  </si>
  <si>
    <t xml:space="preserve">ART-208</t>
  </si>
  <si>
    <t xml:space="preserve">Named Heroic Weapon</t>
  </si>
  <si>
    <t xml:space="preserve">A named weapon whose biography is entwined with one or more heroes, battles, or lineages.</t>
  </si>
  <si>
    <t xml:space="preserve">A name alone is insufficient; the object carries narrative history and identity.</t>
  </si>
  <si>
    <t xml:space="preserve">hero sword; legendary bow</t>
  </si>
  <si>
    <t xml:space="preserve">character identity, memory, fame</t>
  </si>
  <si>
    <t xml:space="preserve">named weapon; heroic arm</t>
  </si>
  <si>
    <t xml:space="preserve">ART-209</t>
  </si>
  <si>
    <t xml:space="preserve">Sentient Weapon</t>
  </si>
  <si>
    <t xml:space="preserve">A weapon possessing awareness, will, speech, appetite, judgment, or the power to accept or reject bearers.</t>
  </si>
  <si>
    <t xml:space="preserve">This is a weapon subtype of sentient artifact; sentience may conflict with its instrumental use.</t>
  </si>
  <si>
    <t xml:space="preserve">talking sword; judging spear</t>
  </si>
  <si>
    <t xml:space="preserve">companion, tempter, partner, antagonist</t>
  </si>
  <si>
    <t xml:space="preserve">sentient weapon; intelligent blade</t>
  </si>
  <si>
    <t xml:space="preserve">ART-210</t>
  </si>
  <si>
    <t xml:space="preserve">Transforming Weapon</t>
  </si>
  <si>
    <t xml:space="preserve">A weapon that changes form, mode, size, material, wielder, or tactical function.</t>
  </si>
  <si>
    <t xml:space="preserve">Transformation must be intrinsic rather than ordinary reconfiguration.</t>
  </si>
  <si>
    <t xml:space="preserve">weapon-form cycle; size-changing staff</t>
  </si>
  <si>
    <t xml:space="preserve">versatility, identity, spectacle</t>
  </si>
  <si>
    <t xml:space="preserve">transforming arm; morph weapon</t>
  </si>
  <si>
    <t xml:space="preserve">ART-211</t>
  </si>
  <si>
    <t xml:space="preserve">Returning Weapon</t>
  </si>
  <si>
    <t xml:space="preserve">A thrown, lost, or summoned weapon that reliably returns to its bearer or point of origin.</t>
  </si>
  <si>
    <t xml:space="preserve">Return can be physical flight, recall, recreation, or teleportation.</t>
  </si>
  <si>
    <t xml:space="preserve">returning hammer; recalled spear</t>
  </si>
  <si>
    <t xml:space="preserve">repeatable ranged attack, bond symbolism</t>
  </si>
  <si>
    <t xml:space="preserve">returning weapon; recall arm</t>
  </si>
  <si>
    <t xml:space="preserve">ART-212</t>
  </si>
  <si>
    <t xml:space="preserve">Indestructible or Unbreakable Weapon</t>
  </si>
  <si>
    <t xml:space="preserve">A weapon exceptionally resistant or immune to damage, decay, loss of edge, or ordinary destruction.</t>
  </si>
  <si>
    <t xml:space="preserve">Indestructibility does not imply unlimited offensive power.</t>
  </si>
  <si>
    <t xml:space="preserve">unbreakable blade; eternal spear</t>
  </si>
  <si>
    <t xml:space="preserve">continuity, authority, escalation</t>
  </si>
  <si>
    <t xml:space="preserve">unbreakable weapon; imperishable arm</t>
  </si>
  <si>
    <t xml:space="preserve">ART-213</t>
  </si>
  <si>
    <t xml:space="preserve">World-Ending Weapon</t>
  </si>
  <si>
    <t xml:space="preserve">A weapon capable of mass annihilation, cosmic destabilization, age-ending catastrophe, or irreversible civilizational destruction.</t>
  </si>
  <si>
    <t xml:space="preserve">Its threat is systemic rather than merely high damage.</t>
  </si>
  <si>
    <t xml:space="preserve">doomsday arm; apocalypse weapon</t>
  </si>
  <si>
    <t xml:space="preserve">deterrence, taboo, final conflict</t>
  </si>
  <si>
    <t xml:space="preserve">world-ending weapon; ultimate arm</t>
  </si>
  <si>
    <t xml:space="preserve">ART-214</t>
  </si>
  <si>
    <t xml:space="preserve">Curse-Bearing Weapon</t>
  </si>
  <si>
    <t xml:space="preserve">A weapon that inflicts or transmits a lasting curse, doom, contamination, or compulsory relationship beyond immediate injury.</t>
  </si>
  <si>
    <t xml:space="preserve">Distinguish from a cursed weapon whose curse primarily burdens its bearer.</t>
  </si>
  <si>
    <t xml:space="preserve">doom blade; plague spear</t>
  </si>
  <si>
    <t xml:space="preserve">lasting consequence, moral hazard</t>
  </si>
  <si>
    <t xml:space="preserve">curse weapon; accursed arm</t>
  </si>
  <si>
    <t xml:space="preserve">ART-215</t>
  </si>
  <si>
    <t xml:space="preserve">Spell-Focus Weapon</t>
  </si>
  <si>
    <t xml:space="preserve">A weapon designed to channel, shape, store, authorize, or amplify spellcasting alongside martial use.</t>
  </si>
  <si>
    <t xml:space="preserve">It is not automatically a spellblade class; the object itself integrates the functions.</t>
  </si>
  <si>
    <t xml:space="preserve">staff-spear; ritual sword; caster gun</t>
  </si>
  <si>
    <t xml:space="preserve">hybrid combat, focus, casting interface</t>
  </si>
  <si>
    <t xml:space="preserve">spell weapon; casting focus</t>
  </si>
  <si>
    <t xml:space="preserve">ART-216</t>
  </si>
  <si>
    <t xml:space="preserve">Siege Relic</t>
  </si>
  <si>
    <t xml:space="preserve">A singular or empowered engine used against fortifications, armies, cities, giants, or other strategic-scale targets.</t>
  </si>
  <si>
    <t xml:space="preserve">Strategic function distinguishes it from a personal weapon.</t>
  </si>
  <si>
    <t xml:space="preserve">magic cannon; divine ram; fortress breaker</t>
  </si>
  <si>
    <t xml:space="preserve">siege, deterrence, military escalation</t>
  </si>
  <si>
    <t xml:space="preserve">siege artifact; war engine</t>
  </si>
  <si>
    <t xml:space="preserve">ART-217</t>
  </si>
  <si>
    <t xml:space="preserve">Musical Instrument of Power</t>
  </si>
  <si>
    <t xml:space="preserve">An instrument whose performance produces supernatural, social, emotional, cosmological, or command effects.</t>
  </si>
  <si>
    <t xml:space="preserve">Power may depend on music, performer, repertoire, audience, or ritual context.</t>
  </si>
  <si>
    <t xml:space="preserve">enchanted harp; war horn; divine flute</t>
  </si>
  <si>
    <t xml:space="preserve">enchantment, summoning, healing, signaling</t>
  </si>
  <si>
    <t xml:space="preserve">magic instrument; enchanted music</t>
  </si>
  <si>
    <t xml:space="preserve">ART-218</t>
  </si>
  <si>
    <t xml:space="preserve">Ritual Tool</t>
  </si>
  <si>
    <t xml:space="preserve">A specialized implement whose efficacy derives from its place within a rite rather than ordinary utility or combat.</t>
  </si>
  <si>
    <t xml:space="preserve">Do not detach the tool from the ritual system that gives it meaning.</t>
  </si>
  <si>
    <t xml:space="preserve">wand; athame-like blade; censer; sacrificial ladle</t>
  </si>
  <si>
    <t xml:space="preserve">ritual precision, authorization, mediation</t>
  </si>
  <si>
    <t xml:space="preserve">ritual implement; sacred tool</t>
  </si>
  <si>
    <t xml:space="preserve">ART-219</t>
  </si>
  <si>
    <t xml:space="preserve">Summoned or Invoked Weapon</t>
  </si>
  <si>
    <t xml:space="preserve">A weapon called into being, drawn from another realm, manifested from power, or temporarily embodied through invocation.</t>
  </si>
  <si>
    <t xml:space="preserve">The weapon's episodic manifestation distinguishes it from normal equipment storage.</t>
  </si>
  <si>
    <t xml:space="preserve">spirit weapon; conjured blade; astral bow</t>
  </si>
  <si>
    <t xml:space="preserve">instant armament, identity, transformation</t>
  </si>
  <si>
    <t xml:space="preserve">summoned weapon; manifested arm</t>
  </si>
  <si>
    <t xml:space="preserve">ART-301</t>
  </si>
  <si>
    <t xml:space="preserve">Enchanted Armor</t>
  </si>
  <si>
    <t xml:space="preserve">Protective equipment enhanced through magic, blessing, craft, spirit, technology, or unusual material.</t>
  </si>
  <si>
    <t xml:space="preserve">It remains equipment rather than a bodily transformation unless fusion is central.</t>
  </si>
  <si>
    <t xml:space="preserve">magic armor; rune plate; blessed mail</t>
  </si>
  <si>
    <t xml:space="preserve">defense, status, resistance</t>
  </si>
  <si>
    <t xml:space="preserve">enchanted armor; magic mail</t>
  </si>
  <si>
    <t xml:space="preserve">ART-302</t>
  </si>
  <si>
    <t xml:space="preserve">Invulnerable Armor</t>
  </si>
  <si>
    <t xml:space="preserve">Armor granting extraordinary immunity or near-immunity to specified attacks, environments, or ordinary harm.</t>
  </si>
  <si>
    <t xml:space="preserve">Its protection is usually conditional; it should not be conflated with universal immortality.</t>
  </si>
  <si>
    <t xml:space="preserve">invincible mail; skin-like armor</t>
  </si>
  <si>
    <t xml:space="preserve">defense, plot constraint, specialized counter</t>
  </si>
  <si>
    <t xml:space="preserve">invulnerable armor; impervious mail</t>
  </si>
  <si>
    <t xml:space="preserve">ART-303</t>
  </si>
  <si>
    <t xml:space="preserve">Sacred Shield</t>
  </si>
  <si>
    <t xml:space="preserve">A shield with divine, ritual, protective, reflective, or communal significance beyond ordinary defense.</t>
  </si>
  <si>
    <t xml:space="preserve">Its role may include sanctuary, revelation, or group protection.</t>
  </si>
  <si>
    <t xml:space="preserve">holy shield; mirror shield; guardian aegis</t>
  </si>
  <si>
    <t xml:space="preserve">protection, warding, legitimacy</t>
  </si>
  <si>
    <t xml:space="preserve">sacred shield; aegis</t>
  </si>
  <si>
    <t xml:space="preserve">ART-304</t>
  </si>
  <si>
    <t xml:space="preserve">Transformative Garment</t>
  </si>
  <si>
    <t xml:space="preserve">Clothing or wearable material that changes the bearer's body, identity, abilities, social recognition, or mode of movement.</t>
  </si>
  <si>
    <t xml:space="preserve">Disguise alone is insufficient when no transformation or authoritative recognition occurs.</t>
  </si>
  <si>
    <t xml:space="preserve">animal skin; celestial robe; battle suit</t>
  </si>
  <si>
    <t xml:space="preserve">transformation, concealment, empowerment</t>
  </si>
  <si>
    <t xml:space="preserve">magic garment; transformation robe</t>
  </si>
  <si>
    <t xml:space="preserve">ART-305</t>
  </si>
  <si>
    <t xml:space="preserve">Invisibility or Concealment Item</t>
  </si>
  <si>
    <t xml:space="preserve">A wearable or carried object that hides the bearer from sight, perception, divination, recognition, or tracking.</t>
  </si>
  <si>
    <t xml:space="preserve">Different concealment modes should be preserved in source records.</t>
  </si>
  <si>
    <t xml:space="preserve">cloak of invisibility; shadow veil</t>
  </si>
  <si>
    <t xml:space="preserve">stealth, escape, taboo observation</t>
  </si>
  <si>
    <t xml:space="preserve">invisibility item; concealing cloak</t>
  </si>
  <si>
    <t xml:space="preserve">ART-306</t>
  </si>
  <si>
    <t xml:space="preserve">Winged or Flight-Granting Gear</t>
  </si>
  <si>
    <t xml:space="preserve">Equipment that enables flight, gliding, levitation, or controlled aerial movement.</t>
  </si>
  <si>
    <t xml:space="preserve">It differs from innate wings or mount-based travel.</t>
  </si>
  <si>
    <t xml:space="preserve">winged sandals; flight cloak; jetlike relic</t>
  </si>
  <si>
    <t xml:space="preserve">mobility, transcendence, escape</t>
  </si>
  <si>
    <t xml:space="preserve">flight gear; winged garment</t>
  </si>
  <si>
    <t xml:space="preserve">ART-307</t>
  </si>
  <si>
    <t xml:space="preserve">Mask of Identity or Power</t>
  </si>
  <si>
    <t xml:space="preserve">A mask that changes, conceals, reveals, authorizes, channels, or stores identity and capability.</t>
  </si>
  <si>
    <t xml:space="preserve">Masks may be social, ritual, possessed, or transformative; these are not interchangeable.</t>
  </si>
  <si>
    <t xml:space="preserve">spirit mask; war mask; face-stealing mask</t>
  </si>
  <si>
    <t xml:space="preserve">role assumption, possession, disguise, ritual authority</t>
  </si>
  <si>
    <t xml:space="preserve">magic mask; ritual face</t>
  </si>
  <si>
    <t xml:space="preserve">ART-308</t>
  </si>
  <si>
    <t xml:space="preserve">Crown or Diadem of Power</t>
  </si>
  <si>
    <t xml:space="preserve">A headpiece that confers, amplifies, recognizes, controls, or symbolizes supernatural authority.</t>
  </si>
  <si>
    <t xml:space="preserve">Not every crown is royal regalia; some are instruments of command or transformation.</t>
  </si>
  <si>
    <t xml:space="preserve">sorcerous crown; divine diadem</t>
  </si>
  <si>
    <t xml:space="preserve">sovereignty, control, enhancement</t>
  </si>
  <si>
    <t xml:space="preserve">magic crown; diadem</t>
  </si>
  <si>
    <t xml:space="preserve">ART-309</t>
  </si>
  <si>
    <t xml:space="preserve">Ring, Amulet, or Talisman</t>
  </si>
  <si>
    <t xml:space="preserve">A compact wearable object carrying protection, identity, pact, storage, access, or focused power.</t>
  </si>
  <si>
    <t xml:space="preserve">The form is secondary to the durable wearable relationship.</t>
  </si>
  <si>
    <t xml:space="preserve">ring; pendant; charm; torque</t>
  </si>
  <si>
    <t xml:space="preserve">protection, authentication, portable power</t>
  </si>
  <si>
    <t xml:space="preserve">magic ring; amulet; talisman</t>
  </si>
  <si>
    <t xml:space="preserve">ART-310</t>
  </si>
  <si>
    <t xml:space="preserve">Empowered Boots, Gloves, or Belt</t>
  </si>
  <si>
    <t xml:space="preserve">Wearable gear that augments movement, strength, dexterity, craft, combat, or other bodily functions.</t>
  </si>
  <si>
    <t xml:space="preserve">These items are equipment interfaces rather than permanent body changes.</t>
  </si>
  <si>
    <t xml:space="preserve">seven-league boots; gauntlets; girdle</t>
  </si>
  <si>
    <t xml:space="preserve">mobility, labor, combat, trials</t>
  </si>
  <si>
    <t xml:space="preserve">magic boots; gauntlets; belt</t>
  </si>
  <si>
    <t xml:space="preserve">ART-311</t>
  </si>
  <si>
    <t xml:space="preserve">Prosthetic or Replacement Relic</t>
  </si>
  <si>
    <t xml:space="preserve">An artificial limb, eye, organ, or replacement body-part with exceptional capabilities or metaphysical significance.</t>
  </si>
  <si>
    <t xml:space="preserve">It may restore, exceed, or alter the lost function and can complicate personal identity.</t>
  </si>
  <si>
    <t xml:space="preserve">magic arm; seeing eye; artificial heart</t>
  </si>
  <si>
    <t xml:space="preserve">restoration, enhancement, bodily cost</t>
  </si>
  <si>
    <t xml:space="preserve">enchanted prosthesis; replacement relic</t>
  </si>
  <si>
    <t xml:space="preserve">ART-312</t>
  </si>
  <si>
    <t xml:space="preserve">Sealed Armor or Possessive Suit</t>
  </si>
  <si>
    <t xml:space="preserve">Armor that encloses, binds, possesses, sustains, imprisons, or gradually merges with the wearer.</t>
  </si>
  <si>
    <t xml:space="preserve">The armor-wearer boundary is central to the archetype.</t>
  </si>
  <si>
    <t xml:space="preserve">living suit; cursed plate; sealed shell</t>
  </si>
  <si>
    <t xml:space="preserve">survival, imprisonment, corruption, transformation</t>
  </si>
  <si>
    <t xml:space="preserve">possessive armor; sealed suit</t>
  </si>
  <si>
    <t xml:space="preserve">ART-313</t>
  </si>
  <si>
    <t xml:space="preserve">Artifact Set</t>
  </si>
  <si>
    <t xml:space="preserve">Multiple coordinated objects whose full function, legitimacy, or power emerges only when assembled or used together.</t>
  </si>
  <si>
    <t xml:space="preserve">A set is more than a collection when its parts have designed interdependence.</t>
  </si>
  <si>
    <t xml:space="preserve">regalia set; elemental gear; relic ensemble</t>
  </si>
  <si>
    <t xml:space="preserve">collection, progression, combined power</t>
  </si>
  <si>
    <t xml:space="preserve">artifact set; relic suite</t>
  </si>
  <si>
    <t xml:space="preserve">ART-314</t>
  </si>
  <si>
    <t xml:space="preserve">Regalia of Transformation</t>
  </si>
  <si>
    <t xml:space="preserve">A coordinated costume or insignia that authorizes and enacts a repeatable transformed identity or empowered form.</t>
  </si>
  <si>
    <t xml:space="preserve">The transformation is tied to formal equipment and presentation.</t>
  </si>
  <si>
    <t xml:space="preserve">transformation costume; sacred vestments</t>
  </si>
  <si>
    <t xml:space="preserve">role change, empowerment, recognition</t>
  </si>
  <si>
    <t xml:space="preserve">transformation regalia; battle attire</t>
  </si>
  <si>
    <t xml:space="preserve">ART-401</t>
  </si>
  <si>
    <t xml:space="preserve">Grimoire or Spellbook</t>
  </si>
  <si>
    <t xml:space="preserve">A book that records, teaches, stores, constrains, or itself performs magical operations.</t>
  </si>
  <si>
    <t xml:space="preserve">It differs from a general scholarly text through operative magical use.</t>
  </si>
  <si>
    <t xml:space="preserve">spellbook; book of shadows; living grimoire</t>
  </si>
  <si>
    <t xml:space="preserve">learning, casting, inheritance, danger</t>
  </si>
  <si>
    <t xml:space="preserve">grimoire; spellbook</t>
  </si>
  <si>
    <t xml:space="preserve">ART-402</t>
  </si>
  <si>
    <t xml:space="preserve">Prophetic Text</t>
  </si>
  <si>
    <t xml:space="preserve">A written, inscribed, woven, or otherwise recorded account of future events, destinies, conditions, or warnings.</t>
  </si>
  <si>
    <t xml:space="preserve">Its authority and interpretive ambiguity are analytically important.</t>
  </si>
  <si>
    <t xml:space="preserve">prophecy scroll; oracle book; sealed verse</t>
  </si>
  <si>
    <t xml:space="preserve">foreshadowing, legitimacy, misinterpretation</t>
  </si>
  <si>
    <t xml:space="preserve">prophetic text; book of prophecy</t>
  </si>
  <si>
    <t xml:space="preserve">ART-403</t>
  </si>
  <si>
    <t xml:space="preserve">Cosmic Record or Book of Fate</t>
  </si>
  <si>
    <t xml:space="preserve">An object that contains or manifests the total order, history, names, deeds, destinies, or laws of the world.</t>
  </si>
  <si>
    <t xml:space="preserve">Unlike a single prophecy, it claims systemic scope.</t>
  </si>
  <si>
    <t xml:space="preserve">book of life; celestial register; fate archive</t>
  </si>
  <si>
    <t xml:space="preserve">judgment, knowledge, control, metaphysical administration</t>
  </si>
  <si>
    <t xml:space="preserve">cosmic record; book of fate</t>
  </si>
  <si>
    <t xml:space="preserve">ART-404</t>
  </si>
  <si>
    <t xml:space="preserve">Map of Hidden or Changing Realms</t>
  </si>
  <si>
    <t xml:space="preserve">A map that reveals concealed geography, moving places, realm paths, persons, or conditions inaccessible to ordinary cartography.</t>
  </si>
  <si>
    <t xml:space="preserve">The map may be dynamic, selective, or dependent on eligibility.</t>
  </si>
  <si>
    <t xml:space="preserve">living map; dream chart; underworld route</t>
  </si>
  <si>
    <t xml:space="preserve">navigation, quest access, revelation</t>
  </si>
  <si>
    <t xml:space="preserve">magic map; hidden-realm chart</t>
  </si>
  <si>
    <t xml:space="preserve">ART-405</t>
  </si>
  <si>
    <t xml:space="preserve">Inscribed Tablet or Stele</t>
  </si>
  <si>
    <t xml:space="preserve">A durable inscribed object carrying law, covenant, name, history, spell, boundary, or divine communication.</t>
  </si>
  <si>
    <t xml:space="preserve">Material permanence and public authority often distinguish it from ordinary writing.</t>
  </si>
  <si>
    <t xml:space="preserve">law tablet; rune stone; boundary stele</t>
  </si>
  <si>
    <t xml:space="preserve">law, memory, warding, legitimacy</t>
  </si>
  <si>
    <t xml:space="preserve">tablet; stele; inscribed stone</t>
  </si>
  <si>
    <t xml:space="preserve">ART-406</t>
  </si>
  <si>
    <t xml:space="preserve">Talisman or Inscribed Charm</t>
  </si>
  <si>
    <t xml:space="preserve">A prepared symbolic object that stores, channels, wards, seals, invokes, or releases a bounded effect.</t>
  </si>
  <si>
    <t xml:space="preserve">It is usually portable and technically or ritually produced.</t>
  </si>
  <si>
    <t xml:space="preserve">paper charm; seal strip; rune token</t>
  </si>
  <si>
    <t xml:space="preserve">protection, exorcism, attack, authorization</t>
  </si>
  <si>
    <t xml:space="preserve">talisman; charm; seal</t>
  </si>
  <si>
    <t xml:space="preserve">ART-407</t>
  </si>
  <si>
    <t xml:space="preserve">Vessel of Power</t>
  </si>
  <si>
    <t xml:space="preserve">A container that stores divine force, magic, memory, weather, disease, spirits, or another nonordinary substance.</t>
  </si>
  <si>
    <t xml:space="preserve">The container relation—not merely object form—is primary.</t>
  </si>
  <si>
    <t xml:space="preserve">jar of winds; lamp; power urn</t>
  </si>
  <si>
    <t xml:space="preserve">storage, release, containment, risk</t>
  </si>
  <si>
    <t xml:space="preserve">power vessel; enchanted container</t>
  </si>
  <si>
    <t xml:space="preserve">ART-408</t>
  </si>
  <si>
    <t xml:space="preserve">Prison Vessel</t>
  </si>
  <si>
    <t xml:space="preserve">A container specifically designed or used to confine a being, soul, monster, deity, curse, or dangerous force.</t>
  </si>
  <si>
    <t xml:space="preserve">It differs from a general vessel because escape and custody define its function.</t>
  </si>
  <si>
    <t xml:space="preserve">spirit bottle; demon jar; sealed reliquary</t>
  </si>
  <si>
    <t xml:space="preserve">containment, bargaining, catastrophic release</t>
  </si>
  <si>
    <t xml:space="preserve">prison vessel; binding container</t>
  </si>
  <si>
    <t xml:space="preserve">ART-409</t>
  </si>
  <si>
    <t xml:space="preserve">Wish-Granting Object</t>
  </si>
  <si>
    <t xml:space="preserve">An object that grants requests, alters reality, or mediates bargains according to stated or hidden rules.</t>
  </si>
  <si>
    <t xml:space="preserve">The object may be an interface to a being rather than the source of power.</t>
  </si>
  <si>
    <t xml:space="preserve">wish stone; lamp; wishing jewel</t>
  </si>
  <si>
    <t xml:space="preserve">desire, loophole, moral test</t>
  </si>
  <si>
    <t xml:space="preserve">wish object; wishing relic</t>
  </si>
  <si>
    <t xml:space="preserve">ART-410</t>
  </si>
  <si>
    <t xml:space="preserve">Memory or Knowledge Repository</t>
  </si>
  <si>
    <t xml:space="preserve">An object that stores transferable memories, skills, testimony, identities, archives, or experiential knowledge.</t>
  </si>
  <si>
    <t xml:space="preserve">Storage may preserve, overwrite, copy, or selectively reveal knowledge.</t>
  </si>
  <si>
    <t xml:space="preserve">memory crystal; ancestor archive; skill stone</t>
  </si>
  <si>
    <t xml:space="preserve">education, inheritance, identity, evidence</t>
  </si>
  <si>
    <t xml:space="preserve">memory object; knowledge repository</t>
  </si>
  <si>
    <t xml:space="preserve">ART-411</t>
  </si>
  <si>
    <t xml:space="preserve">Name-Bearing Object</t>
  </si>
  <si>
    <t xml:space="preserve">An object that contains, reveals, hides, substitutes for, or gives control over a true name or essential identity.</t>
  </si>
  <si>
    <t xml:space="preserve">It operates through identity law rather than generic enchantment.</t>
  </si>
  <si>
    <t xml:space="preserve">name tablet; soul tag; identity token</t>
  </si>
  <si>
    <t xml:space="preserve">control, protection, authentication</t>
  </si>
  <si>
    <t xml:space="preserve">name object; identity token</t>
  </si>
  <si>
    <t xml:space="preserve">ART-412</t>
  </si>
  <si>
    <t xml:space="preserve">Mirror of Revelation or Passage</t>
  </si>
  <si>
    <t xml:space="preserve">A mirror that reveals truth, remote scenes, hidden identity, alternate possibilities, or a route into another realm.</t>
  </si>
  <si>
    <t xml:space="preserve">Reflective symbolism should not obscure distinct source mechanisms.</t>
  </si>
  <si>
    <t xml:space="preserve">scrying mirror; truth mirror; portal mirror</t>
  </si>
  <si>
    <t xml:space="preserve">divination, self-knowledge, travel</t>
  </si>
  <si>
    <t xml:space="preserve">magic mirror; seeing glass</t>
  </si>
  <si>
    <t xml:space="preserve">ART-413</t>
  </si>
  <si>
    <t xml:space="preserve">Power Gem or Crystal</t>
  </si>
  <si>
    <t xml:space="preserve">A stone or crystal that stores, focuses, personifies, unlocks, or embodies exceptional power.</t>
  </si>
  <si>
    <t xml:space="preserve">Not every valuable gem is an artifact; operative function is required.</t>
  </si>
  <si>
    <t xml:space="preserve">mana crystal; soul gem; elemental jewel</t>
  </si>
  <si>
    <t xml:space="preserve">resource, focus, key, collection</t>
  </si>
  <si>
    <t xml:space="preserve">power crystal; magic gem</t>
  </si>
  <si>
    <t xml:space="preserve">ART-414</t>
  </si>
  <si>
    <t xml:space="preserve">Orb or Scrying Device</t>
  </si>
  <si>
    <t xml:space="preserve">A compact instrument used to observe distant, hidden, future, spiritual, or otherwise inaccessible information.</t>
  </si>
  <si>
    <t xml:space="preserve">It may also serve command or communication functions, which should be recorded separately.</t>
  </si>
  <si>
    <t xml:space="preserve">crystal ball; seeing orb; command sphere</t>
  </si>
  <si>
    <t xml:space="preserve">divination, surveillance, coordination</t>
  </si>
  <si>
    <t xml:space="preserve">scrying orb; seeing stone</t>
  </si>
  <si>
    <t xml:space="preserve">ART-415</t>
  </si>
  <si>
    <t xml:space="preserve">Contract, Charter, or Binding Scroll</t>
  </si>
  <si>
    <t xml:space="preserve">A written object whose terms have supernatural, legal-cosmic, institutional, or identity-altering force.</t>
  </si>
  <si>
    <t xml:space="preserve">The text is operative, not merely documentary.</t>
  </si>
  <si>
    <t xml:space="preserve">soul contract; divine charter; pact scroll</t>
  </si>
  <si>
    <t xml:space="preserve">binding, authorization, exchange</t>
  </si>
  <si>
    <t xml:space="preserve">magic contract; binding scroll</t>
  </si>
  <si>
    <t xml:space="preserve">ART-416</t>
  </si>
  <si>
    <t xml:space="preserve">Lots, Dice, Cards, or Fate Objects</t>
  </si>
  <si>
    <t xml:space="preserve">Objects used to allocate destiny, reveal divine judgment, determine ritual choice, or materially alter outcomes through chance.</t>
  </si>
  <si>
    <t xml:space="preserve">Distinguish divinatory use from ordinary gambling or randomization.</t>
  </si>
  <si>
    <t xml:space="preserve">sacred dice; oracle lots; fate cards</t>
  </si>
  <si>
    <t xml:space="preserve">decision, prophecy, dispossession, chance mechanics</t>
  </si>
  <si>
    <t xml:space="preserve">lots; fate dice; divination cards</t>
  </si>
  <si>
    <t xml:space="preserve">ART-417</t>
  </si>
  <si>
    <t xml:space="preserve">Horn, Bell, Conch, or Signal Relic</t>
  </si>
  <si>
    <t xml:space="preserve">A sounding object that summons, commands, warns, awakens, opens, consecrates, or announces across ordinary or supernatural boundaries.</t>
  </si>
  <si>
    <t xml:space="preserve">Its effect depends on sound and recognized signal.</t>
  </si>
  <si>
    <t xml:space="preserve">war horn; sacred conch; summoning bell</t>
  </si>
  <si>
    <t xml:space="preserve">communication, summoning, morale, threshold opening</t>
  </si>
  <si>
    <t xml:space="preserve">signal relic; sacred horn</t>
  </si>
  <si>
    <t xml:space="preserve">ART-501</t>
  </si>
  <si>
    <t xml:space="preserve">Divine Chariot</t>
  </si>
  <si>
    <t xml:space="preserve">A chariot associated with a deity, celestial lineage, supernatural driver, or cosmic journey.</t>
  </si>
  <si>
    <t xml:space="preserve">It may be a vehicle, weapon platform, emblem of office, and cosmological image at once.</t>
  </si>
  <si>
    <t xml:space="preserve">solar chariot; god's car; sky chariot</t>
  </si>
  <si>
    <t xml:space="preserve">warfare, revelation, divine travel</t>
  </si>
  <si>
    <t xml:space="preserve">divine chariot; celestial car</t>
  </si>
  <si>
    <t xml:space="preserve">ART-502</t>
  </si>
  <si>
    <t xml:space="preserve">Flying Vehicle</t>
  </si>
  <si>
    <t xml:space="preserve">A constructed conveyance that travels through the air by magic, divine power, unusual technology, or living components.</t>
  </si>
  <si>
    <t xml:space="preserve">It differs from a flying mount because the vehicle itself carries occupants.</t>
  </si>
  <si>
    <t xml:space="preserve">flying ship; aerial palace; sky carriage</t>
  </si>
  <si>
    <t xml:space="preserve">travel, warfare, prestige</t>
  </si>
  <si>
    <t xml:space="preserve">flying vehicle; skyship</t>
  </si>
  <si>
    <t xml:space="preserve">ART-503</t>
  </si>
  <si>
    <t xml:space="preserve">World-Traveling Ship</t>
  </si>
  <si>
    <t xml:space="preserve">A vessel capable of crossing worlds, planes, cosmic seas, impossible distances, or boundaries inaccessible to ordinary ships.</t>
  </si>
  <si>
    <t xml:space="preserve">Its route may be spatial, spiritual, temporal, or cosmological.</t>
  </si>
  <si>
    <t xml:space="preserve">realmship; star barque; world ark</t>
  </si>
  <si>
    <t xml:space="preserve">exploration, migration, apocalypse survival</t>
  </si>
  <si>
    <t xml:space="preserve">world ship; realm vessel</t>
  </si>
  <si>
    <t xml:space="preserve">ART-504</t>
  </si>
  <si>
    <t xml:space="preserve">Underworld Ferry or Death Conveyance</t>
  </si>
  <si>
    <t xml:space="preserve">A boat, cart, mount, or vehicle that carries souls or living travelers across a boundary of death.</t>
  </si>
  <si>
    <t xml:space="preserve">It is defined by psychopompic passage rather than mundane transport.</t>
  </si>
  <si>
    <t xml:space="preserve">funeral boat; river ferry; corpse cart</t>
  </si>
  <si>
    <t xml:space="preserve">afterlife passage, judgment, rescue quest</t>
  </si>
  <si>
    <t xml:space="preserve">death ferry; underworld boat</t>
  </si>
  <si>
    <t xml:space="preserve">ART-505</t>
  </si>
  <si>
    <t xml:space="preserve">Living Vehicle</t>
  </si>
  <si>
    <t xml:space="preserve">A creature, organism, construct, or symbiotic body used as a vehicle while retaining biological or personal properties.</t>
  </si>
  <si>
    <t xml:space="preserve">Consent, personhood, and control vary by source and must be recorded.</t>
  </si>
  <si>
    <t xml:space="preserve">living ship; giant carrier; beast vessel</t>
  </si>
  <si>
    <t xml:space="preserve">travel, partnership, exploitation, transformation</t>
  </si>
  <si>
    <t xml:space="preserve">living vehicle; organic conveyance</t>
  </si>
  <si>
    <t xml:space="preserve">ART-506</t>
  </si>
  <si>
    <t xml:space="preserve">Transforming Vehicle</t>
  </si>
  <si>
    <t xml:space="preserve">A conveyance that changes form, scale, environment, or operational mode, including shifts between vehicle and creature or structure.</t>
  </si>
  <si>
    <t xml:space="preserve">Transformation is intrinsic rather than normal docking or assembly.</t>
  </si>
  <si>
    <t xml:space="preserve">vehicle-beast; folding ship; mobile armor</t>
  </si>
  <si>
    <t xml:space="preserve">versatility, disguise, spectacle</t>
  </si>
  <si>
    <t xml:space="preserve">transforming vehicle; morphing conveyance</t>
  </si>
  <si>
    <t xml:space="preserve">ART-507</t>
  </si>
  <si>
    <t xml:space="preserve">War Chariot</t>
  </si>
  <si>
    <t xml:space="preserve">A chariot serving as a mobile combat platform and social role nexus for warrior, driver, weapons, and status.</t>
  </si>
  <si>
    <t xml:space="preserve">Its cultural and tactical system should not be reduced to a generic mount.</t>
  </si>
  <si>
    <t xml:space="preserve">heroic chariot; archer chariot; command chariot</t>
  </si>
  <si>
    <t xml:space="preserve">battle mobility, elite warfare, counsel</t>
  </si>
  <si>
    <t xml:space="preserve">war chariot; battle car</t>
  </si>
  <si>
    <t xml:space="preserve">ART-508</t>
  </si>
  <si>
    <t xml:space="preserve">Magical Mount</t>
  </si>
  <si>
    <t xml:space="preserve">A ridden being or construct with exceptional mobility, intelligence, elemental nature, or otherworldly capability.</t>
  </si>
  <si>
    <t xml:space="preserve">A mount may be a person or partner rather than equipment; source ontology controls classification.</t>
  </si>
  <si>
    <t xml:space="preserve">flying horse; nightmare; spirit stag</t>
  </si>
  <si>
    <t xml:space="preserve">travel, companionship, status, combat</t>
  </si>
  <si>
    <t xml:space="preserve">magic mount; enchanted steed</t>
  </si>
  <si>
    <t xml:space="preserve">ART-509</t>
  </si>
  <si>
    <t xml:space="preserve">Divine Mount or Vāhana-Type Conveyance</t>
  </si>
  <si>
    <t xml:space="preserve">A being or emblematic vehicle closely associated with a deity's manifestation, iconography, authority, or movement.</t>
  </si>
  <si>
    <t xml:space="preserve">Do not universalize the Sanskrit term vāhana beyond appropriate traditions; use it only as a source-specific example.</t>
  </si>
  <si>
    <t xml:space="preserve">god's animal; sacred carrier</t>
  </si>
  <si>
    <t xml:space="preserve">divine identity, worship, symbolism, travel</t>
  </si>
  <si>
    <t xml:space="preserve">divine mount; sacred vehicle</t>
  </si>
  <si>
    <t xml:space="preserve">Use source-native terms and iconographic relationships. The comparative family does not make all divine-animal associations equivalent to South Asian vāhana traditions.</t>
  </si>
  <si>
    <t xml:space="preserve">ART-510</t>
  </si>
  <si>
    <t xml:space="preserve">Giant-Beast Conveyance</t>
  </si>
  <si>
    <t xml:space="preserve">An enormous living being used to carry settlements, armies, structures, or traveling communities.</t>
  </si>
  <si>
    <t xml:space="preserve">Its scale and mobile-habitat function distinguish it from an ordinary mount.</t>
  </si>
  <si>
    <t xml:space="preserve">city-bearing turtle; walking island; caravan beast</t>
  </si>
  <si>
    <t xml:space="preserve">migration, worldbuilding, spectacle</t>
  </si>
  <si>
    <t xml:space="preserve">world beast; city carrier</t>
  </si>
  <si>
    <t xml:space="preserve">ART-511</t>
  </si>
  <si>
    <t xml:space="preserve">Portal Device</t>
  </si>
  <si>
    <t xml:space="preserve">A constructed object that opens, stabilizes, selects, or navigates a passage between distant locations or realms.</t>
  </si>
  <si>
    <t xml:space="preserve">It is a conveyance interface even if it does not itself move.</t>
  </si>
  <si>
    <t xml:space="preserve">gate machine; teleport stone; doorway key</t>
  </si>
  <si>
    <t xml:space="preserve">travel, invasion, infrastructure</t>
  </si>
  <si>
    <t xml:space="preserve">portal device; gate engine</t>
  </si>
  <si>
    <t xml:space="preserve">ART-512</t>
  </si>
  <si>
    <t xml:space="preserve">Time-Travel Conveyance</t>
  </si>
  <si>
    <t xml:space="preserve">A vehicle or device whose principal function is movement across time, timelines, ages, or temporal states.</t>
  </si>
  <si>
    <t xml:space="preserve">Temporal stasis alone is not travel unless displacement occurs.</t>
  </si>
  <si>
    <t xml:space="preserve">time ship; chronal carriage; age wheel</t>
  </si>
  <si>
    <t xml:space="preserve">causality, rescue, revision, exploration</t>
  </si>
  <si>
    <t xml:space="preserve">time vehicle; chronal conveyance</t>
  </si>
  <si>
    <t xml:space="preserve">ART-513</t>
  </si>
  <si>
    <t xml:space="preserve">Mobile Fortress</t>
  </si>
  <si>
    <t xml:space="preserve">A fortified structure capable of strategic movement across land, sea, air, space, or realms.</t>
  </si>
  <si>
    <t xml:space="preserve">It combines settlement, military platform, and vehicle functions.</t>
  </si>
  <si>
    <t xml:space="preserve">walking castle; fortress ship; flying citadel</t>
  </si>
  <si>
    <t xml:space="preserve">warfare, refuge, territorial power</t>
  </si>
  <si>
    <t xml:space="preserve">mobile fortress; moving citadel</t>
  </si>
  <si>
    <t xml:space="preserve">ART-514</t>
  </si>
  <si>
    <t xml:space="preserve">Interplanar Vessel</t>
  </si>
  <si>
    <t xml:space="preserve">A purpose-built conveyance for repeated travel among planes, dimensions, or metaphysical realms.</t>
  </si>
  <si>
    <t xml:space="preserve">Unlike a one-use world ship, it functions as sustained cross-realm infrastructure.</t>
  </si>
  <si>
    <t xml:space="preserve">planar ship; astral vessel; realm skiff</t>
  </si>
  <si>
    <t xml:space="preserve">exploration, trade, invasion, pilgrimage</t>
  </si>
  <si>
    <t xml:space="preserve">interplanar ship; astral vessel</t>
  </si>
  <si>
    <t xml:space="preserve">ART-601</t>
  </si>
  <si>
    <t xml:space="preserve">Realm Key</t>
  </si>
  <si>
    <t xml:space="preserve">An object required to open, enter, leave, locate, or authorize access to a particular realm or cosmological boundary.</t>
  </si>
  <si>
    <t xml:space="preserve">It may be a literal key, name, relic, body-part, or symbolic credential.</t>
  </si>
  <si>
    <t xml:space="preserve">gate key; underworld token; world rune</t>
  </si>
  <si>
    <t xml:space="preserve">access, exclusion, quest gating</t>
  </si>
  <si>
    <t xml:space="preserve">realm key; gate token</t>
  </si>
  <si>
    <t xml:space="preserve">ART-602</t>
  </si>
  <si>
    <t xml:space="preserve">Binding Seal</t>
  </si>
  <si>
    <t xml:space="preserve">An object or inscription that confines, suppresses, prohibits, or stabilizes a being, force, curse, portal, or condition.</t>
  </si>
  <si>
    <t xml:space="preserve">Breaking or weakening the seal is a distinct narrative and mechanical operation.</t>
  </si>
  <si>
    <t xml:space="preserve">ward seal; prison mark; lock tablet</t>
  </si>
  <si>
    <t xml:space="preserve">containment, protection, deferred threat</t>
  </si>
  <si>
    <t xml:space="preserve">binding seal; ward</t>
  </si>
  <si>
    <t xml:space="preserve">ART-603</t>
  </si>
  <si>
    <t xml:space="preserve">Command Token</t>
  </si>
  <si>
    <t xml:space="preserve">An object whose possession or recognized use grants command over units, constructs, spirits, beasts, weapons, or institutions.</t>
  </si>
  <si>
    <t xml:space="preserve">Authority may be magical, legal, symbolic, or technical.</t>
  </si>
  <si>
    <t xml:space="preserve">control rod; general's seal; master key</t>
  </si>
  <si>
    <t xml:space="preserve">command, authentication, usurpation</t>
  </si>
  <si>
    <t xml:space="preserve">command token; control emblem</t>
  </si>
  <si>
    <t xml:space="preserve">ART-604</t>
  </si>
  <si>
    <t xml:space="preserve">Summoning Focus</t>
  </si>
  <si>
    <t xml:space="preserve">An object required to call, manifest, invite, anchor, or control a being or force from elsewhere.</t>
  </si>
  <si>
    <t xml:space="preserve">It differs from a general spell focus by its specific relation to summoning.</t>
  </si>
  <si>
    <t xml:space="preserve">summoning circle object; beacon; idol</t>
  </si>
  <si>
    <t xml:space="preserve">invocation, anchoring, negotiation</t>
  </si>
  <si>
    <t xml:space="preserve">summoning focus; calling relic</t>
  </si>
  <si>
    <t xml:space="preserve">ART-605</t>
  </si>
  <si>
    <t xml:space="preserve">True-Name Token</t>
  </si>
  <si>
    <t xml:space="preserve">An object that embodies or proves a being's true name and thereby enables recognition, protection, summoning, or control.</t>
  </si>
  <si>
    <t xml:space="preserve">The token mediates name-law; it is not merely an identity document.</t>
  </si>
  <si>
    <t xml:space="preserve">name stone; sigil; secret tablet</t>
  </si>
  <si>
    <t xml:space="preserve">authentication, coercion, warding</t>
  </si>
  <si>
    <t xml:space="preserve">name token; identity seal</t>
  </si>
  <si>
    <t xml:space="preserve">ART-606</t>
  </si>
  <si>
    <t xml:space="preserve">Soul Vessel or External Life Anchor</t>
  </si>
  <si>
    <t xml:space="preserve">An object containing or anchoring part or all of a being's soul, life, death, memory, or continued existence.</t>
  </si>
  <si>
    <t xml:space="preserve">The category includes but is not limited to villainous phylactery-like implementations.</t>
  </si>
  <si>
    <t xml:space="preserve">soul jar; life egg; heart object</t>
  </si>
  <si>
    <t xml:space="preserve">immortality, vulnerability, resurrection, imprisonment</t>
  </si>
  <si>
    <t xml:space="preserve">soul vessel; life anchor</t>
  </si>
  <si>
    <t xml:space="preserve">ART-607</t>
  </si>
  <si>
    <t xml:space="preserve">Immortality Anchor</t>
  </si>
  <si>
    <t xml:space="preserve">An object that prevents aging, death, dissolution, or final passage while a condition of possession, integrity, or connection holds.</t>
  </si>
  <si>
    <t xml:space="preserve">It may overlap with a soul vessel but need not contain the soul.</t>
  </si>
  <si>
    <t xml:space="preserve">immortal fruit; life stone; eternal flame</t>
  </si>
  <si>
    <t xml:space="preserve">longevity, quest, conditional vulnerability</t>
  </si>
  <si>
    <t xml:space="preserve">immortality object; life anchor</t>
  </si>
  <si>
    <t xml:space="preserve">ART-608</t>
  </si>
  <si>
    <t xml:space="preserve">Wardstone or Territorial Keystone</t>
  </si>
  <si>
    <t xml:space="preserve">An object that protects, defines, stabilizes, nourishes, conceals, or controls a bounded place or community.</t>
  </si>
  <si>
    <t xml:space="preserve">Its power is spatial and institutional rather than merely personal.</t>
  </si>
  <si>
    <t xml:space="preserve">city ward; land stone; shrine pillar</t>
  </si>
  <si>
    <t xml:space="preserve">territorial defense, identity, environmental balance</t>
  </si>
  <si>
    <t xml:space="preserve">wardstone; keystone</t>
  </si>
  <si>
    <t xml:space="preserve">ART-609</t>
  </si>
  <si>
    <t xml:space="preserve">Control Collar, Brand, or Restraint</t>
  </si>
  <si>
    <t xml:space="preserve">A worn or imposed object that coerces obedience, limits power, tracks, punishes, or prevents escape.</t>
  </si>
  <si>
    <t xml:space="preserve">The family is ethically charged and should not be treated as neutral equipment.</t>
  </si>
  <si>
    <t xml:space="preserve">slave collar; seal bracelet; obedience brand</t>
  </si>
  <si>
    <t xml:space="preserve">coercion, imprisonment, rebellion</t>
  </si>
  <si>
    <t xml:space="preserve">control collar; binding restraint</t>
  </si>
  <si>
    <t xml:space="preserve">ART-610</t>
  </si>
  <si>
    <t xml:space="preserve">Contract Token</t>
  </si>
  <si>
    <t xml:space="preserve">An object exchanged, marked, broken, or returned to activate or prove a pact, debt, marriage, service, truce, or supernatural contract.</t>
  </si>
  <si>
    <t xml:space="preserve">The token's efficacy comes from a relational rule.</t>
  </si>
  <si>
    <t xml:space="preserve">pledge ring; half-token; covenant coin</t>
  </si>
  <si>
    <t xml:space="preserve">reciprocity, authentication, release</t>
  </si>
  <si>
    <t xml:space="preserve">contract token; pledge object</t>
  </si>
  <si>
    <t xml:space="preserve">ART-611</t>
  </si>
  <si>
    <t xml:space="preserve">Territory Control Relic</t>
  </si>
  <si>
    <t xml:space="preserve">An object that grants dominion over a landscape, weather system, city, dungeon, or bounded magical ecology.</t>
  </si>
  <si>
    <t xml:space="preserve">Possession may not equal moral or legal legitimacy.</t>
  </si>
  <si>
    <t xml:space="preserve">season stone; dungeon heart; weather crown</t>
  </si>
  <si>
    <t xml:space="preserve">governance, conquest, environmental control</t>
  </si>
  <si>
    <t xml:space="preserve">domain relic; territory core</t>
  </si>
  <si>
    <t xml:space="preserve">ART-612</t>
  </si>
  <si>
    <t xml:space="preserve">Prison Key or Release Object</t>
  </si>
  <si>
    <t xml:space="preserve">An object whose destruction, assembly, activation, or transfer releases a sealed being, army, curse, or realm.</t>
  </si>
  <si>
    <t xml:space="preserve">It is defined by its release condition rather than ordinary access.</t>
  </si>
  <si>
    <t xml:space="preserve">seal shard; lock sword; release bell</t>
  </si>
  <si>
    <t xml:space="preserve">threat escalation, moral choice, rescue</t>
  </si>
  <si>
    <t xml:space="preserve">release key; prison key</t>
  </si>
  <si>
    <t xml:space="preserve">ART-701</t>
  </si>
  <si>
    <t xml:space="preserve">Quest Object</t>
  </si>
  <si>
    <t xml:space="preserve">An object whose acquisition, transport, use, destruction, or return structures a major quest.</t>
  </si>
  <si>
    <t xml:space="preserve">This is a narrative function and should be paired with the object's source-faithful ontology.</t>
  </si>
  <si>
    <t xml:space="preserve">fetch object; sacred prize; mission relic</t>
  </si>
  <si>
    <t xml:space="preserve">motivation, route structure, party assembly</t>
  </si>
  <si>
    <t xml:space="preserve">quest item; objective relic</t>
  </si>
  <si>
    <t xml:space="preserve">ART-702</t>
  </si>
  <si>
    <t xml:space="preserve">Artifact to Destroy</t>
  </si>
  <si>
    <t xml:space="preserve">An object whose continued existence poses such danger or corruption that the central task is safe destruction.</t>
  </si>
  <si>
    <t xml:space="preserve">The difficulty may lie in eligibility, location, method, attachment, or consequences.</t>
  </si>
  <si>
    <t xml:space="preserve">doomed ring; world weapon; cursed core</t>
  </si>
  <si>
    <t xml:space="preserve">sacrifice, temptation, final journey</t>
  </si>
  <si>
    <t xml:space="preserve">destroy-the-artifact object</t>
  </si>
  <si>
    <t xml:space="preserve">ART-703</t>
  </si>
  <si>
    <t xml:space="preserve">Artifact to Assemble</t>
  </si>
  <si>
    <t xml:space="preserve">An object whose scattered parts must be united to activate, restore, authorize, or understand it.</t>
  </si>
  <si>
    <t xml:space="preserve">Assembly can be heroic, catastrophic, or morally ambiguous.</t>
  </si>
  <si>
    <t xml:space="preserve">shard quest; broken crown; seal pieces</t>
  </si>
  <si>
    <t xml:space="preserve">collection, revelation, escalation</t>
  </si>
  <si>
    <t xml:space="preserve">assemble-the-relic quest</t>
  </si>
  <si>
    <t xml:space="preserve">ART-704</t>
  </si>
  <si>
    <t xml:space="preserve">Artifact to Return or Restore</t>
  </si>
  <si>
    <t xml:space="preserve">An object whose rightful return repairs legitimacy, ecology, memory, covenant, or cosmological order.</t>
  </si>
  <si>
    <t xml:space="preserve">Return matters more than possession.</t>
  </si>
  <si>
    <t xml:space="preserve">stolen fire; ancestral sword; temple relic</t>
  </si>
  <si>
    <t xml:space="preserve">restoration, restitution, reconciliation</t>
  </si>
  <si>
    <t xml:space="preserve">return-the-relic quest</t>
  </si>
  <si>
    <t xml:space="preserve">ART-705</t>
  </si>
  <si>
    <t xml:space="preserve">Artifact to Guard</t>
  </si>
  <si>
    <t xml:space="preserve">An object whose protection, concealment, custody, or controlled succession structures an institution or conflict.</t>
  </si>
  <si>
    <t xml:space="preserve">Guardianship may create obligation and political power.</t>
  </si>
  <si>
    <t xml:space="preserve">sealed weapon; sacred flame; royal archive</t>
  </si>
  <si>
    <t xml:space="preserve">stewardship, siege, institutional continuity</t>
  </si>
  <si>
    <t xml:space="preserve">guarded relic; entrusted artifact</t>
  </si>
  <si>
    <t xml:space="preserve">ART-706</t>
  </si>
  <si>
    <t xml:space="preserve">Artifact of Temptation</t>
  </si>
  <si>
    <t xml:space="preserve">An object that offers power, knowledge, desire, safety, or legitimacy at a moral, bodily, social, or metaphysical cost.</t>
  </si>
  <si>
    <t xml:space="preserve">Temptation can operate without the object being intrinsically evil.</t>
  </si>
  <si>
    <t xml:space="preserve">forbidden fruit; corrupting ring; bargain gem</t>
  </si>
  <si>
    <t xml:space="preserve">character testing, corruption, tragic choice</t>
  </si>
  <si>
    <t xml:space="preserve">temptation object; forbidden relic</t>
  </si>
  <si>
    <t xml:space="preserve">ART-707</t>
  </si>
  <si>
    <t xml:space="preserve">Artifact of Succession</t>
  </si>
  <si>
    <t xml:space="preserve">An object whose possession, recognition, inheritance, or ritual presentation determines office or dynastic continuity.</t>
  </si>
  <si>
    <t xml:space="preserve">It may overlap with regalia but is defined by transition of authority.</t>
  </si>
  <si>
    <t xml:space="preserve">heirloom seal; royal sword; succession tablet</t>
  </si>
  <si>
    <t xml:space="preserve">inheritance, legitimacy, civil conflict</t>
  </si>
  <si>
    <t xml:space="preserve">succession relic; heir token</t>
  </si>
  <si>
    <t xml:space="preserve">ART-708</t>
  </si>
  <si>
    <t xml:space="preserve">Hidden or Buried Relic</t>
  </si>
  <si>
    <t xml:space="preserve">An object deliberately concealed, forgotten, entombed, submerged, or removed from ordinary access until rediscovery.</t>
  </si>
  <si>
    <t xml:space="preserve">Hiddenness and recovery history shape its meaning.</t>
  </si>
  <si>
    <t xml:space="preserve">buried weapon; sealed archive; sunken treasure</t>
  </si>
  <si>
    <t xml:space="preserve">archaeology, awakening threat, lost history</t>
  </si>
  <si>
    <t xml:space="preserve">lost relic; buried artifact</t>
  </si>
  <si>
    <t xml:space="preserve">ART-709</t>
  </si>
  <si>
    <t xml:space="preserve">Lost-Technology Artifact</t>
  </si>
  <si>
    <t xml:space="preserve">An object from a vanished, precursor, divine, or technologically superior culture whose manufacture is no longer understood.</t>
  </si>
  <si>
    <t xml:space="preserve">Apparent magic may be technological, ritual, or hybrid; preserve source explanation.</t>
  </si>
  <si>
    <t xml:space="preserve">ancient machine; precursor weapon; relic device</t>
  </si>
  <si>
    <t xml:space="preserve">mystery, asymmetry, restoration, misuse</t>
  </si>
  <si>
    <t xml:space="preserve">ancient technology; precursor artifact</t>
  </si>
  <si>
    <t xml:space="preserve">ART-710</t>
  </si>
  <si>
    <t xml:space="preserve">Sacrificial Artifact</t>
  </si>
  <si>
    <t xml:space="preserve">An object whose destruction, offering, surrender, or irreversible expenditure is required to gain an outcome or restore order.</t>
  </si>
  <si>
    <t xml:space="preserve">The sacrifice concerns value, identity, memory, or power, not merely resource consumption.</t>
  </si>
  <si>
    <t xml:space="preserve">broken crown; offered weapon; burned book</t>
  </si>
  <si>
    <t xml:space="preserve">renunciation, cost, transformation</t>
  </si>
  <si>
    <t xml:space="preserve">sacrificed relic; offered artifact</t>
  </si>
  <si>
    <t xml:space="preserve">ART-711</t>
  </si>
  <si>
    <t xml:space="preserve">Truth-Revealing Artifact</t>
  </si>
  <si>
    <t xml:space="preserve">An object that exposes lies, hidden nature, lineage, guilt, illusion, or inaccessible history.</t>
  </si>
  <si>
    <t xml:space="preserve">Revelation may be selective, dangerous, or dependent on interpretation.</t>
  </si>
  <si>
    <t xml:space="preserve">truth mirror; judging sword; memory stone</t>
  </si>
  <si>
    <t xml:space="preserve">investigation, judgment, identity crisis</t>
  </si>
  <si>
    <t xml:space="preserve">truth object; revelatory relic</t>
  </si>
  <si>
    <t xml:space="preserve">ART-712</t>
  </si>
  <si>
    <t xml:space="preserve">Price-Bearing Artifact</t>
  </si>
  <si>
    <t xml:space="preserve">An object whose use reliably exacts a specified cost in life, memory, years, identity, relationship, freedom, or future obligation.</t>
  </si>
  <si>
    <t xml:space="preserve">A price is a rule of use, not simply a vague risk.</t>
  </si>
  <si>
    <t xml:space="preserve">blood-cost weapon; memory book; debt token</t>
  </si>
  <si>
    <t xml:space="preserve">resource tradeoff, tragedy, power ethics</t>
  </si>
  <si>
    <t xml:space="preserve">costly artifact; price-bound relic</t>
  </si>
  <si>
    <t xml:space="preserve">COS-000</t>
  </si>
  <si>
    <t xml:space="preserve">Structures of the universe, layers of existence, afterlives, parallel domains, sacred places, boundaries, routes, and world-changing temporal or eschatological patterns.</t>
  </si>
  <si>
    <t xml:space="preserve">COS-100</t>
  </si>
  <si>
    <t xml:space="preserve">Cosmic Structure &amp; Time</t>
  </si>
  <si>
    <t xml:space="preserve">Large-scale arrangements of worlds, planes, elements, directions, time, creation, and metaphysical administration.</t>
  </si>
  <si>
    <t xml:space="preserve">COS-200</t>
  </si>
  <si>
    <t xml:space="preserve">Divine, Spirit &amp; Elemental Realms</t>
  </si>
  <si>
    <t xml:space="preserve">Domains principally associated with gods, ancestors, spirits, nature powers, elements, dreams, or infernal beings.</t>
  </si>
  <si>
    <t xml:space="preserve">COS-300</t>
  </si>
  <si>
    <t xml:space="preserve">Afterlives &amp; Underworlds</t>
  </si>
  <si>
    <t xml:space="preserve">Destinations, processes, roads, judgments, communities, and return paths associated with death and postmortem existence.</t>
  </si>
  <si>
    <t xml:space="preserve">COS-400</t>
  </si>
  <si>
    <t xml:space="preserve">Liminal, Parallel &amp; Constructed Realms</t>
  </si>
  <si>
    <t xml:space="preserve">Worlds alongside, between, within, or generated from ordinary reality, including dream, shadow, prison, pocket, and simulated domains.</t>
  </si>
  <si>
    <t xml:space="preserve">COS-500</t>
  </si>
  <si>
    <t xml:space="preserve">Sacred Geography &amp; World Anchors</t>
  </si>
  <si>
    <t xml:space="preserve">Places whose religious, cosmological, ancestral, ecological, or world-structuring significance exceeds ordinary geography.</t>
  </si>
  <si>
    <t xml:space="preserve">COS-600</t>
  </si>
  <si>
    <t xml:space="preserve">Cosmological Boundaries &amp; Travel</t>
  </si>
  <si>
    <t xml:space="preserve">Veils, gates, routes, ascents, descents, projections, and other ways that beings cross or fail to cross among realms.</t>
  </si>
  <si>
    <t xml:space="preserve">COS-700</t>
  </si>
  <si>
    <t xml:space="preserve">Eschatology, Cycles &amp; World Change</t>
  </si>
  <si>
    <t xml:space="preserve">Patterns governing decline, apocalypse, renewal, divine withdrawal, convergence, and transformations of the whole world order.</t>
  </si>
  <si>
    <t xml:space="preserve">COS-101</t>
  </si>
  <si>
    <t xml:space="preserve">Layered Cosmos</t>
  </si>
  <si>
    <t xml:space="preserve">A universe organized into vertically, concentrically, morally, or ontologically ordered levels.</t>
  </si>
  <si>
    <t xml:space="preserve">The number, hierarchy, and accessibility of layers are source-specific.</t>
  </si>
  <si>
    <t xml:space="preserve">three worlds; nine realms; layered heavens</t>
  </si>
  <si>
    <t xml:space="preserve">cosmic orientation, status, travel</t>
  </si>
  <si>
    <t xml:space="preserve">layered universe; cosmic tiers</t>
  </si>
  <si>
    <t xml:space="preserve">COS-102</t>
  </si>
  <si>
    <t xml:space="preserve">Axis Mundi or World Axis</t>
  </si>
  <si>
    <t xml:space="preserve">A place, being, object, or line that links and organizes multiple cosmic levels or directions.</t>
  </si>
  <si>
    <t xml:space="preserve">A world tree is one subtype; not every sacred center is a literal axis.</t>
  </si>
  <si>
    <t xml:space="preserve">world tree; cosmic pillar; central mountain</t>
  </si>
  <si>
    <t xml:space="preserve">realm connection, sacred center, orientation</t>
  </si>
  <si>
    <t xml:space="preserve">axis mundi; world axis</t>
  </si>
  <si>
    <t xml:space="preserve">COS-103</t>
  </si>
  <si>
    <t xml:space="preserve">World Mountain Cosmology</t>
  </si>
  <si>
    <t xml:space="preserve">A cosmos centered on or structured by a primordial, sacred, or universal mountain.</t>
  </si>
  <si>
    <t xml:space="preserve">Do not merge distinct world-mountain traditions merely because they share vertical imagery.</t>
  </si>
  <si>
    <t xml:space="preserve">cosmic mountain; mountain of gods</t>
  </si>
  <si>
    <t xml:space="preserve">center, ascent, divine residence</t>
  </si>
  <si>
    <t xml:space="preserve">world mountain; cosmic peak</t>
  </si>
  <si>
    <t xml:space="preserve">COS-104</t>
  </si>
  <si>
    <t xml:space="preserve">Cosmic Ocean</t>
  </si>
  <si>
    <t xml:space="preserve">A primordial, encircling, celestial, subterranean, or inter-world ocean that structures creation and realm boundaries.</t>
  </si>
  <si>
    <t xml:space="preserve">Its waters may be material, chaotic, divine, or symbolic; preserve the source model.</t>
  </si>
  <si>
    <t xml:space="preserve">world sea; primeval waters; star ocean</t>
  </si>
  <si>
    <t xml:space="preserve">creation, boundary, travel, dissolution</t>
  </si>
  <si>
    <t xml:space="preserve">cosmic ocean; world sea</t>
  </si>
  <si>
    <t xml:space="preserve">COS-105</t>
  </si>
  <si>
    <t xml:space="preserve">Multiple Planes or Worlds</t>
  </si>
  <si>
    <t xml:space="preserve">A cosmology containing distinct coexisting domains with their own inhabitants, laws, materials, or causal conditions.</t>
  </si>
  <si>
    <t xml:space="preserve">Difference need not imply hierarchy; do not default to a game-plane model.</t>
  </si>
  <si>
    <t xml:space="preserve">planes; lokas; worlds; dimensions</t>
  </si>
  <si>
    <t xml:space="preserve">worldbuilding, travel, metaphysical plurality</t>
  </si>
  <si>
    <t xml:space="preserve">many worlds; planes</t>
  </si>
  <si>
    <t xml:space="preserve">COS-106</t>
  </si>
  <si>
    <t xml:space="preserve">Nested Worlds</t>
  </si>
  <si>
    <t xml:space="preserve">Worlds contained within other worlds, beings, objects, dreams, texts, or scales of reality.</t>
  </si>
  <si>
    <t xml:space="preserve">Containment may be literal, visionary, recursive, or metaphysical.</t>
  </si>
  <si>
    <t xml:space="preserve">world in a jewel; universe in a body</t>
  </si>
  <si>
    <t xml:space="preserve">wonder, recursion, revelation</t>
  </si>
  <si>
    <t xml:space="preserve">nested cosmos; world within world</t>
  </si>
  <si>
    <t xml:space="preserve">COS-107</t>
  </si>
  <si>
    <t xml:space="preserve">Microcosm–Macrocosm Correspondence</t>
  </si>
  <si>
    <t xml:space="preserve">A cosmology in which body, city, temple, ritual, or society mirrors and participates in the structure of the whole universe.</t>
  </si>
  <si>
    <t xml:space="preserve">This is a relational principle, not simply visual resemblance.</t>
  </si>
  <si>
    <t xml:space="preserve">body-as-cosmos; temple-as-world</t>
  </si>
  <si>
    <t xml:space="preserve">ritual efficacy, healing, governance, symbolism</t>
  </si>
  <si>
    <t xml:space="preserve">microcosm; macrocosm</t>
  </si>
  <si>
    <t xml:space="preserve">COS-108</t>
  </si>
  <si>
    <t xml:space="preserve">Directional Cosmology</t>
  </si>
  <si>
    <t xml:space="preserve">A universe ordered by cardinal, intercardinal, vertical, seasonal, elemental, or color-coded directions.</t>
  </si>
  <si>
    <t xml:space="preserve">Directional associations are not universal and require source-specific mapping.</t>
  </si>
  <si>
    <t xml:space="preserve">four quarters; eight directions; directional guardians</t>
  </si>
  <si>
    <t xml:space="preserve">orientation, ritual layout, faction structure</t>
  </si>
  <si>
    <t xml:space="preserve">cosmic directions; quarters</t>
  </si>
  <si>
    <t xml:space="preserve">COS-109</t>
  </si>
  <si>
    <t xml:space="preserve">Elemental Cosmology</t>
  </si>
  <si>
    <t xml:space="preserve">A universe whose substances, processes, beings, and transformations are organized through a set of elements or phases.</t>
  </si>
  <si>
    <t xml:space="preserve">Element lists and their relationships vary; do not force all systems into classical four-element models.</t>
  </si>
  <si>
    <t xml:space="preserve">four elements; five phases; elemental planes</t>
  </si>
  <si>
    <t xml:space="preserve">magic logic, medicine, world structure</t>
  </si>
  <si>
    <t xml:space="preserve">elemental cosmos; phases</t>
  </si>
  <si>
    <t xml:space="preserve">COS-110</t>
  </si>
  <si>
    <t xml:space="preserve">Moralized Cosmology</t>
  </si>
  <si>
    <t xml:space="preserve">A cosmos whose geography or state of existence reflects conduct, virtue, sin, merit, purity, or ethical orientation.</t>
  </si>
  <si>
    <t xml:space="preserve">Moral geography may coexist with ritual, social, and metaphysical criteria that are not reducible to morality.</t>
  </si>
  <si>
    <t xml:space="preserve">reward realm; polluted world; merit heavens</t>
  </si>
  <si>
    <t xml:space="preserve">judgment, social order, consequence</t>
  </si>
  <si>
    <t xml:space="preserve">moral cosmos; ethical geography</t>
  </si>
  <si>
    <t xml:space="preserve">COS-111</t>
  </si>
  <si>
    <t xml:space="preserve">Dream-Generated Cosmos</t>
  </si>
  <si>
    <t xml:space="preserve">A world created, sustained, altered, or revealed through the dream of a deity, sleeper, collective, or cosmic mind.</t>
  </si>
  <si>
    <t xml:space="preserve">A dream realm visited by sleepers is different from a cosmos ontologically generated by dreaming.</t>
  </si>
  <si>
    <t xml:space="preserve">god's dream; collective dreamworld</t>
  </si>
  <si>
    <t xml:space="preserve">creation, instability, awakening threat</t>
  </si>
  <si>
    <t xml:space="preserve">dream cosmos; dreamed world</t>
  </si>
  <si>
    <t xml:space="preserve">COS-112</t>
  </si>
  <si>
    <t xml:space="preserve">Cyclical Time</t>
  </si>
  <si>
    <t xml:space="preserve">A temporal order structured by repeating ages, seasons, destructions, rebirths, dynasties, or cosmic patterns.</t>
  </si>
  <si>
    <t xml:space="preserve">Recurrence may preserve, reset, or transform events; distinguish exact repetition from patterned cycles.</t>
  </si>
  <si>
    <t xml:space="preserve">cosmic ages; eternal recurrence; kalpa-like cycles</t>
  </si>
  <si>
    <t xml:space="preserve">decline, renewal, prophecy, progression</t>
  </si>
  <si>
    <t xml:space="preserve">cyclical time; world ages</t>
  </si>
  <si>
    <t xml:space="preserve">COS-113</t>
  </si>
  <si>
    <t xml:space="preserve">Linear Sacred History</t>
  </si>
  <si>
    <t xml:space="preserve">A temporal order moving from creation through revelation, covenant, decline, judgment, or final transformation toward a nonrepeating end.</t>
  </si>
  <si>
    <t xml:space="preserve">Linear history may include local cycles without becoming cosmically cyclical.</t>
  </si>
  <si>
    <t xml:space="preserve">creation-to-apocalypse history</t>
  </si>
  <si>
    <t xml:space="preserve">teleology, prophecy, final judgment</t>
  </si>
  <si>
    <t xml:space="preserve">sacred history; linear cosmos</t>
  </si>
  <si>
    <t xml:space="preserve">COS-114</t>
  </si>
  <si>
    <t xml:space="preserve">Creation from a Primordial Being</t>
  </si>
  <si>
    <t xml:space="preserve">A world formed from the body, sacrifice, division, dream, speech, or death of a primordial person or creature.</t>
  </si>
  <si>
    <t xml:space="preserve">This family compares structural motifs, not the identity or theology of source-specific beings.</t>
  </si>
  <si>
    <t xml:space="preserve">cosmic body; slain giant; primordial sacrifice</t>
  </si>
  <si>
    <t xml:space="preserve">cosmogony, correspondence, sacred materials</t>
  </si>
  <si>
    <t xml:space="preserve">primordial-body creation</t>
  </si>
  <si>
    <t xml:space="preserve">COS-115</t>
  </si>
  <si>
    <t xml:space="preserve">Creation from Chaos, Void, or Primordial Waters</t>
  </si>
  <si>
    <t xml:space="preserve">A cosmogony in which ordered reality emerges from undifferentiated emptiness, darkness, waters, mixture, or chaos.</t>
  </si>
  <si>
    <t xml:space="preserve">The pre-creation state may be active, personal, material, or apophatic; do not flatten these distinctions.</t>
  </si>
  <si>
    <t xml:space="preserve">void; chaos; abyss; primeval water</t>
  </si>
  <si>
    <t xml:space="preserve">cosmogony, order-versus-chaos</t>
  </si>
  <si>
    <t xml:space="preserve">creation from chaos; primordial void</t>
  </si>
  <si>
    <t xml:space="preserve">COS-116</t>
  </si>
  <si>
    <t xml:space="preserve">Creation by Word, Name, Song, or Thought</t>
  </si>
  <si>
    <t xml:space="preserve">A cosmogony in which utterance, naming, music, mental intention, or narrative articulation brings reality into being.</t>
  </si>
  <si>
    <t xml:space="preserve">Do not assume all performative creation is the same as spellcasting.</t>
  </si>
  <si>
    <t xml:space="preserve">creation song; divine word; naming creation</t>
  </si>
  <si>
    <t xml:space="preserve">cosmogony, language power, artistic metaphysics</t>
  </si>
  <si>
    <t xml:space="preserve">spoken creation; sung world</t>
  </si>
  <si>
    <t xml:space="preserve">COS-117</t>
  </si>
  <si>
    <t xml:space="preserve">Creation by Craft, Birth, or Conflict</t>
  </si>
  <si>
    <t xml:space="preserve">A cosmogony organized through fabrication, generation, sexual reproduction, contest, dismemberment, or victory over prior beings.</t>
  </si>
  <si>
    <t xml:space="preserve">These mechanisms may coexist and should be separately recorded in source entries.</t>
  </si>
  <si>
    <t xml:space="preserve">divine smithing; cosmic birth; dragon combat</t>
  </si>
  <si>
    <t xml:space="preserve">cosmogony, divine genealogy, legitimation</t>
  </si>
  <si>
    <t xml:space="preserve">crafted world; conflict creation</t>
  </si>
  <si>
    <t xml:space="preserve">COS-118</t>
  </si>
  <si>
    <t xml:space="preserve">Repeating Creation and Destruction</t>
  </si>
  <si>
    <t xml:space="preserve">A cosmos repeatedly manifested, dissolved, destroyed, and renewed over vast cycles.</t>
  </si>
  <si>
    <t xml:space="preserve">This differs from seasonal recurrence by total or near-total world reconstitution.</t>
  </si>
  <si>
    <t xml:space="preserve">world dissolution; successive creations</t>
  </si>
  <si>
    <t xml:space="preserve">cosmic scale, fatalism, renewal</t>
  </si>
  <si>
    <t xml:space="preserve">cyclic creation; world dissolution</t>
  </si>
  <si>
    <t xml:space="preserve">COS-119</t>
  </si>
  <si>
    <t xml:space="preserve">Cosmic Bureaucracy</t>
  </si>
  <si>
    <t xml:space="preserve">A universe administered through ranked offices, registries, courts, ministries, messengers, inspectors, and jurisdictional rules.</t>
  </si>
  <si>
    <t xml:space="preserve">The bureaucratic metaphor may be theological, satirical, ritual, or game-mechanical; preserve the context.</t>
  </si>
  <si>
    <t xml:space="preserve">celestial ministries; divine court; spirit officials</t>
  </si>
  <si>
    <t xml:space="preserve">administration, petitions, judgment, comedy</t>
  </si>
  <si>
    <t xml:space="preserve">heavenly bureaucracy; cosmic administration</t>
  </si>
  <si>
    <t xml:space="preserve">COS-120</t>
  </si>
  <si>
    <t xml:space="preserve">Plural or Competing Cosmologies</t>
  </si>
  <si>
    <t xml:space="preserve">A setting in which multiple incompatible or partially compatible accounts of reality operate, compete, or remain unresolved.</t>
  </si>
  <si>
    <t xml:space="preserve">Authorial ambiguity and in-world belief should not be mistaken for a single settled system.</t>
  </si>
  <si>
    <t xml:space="preserve">rival creation myths; overlapping planes</t>
  </si>
  <si>
    <t xml:space="preserve">epistemic pluralism, conflict, mystery</t>
  </si>
  <si>
    <t xml:space="preserve">contested cosmology; multiple truths</t>
  </si>
  <si>
    <t xml:space="preserve">COS-201</t>
  </si>
  <si>
    <t xml:space="preserve">Celestial Realm or Heaven</t>
  </si>
  <si>
    <t xml:space="preserve">A domain associated with divine beings, elevated states, reward, celestial order, or luminous existence.</t>
  </si>
  <si>
    <t xml:space="preserve">Heaven may be one realm among many and is not always an eternal final afterlife.</t>
  </si>
  <si>
    <t xml:space="preserve">sky heaven; divine city; paradise realm</t>
  </si>
  <si>
    <t xml:space="preserve">divine residence, reward, ascent</t>
  </si>
  <si>
    <t xml:space="preserve">heaven; celestial realm</t>
  </si>
  <si>
    <t xml:space="preserve">COS-202</t>
  </si>
  <si>
    <t xml:space="preserve">Divine Court</t>
  </si>
  <si>
    <t xml:space="preserve">A spatial and institutional realm where gods, divine officials, ancestors, or cosmic powers assemble and govern.</t>
  </si>
  <si>
    <t xml:space="preserve">A divine court is both a place and an institution; link both domains where appropriate.</t>
  </si>
  <si>
    <t xml:space="preserve">hall of gods; celestial palace; council realm</t>
  </si>
  <si>
    <t xml:space="preserve">governance, judgment, petitions, intrigue</t>
  </si>
  <si>
    <t xml:space="preserve">divine court; heavenly palace</t>
  </si>
  <si>
    <t xml:space="preserve">COS-203</t>
  </si>
  <si>
    <t xml:space="preserve">Spirit World</t>
  </si>
  <si>
    <t xml:space="preserve">A domain principally inhabited by spirits, souls, nonhuman persons, or subtle forms that overlaps or contrasts with the mortal world.</t>
  </si>
  <si>
    <t xml:space="preserve">Do not treat all source-specific spirit domains as one uniform plane.</t>
  </si>
  <si>
    <t xml:space="preserve">spirit realm; invisible world; other side</t>
  </si>
  <si>
    <t xml:space="preserve">mediation, travel, ecology, ancestry</t>
  </si>
  <si>
    <t xml:space="preserve">spirit world; unseen realm</t>
  </si>
  <si>
    <t xml:space="preserve">COS-204</t>
  </si>
  <si>
    <t xml:space="preserve">Ancestor Realm</t>
  </si>
  <si>
    <t xml:space="preserve">A domain where ancestors continue social, ritual, protective, or juridical relationships with living descendants.</t>
  </si>
  <si>
    <t xml:space="preserve">This is not merely a generic ghost plane; kinship and ritual reciprocity are central.</t>
  </si>
  <si>
    <t xml:space="preserve">land of ancestors; ancestral village; pitṛ realm</t>
  </si>
  <si>
    <t xml:space="preserve">continuity, counsel, obligation, identity</t>
  </si>
  <si>
    <t xml:space="preserve">ancestor realm; ancestral world</t>
  </si>
  <si>
    <t xml:space="preserve">COS-205</t>
  </si>
  <si>
    <t xml:space="preserve">Elemental Realm</t>
  </si>
  <si>
    <t xml:space="preserve">A domain primarily constituted by or inhabited through an element, phase, energy, or natural process.</t>
  </si>
  <si>
    <t xml:space="preserve">The realm may be personified, ecological, or abstract; preserve the source ontology.</t>
  </si>
  <si>
    <t xml:space="preserve">fire world; water plane; storm domain</t>
  </si>
  <si>
    <t xml:space="preserve">elemental origin, travel, resource, hazard</t>
  </si>
  <si>
    <t xml:space="preserve">elemental plane; elemental realm</t>
  </si>
  <si>
    <t xml:space="preserve">COS-206</t>
  </si>
  <si>
    <t xml:space="preserve">Nature or Green Realm</t>
  </si>
  <si>
    <t xml:space="preserve">A domain embodying wilderness, growth, seasonal life, plants, animals, ecological memory, or nature spirits.</t>
  </si>
  <si>
    <t xml:space="preserve">It is not automatically benevolent, pristine, or opposed to civilization.</t>
  </si>
  <si>
    <t xml:space="preserve">green world; beast realm; forest otherworld</t>
  </si>
  <si>
    <t xml:space="preserve">ecological power, refuge, threat, renewal</t>
  </si>
  <si>
    <t xml:space="preserve">nature realm; green world</t>
  </si>
  <si>
    <t xml:space="preserve">COS-207</t>
  </si>
  <si>
    <t xml:space="preserve">Dream Realm</t>
  </si>
  <si>
    <t xml:space="preserve">A domain entered through sleep, trance, imagination, prophecy, or altered consciousness where dream logic has operative reality.</t>
  </si>
  <si>
    <t xml:space="preserve">Distinguish a visitable dream domain from a cosmos created by dreaming.</t>
  </si>
  <si>
    <t xml:space="preserve">dreamscape; oneiric world; nightmare realm</t>
  </si>
  <si>
    <t xml:space="preserve">revelation, healing, horror, travel</t>
  </si>
  <si>
    <t xml:space="preserve">dream realm; dreamscape</t>
  </si>
  <si>
    <t xml:space="preserve">COS-208</t>
  </si>
  <si>
    <t xml:space="preserve">Realm of the Gods</t>
  </si>
  <si>
    <t xml:space="preserve">A domain reserved for, generated by, or principally associated with a particular pantheon or class of divine beings.</t>
  </si>
  <si>
    <t xml:space="preserve">It may overlap with heaven but need not be a moral reward realm.</t>
  </si>
  <si>
    <t xml:space="preserve">Olympian-like realm; god world</t>
  </si>
  <si>
    <t xml:space="preserve">divine politics, origin, quest access</t>
  </si>
  <si>
    <t xml:space="preserve">realm of gods; divine world</t>
  </si>
  <si>
    <t xml:space="preserve">COS-209</t>
  </si>
  <si>
    <t xml:space="preserve">Astral or Celestial Expanse</t>
  </si>
  <si>
    <t xml:space="preserve">A nonordinary medium of stars, souls, thought, light, or emptiness through which realms or distant places are traversed.</t>
  </si>
  <si>
    <t xml:space="preserve">Its physics and metaphysics vary widely; do not default to any one tabletop model.</t>
  </si>
  <si>
    <t xml:space="preserve">astral sea; star road; celestial void</t>
  </si>
  <si>
    <t xml:space="preserve">travel, projection, cosmic encounter</t>
  </si>
  <si>
    <t xml:space="preserve">astral realm; star sea</t>
  </si>
  <si>
    <t xml:space="preserve">COS-210</t>
  </si>
  <si>
    <t xml:space="preserve">Infernal or Demonic Realm</t>
  </si>
  <si>
    <t xml:space="preserve">A domain associated with destructive, adversarial, punitive, corruptive, or demonized beings and forces.</t>
  </si>
  <si>
    <t xml:space="preserve">Do not assume source beings labeled 'demon' inhabit a Christian-style hell or are morally uniform.</t>
  </si>
  <si>
    <t xml:space="preserve">hell realm; demon world; abyss</t>
  </si>
  <si>
    <t xml:space="preserve">threat, punishment, invasion, temptation</t>
  </si>
  <si>
    <t xml:space="preserve">infernal realm; demon plane</t>
  </si>
  <si>
    <t xml:space="preserve">COS-211</t>
  </si>
  <si>
    <t xml:space="preserve">Faerie or Otherworld Realm</t>
  </si>
  <si>
    <t xml:space="preserve">A liminal nonhuman realm characterized by altered time, beauty, danger, reciprocity, taboo, or unstable boundaries with the mortal world.</t>
  </si>
  <si>
    <t xml:space="preserve">Use as a comparative family, not a synonym for culturally specific otherworlds.</t>
  </si>
  <si>
    <t xml:space="preserve">fairyland; síd realm; enchanted otherworld</t>
  </si>
  <si>
    <t xml:space="preserve">encounter, abduction, gift exchange, time distortion</t>
  </si>
  <si>
    <t xml:space="preserve">faerie realm; otherworld</t>
  </si>
  <si>
    <t xml:space="preserve">COS-212</t>
  </si>
  <si>
    <t xml:space="preserve">Realm of Memory</t>
  </si>
  <si>
    <t xml:space="preserve">A domain composed of, preserving, or giving access to memories, histories, ancestral traces, or collective consciousness.</t>
  </si>
  <si>
    <t xml:space="preserve">Memory may be spatialized without implying objective historical truth.</t>
  </si>
  <si>
    <t xml:space="preserve">memory world; archive realm; echo plane</t>
  </si>
  <si>
    <t xml:space="preserve">recovery, testimony, identity, grief</t>
  </si>
  <si>
    <t xml:space="preserve">memory realm; echo world</t>
  </si>
  <si>
    <t xml:space="preserve">COS-213</t>
  </si>
  <si>
    <t xml:space="preserve">Realm of Law or Order</t>
  </si>
  <si>
    <t xml:space="preserve">A domain embodying cosmic law, absolute structure, calculation, contracts, hierarchy, or deterministic order.</t>
  </si>
  <si>
    <t xml:space="preserve">Order is not inherently good; excessive rigidity may be threatening.</t>
  </si>
  <si>
    <t xml:space="preserve">law plane; clockwork heaven; contract realm</t>
  </si>
  <si>
    <t xml:space="preserve">judgment, bureaucracy, metaphysical opposition</t>
  </si>
  <si>
    <t xml:space="preserve">realm of order; law world</t>
  </si>
  <si>
    <t xml:space="preserve">COS-214</t>
  </si>
  <si>
    <t xml:space="preserve">Realm of Chaos or Flux</t>
  </si>
  <si>
    <t xml:space="preserve">A domain characterized by instability, transformation, unbounded possibility, contradiction, or resistance to fixed form.</t>
  </si>
  <si>
    <t xml:space="preserve">Chaos is not automatically evil or random; source meanings vary.</t>
  </si>
  <si>
    <t xml:space="preserve">chaos realm; formless world; wild magic plane</t>
  </si>
  <si>
    <t xml:space="preserve">creation, mutation, threat, liberation</t>
  </si>
  <si>
    <t xml:space="preserve">realm of chaos; flux world</t>
  </si>
  <si>
    <t xml:space="preserve">COS-301</t>
  </si>
  <si>
    <t xml:space="preserve">Underworld</t>
  </si>
  <si>
    <t xml:space="preserve">A realm beneath, beyond, or otherwise separated from ordinary life that receives or contains the dead.</t>
  </si>
  <si>
    <t xml:space="preserve">An underworld may include neutral residence, judgment, punishment, or divine government in varying combinations.</t>
  </si>
  <si>
    <t xml:space="preserve">land of dead; subterranean death realm</t>
  </si>
  <si>
    <t xml:space="preserve">afterlife, descent quest, ancestral contact</t>
  </si>
  <si>
    <t xml:space="preserve">underworld; realm of dead</t>
  </si>
  <si>
    <t xml:space="preserve">COS-302</t>
  </si>
  <si>
    <t xml:space="preserve">Judgment Realm</t>
  </si>
  <si>
    <t xml:space="preserve">A postmortem domain or process where deeds, identity, obligations, purity, merit, or truth are evaluated.</t>
  </si>
  <si>
    <t xml:space="preserve">Judgment criteria may be moral, ritual, social, legal, or cosmological.</t>
  </si>
  <si>
    <t xml:space="preserve">hall of judgment; weighing court; death tribunal</t>
  </si>
  <si>
    <t xml:space="preserve">accountability, revelation, sorting</t>
  </si>
  <si>
    <t xml:space="preserve">afterlife judgment; court of dead</t>
  </si>
  <si>
    <t xml:space="preserve">COS-303</t>
  </si>
  <si>
    <t xml:space="preserve">Paradise or Reward Realm</t>
  </si>
  <si>
    <t xml:space="preserve">A desirable postmortem or elevated domain associated with reward, rest, beauty, union, heroism, or merit.</t>
  </si>
  <si>
    <t xml:space="preserve">It may be temporary, conditional, class-specific, or one among multiple destinies.</t>
  </si>
  <si>
    <t xml:space="preserve">blessed fields; paradise garden; warrior hall</t>
  </si>
  <si>
    <t xml:space="preserve">reward, aspiration, consolation</t>
  </si>
  <si>
    <t xml:space="preserve">paradise; blessed realm</t>
  </si>
  <si>
    <t xml:space="preserve">COS-304</t>
  </si>
  <si>
    <t xml:space="preserve">Punishment Realm or Hell</t>
  </si>
  <si>
    <t xml:space="preserve">A postmortem domain or condition of suffering, correction, imprisonment, purification, or retribution.</t>
  </si>
  <si>
    <t xml:space="preserve">Punishment may be temporary, graded, symbolic, or eternal; preserve source doctrine.</t>
  </si>
  <si>
    <t xml:space="preserve">hells; torture realm; prison afterlife</t>
  </si>
  <si>
    <t xml:space="preserve">consequence, fear, purification, justice</t>
  </si>
  <si>
    <t xml:space="preserve">hell; punishment realm</t>
  </si>
  <si>
    <t xml:space="preserve">COS-305</t>
  </si>
  <si>
    <t xml:space="preserve">Transitional or Purgatorial Realm</t>
  </si>
  <si>
    <t xml:space="preserve">A temporary postmortem domain where souls wait, purify, remember, forget, travel, or prepare for another state.</t>
  </si>
  <si>
    <t xml:space="preserve">It is neither final reward nor final punishment by definition.</t>
  </si>
  <si>
    <t xml:space="preserve">waiting land; limbo; purification realm</t>
  </si>
  <si>
    <t xml:space="preserve">transition, delay, ritual aid</t>
  </si>
  <si>
    <t xml:space="preserve">intermediate state; purgatorial realm</t>
  </si>
  <si>
    <t xml:space="preserve">COS-306</t>
  </si>
  <si>
    <t xml:space="preserve">Warrior Afterlife</t>
  </si>
  <si>
    <t xml:space="preserve">An afterlife specifically privileging warriors, heroic death, battle service, or martial community.</t>
  </si>
  <si>
    <t xml:space="preserve">Do not universalize one Norse model across all warrior paradises.</t>
  </si>
  <si>
    <t xml:space="preserve">hall of heroes; battlefield heaven</t>
  </si>
  <si>
    <t xml:space="preserve">martial ethos, recruitment, heroic memory</t>
  </si>
  <si>
    <t xml:space="preserve">warrior heaven; hero hall</t>
  </si>
  <si>
    <t xml:space="preserve">COS-307</t>
  </si>
  <si>
    <t xml:space="preserve">Ancestor Village or Continuing Community</t>
  </si>
  <si>
    <t xml:space="preserve">An afterlife in which the dead continue kinship, settlement, work, and social relations resembling a living community.</t>
  </si>
  <si>
    <t xml:space="preserve">It emphasizes continuity over abstract reward or punishment.</t>
  </si>
  <si>
    <t xml:space="preserve">village of dead; ancestral homeland</t>
  </si>
  <si>
    <t xml:space="preserve">kinship, burial, community continuity</t>
  </si>
  <si>
    <t xml:space="preserve">ancestor village; land of ancestors</t>
  </si>
  <si>
    <t xml:space="preserve">COS-308</t>
  </si>
  <si>
    <t xml:space="preserve">Reincarnation Cycle</t>
  </si>
  <si>
    <t xml:space="preserve">A structured process by which beings return to embodied existence through rebirth, transmigration, or repeated lives.</t>
  </si>
  <si>
    <t xml:space="preserve">Do not collapse distinct doctrines of self, soul, karma, liberation, and rebirth into a single generic mechanic.</t>
  </si>
  <si>
    <t xml:space="preserve">rebirth wheel; transmigration; successive lives</t>
  </si>
  <si>
    <t xml:space="preserve">moral causation, progression, memory, liberation</t>
  </si>
  <si>
    <t xml:space="preserve">reincarnation cycle; rebirth</t>
  </si>
  <si>
    <t xml:space="preserve">COS-309</t>
  </si>
  <si>
    <t xml:space="preserve">Ghost-Linger World</t>
  </si>
  <si>
    <t xml:space="preserve">A condition or adjacent domain in which the dead remain near the living through attachment, unfinished business, trauma, ritual failure, or choice.</t>
  </si>
  <si>
    <t xml:space="preserve">It may be a state rather than a separate geographical realm.</t>
  </si>
  <si>
    <t xml:space="preserve">grey world; echo layer; haunted overlap</t>
  </si>
  <si>
    <t xml:space="preserve">haunting, closure, memory, danger</t>
  </si>
  <si>
    <t xml:space="preserve">ghost realm; lingering dead</t>
  </si>
  <si>
    <t xml:space="preserve">COS-310</t>
  </si>
  <si>
    <t xml:space="preserve">Road of the Dead</t>
  </si>
  <si>
    <t xml:space="preserve">A route, sequence of trials, landmarks, guides, rivers, gates, or offerings through which the deceased travel.</t>
  </si>
  <si>
    <t xml:space="preserve">The road is a process and sacred geography, not merely a destination.</t>
  </si>
  <si>
    <t xml:space="preserve">death road; soul path; funeral journey</t>
  </si>
  <si>
    <t xml:space="preserve">psychopomp role, burial rites, ordeal</t>
  </si>
  <si>
    <t xml:space="preserve">road of dead; soul journey</t>
  </si>
  <si>
    <t xml:space="preserve">COS-311</t>
  </si>
  <si>
    <t xml:space="preserve">River Boundary of Death</t>
  </si>
  <si>
    <t xml:space="preserve">A river, sea, ford, bridge, or water crossing that separates living and dead domains.</t>
  </si>
  <si>
    <t xml:space="preserve">Water symbolism alone is insufficient; the crossing must govern death passage.</t>
  </si>
  <si>
    <t xml:space="preserve">underworld river; ferry crossing; death ford</t>
  </si>
  <si>
    <t xml:space="preserve">boundary, payment, psychopomp, return difficulty</t>
  </si>
  <si>
    <t xml:space="preserve">river of death; underworld crossing</t>
  </si>
  <si>
    <t xml:space="preserve">COS-312</t>
  </si>
  <si>
    <t xml:space="preserve">Court of the Dead</t>
  </si>
  <si>
    <t xml:space="preserve">A royal, bureaucratic, ancestral, or divine court administering dead souls, judgments, petitions, records, or punishments.</t>
  </si>
  <si>
    <t xml:space="preserve">This combines afterlife geography with institutional governance.</t>
  </si>
  <si>
    <t xml:space="preserve">death king's court; underworld ministry</t>
  </si>
  <si>
    <t xml:space="preserve">judgment, bureaucracy, appeals, quests</t>
  </si>
  <si>
    <t xml:space="preserve">court of dead; underworld court</t>
  </si>
  <si>
    <t xml:space="preserve">COS-313</t>
  </si>
  <si>
    <t xml:space="preserve">Postmortem Trial</t>
  </si>
  <si>
    <t xml:space="preserve">A test, contest, examination, battle, riddle, weighing, or revelation occurring after death or during an underworld journey.</t>
  </si>
  <si>
    <t xml:space="preserve">A trial is an event structure, not an entire realm.</t>
  </si>
  <si>
    <t xml:space="preserve">weighing; bridge test; heaven test</t>
  </si>
  <si>
    <t xml:space="preserve">judgment, transformation, narrative climax</t>
  </si>
  <si>
    <t xml:space="preserve">afterlife trial; death ordeal</t>
  </si>
  <si>
    <t xml:space="preserve">COS-314</t>
  </si>
  <si>
    <t xml:space="preserve">Multiple Afterlives</t>
  </si>
  <si>
    <t xml:space="preserve">A system offering different destinations or states according to conduct, role, death, affiliation, lineage, ritual, or divine patronage.</t>
  </si>
  <si>
    <t xml:space="preserve">Multiplicity may be hierarchical, parallel, temporary, or contested.</t>
  </si>
  <si>
    <t xml:space="preserve">many heavens and hells; class afterlives</t>
  </si>
  <si>
    <t xml:space="preserve">social reflection, choice, judgment</t>
  </si>
  <si>
    <t xml:space="preserve">plural afterlife; multiple destinations</t>
  </si>
  <si>
    <t xml:space="preserve">COS-315</t>
  </si>
  <si>
    <t xml:space="preserve">Oblivion or Dissolution</t>
  </si>
  <si>
    <t xml:space="preserve">A postmortem outcome in which identity, memory, soul, form, or distinction ceases, merges, or becomes inaccessible.</t>
  </si>
  <si>
    <t xml:space="preserve">Dissolution may be feared, desired, liberating, or metaphysically neutral.</t>
  </si>
  <si>
    <t xml:space="preserve">soul erasure; return to source; final death</t>
  </si>
  <si>
    <t xml:space="preserve">stakes, liberation, horror, cosmology</t>
  </si>
  <si>
    <t xml:space="preserve">oblivion; dissolution</t>
  </si>
  <si>
    <t xml:space="preserve">COS-316</t>
  </si>
  <si>
    <t xml:space="preserve">Return-from-Death Path</t>
  </si>
  <si>
    <t xml:space="preserve">A defined route or rule by which the dead may re-enter life, embodiment, memory, or the mortal world.</t>
  </si>
  <si>
    <t xml:space="preserve">This is cosmological infrastructure, distinct from the power or ritual that activates it.</t>
  </si>
  <si>
    <t xml:space="preserve">resurrection gate; rebirth road; seasonal return</t>
  </si>
  <si>
    <t xml:space="preserve">resurrection, quest, taboo, cycle</t>
  </si>
  <si>
    <t xml:space="preserve">return path; gate of life</t>
  </si>
  <si>
    <t xml:space="preserve">COS-401</t>
  </si>
  <si>
    <t xml:space="preserve">Mirror World</t>
  </si>
  <si>
    <t xml:space="preserve">A parallel realm resembling the ordinary world while reversing, distorting, selectively omitting, or exposing its features.</t>
  </si>
  <si>
    <t xml:space="preserve">Similarity and patterned difference distinguish it from any unrelated alternate world.</t>
  </si>
  <si>
    <t xml:space="preserve">inverse city; reflected kingdom; negative world</t>
  </si>
  <si>
    <t xml:space="preserve">self-confrontation, puzzle, social critique</t>
  </si>
  <si>
    <t xml:space="preserve">mirror world; inverted realm</t>
  </si>
  <si>
    <t xml:space="preserve">COS-402</t>
  </si>
  <si>
    <t xml:space="preserve">Shadow World</t>
  </si>
  <si>
    <t xml:space="preserve">A dim, hidden, negative, spiritual, or attenuated counterpart to ordinary reality associated with shadows, death, secrecy, or suppressed forces.</t>
  </si>
  <si>
    <t xml:space="preserve">Aesthetic darkness alone is insufficient; it must function as a distinct layer or domain.</t>
  </si>
  <si>
    <t xml:space="preserve">shadow plane; twilight world; umbral realm</t>
  </si>
  <si>
    <t xml:space="preserve">stealth, threat, passage, metaphysical contrast</t>
  </si>
  <si>
    <t xml:space="preserve">shadow world; umbral realm</t>
  </si>
  <si>
    <t xml:space="preserve">COS-403</t>
  </si>
  <si>
    <t xml:space="preserve">Pocket Realm</t>
  </si>
  <si>
    <t xml:space="preserve">A bounded small-scale world or space with its own interior extent, laws, or time, embedded within or attached to a larger reality.</t>
  </si>
  <si>
    <t xml:space="preserve">It is more than ordinary hidden architecture when interior reality exceeds normal space.</t>
  </si>
  <si>
    <t xml:space="preserve">bag-world; private demiplane; sealed garden</t>
  </si>
  <si>
    <t xml:space="preserve">storage, refuge, prison, personal domain</t>
  </si>
  <si>
    <t xml:space="preserve">pocket dimension; demiplane</t>
  </si>
  <si>
    <t xml:space="preserve">COS-404</t>
  </si>
  <si>
    <t xml:space="preserve">Prison Realm</t>
  </si>
  <si>
    <t xml:space="preserve">A realm constructed or designated to confine beings, armies, gods, curses, or dangerous powers.</t>
  </si>
  <si>
    <t xml:space="preserve">Its laws, exits, and wardens are organized around containment.</t>
  </si>
  <si>
    <t xml:space="preserve">sealed plane; exile dimension; timeless prison</t>
  </si>
  <si>
    <t xml:space="preserve">containment, escape plot, deferred threat</t>
  </si>
  <si>
    <t xml:space="preserve">prison realm; sealed world</t>
  </si>
  <si>
    <t xml:space="preserve">COS-405</t>
  </si>
  <si>
    <t xml:space="preserve">Hidden World Alongside the Mortal</t>
  </si>
  <si>
    <t xml:space="preserve">A society or ecology coexisting with ordinary reality but concealed by perception, law, geography, magic, or social secrecy.</t>
  </si>
  <si>
    <t xml:space="preserve">It may be physically present rather than a separate plane.</t>
  </si>
  <si>
    <t xml:space="preserve">hidden city; invisible kingdom; secret magical society</t>
  </si>
  <si>
    <t xml:space="preserve">urban fantasy, liminality, revelation</t>
  </si>
  <si>
    <t xml:space="preserve">hidden world; unseen society</t>
  </si>
  <si>
    <t xml:space="preserve">COS-406</t>
  </si>
  <si>
    <t xml:space="preserve">Time-Dilated Realm</t>
  </si>
  <si>
    <t xml:space="preserve">A domain where time passes at a different rate, direction, sequence, or subjective experience than outside.</t>
  </si>
  <si>
    <t xml:space="preserve">Time distortion must be systematic enough to shape travel or history.</t>
  </si>
  <si>
    <t xml:space="preserve">fast-time chamber; timeless land; century night</t>
  </si>
  <si>
    <t xml:space="preserve">training, loss, aging, prophecy</t>
  </si>
  <si>
    <t xml:space="preserve">time-dilated realm; altered-time world</t>
  </si>
  <si>
    <t xml:space="preserve">COS-407</t>
  </si>
  <si>
    <t xml:space="preserve">Labyrinth Realm</t>
  </si>
  <si>
    <t xml:space="preserve">A domain whose geography is fundamentally maze-like, recursive, shifting, sentient, or resistant to stable mapping.</t>
  </si>
  <si>
    <t xml:space="preserve">A normal labyrinth becomes a realm archetype when spatial logic defines the world.</t>
  </si>
  <si>
    <t xml:space="preserve">endless maze; shifting halls; living labyrinth</t>
  </si>
  <si>
    <t xml:space="preserve">ordeal, entrapment, procedural exploration</t>
  </si>
  <si>
    <t xml:space="preserve">labyrinth world; maze realm</t>
  </si>
  <si>
    <t xml:space="preserve">COS-408</t>
  </si>
  <si>
    <t xml:space="preserve">Dungeon-as-World</t>
  </si>
  <si>
    <t xml:space="preserve">A dungeon, tower, ruin, cave, or descending structure functioning as a self-contained ecosystem, civilization, cosmology, or progression world.</t>
  </si>
  <si>
    <t xml:space="preserve">Scale, persistence, and internal order distinguish it from a mere adventure site.</t>
  </si>
  <si>
    <t xml:space="preserve">infinite dungeon; tower world; abyss ecosystem</t>
  </si>
  <si>
    <t xml:space="preserve">progression, resource economy, exploration</t>
  </si>
  <si>
    <t xml:space="preserve">world dungeon; megadungeon</t>
  </si>
  <si>
    <t xml:space="preserve">COS-409</t>
  </si>
  <si>
    <t xml:space="preserve">Interior Realm within a Being or Artifact</t>
  </si>
  <si>
    <t xml:space="preserve">A traversable domain located within a creature, deity, machine, book, painting, weapon, or other bounded entity.</t>
  </si>
  <si>
    <t xml:space="preserve">Interior scale and metaphysical relation are source-specific and may be symbolic or literal.</t>
  </si>
  <si>
    <t xml:space="preserve">body world; painting realm; book universe</t>
  </si>
  <si>
    <t xml:space="preserve">healing, rescue, revelation, surreal exploration</t>
  </si>
  <si>
    <t xml:space="preserve">interior world; artifact realm</t>
  </si>
  <si>
    <t xml:space="preserve">COS-410</t>
  </si>
  <si>
    <t xml:space="preserve">Simulated or Constructed Reality</t>
  </si>
  <si>
    <t xml:space="preserve">A deliberately built world that reproduces, replaces, tests, or manipulates experienced reality through magic, technology, dream, or illusion.</t>
  </si>
  <si>
    <t xml:space="preserve">A temporary illusion is not necessarily a full constructed reality.</t>
  </si>
  <si>
    <t xml:space="preserve">virtual world; illusion prison; artificial cosmos</t>
  </si>
  <si>
    <t xml:space="preserve">control, epistemic doubt, training, escape</t>
  </si>
  <si>
    <t xml:space="preserve">constructed reality; simulation</t>
  </si>
  <si>
    <t xml:space="preserve">COS-411</t>
  </si>
  <si>
    <t xml:space="preserve">Threshold Zone</t>
  </si>
  <si>
    <t xml:space="preserve">A liminal space that is neither fully one realm nor another and whose rules arise from transition, ambiguity, or contested belonging.</t>
  </si>
  <si>
    <t xml:space="preserve">Examples include shores, twilight roads, doorlands, borders, and stations between states.</t>
  </si>
  <si>
    <t xml:space="preserve">twilight boundary; limbo road; between-place</t>
  </si>
  <si>
    <t xml:space="preserve">encounter, transformation, negotiation</t>
  </si>
  <si>
    <t xml:space="preserve">threshold realm; liminal zone</t>
  </si>
  <si>
    <t xml:space="preserve">COS-412</t>
  </si>
  <si>
    <t xml:space="preserve">Crossroads Realm</t>
  </si>
  <si>
    <t xml:space="preserve">A place where many paths, worlds, times, stories, or jurisdictions meet and choices redirect travelers among them.</t>
  </si>
  <si>
    <t xml:space="preserve">The realm is defined by connectivity and decision rather than merely having roads.</t>
  </si>
  <si>
    <t xml:space="preserve">world crossroads; nexus; junction city</t>
  </si>
  <si>
    <t xml:space="preserve">travel, trade, chance meeting, fate choice</t>
  </si>
  <si>
    <t xml:space="preserve">crossroads realm; nexus</t>
  </si>
  <si>
    <t xml:space="preserve">COS-413</t>
  </si>
  <si>
    <t xml:space="preserve">Seasonal Realm</t>
  </si>
  <si>
    <t xml:space="preserve">A domain fixed in, ruled by, or cycling through a season whose conditions shape inhabitants and access.</t>
  </si>
  <si>
    <t xml:space="preserve">Season may be ecological, political, emotional, or cosmological.</t>
  </si>
  <si>
    <t xml:space="preserve">eternal winter; summer court realm; autumn land</t>
  </si>
  <si>
    <t xml:space="preserve">faction identity, mood, time cycle</t>
  </si>
  <si>
    <t xml:space="preserve">season realm; eternal season</t>
  </si>
  <si>
    <t xml:space="preserve">COS-414</t>
  </si>
  <si>
    <t xml:space="preserve">Story or Text-Generated Realm</t>
  </si>
  <si>
    <t xml:space="preserve">A world produced, sustained, entered, or altered through narrative, books, performance, belief, or retelling.</t>
  </si>
  <si>
    <t xml:space="preserve">It differs from an ordinary fictional setting because textuality is operative within the story.</t>
  </si>
  <si>
    <t xml:space="preserve">book world; tale realm; narrative prison</t>
  </si>
  <si>
    <t xml:space="preserve">metafiction, identity, revision</t>
  </si>
  <si>
    <t xml:space="preserve">story world; textual realm</t>
  </si>
  <si>
    <t xml:space="preserve">COS-415</t>
  </si>
  <si>
    <t xml:space="preserve">Personal Domain or Inner World</t>
  </si>
  <si>
    <t xml:space="preserve">A realm generated from or governed by an individual's mind, soul, power, trauma, cultivation, or authority.</t>
  </si>
  <si>
    <t xml:space="preserve">It may be private, expandable, contested, or projected outward.</t>
  </si>
  <si>
    <t xml:space="preserve">soulscape; mind palace; domain expansion</t>
  </si>
  <si>
    <t xml:space="preserve">self-confrontation, training, power expression</t>
  </si>
  <si>
    <t xml:space="preserve">inner world; personal realm</t>
  </si>
  <si>
    <t xml:space="preserve">COS-501</t>
  </si>
  <si>
    <t xml:space="preserve">Sacred Mountain</t>
  </si>
  <si>
    <t xml:space="preserve">A mountain revered as divine residence, cosmic center, ancestor place, pilgrimage goal, source of law, or site of revelation.</t>
  </si>
  <si>
    <t xml:space="preserve">Do not treat all sacred mountains as interchangeable world-axis motifs.</t>
  </si>
  <si>
    <t xml:space="preserve">holy peak; mountain shrine; god mountain</t>
  </si>
  <si>
    <t xml:space="preserve">pilgrimage, ascent, revelation, boundary</t>
  </si>
  <si>
    <t xml:space="preserve">sacred mountain; holy peak</t>
  </si>
  <si>
    <t xml:space="preserve">COS-502</t>
  </si>
  <si>
    <t xml:space="preserve">Sacred River or Waters</t>
  </si>
  <si>
    <t xml:space="preserve">A river, spring, lake, sea, or confluence with ritual, purifying, ancestral, divine, healing, or cosmological significance.</t>
  </si>
  <si>
    <t xml:space="preserve">Water's sacred meaning is source-specific and may coexist with danger or pollution.</t>
  </si>
  <si>
    <t xml:space="preserve">holy river; healing spring; sacred confluence</t>
  </si>
  <si>
    <t xml:space="preserve">pilgrimage, purification, boundary, sustenance</t>
  </si>
  <si>
    <t xml:space="preserve">sacred waters; holy river</t>
  </si>
  <si>
    <t xml:space="preserve">COS-503</t>
  </si>
  <si>
    <t xml:space="preserve">Sacred Forest or Grove</t>
  </si>
  <si>
    <t xml:space="preserve">A forested place protected, inhabited, or constituted by divine, ancestral, spirit, ecological, or ritual presence.</t>
  </si>
  <si>
    <t xml:space="preserve">It is not simply an untouched wilderness or generic druid biome.</t>
  </si>
  <si>
    <t xml:space="preserve">holy grove; spirit forest; forbidden wood</t>
  </si>
  <si>
    <t xml:space="preserve">worship, taboo, refuge, encounter</t>
  </si>
  <si>
    <t xml:space="preserve">sacred grove; holy forest</t>
  </si>
  <si>
    <t xml:space="preserve">COS-504</t>
  </si>
  <si>
    <t xml:space="preserve">Holy City or Cosmic Capital</t>
  </si>
  <si>
    <t xml:space="preserve">A city whose political, ritual, pilgrimage, cosmological, or divine significance makes it a center of worlds or sacred history.</t>
  </si>
  <si>
    <t xml:space="preserve">Sacred centrality need not imply universal authority.</t>
  </si>
  <si>
    <t xml:space="preserve">temple city; divine capital; world city</t>
  </si>
  <si>
    <t xml:space="preserve">pilgrimage, governance, revelation, conflict</t>
  </si>
  <si>
    <t xml:space="preserve">holy city; cosmic capital</t>
  </si>
  <si>
    <t xml:space="preserve">COS-505</t>
  </si>
  <si>
    <t xml:space="preserve">Temple-Centered Cosmos</t>
  </si>
  <si>
    <t xml:space="preserve">A worldview in which a temple, shrine, palace, or ritual complex reproduces and mediates the structure of the universe.</t>
  </si>
  <si>
    <t xml:space="preserve">The building is active cosmological infrastructure, not just symbolic decoration.</t>
  </si>
  <si>
    <t xml:space="preserve">temple mountain; shrine cosmos; sacred precinct</t>
  </si>
  <si>
    <t xml:space="preserve">ritual maintenance, kingship, divine presence</t>
  </si>
  <si>
    <t xml:space="preserve">cosmic temple; temple-world</t>
  </si>
  <si>
    <t xml:space="preserve">COS-506</t>
  </si>
  <si>
    <t xml:space="preserve">Pilgrimage Network</t>
  </si>
  <si>
    <t xml:space="preserve">A connected sacred geography of routes, shrines, rivers, mountains, tombs, and crossings whose traversal has religious or transformative meaning.</t>
  </si>
  <si>
    <t xml:space="preserve">The network is not reducible to a set of fast-travel points.</t>
  </si>
  <si>
    <t xml:space="preserve">holy circuit; sacred road; tīrtha network</t>
  </si>
  <si>
    <t xml:space="preserve">merit, identity, healing, social exchange</t>
  </si>
  <si>
    <t xml:space="preserve">pilgrimage route; sacred circuit</t>
  </si>
  <si>
    <t xml:space="preserve">COS-507</t>
  </si>
  <si>
    <t xml:space="preserve">Sacred Crossing or Ford</t>
  </si>
  <si>
    <t xml:space="preserve">A place where physical crossing also enables ritual passage, purification, divine contact, social transition, or access between worlds.</t>
  </si>
  <si>
    <t xml:space="preserve">The comparative family includes source-specific crossing concepts without equating their theology.</t>
  </si>
  <si>
    <t xml:space="preserve">holy ford; bridge shrine; crossing place</t>
  </si>
  <si>
    <t xml:space="preserve">passage, pilgrimage, boundary</t>
  </si>
  <si>
    <t xml:space="preserve">sacred crossing; holy ford</t>
  </si>
  <si>
    <t xml:space="preserve">COS-508</t>
  </si>
  <si>
    <t xml:space="preserve">Forbidden Land</t>
  </si>
  <si>
    <t xml:space="preserve">A place barred by divine law, taboo, danger, secrecy, ritual restriction, or inherited prohibition.</t>
  </si>
  <si>
    <t xml:space="preserve">Forbiddenness may protect inhabitants, outsiders, or cosmological order.</t>
  </si>
  <si>
    <t xml:space="preserve">sealed valley; taboo island; no-man's sacred land</t>
  </si>
  <si>
    <t xml:space="preserve">boundary, transgression, discovery</t>
  </si>
  <si>
    <t xml:space="preserve">forbidden land; taboo place</t>
  </si>
  <si>
    <t xml:space="preserve">COS-509</t>
  </si>
  <si>
    <t xml:space="preserve">Cursed or Blighted Land</t>
  </si>
  <si>
    <t xml:space="preserve">A landscape altered by curse, pollution, war, death, divine disfavor, corruption, or broken covenant.</t>
  </si>
  <si>
    <t xml:space="preserve">The land may retain agency and recovery conditions.</t>
  </si>
  <si>
    <t xml:space="preserve">wasteland; haunted battlefield; poisoned kingdom</t>
  </si>
  <si>
    <t xml:space="preserve">environmental stakes, restoration, exile</t>
  </si>
  <si>
    <t xml:space="preserve">cursed land; blighted realm</t>
  </si>
  <si>
    <t xml:space="preserve">COS-510</t>
  </si>
  <si>
    <t xml:space="preserve">Wounded Land</t>
  </si>
  <si>
    <t xml:space="preserve">A landscape whose fertility, weather, health, or coherence reflects injury to ruler, community, covenant, sacred object, or cosmic balance.</t>
  </si>
  <si>
    <t xml:space="preserve">It is a relational narrative pattern, not merely ecological damage.</t>
  </si>
  <si>
    <t xml:space="preserve">barren kingdom; sick earth; broken season</t>
  </si>
  <si>
    <t xml:space="preserve">restoration quest, kingship critique</t>
  </si>
  <si>
    <t xml:space="preserve">wounded land; barren realm</t>
  </si>
  <si>
    <t xml:space="preserve">COS-511</t>
  </si>
  <si>
    <t xml:space="preserve">Living Landscape</t>
  </si>
  <si>
    <t xml:space="preserve">A place that perceives, remembers, chooses, grows, moves, communicates, or responds as a living or personal being.</t>
  </si>
  <si>
    <t xml:space="preserve">Personhood and agency must be source-attested rather than assumed from poetic description.</t>
  </si>
  <si>
    <t xml:space="preserve">sentient forest; walking island; conscious desert</t>
  </si>
  <si>
    <t xml:space="preserve">ecology, negotiation, threat, companionship</t>
  </si>
  <si>
    <t xml:space="preserve">living land; sentient landscape</t>
  </si>
  <si>
    <t xml:space="preserve">COS-512</t>
  </si>
  <si>
    <t xml:space="preserve">World Heart or Core</t>
  </si>
  <si>
    <t xml:space="preserve">A central place, object, organism, flame, tree, crystal, or engine that sustains the world or a bounded realm.</t>
  </si>
  <si>
    <t xml:space="preserve">The heart is infrastructure, not merely a symbolic center.</t>
  </si>
  <si>
    <t xml:space="preserve">world core; realm heart; central flame</t>
  </si>
  <si>
    <t xml:space="preserve">stability, vulnerability, restoration</t>
  </si>
  <si>
    <t xml:space="preserve">world heart; realm core</t>
  </si>
  <si>
    <t xml:space="preserve">COS-513</t>
  </si>
  <si>
    <t xml:space="preserve">Ley-Line or Sacred-Energy Network</t>
  </si>
  <si>
    <t xml:space="preserve">A network of routes, currents, nodes, veins, dragon paths, or sacred alignments through which power or vitality moves across the landscape.</t>
  </si>
  <si>
    <t xml:space="preserve">Do not retroactively label culture-specific sacred geographies as 'ley lines' without source evidence.</t>
  </si>
  <si>
    <t xml:space="preserve">mana lines; earth veins; dragon roads</t>
  </si>
  <si>
    <t xml:space="preserve">magic geography, settlement, travel, conflict</t>
  </si>
  <si>
    <t xml:space="preserve">ley lines; power network</t>
  </si>
  <si>
    <t xml:space="preserve">COS-514</t>
  </si>
  <si>
    <t xml:space="preserve">Sacred Island</t>
  </si>
  <si>
    <t xml:space="preserve">An island associated with gods, ancestors, immortals, healing, exile, initiation, hidden knowledge, or otherworld transition.</t>
  </si>
  <si>
    <t xml:space="preserve">Isolation and sacred function are both important.</t>
  </si>
  <si>
    <t xml:space="preserve">isle of blessed; immortal island; hidden sanctuary</t>
  </si>
  <si>
    <t xml:space="preserve">pilgrimage, refuge, revelation</t>
  </si>
  <si>
    <t xml:space="preserve">sacred island; blessed isle</t>
  </si>
  <si>
    <t xml:space="preserve">COS-515</t>
  </si>
  <si>
    <t xml:space="preserve">Cosmic Battlefield</t>
  </si>
  <si>
    <t xml:space="preserve">A place where conflicts among gods, primordial beings, dynasties, or world-ordering forces acquire permanent sacred and cosmological significance.</t>
  </si>
  <si>
    <t xml:space="preserve">Not every large battle site becomes sacred geography.</t>
  </si>
  <si>
    <t xml:space="preserve">holy battlefield; field of destiny; final plain</t>
  </si>
  <si>
    <t xml:space="preserve">memory, pilgrimage, fate, revelation</t>
  </si>
  <si>
    <t xml:space="preserve">cosmic battlefield; sacred war field</t>
  </si>
  <si>
    <t xml:space="preserve">COS-516</t>
  </si>
  <si>
    <t xml:space="preserve">Ancestral Homeland</t>
  </si>
  <si>
    <t xml:space="preserve">A place whose land, graves, origins, migration memory, law, or spiritual relations ground collective identity and obligation.</t>
  </si>
  <si>
    <t xml:space="preserve">Avoid using the term abstractly where living communities claim real sacred relationships to land.</t>
  </si>
  <si>
    <t xml:space="preserve">origin land; burial ground; clan mountain</t>
  </si>
  <si>
    <t xml:space="preserve">identity, return, sovereignty, memory</t>
  </si>
  <si>
    <t xml:space="preserve">ancestral homeland; origin place</t>
  </si>
  <si>
    <t xml:space="preserve">COS-517</t>
  </si>
  <si>
    <t xml:space="preserve">Borderland Between Worlds</t>
  </si>
  <si>
    <t xml:space="preserve">A physical region where mortal, spirit, divine, faerie, dead, or monstrous worlds overlap and ordinary distinctions weaken.</t>
  </si>
  <si>
    <t xml:space="preserve">It is geographical and sustained, unlike a brief threshold event.</t>
  </si>
  <si>
    <t xml:space="preserve">twilight march; spirit frontier; haunted coast</t>
  </si>
  <si>
    <t xml:space="preserve">encounter, hybridity, danger, mediation</t>
  </si>
  <si>
    <t xml:space="preserve">borderland; liminal frontier</t>
  </si>
  <si>
    <t xml:space="preserve">COS-518</t>
  </si>
  <si>
    <t xml:space="preserve">Undersea Realm</t>
  </si>
  <si>
    <t xml:space="preserve">A kingdom, ecosystem, palace, city, or otherworld located beneath or within seas and waters.</t>
  </si>
  <si>
    <t xml:space="preserve">Undersea geography may belong to mortals, spirits, gods, monsters, or the dead and should not be homogenized.</t>
  </si>
  <si>
    <t xml:space="preserve">sea kingdom; dragon palace; drowned city</t>
  </si>
  <si>
    <t xml:space="preserve">travel, diplomacy, wonder, threat</t>
  </si>
  <si>
    <t xml:space="preserve">undersea world; sea realm</t>
  </si>
  <si>
    <t xml:space="preserve">COS-519</t>
  </si>
  <si>
    <t xml:space="preserve">Sky or Floating Realm</t>
  </si>
  <si>
    <t xml:space="preserve">A city, continent, island, palace, or domain suspended in the sky or accessible principally through aerial movement.</t>
  </si>
  <si>
    <t xml:space="preserve">Physical altitude and divine heaven are not automatically the same.</t>
  </si>
  <si>
    <t xml:space="preserve">floating island; cloud kingdom; sky city</t>
  </si>
  <si>
    <t xml:space="preserve">exploration, isolation, technological or magical wonder</t>
  </si>
  <si>
    <t xml:space="preserve">sky realm; floating world</t>
  </si>
  <si>
    <t xml:space="preserve">COS-520</t>
  </si>
  <si>
    <t xml:space="preserve">Subterranean Realm</t>
  </si>
  <si>
    <t xml:space="preserve">A large inhabited domain beneath the surface with its own cultures, ecologies, histories, or cosmology.</t>
  </si>
  <si>
    <t xml:space="preserve">It is not automatically an underworld of the dead.</t>
  </si>
  <si>
    <t xml:space="preserve">deep kingdom; hollow world; cave civilization</t>
  </si>
  <si>
    <t xml:space="preserve">hidden society, resource, threat, refuge</t>
  </si>
  <si>
    <t xml:space="preserve">subterranean realm; deep world</t>
  </si>
  <si>
    <t xml:space="preserve">COS-521</t>
  </si>
  <si>
    <t xml:space="preserve">Ruined Precursor Realm</t>
  </si>
  <si>
    <t xml:space="preserve">A lost or devastated region whose remains preserve older civilizations, technologies, gods, curses, or world structures.</t>
  </si>
  <si>
    <t xml:space="preserve">Its significance lies in temporal stratification and surviving systems.</t>
  </si>
  <si>
    <t xml:space="preserve">ancient ruins; fallen continent; dead empire</t>
  </si>
  <si>
    <t xml:space="preserve">archaeology, warning, resource, awakening threat</t>
  </si>
  <si>
    <t xml:space="preserve">precursor realm; lost civilization</t>
  </si>
  <si>
    <t xml:space="preserve">COS-522</t>
  </si>
  <si>
    <t xml:space="preserve">Sacred Battlefield</t>
  </si>
  <si>
    <t xml:space="preserve">A battle site made ritually, morally, politically, or cosmologically significant through revelation, sacrifice, ancestors, vows, or continued remembrance.</t>
  </si>
  <si>
    <t xml:space="preserve">This narrower family covers sacred war geography without requiring world-scale conflict.</t>
  </si>
  <si>
    <t xml:space="preserve">field of vows; martyr ground; ancestral war site</t>
  </si>
  <si>
    <t xml:space="preserve">pilgrimage, legitimacy, trauma, memorial</t>
  </si>
  <si>
    <t xml:space="preserve">sacred battlefield; holy war ground</t>
  </si>
  <si>
    <t xml:space="preserve">COS-601</t>
  </si>
  <si>
    <t xml:space="preserve">Portal Network</t>
  </si>
  <si>
    <t xml:space="preserve">A repeatable infrastructure of gates, stones, roads, circles, or nodes linking distant locations or realms.</t>
  </si>
  <si>
    <t xml:space="preserve">A network implies multiple connected endpoints and rules of use.</t>
  </si>
  <si>
    <t xml:space="preserve">gate system; waystone network; world roads</t>
  </si>
  <si>
    <t xml:space="preserve">travel, trade, empire, invasion</t>
  </si>
  <si>
    <t xml:space="preserve">portal network; gate web</t>
  </si>
  <si>
    <t xml:space="preserve">COS-602</t>
  </si>
  <si>
    <t xml:space="preserve">Summoned Threshold</t>
  </si>
  <si>
    <t xml:space="preserve">A temporary doorway or boundary created by ritual, spell, object, music, sacrifice, or invitation.</t>
  </si>
  <si>
    <t xml:space="preserve">The threshold exists only under specified conditions.</t>
  </si>
  <si>
    <t xml:space="preserve">ritual gate; summoned door; temporary rift</t>
  </si>
  <si>
    <t xml:space="preserve">travel, summoning, escape, risk</t>
  </si>
  <si>
    <t xml:space="preserve">summoned portal; ritual threshold</t>
  </si>
  <si>
    <t xml:space="preserve">COS-603</t>
  </si>
  <si>
    <t xml:space="preserve">One-Way Passage</t>
  </si>
  <si>
    <t xml:space="preserve">A route that permits movement in only one direction or makes return categorically harder than entry.</t>
  </si>
  <si>
    <t xml:space="preserve">Asymmetry is a cosmological rule, not merely a blocked door.</t>
  </si>
  <si>
    <t xml:space="preserve">death gate; falling portal; irreversible crossing</t>
  </si>
  <si>
    <t xml:space="preserve">stakes, exile, sacrifice, uncertainty</t>
  </si>
  <si>
    <t xml:space="preserve">one-way gate; no-return path</t>
  </si>
  <si>
    <t xml:space="preserve">COS-604</t>
  </si>
  <si>
    <t xml:space="preserve">Seasonal or Time-Gated Passage</t>
  </si>
  <si>
    <t xml:space="preserve">A boundary that opens only at a season, celestial alignment, anniversary, hour, age, or cyclical condition.</t>
  </si>
  <si>
    <t xml:space="preserve">Timing is constitutive of access.</t>
  </si>
  <si>
    <t xml:space="preserve">solstice gate; eclipse door; once-a-century bridge</t>
  </si>
  <si>
    <t xml:space="preserve">ritual calendar, urgency, recurrence</t>
  </si>
  <si>
    <t xml:space="preserve">seasonal gate; time portal</t>
  </si>
  <si>
    <t xml:space="preserve">COS-605</t>
  </si>
  <si>
    <t xml:space="preserve">Death Gate</t>
  </si>
  <si>
    <t xml:space="preserve">A boundary normally crossed through dying, near-death, funerary status, or acceptance by powers of death.</t>
  </si>
  <si>
    <t xml:space="preserve">It may admit living heroes under exceptional conditions.</t>
  </si>
  <si>
    <t xml:space="preserve">gate of dead; corpse door; last threshold</t>
  </si>
  <si>
    <t xml:space="preserve">underworld journey, resurrection, taboo</t>
  </si>
  <si>
    <t xml:space="preserve">death gate; final door</t>
  </si>
  <si>
    <t xml:space="preserve">COS-606</t>
  </si>
  <si>
    <t xml:space="preserve">Pilgrimage as Realm Passage</t>
  </si>
  <si>
    <t xml:space="preserve">A journey in which disciplined movement through sacred geography changes ontological, moral, ritual, or social status and may culminate in another realm.</t>
  </si>
  <si>
    <t xml:space="preserve">The passage is enacted through practice rather than instantaneous transport.</t>
  </si>
  <si>
    <t xml:space="preserve">holy ascent; circumambulation; sacred circuit</t>
  </si>
  <si>
    <t xml:space="preserve">transformation, merit, encounter</t>
  </si>
  <si>
    <t xml:space="preserve">pilgrimage passage; sacred journey</t>
  </si>
  <si>
    <t xml:space="preserve">COS-607</t>
  </si>
  <si>
    <t xml:space="preserve">Dream Entry</t>
  </si>
  <si>
    <t xml:space="preserve">Travel into another realm through sleep, trance, induced vision, shared dreaming, or dream ritual.</t>
  </si>
  <si>
    <t xml:space="preserve">The traveler may enter bodily, mentally, spiritually, or symbolically; preserve the mode.</t>
  </si>
  <si>
    <t xml:space="preserve">dreamwalk; sleep gate; nightmare passage</t>
  </si>
  <si>
    <t xml:space="preserve">divination, healing, invasion, quest</t>
  </si>
  <si>
    <t xml:space="preserve">dream entry; oneiric travel</t>
  </si>
  <si>
    <t xml:space="preserve">COS-608</t>
  </si>
  <si>
    <t xml:space="preserve">World-Walking</t>
  </si>
  <si>
    <t xml:space="preserve">An innate, trained, or artifact-assisted capacity to step, wander, or navigate directly among worlds without fixed portals.</t>
  </si>
  <si>
    <t xml:space="preserve">It differs from teleportation within one world.</t>
  </si>
  <si>
    <t xml:space="preserve">plane walking; realm stepping; sideway travel</t>
  </si>
  <si>
    <t xml:space="preserve">exploration, escape, mediation</t>
  </si>
  <si>
    <t xml:space="preserve">world-walking; realm travel</t>
  </si>
  <si>
    <t xml:space="preserve">COS-609</t>
  </si>
  <si>
    <t xml:space="preserve">Astral Projection or Soul Travel</t>
  </si>
  <si>
    <t xml:space="preserve">A journey in which consciousness, soul, dream-body, double, or subtle form leaves the physical body to travel elsewhere.</t>
  </si>
  <si>
    <t xml:space="preserve">Body condition, tether, risk, and ontology vary by source.</t>
  </si>
  <si>
    <t xml:space="preserve">spirit flight; soul journey; astral body</t>
  </si>
  <si>
    <t xml:space="preserve">divination, travel, vulnerability</t>
  </si>
  <si>
    <t xml:space="preserve">astral projection; soul travel</t>
  </si>
  <si>
    <t xml:space="preserve">COS-610</t>
  </si>
  <si>
    <t xml:space="preserve">Divine Ascent</t>
  </si>
  <si>
    <t xml:space="preserve">A journey upward or beyond ordinary existence into divine presence, heaven, immortality, revelation, or transformed status.</t>
  </si>
  <si>
    <t xml:space="preserve">Ascent may be bodily, visionary, postmortem, ritual, or metaphorical.</t>
  </si>
  <si>
    <t xml:space="preserve">heavenly ascent; apotheosis journey; mountain ascent</t>
  </si>
  <si>
    <t xml:space="preserve">revelation, authorization, liberation</t>
  </si>
  <si>
    <t xml:space="preserve">divine ascent; heavenly journey</t>
  </si>
  <si>
    <t xml:space="preserve">COS-611</t>
  </si>
  <si>
    <t xml:space="preserve">Underworld Descent</t>
  </si>
  <si>
    <t xml:space="preserve">A living or exceptional traveler's journey into the realm of death, often involving rescue, knowledge, trial, loss, or altered return.</t>
  </si>
  <si>
    <t xml:space="preserve">This is a cross-domain journey pattern and should link to narrative archetypes without being reduced to them.</t>
  </si>
  <si>
    <t xml:space="preserve">katabasis-like descent; rescue from dead</t>
  </si>
  <si>
    <t xml:space="preserve">trial, grief, knowledge, transformation</t>
  </si>
  <si>
    <t xml:space="preserve">underworld descent; journey below</t>
  </si>
  <si>
    <t xml:space="preserve">COS-612</t>
  </si>
  <si>
    <t xml:space="preserve">Realm Barrier or Veil</t>
  </si>
  <si>
    <t xml:space="preserve">A persistent separation that limits perception, travel, influence, or embodiment between domains.</t>
  </si>
  <si>
    <t xml:space="preserve">The barrier may be natural law, divine treaty, technology, ritual, or damageable seal.</t>
  </si>
  <si>
    <t xml:space="preserve">veil; firmament; world wall</t>
  </si>
  <si>
    <t xml:space="preserve">containment, secrecy, cosmological stability</t>
  </si>
  <si>
    <t xml:space="preserve">realm barrier; veil</t>
  </si>
  <si>
    <t xml:space="preserve">COS-613</t>
  </si>
  <si>
    <t xml:space="preserve">Seal Between Worlds</t>
  </si>
  <si>
    <t xml:space="preserve">A deliberate closure preventing realms or populations from interpenetrating, invading, escaping, or reuniting.</t>
  </si>
  <si>
    <t xml:space="preserve">Unlike a general barrier, it is an imposed and potentially breakable act.</t>
  </si>
  <si>
    <t xml:space="preserve">world seal; closed gate; dimensional lock</t>
  </si>
  <si>
    <t xml:space="preserve">deferred threat, protection, restoration choice</t>
  </si>
  <si>
    <t xml:space="preserve">world seal; planar lock</t>
  </si>
  <si>
    <t xml:space="preserve">COS-614</t>
  </si>
  <si>
    <t xml:space="preserve">Teleportation Network</t>
  </si>
  <si>
    <t xml:space="preserve">A system enabling rapid relocation within or across worlds through fixed destinations, symbols, coordinates, or infrastructure.</t>
  </si>
  <si>
    <t xml:space="preserve">It differs from portal networks when movement is direct rather than through a traversable gate.</t>
  </si>
  <si>
    <t xml:space="preserve">teleport circles; beacon jumps; rune travel</t>
  </si>
  <si>
    <t xml:space="preserve">logistics, empire, fast travel</t>
  </si>
  <si>
    <t xml:space="preserve">teleport network; transit circles</t>
  </si>
  <si>
    <t xml:space="preserve">COS-615</t>
  </si>
  <si>
    <t xml:space="preserve">Changing or Mapless Realm</t>
  </si>
  <si>
    <t xml:space="preserve">A domain whose geography resists stable maps because it shifts, responds, reorders, forgets, or depends on traveler state.</t>
  </si>
  <si>
    <t xml:space="preserve">Navigation may require story, ritual, relationship, memory, or nonspatial logic.</t>
  </si>
  <si>
    <t xml:space="preserve">moving forest; endless desert; dream maze</t>
  </si>
  <si>
    <t xml:space="preserve">ordeal, disorientation, procedural exploration</t>
  </si>
  <si>
    <t xml:space="preserve">shifting realm; mapless world</t>
  </si>
  <si>
    <t xml:space="preserve">COS-616</t>
  </si>
  <si>
    <t xml:space="preserve">Invitation or Permission Threshold</t>
  </si>
  <si>
    <t xml:space="preserve">A boundary that can be crossed only through invitation, recognition, consent, kinship, offering, or lawful authorization.</t>
  </si>
  <si>
    <t xml:space="preserve">It is governed by relational law rather than physical capability alone.</t>
  </si>
  <si>
    <t xml:space="preserve">guest gate; named doorway; sanctuary entry</t>
  </si>
  <si>
    <t xml:space="preserve">hospitality, social power, protection</t>
  </si>
  <si>
    <t xml:space="preserve">invitation threshold; permission gate</t>
  </si>
  <si>
    <t xml:space="preserve">COS-701</t>
  </si>
  <si>
    <t xml:space="preserve">Apocalypse</t>
  </si>
  <si>
    <t xml:space="preserve">A catastrophic ending or irreversible transformation of the present world order through destruction, revelation, judgment, collapse, or cosmic event.</t>
  </si>
  <si>
    <t xml:space="preserve">Not every large disaster is apocalyptic; the existing order itself must end or fundamentally change.</t>
  </si>
  <si>
    <t xml:space="preserve">end times; world destruction; final catastrophe</t>
  </si>
  <si>
    <t xml:space="preserve">climax, warning, renewal, judgment</t>
  </si>
  <si>
    <t xml:space="preserve">apocalypse; end of world</t>
  </si>
  <si>
    <t xml:space="preserve">COS-702</t>
  </si>
  <si>
    <t xml:space="preserve">Cyclical Apocalypse and Renewal</t>
  </si>
  <si>
    <t xml:space="preserve">A recurring destruction that clears, purifies, transforms, or recreates the world as part of a larger cycle.</t>
  </si>
  <si>
    <t xml:space="preserve">The cycle may be inevitable, delayable, ritualized, or altered by agents.</t>
  </si>
  <si>
    <t xml:space="preserve">world fire and rebirth; flood cycle; age reset</t>
  </si>
  <si>
    <t xml:space="preserve">cosmic rhythm, fatalism, hope</t>
  </si>
  <si>
    <t xml:space="preserve">cyclical apocalypse; world renewal</t>
  </si>
  <si>
    <t xml:space="preserve">COS-703</t>
  </si>
  <si>
    <t xml:space="preserve">Final Battle</t>
  </si>
  <si>
    <t xml:space="preserve">A prophesied or cosmically decisive conflict that ends an age, resolves divine opposition, or determines the world's future order.</t>
  </si>
  <si>
    <t xml:space="preserve">The battle may fail to be morally simple even when cosmically decisive.</t>
  </si>
  <si>
    <t xml:space="preserve">war of gods; last battle; twilight of powers</t>
  </si>
  <si>
    <t xml:space="preserve">eschatology, heroic assembly, sacrifice</t>
  </si>
  <si>
    <t xml:space="preserve">final battle; last war</t>
  </si>
  <si>
    <t xml:space="preserve">COS-704</t>
  </si>
  <si>
    <t xml:space="preserve">Flood Reset</t>
  </si>
  <si>
    <t xml:space="preserve">A world-changing inundation that destroys, purifies, separates, or restarts populations and cosmic order.</t>
  </si>
  <si>
    <t xml:space="preserve">Flood narratives are culturally specific; use the family for structural comparison only.</t>
  </si>
  <si>
    <t xml:space="preserve">deluge; world flood; cleansing waters</t>
  </si>
  <si>
    <t xml:space="preserve">destruction, survival, covenant, repopulation</t>
  </si>
  <si>
    <t xml:space="preserve">great flood; deluge</t>
  </si>
  <si>
    <t xml:space="preserve">COS-705</t>
  </si>
  <si>
    <t xml:space="preserve">Age of Decline</t>
  </si>
  <si>
    <t xml:space="preserve">A cosmological or historical period characterized by diminished virtue, lifespan, magic, divine presence, social order, or world vitality.</t>
  </si>
  <si>
    <t xml:space="preserve">Decline may be contested ideology rather than objective law.</t>
  </si>
  <si>
    <t xml:space="preserve">dark age; latter days; iron age</t>
  </si>
  <si>
    <t xml:space="preserve">nostalgia, urgency, cyclical time</t>
  </si>
  <si>
    <t xml:space="preserve">declining age; fallen era</t>
  </si>
  <si>
    <t xml:space="preserve">COS-706</t>
  </si>
  <si>
    <t xml:space="preserve">Prophesied Golden Age</t>
  </si>
  <si>
    <t xml:space="preserve">A future or returning era of justice, abundance, restored sovereignty, divine presence, or cosmic harmony.</t>
  </si>
  <si>
    <t xml:space="preserve">The promise may motivate reform, rebellion, waiting, or manipulation.</t>
  </si>
  <si>
    <t xml:space="preserve">restored kingdom; age of peace; returning spring</t>
  </si>
  <si>
    <t xml:space="preserve">hope, legitimacy, prophecy, utopia</t>
  </si>
  <si>
    <t xml:space="preserve">golden age; restored era</t>
  </si>
  <si>
    <t xml:space="preserve">COS-707</t>
  </si>
  <si>
    <t xml:space="preserve">World Convergence</t>
  </si>
  <si>
    <t xml:space="preserve">Separate realms, timelines, dimensions, cultures, or cosmological layers merge, overlap, or collide.</t>
  </si>
  <si>
    <t xml:space="preserve">Convergence can enable exchange, invasion, hybridization, or collapse.</t>
  </si>
  <si>
    <t xml:space="preserve">planar conjunction; realm merger; worlds collide</t>
  </si>
  <si>
    <t xml:space="preserve">crossover, catastrophe, new ecology</t>
  </si>
  <si>
    <t xml:space="preserve">world convergence; realm collision</t>
  </si>
  <si>
    <t xml:space="preserve">COS-708</t>
  </si>
  <si>
    <t xml:space="preserve">Realm Collapse</t>
  </si>
  <si>
    <t xml:space="preserve">A world or plane loses coherence, law, inhabitants, boundaries, or sustaining power and becomes inaccessible, absorbed, or destroyed.</t>
  </si>
  <si>
    <t xml:space="preserve">It may be local rather than universal apocalypse.</t>
  </si>
  <si>
    <t xml:space="preserve">fading world; broken plane; collapsing dream</t>
  </si>
  <si>
    <t xml:space="preserve">refugee crisis, urgency, loss</t>
  </si>
  <si>
    <t xml:space="preserve">realm collapse; dying world</t>
  </si>
  <si>
    <t xml:space="preserve">COS-709</t>
  </si>
  <si>
    <t xml:space="preserve">Divine Withdrawal</t>
  </si>
  <si>
    <t xml:space="preserve">Gods or transcendent powers retreat, become silent, lose access, die, or cease direct involvement, changing the world's institutions and magic.</t>
  </si>
  <si>
    <t xml:space="preserve">Absence may be historical, covenantal, strategic, or epistemic.</t>
  </si>
  <si>
    <t xml:space="preserve">silence of gods; closing heaven; lost patrons</t>
  </si>
  <si>
    <t xml:space="preserve">secularization, crisis, autonomy, longing</t>
  </si>
  <si>
    <t xml:space="preserve">divine withdrawal; absent gods</t>
  </si>
  <si>
    <t xml:space="preserve">COS-710</t>
  </si>
  <si>
    <t xml:space="preserve">Return of the Gods</t>
  </si>
  <si>
    <t xml:space="preserve">Divine beings, primordial powers, or sacred orders re-enter direct worldly presence after absence or concealment.</t>
  </si>
  <si>
    <t xml:space="preserve">Return may be salvation, invasion, judgment, or destabilization.</t>
  </si>
  <si>
    <t xml:space="preserve">awakening gods; reopened heaven; restored pantheon</t>
  </si>
  <si>
    <t xml:space="preserve">eschatology, political upheaval, renewed magic</t>
  </si>
  <si>
    <t xml:space="preserve">returning gods; divine return</t>
  </si>
  <si>
    <t xml:space="preserve">COS-711</t>
  </si>
  <si>
    <t xml:space="preserve">New Creation</t>
  </si>
  <si>
    <t xml:space="preserve">A successor world, age, body, society, or cosmic order established after destruction, judgment, liberation, or transcendence.</t>
  </si>
  <si>
    <t xml:space="preserve">A repaired old world and a genuinely new creation should be distinguished.</t>
  </si>
  <si>
    <t xml:space="preserve">second world; recreated earth; new heaven</t>
  </si>
  <si>
    <t xml:space="preserve">renewal, succession, transformed law</t>
  </si>
  <si>
    <t xml:space="preserve">new creation; renewed world</t>
  </si>
  <si>
    <t xml:space="preserve">COS-712</t>
  </si>
  <si>
    <t xml:space="preserve">Restoration of Cosmic Balance</t>
  </si>
  <si>
    <t xml:space="preserve">A damaged or skewed world order is rebalanced through ritual, sacrifice, reconciliation, defeat of excess, return of an object, or renewal of rightful relationships.</t>
  </si>
  <si>
    <t xml:space="preserve">Balance is source-specific and must not be assumed to mean moral centrism or equal forces.</t>
  </si>
  <si>
    <t xml:space="preserve">restored seasons; mended world; renewed covenant</t>
  </si>
  <si>
    <t xml:space="preserve">quest resolution, ecology, governance</t>
  </si>
  <si>
    <t xml:space="preserve">cosmic restoration; balance restored</t>
  </si>
  <si>
    <t xml:space="preserve">COS-713</t>
  </si>
  <si>
    <t xml:space="preserve">Eternal Recurrence</t>
  </si>
  <si>
    <t xml:space="preserve">Events, identities, worlds, or conflicts recur indefinitely in the same or closely patterned sequence.</t>
  </si>
  <si>
    <t xml:space="preserve">It differs from broad cyclical time when recurrence is exact or traps agency.</t>
  </si>
  <si>
    <t xml:space="preserve">time loop cosmos; repeating age; recurring hero</t>
  </si>
  <si>
    <t xml:space="preserve">fatalism, escape quest, memory, variation</t>
  </si>
  <si>
    <t xml:space="preserve">eternal recurrence; cosmic loop</t>
  </si>
  <si>
    <t xml:space="preserve">COS-714</t>
  </si>
  <si>
    <t xml:space="preserve">End of Magic</t>
  </si>
  <si>
    <t xml:space="preserve">Magic, divine access, spirits, wonder, or supernatural capability fades, is sealed, exhausted, forbidden, or leaves the world.</t>
  </si>
  <si>
    <t xml:space="preserve">The ending may be loss, liberation, modernization, or cyclical transition.</t>
  </si>
  <si>
    <t xml:space="preserve">fading enchantment; broken source; closed gates</t>
  </si>
  <si>
    <t xml:space="preserve">melancholy, historical transition, sacrifice</t>
  </si>
  <si>
    <t xml:space="preserve">end of magic; fading world</t>
  </si>
  <si>
    <t xml:space="preserve">COS-715</t>
  </si>
  <si>
    <t xml:space="preserve">Broken Cosmos</t>
  </si>
  <si>
    <t xml:space="preserve">Reality's fundamental laws, boundaries, time, realms, or causal order are damaged but not wholly destroyed.</t>
  </si>
  <si>
    <t xml:space="preserve">Brokenness creates persistent anomalies rather than one terminal catastrophe.</t>
  </si>
  <si>
    <t xml:space="preserve">shattered world; fractured planes; wounded time</t>
  </si>
  <si>
    <t xml:space="preserve">setting premise, repair, instability</t>
  </si>
  <si>
    <t xml:space="preserve">broken cosmos; fractured reality</t>
  </si>
  <si>
    <t xml:space="preserve">COS-716</t>
  </si>
  <si>
    <t xml:space="preserve">Apotheosis of the World</t>
  </si>
  <si>
    <t xml:space="preserve">The world, a people, or all beings transform into a higher, divine, spiritual, informational, or otherwise postordinary state.</t>
  </si>
  <si>
    <t xml:space="preserve">This is collective cosmological transformation, not one character's apotheosis.</t>
  </si>
  <si>
    <t xml:space="preserve">world ascension; collective transcendence</t>
  </si>
  <si>
    <t xml:space="preserve">final transformation, utopia, ambiguity</t>
  </si>
  <si>
    <t xml:space="preserve">world apotheosis; cosmic ascension</t>
  </si>
  <si>
    <t xml:space="preserve">LAW-000</t>
  </si>
  <si>
    <t xml:space="preserve">Binding rules, obligations, rites, exchanges, conditions, causal principles, and threshold logics through which fantasy worlds regulate power, identity, society, death, and relations with nonhuman beings.</t>
  </si>
  <si>
    <t xml:space="preserve">LAW-100</t>
  </si>
  <si>
    <t xml:space="preserve">Oaths, Vows &amp; Prohibitions</t>
  </si>
  <si>
    <t xml:space="preserve">Self-binding promises, imposed obligations, taboos, renunciations, and prohibitions whose force exceeds ordinary preference.</t>
  </si>
  <si>
    <t xml:space="preserve">LAW-200</t>
  </si>
  <si>
    <t xml:space="preserve">Gifts, Boons, Curses &amp; Contracts</t>
  </si>
  <si>
    <t xml:space="preserve">Relational grants and burdens that create power, debt, obligation, conditions, loopholes, or enduring supernatural consequences.</t>
  </si>
  <si>
    <t xml:space="preserve">LAW-300</t>
  </si>
  <si>
    <t xml:space="preserve">Sacrifice, Offerings &amp; Ritual Economy</t>
  </si>
  <si>
    <t xml:space="preserve">Exchanges in which value, life, labor, memory, substance, praise, or relationship is offered, consumed, transferred, or reciprocated.</t>
  </si>
  <si>
    <t xml:space="preserve">LAW-400</t>
  </si>
  <si>
    <t xml:space="preserve">Purity, Pollution &amp; Sacred Boundaries</t>
  </si>
  <si>
    <t xml:space="preserve">Rules governing consecration, contamination, taboo contact, cleansing, sanctuary, and the maintenance or violation of sacred distinctions.</t>
  </si>
  <si>
    <t xml:space="preserve">LAW-500</t>
  </si>
  <si>
    <t xml:space="preserve">Fate, Causation &amp; Cosmic Order</t>
  </si>
  <si>
    <t xml:space="preserve">Principles that bind events, consequences, destiny, balance, hierarchy, correspondence, magic, and the overall order of the world.</t>
  </si>
  <si>
    <t xml:space="preserve">LAW-600</t>
  </si>
  <si>
    <t xml:space="preserve">Names, Words, Symbols &amp; Recognition</t>
  </si>
  <si>
    <t xml:space="preserve">Rules under which speech, names, writing, music, invitation, identity, representation, or belief produces binding effects.</t>
  </si>
  <si>
    <t xml:space="preserve">LAW-700</t>
  </si>
  <si>
    <t xml:space="preserve">Death, Rebirth &amp; Immortality Rules</t>
  </si>
  <si>
    <t xml:space="preserve">Conditions governing dying, judgment, burial, return, resurrection, soul continuity, feeding, reincarnation, and escape from mortality.</t>
  </si>
  <si>
    <t xml:space="preserve">LAW-800</t>
  </si>
  <si>
    <t xml:space="preserve">Hospitality, Kinship &amp; Social Metaphysics</t>
  </si>
  <si>
    <t xml:space="preserve">Social relationships whose obligations are cosmologically, ritually, magically, or narratively enforceable.</t>
  </si>
  <si>
    <t xml:space="preserve">LAW-101</t>
  </si>
  <si>
    <t xml:space="preserve">Sacred Oath</t>
  </si>
  <si>
    <t xml:space="preserve">A solemn promise whose violation triggers divine, magical, legal-cosmic, ancestral, or identity-level consequences.</t>
  </si>
  <si>
    <t xml:space="preserve">Not every strong promise is metaphysical; the world or recognized powers must enforce or materially authorize it.</t>
  </si>
  <si>
    <t xml:space="preserve">sworn covenant; binding promise; oath before gods</t>
  </si>
  <si>
    <t xml:space="preserve">trust, legitimacy, conflict, consequence</t>
  </si>
  <si>
    <t xml:space="preserve">sacred oath; binding oath</t>
  </si>
  <si>
    <t xml:space="preserve">LAW-102</t>
  </si>
  <si>
    <t xml:space="preserve">Renunciation Vow</t>
  </si>
  <si>
    <t xml:space="preserve">A vow to surrender pleasure, possession, status, violence, speech, family, food, identity, or another valued capacity in pursuit of power, purity, liberation, or duty.</t>
  </si>
  <si>
    <t xml:space="preserve">The power or authority comes from disciplined renunciation, not merely deprivation.</t>
  </si>
  <si>
    <t xml:space="preserve">ascetic vow; vow of silence; celibate vow</t>
  </si>
  <si>
    <t xml:space="preserve">discipline, spiritual power, social distinction</t>
  </si>
  <si>
    <t xml:space="preserve">renunciation; ascetic vow</t>
  </si>
  <si>
    <t xml:space="preserve">LAW-103</t>
  </si>
  <si>
    <t xml:space="preserve">Quest Vow</t>
  </si>
  <si>
    <t xml:space="preserve">A vow binding a person or group to complete, avoid, avenge, recover, protect, or reveal a specific task.</t>
  </si>
  <si>
    <t xml:space="preserve">The obligation persists beyond ordinary motivation and may structure identity or fate.</t>
  </si>
  <si>
    <t xml:space="preserve">vengeance oath; rescue vow; grail-like pledge</t>
  </si>
  <si>
    <t xml:space="preserve">plot commitment, party cohesion, tragic rigidity</t>
  </si>
  <si>
    <t xml:space="preserve">quest oath; sworn mission</t>
  </si>
  <si>
    <t xml:space="preserve">LAW-104</t>
  </si>
  <si>
    <t xml:space="preserve">Blood Oath</t>
  </si>
  <si>
    <t xml:space="preserve">An oath sealed through blood, kinship symbolism, shared wound, sacrifice, or bodily substance.</t>
  </si>
  <si>
    <t xml:space="preserve">Blood can signify life, descent, consent, or coercion; source meanings must be preserved.</t>
  </si>
  <si>
    <t xml:space="preserve">blood pact; cut-palm oath; shared blood</t>
  </si>
  <si>
    <t xml:space="preserve">brotherhood, alliance, curse, identity</t>
  </si>
  <si>
    <t xml:space="preserve">blood oath; blood pact</t>
  </si>
  <si>
    <t xml:space="preserve">LAW-105</t>
  </si>
  <si>
    <t xml:space="preserve">Fealty Oath</t>
  </si>
  <si>
    <t xml:space="preserve">A binding pledge of service, loyalty, protection, tribute, or obedience between follower and lord, institution, ruler, or cause.</t>
  </si>
  <si>
    <t xml:space="preserve">Its reciprocal duties distinguish it from simple domination.</t>
  </si>
  <si>
    <t xml:space="preserve">vassal oath; sworn sword; liege bond</t>
  </si>
  <si>
    <t xml:space="preserve">political order, military service, betrayal</t>
  </si>
  <si>
    <t xml:space="preserve">fealty; allegiance oath</t>
  </si>
  <si>
    <t xml:space="preserve">LAW-106</t>
  </si>
  <si>
    <t xml:space="preserve">Marriage or Union Vow</t>
  </si>
  <si>
    <t xml:space="preserve">A vow that creates a recognized union with social, magical, dynastic, ritual, or cosmological consequences.</t>
  </si>
  <si>
    <t xml:space="preserve">Do not assume all unions use modern individual consent models; record coercion and institution carefully.</t>
  </si>
  <si>
    <t xml:space="preserve">marriage covenant; bonded pair; sacred union</t>
  </si>
  <si>
    <t xml:space="preserve">kinship, succession, alliance, transformation</t>
  </si>
  <si>
    <t xml:space="preserve">marriage vow; union covenant</t>
  </si>
  <si>
    <t xml:space="preserve">LAW-107</t>
  </si>
  <si>
    <t xml:space="preserve">Vow-Powered Ability</t>
  </si>
  <si>
    <t xml:space="preserve">A capability that increases, activates, or becomes legitimate because the user accepts a binding restriction or obligation.</t>
  </si>
  <si>
    <t xml:space="preserve">The limitation is constitutive of power, not a balance patch or personal preference.</t>
  </si>
  <si>
    <t xml:space="preserve">restriction-for-power; oath magic; self-binding technique</t>
  </si>
  <si>
    <t xml:space="preserve">power scaling, characterization, tactical tradeoff</t>
  </si>
  <si>
    <t xml:space="preserve">vow power; binding restriction</t>
  </si>
  <si>
    <t xml:space="preserve">LAW-108</t>
  </si>
  <si>
    <t xml:space="preserve">Oath-Breaking Curse</t>
  </si>
  <si>
    <t xml:space="preserve">A curse, loss, transformation, exile, or inherited consequence activated specifically by violating a vow or covenant.</t>
  </si>
  <si>
    <t xml:space="preserve">The curse is relational and conditional rather than arbitrary misfortune.</t>
  </si>
  <si>
    <t xml:space="preserve">perjurer's doom; broken-covenant blight</t>
  </si>
  <si>
    <t xml:space="preserve">accountability, tragedy, deterrence</t>
  </si>
  <si>
    <t xml:space="preserve">oath curse; perjury doom</t>
  </si>
  <si>
    <t xml:space="preserve">LAW-109</t>
  </si>
  <si>
    <t xml:space="preserve">Geas-Type Compulsory Obligation</t>
  </si>
  <si>
    <t xml:space="preserve">A source-specific or analogous obligation combining command, taboo, destiny, and conditional consequence.</t>
  </si>
  <si>
    <t xml:space="preserve">Use 'geis/geas' only for Irish material or explicit adaptations; other traditions require their own terms.</t>
  </si>
  <si>
    <t xml:space="preserve">heroic injunction; conditional command; fated prohibition</t>
  </si>
  <si>
    <t xml:space="preserve">plot constraint, identity, tragic conflict</t>
  </si>
  <si>
    <t xml:space="preserve">geis; geas; compulsory taboo</t>
  </si>
  <si>
    <t xml:space="preserve">Use the comparative label cautiously. Irish geis traditions are not a universal synonym for every magical command or taboo.</t>
  </si>
  <si>
    <t xml:space="preserve">LAW-110</t>
  </si>
  <si>
    <t xml:space="preserve">Taboo or Prohibition</t>
  </si>
  <si>
    <t xml:space="preserve">A rule forbidding contact, food, speech, place, time, action, relationship, or knowledge because violation threatens order, purity, identity, or safety.</t>
  </si>
  <si>
    <t xml:space="preserve">A taboo may be social, ritual, cosmological, or political rather than morally self-evident.</t>
  </si>
  <si>
    <t xml:space="preserve">food taboo; forbidden door; ritual prohibition</t>
  </si>
  <si>
    <t xml:space="preserve">boundary maintenance, suspense, social identity</t>
  </si>
  <si>
    <t xml:space="preserve">taboo; prohibition; forbidden act</t>
  </si>
  <si>
    <t xml:space="preserve">LAW-111</t>
  </si>
  <si>
    <t xml:space="preserve">Name or Identity Taboo</t>
  </si>
  <si>
    <t xml:space="preserve">A prohibition on speaking, revealing, writing, seeing, impersonating, or directly addressing a name, face, title, or identity.</t>
  </si>
  <si>
    <t xml:space="preserve">It may protect, control, honor, erase, or avoid attracting a being.</t>
  </si>
  <si>
    <t xml:space="preserve">unspeakable name; masked identity; title-only address</t>
  </si>
  <si>
    <t xml:space="preserve">protection, power, secrecy, reverence</t>
  </si>
  <si>
    <t xml:space="preserve">name taboo; identity prohibition</t>
  </si>
  <si>
    <t xml:space="preserve">LAW-112</t>
  </si>
  <si>
    <t xml:space="preserve">Time-Limited Vow</t>
  </si>
  <si>
    <t xml:space="preserve">A binding obligation lasting until a date, season, age, task, celestial event, or specified condition is fulfilled.</t>
  </si>
  <si>
    <t xml:space="preserve">The duration is part of the metaphysical rule and often creates urgency.</t>
  </si>
  <si>
    <t xml:space="preserve">year-and-a-day vow; exile term; vigil</t>
  </si>
  <si>
    <t xml:space="preserve">countdown, endurance, ritual calendar</t>
  </si>
  <si>
    <t xml:space="preserve">temporary vow; conditional term</t>
  </si>
  <si>
    <t xml:space="preserve">LAW-113</t>
  </si>
  <si>
    <t xml:space="preserve">Self-Binding Limitation</t>
  </si>
  <si>
    <t xml:space="preserve">A voluntarily accepted constraint on method, target, time, speech, weapon, territory, or power used to gain reliability, authority, or greater capability.</t>
  </si>
  <si>
    <t xml:space="preserve">Unlike a vow with social content, the primary logic is technical self-restriction.</t>
  </si>
  <si>
    <t xml:space="preserve">no-kill rule; single-weapon limit; territory restriction</t>
  </si>
  <si>
    <t xml:space="preserve">build identity, power tradeoff, discipline</t>
  </si>
  <si>
    <t xml:space="preserve">binding limitation; restriction pact</t>
  </si>
  <si>
    <t xml:space="preserve">LAW-114</t>
  </si>
  <si>
    <t xml:space="preserve">Inherited Vow or Obligation</t>
  </si>
  <si>
    <t xml:space="preserve">A promise, debt, service, guardianship, curse, or covenant passed to descendants, successors, officeholders, or community members.</t>
  </si>
  <si>
    <t xml:space="preserve">Inheritance may be unjust, honored, disputed, or necessary; do not treat it as natural law without source support.</t>
  </si>
  <si>
    <t xml:space="preserve">ancestral pledge; hereditary guardianship; dynastic duty</t>
  </si>
  <si>
    <t xml:space="preserve">lineage, conflict, succession, memory</t>
  </si>
  <si>
    <t xml:space="preserve">inherited oath; ancestral obligation</t>
  </si>
  <si>
    <t xml:space="preserve">LAW-201</t>
  </si>
  <si>
    <t xml:space="preserve">Divine Boon</t>
  </si>
  <si>
    <t xml:space="preserve">A benefit, power, protection, object, status, fertility, victory, knowledge, or exception granted by a deity or sacred being.</t>
  </si>
  <si>
    <t xml:space="preserve">A boon creates a relationship and may include conditions, debt, limits, or unintended consequences.</t>
  </si>
  <si>
    <t xml:space="preserve">god-gift; blessing; heavenly grant</t>
  </si>
  <si>
    <t xml:space="preserve">authorization, reward, testing, escalation</t>
  </si>
  <si>
    <t xml:space="preserve">divine boon; sacred grant</t>
  </si>
  <si>
    <t xml:space="preserve">LAW-202</t>
  </si>
  <si>
    <t xml:space="preserve">Conditional Boon</t>
  </si>
  <si>
    <t xml:space="preserve">A granted benefit that remains valid only while specified behavior, possession, secrecy, timing, location, or identity conditions hold.</t>
  </si>
  <si>
    <t xml:space="preserve">The condition is part of the grant rather than a later curse.</t>
  </si>
  <si>
    <t xml:space="preserve">invulnerability except; blessing while pure; gift until dawn</t>
  </si>
  <si>
    <t xml:space="preserve">loophole, suspense, moral test</t>
  </si>
  <si>
    <t xml:space="preserve">conditional boon; limited blessing</t>
  </si>
  <si>
    <t xml:space="preserve">LAW-203</t>
  </si>
  <si>
    <t xml:space="preserve">Wish with a Cost</t>
  </si>
  <si>
    <t xml:space="preserve">A reality-altering request whose fulfillment exacts payment, distortion, equivalent loss, future debt, or literalized wording.</t>
  </si>
  <si>
    <t xml:space="preserve">The cost may arise from contract, cosmic law, hostile interpretation, or conservation.</t>
  </si>
  <si>
    <t xml:space="preserve">monkey's-paw wish; life-for-wish; twisted desire</t>
  </si>
  <si>
    <t xml:space="preserve">temptation, irony, sacrifice</t>
  </si>
  <si>
    <t xml:space="preserve">costly wish; wish bargain</t>
  </si>
  <si>
    <t xml:space="preserve">LAW-204</t>
  </si>
  <si>
    <t xml:space="preserve">Curse</t>
  </si>
  <si>
    <t xml:space="preserve">A supernatural burden, prohibition, transformation, doom, misfortune, or hostile condition imposed through speech, ritual, object, divine action, or violated law.</t>
  </si>
  <si>
    <t xml:space="preserve">Curse mechanisms and moral meanings vary; do not treat every disability, illness, or social stigma as a curse.</t>
  </si>
  <si>
    <t xml:space="preserve">spoken curse; divine doom; inherited blight</t>
  </si>
  <si>
    <t xml:space="preserve">punishment, conflict, transformation, quest</t>
  </si>
  <si>
    <t xml:space="preserve">curse; malediction; doom</t>
  </si>
  <si>
    <t xml:space="preserve">LAW-205</t>
  </si>
  <si>
    <t xml:space="preserve">Generational Curse</t>
  </si>
  <si>
    <t xml:space="preserve">A curse transmitted through descent, household, office, land, name, or collective history across multiple generations.</t>
  </si>
  <si>
    <t xml:space="preserve">Inheritance may reflect social consequence as much as biology.</t>
  </si>
  <si>
    <t xml:space="preserve">family doom; house curse; ancestral sin</t>
  </si>
  <si>
    <t xml:space="preserve">dynastic tragedy, mystery, restitution</t>
  </si>
  <si>
    <t xml:space="preserve">generational curse; hereditary doom</t>
  </si>
  <si>
    <t xml:space="preserve">LAW-206</t>
  </si>
  <si>
    <t xml:space="preserve">Transformative Curse</t>
  </si>
  <si>
    <t xml:space="preserve">A curse that changes body, species, identity, perception, voice, age, gender presentation, social recognition, or mode of existence.</t>
  </si>
  <si>
    <t xml:space="preserve">Transformation may be reversible, cyclical, conditional, or identity-complex; avoid treating difference itself as punishment.</t>
  </si>
  <si>
    <t xml:space="preserve">animal form; stone form; monstrous transformation</t>
  </si>
  <si>
    <t xml:space="preserve">quest, stigma, self-discovery, horror</t>
  </si>
  <si>
    <t xml:space="preserve">transformation curse; cursed form</t>
  </si>
  <si>
    <t xml:space="preserve">LAW-207</t>
  </si>
  <si>
    <t xml:space="preserve">Prophetic Curse or Doom</t>
  </si>
  <si>
    <t xml:space="preserve">A curse formulated as an inevitable or conditionally inevitable future outcome whose avoidance may help fulfill it.</t>
  </si>
  <si>
    <t xml:space="preserve">It combines hostile pronouncement, fate, and narrative expectation.</t>
  </si>
  <si>
    <t xml:space="preserve">doom prophecy; foretold death; house fall</t>
  </si>
  <si>
    <t xml:space="preserve">foreshadowing, tragic irony, avoidance plot</t>
  </si>
  <si>
    <t xml:space="preserve">prophetic doom; fated curse</t>
  </si>
  <si>
    <t xml:space="preserve">LAW-208</t>
  </si>
  <si>
    <t xml:space="preserve">Pact or Contract</t>
  </si>
  <si>
    <t xml:space="preserve">A negotiated agreement whose terms are supernaturally, cosmically, institutionally, or personally binding.</t>
  </si>
  <si>
    <t xml:space="preserve">The presence of exchange and consent distinguishes a pact from pure compulsion, though consent may be unequal or coerced.</t>
  </si>
  <si>
    <t xml:space="preserve">spirit pact; demon contract; covenant</t>
  </si>
  <si>
    <t xml:space="preserve">power, service, alliance, risk</t>
  </si>
  <si>
    <t xml:space="preserve">pact; supernatural contract</t>
  </si>
  <si>
    <t xml:space="preserve">LAW-209</t>
  </si>
  <si>
    <t xml:space="preserve">Soul Bargain</t>
  </si>
  <si>
    <t xml:space="preserve">A pact in which a soul, afterlife, identity, autonomy, memory, or ultimate allegiance is offered or pledged.</t>
  </si>
  <si>
    <t xml:space="preserve">Do not assume a single theological meaning of 'soul' across settings.</t>
  </si>
  <si>
    <t xml:space="preserve">deal for soul; afterlife contract; name sale</t>
  </si>
  <si>
    <t xml:space="preserve">temptation, power cost, redemption</t>
  </si>
  <si>
    <t xml:space="preserve">soul bargain; infernal deal</t>
  </si>
  <si>
    <t xml:space="preserve">LAW-210</t>
  </si>
  <si>
    <t xml:space="preserve">Spirit Contract</t>
  </si>
  <si>
    <t xml:space="preserve">An agreement between humans or other beings and spirits establishing service, protection, offerings, residence, mutual aid, or summoning rights.</t>
  </si>
  <si>
    <t xml:space="preserve">It may be reciprocal and relational rather than ownership or enslavement.</t>
  </si>
  <si>
    <t xml:space="preserve">familiar pact; shrine covenant; guardian spirit bond</t>
  </si>
  <si>
    <t xml:space="preserve">mediation, power, ecology, obligation</t>
  </si>
  <si>
    <t xml:space="preserve">spirit contract; familiar pact</t>
  </si>
  <si>
    <t xml:space="preserve">LAW-211</t>
  </si>
  <si>
    <t xml:space="preserve">Divine Patronage or Favor</t>
  </si>
  <si>
    <t xml:space="preserve">An ongoing relationship in which a deity supports, authorizes, empowers, protects, or recognizes a person, office, people, or polity.</t>
  </si>
  <si>
    <t xml:space="preserve">Favor can fluctuate and is not identical to permanent blessing.</t>
  </si>
  <si>
    <t xml:space="preserve">chosen champion; patron god; favored king</t>
  </si>
  <si>
    <t xml:space="preserve">power, legitimacy, mission, political theology</t>
  </si>
  <si>
    <t xml:space="preserve">divine favor; patronage</t>
  </si>
  <si>
    <t xml:space="preserve">LAW-212</t>
  </si>
  <si>
    <t xml:space="preserve">Otherworld Gift Exchange</t>
  </si>
  <si>
    <t xml:space="preserve">A gift relationship with fae, spirits, dead, gods, ancestors, or otherworld beings in which acceptance creates reciprocity, transformation, danger, or obligation.</t>
  </si>
  <si>
    <t xml:space="preserve">A gift may never be socially neutral; source etiquette controls its meaning.</t>
  </si>
  <si>
    <t xml:space="preserve">fairy gift; ancestor gift; food of otherworld</t>
  </si>
  <si>
    <t xml:space="preserve">hospitality, debt, temptation, alliance</t>
  </si>
  <si>
    <t xml:space="preserve">otherworld gift; enchanted gift</t>
  </si>
  <si>
    <t xml:space="preserve">LAW-213</t>
  </si>
  <si>
    <t xml:space="preserve">Reciprocity and Debt</t>
  </si>
  <si>
    <t xml:space="preserve">A rule that benefits, injuries, gifts, hospitality, services, or violations create obligations requiring return, compensation, vengeance, gratitude, or balance.</t>
  </si>
  <si>
    <t xml:space="preserve">Reciprocity may be social, ritual, legal, magical, or cosmic and need not be numerically equal.</t>
  </si>
  <si>
    <t xml:space="preserve">gift debt; blood price; favor owed</t>
  </si>
  <si>
    <t xml:space="preserve">social cohesion, quest hooks, cosmic balance</t>
  </si>
  <si>
    <t xml:space="preserve">reciprocity; obligation; debt</t>
  </si>
  <si>
    <t xml:space="preserve">LAW-214</t>
  </si>
  <si>
    <t xml:space="preserve">Trial for a Gift</t>
  </si>
  <si>
    <t xml:space="preserve">A boon, artifact, marriage, office, teaching, or transformation granted only after an ordeal, service, riddle, sacrifice, or proof of character.</t>
  </si>
  <si>
    <t xml:space="preserve">The trial authorizes the gift and often defines eligibility.</t>
  </si>
  <si>
    <t xml:space="preserve">three tasks; initiation test; divine challenge</t>
  </si>
  <si>
    <t xml:space="preserve">merit, transformation, succession</t>
  </si>
  <si>
    <t xml:space="preserve">trial gift; ordeal reward</t>
  </si>
  <si>
    <t xml:space="preserve">LAW-215</t>
  </si>
  <si>
    <t xml:space="preserve">Boon Loophole</t>
  </si>
  <si>
    <t xml:space="preserve">A grant framed with exclusions or exact conditions that permit an unexpected counter, exception, or path around apparent invulnerability.</t>
  </si>
  <si>
    <t xml:space="preserve">This is not merely clever tactics; it exploits the formal logic of the boon.</t>
  </si>
  <si>
    <t xml:space="preserve">not by man; neither day nor night; exception clause</t>
  </si>
  <si>
    <t xml:space="preserve">plot resolution, interpretive contest</t>
  </si>
  <si>
    <t xml:space="preserve">boon loophole; conditional exception</t>
  </si>
  <si>
    <t xml:space="preserve">LAW-216</t>
  </si>
  <si>
    <t xml:space="preserve">Exact-Wording Contract</t>
  </si>
  <si>
    <t xml:space="preserve">A pact whose outcomes depend on literal phrasing, definitions, omissions, names, or interpretive precision.</t>
  </si>
  <si>
    <t xml:space="preserve">The contract operates like language-law rather than broad intention.</t>
  </si>
  <si>
    <t xml:space="preserve">fine print; literal wish; ambiguous covenant</t>
  </si>
  <si>
    <t xml:space="preserve">riddle, legalism, trickster contest</t>
  </si>
  <si>
    <t xml:space="preserve">literal contract; wording trap</t>
  </si>
  <si>
    <t xml:space="preserve">LAW-217</t>
  </si>
  <si>
    <t xml:space="preserve">Inherited Contract</t>
  </si>
  <si>
    <t xml:space="preserve">A pact whose benefits or burdens pass to heirs, successors, a household, institution, territory, or office.</t>
  </si>
  <si>
    <t xml:space="preserve">Successors may inherit without original consent, creating legitimacy and justice conflicts.</t>
  </si>
  <si>
    <t xml:space="preserve">dynastic pact; ancestral bargain; office covenant</t>
  </si>
  <si>
    <t xml:space="preserve">lineage, politics, curse, duty</t>
  </si>
  <si>
    <t xml:space="preserve">inherited pact; ancestral contract</t>
  </si>
  <si>
    <t xml:space="preserve">LAW-301</t>
  </si>
  <si>
    <t xml:space="preserve">Sacrifice or Offering</t>
  </si>
  <si>
    <t xml:space="preserve">A valued substance, being, action, time, possession, performance, or renunciation given to divine, ancestral, spiritual, communal, or cosmic recipients.</t>
  </si>
  <si>
    <t xml:space="preserve">Use source-specific ritual vocabulary and do not equate all offerings with violent sacrifice.</t>
  </si>
  <si>
    <t xml:space="preserve">offering; oblation; gift to gods; ritual giving</t>
  </si>
  <si>
    <t xml:space="preserve">worship, reciprocity, consecration, petition</t>
  </si>
  <si>
    <t xml:space="preserve">sacrifice; offering; oblation</t>
  </si>
  <si>
    <t xml:space="preserve">LAW-302</t>
  </si>
  <si>
    <t xml:space="preserve">Blood Sacrifice</t>
  </si>
  <si>
    <t xml:space="preserve">An offering in which blood or life substance is presented, spilled, transferred, or used as a medium of exchange or consecration.</t>
  </si>
  <si>
    <t xml:space="preserve">Do not sensationalize or universalize; distinguish symbolic blood use, animal sacrifice, self-wounding, and human sacrifice.</t>
  </si>
  <si>
    <t xml:space="preserve">blood rite; life offering; sacrificial blood</t>
  </si>
  <si>
    <t xml:space="preserve">propitiation, power, covenant, horror</t>
  </si>
  <si>
    <t xml:space="preserve">blood sacrifice; blood offering</t>
  </si>
  <si>
    <t xml:space="preserve">LAW-303</t>
  </si>
  <si>
    <t xml:space="preserve">Self-Sacrifice</t>
  </si>
  <si>
    <t xml:space="preserve">A voluntary surrender of life, body, power, status, memory, future, freedom, or relationship for another person, community, law, or world.</t>
  </si>
  <si>
    <t xml:space="preserve">Not every heroic death is sacrificial; the intentional offered loss is central.</t>
  </si>
  <si>
    <t xml:space="preserve">life offering; power surrender; chosen death</t>
  </si>
  <si>
    <t xml:space="preserve">redemption, protection, transformation</t>
  </si>
  <si>
    <t xml:space="preserve">self-sacrifice; voluntary offering</t>
  </si>
  <si>
    <t xml:space="preserve">LAW-304</t>
  </si>
  <si>
    <t xml:space="preserve">Substitute Sacrifice</t>
  </si>
  <si>
    <t xml:space="preserve">A being or object accepted, imposed, or substituted in place of another intended victim, debt, punishment, or cosmic cost.</t>
  </si>
  <si>
    <t xml:space="preserve">Substitution may be merciful, coercive, symbolic, legal, or morally troubling.</t>
  </si>
  <si>
    <t xml:space="preserve">scapegoat; proxy victim; replacement offering</t>
  </si>
  <si>
    <t xml:space="preserve">redemption, injustice, ritual transfer</t>
  </si>
  <si>
    <t xml:space="preserve">substitute sacrifice; proxy offering</t>
  </si>
  <si>
    <t xml:space="preserve">LAW-305</t>
  </si>
  <si>
    <t xml:space="preserve">First-Fruits or First-Share Offering</t>
  </si>
  <si>
    <t xml:space="preserve">The first or designated portion of harvest, hunt, craft, income, victory, offspring, or treasure offered before ordinary use.</t>
  </si>
  <si>
    <t xml:space="preserve">Priority and acknowledgment distinguish it from general tribute.</t>
  </si>
  <si>
    <t xml:space="preserve">first harvest; first catch; first coin</t>
  </si>
  <si>
    <t xml:space="preserve">gratitude, fertility, legitimacy, reciprocity</t>
  </si>
  <si>
    <t xml:space="preserve">first fruits; first share</t>
  </si>
  <si>
    <t xml:space="preserve">LAW-306</t>
  </si>
  <si>
    <t xml:space="preserve">Ancestor Offering</t>
  </si>
  <si>
    <t xml:space="preserve">Food, drink, smoke, objects, names, performances, or care given to ancestors to sustain relationship, memory, protection, or proper afterlife status.</t>
  </si>
  <si>
    <t xml:space="preserve">Do not reduce living ancestral rites to 'feeding ghosts' or a generic mana exchange.</t>
  </si>
  <si>
    <t xml:space="preserve">funerary meal; ancestor table; memorial offering</t>
  </si>
  <si>
    <t xml:space="preserve">kinship, continuity, protection, remembrance</t>
  </si>
  <si>
    <t xml:space="preserve">ancestor offering; funerary gift</t>
  </si>
  <si>
    <t xml:space="preserve">LAW-307</t>
  </si>
  <si>
    <t xml:space="preserve">Food or Drink Offering</t>
  </si>
  <si>
    <t xml:space="preserve">Edible or drinkable substances ritually given, shared, transformed, consumed, or withheld in relations with gods, spirits, guests, dead, or community.</t>
  </si>
  <si>
    <t xml:space="preserve">The same material may function as gift, communion, hospitality, or taboo.</t>
  </si>
  <si>
    <t xml:space="preserve">libation; feast portion; sacred meal</t>
  </si>
  <si>
    <t xml:space="preserve">reciprocity, communion, welcome, purification</t>
  </si>
  <si>
    <t xml:space="preserve">libation; food offering</t>
  </si>
  <si>
    <t xml:space="preserve">LAW-308</t>
  </si>
  <si>
    <t xml:space="preserve">Votive Offering</t>
  </si>
  <si>
    <t xml:space="preserve">An object, image, inscription, model, treasure, or act dedicated in fulfillment of a vow, gratitude, petition, healing, or remembrance.</t>
  </si>
  <si>
    <t xml:space="preserve">Its significance comes from dedication and relationship, not utility.</t>
  </si>
  <si>
    <t xml:space="preserve">dedicated weapon; figurine; inscribed thanks</t>
  </si>
  <si>
    <t xml:space="preserve">thanksgiving, petition, public memory</t>
  </si>
  <si>
    <t xml:space="preserve">votive offering; dedication</t>
  </si>
  <si>
    <t xml:space="preserve">LAW-309</t>
  </si>
  <si>
    <t xml:space="preserve">Fire Sacrifice</t>
  </si>
  <si>
    <t xml:space="preserve">An offering transformed or conveyed through sacred fire, smoke, heat, or a ritual hearth.</t>
  </si>
  <si>
    <t xml:space="preserve">Fire may be messenger, deity, purifier, witness, or transformative medium; preserve source theology.</t>
  </si>
  <si>
    <t xml:space="preserve">fire oblation; burnt offering; hearth rite</t>
  </si>
  <si>
    <t xml:space="preserve">transmission, purification, covenant</t>
  </si>
  <si>
    <t xml:space="preserve">fire sacrifice; burnt offering</t>
  </si>
  <si>
    <t xml:space="preserve">LAW-310</t>
  </si>
  <si>
    <t xml:space="preserve">Ritual Feast</t>
  </si>
  <si>
    <t xml:space="preserve">A structured communal meal that creates or renews bonds among humans, ancestors, spirits, gods, rulers, or the dead.</t>
  </si>
  <si>
    <t xml:space="preserve">It differs from ordinary celebration through formal distribution, invitation, taboo, or cosmological participation.</t>
  </si>
  <si>
    <t xml:space="preserve">sacrificial meal; funeral feast; coronation banquet</t>
  </si>
  <si>
    <t xml:space="preserve">community, hierarchy, reciprocity, remembrance</t>
  </si>
  <si>
    <t xml:space="preserve">ritual feast; sacred meal</t>
  </si>
  <si>
    <t xml:space="preserve">LAW-311</t>
  </si>
  <si>
    <t xml:space="preserve">Sacrificial Kingship</t>
  </si>
  <si>
    <t xml:space="preserve">A model in which the ruler's body, vitality, fertility, suffering, death, replacement, or ritual performance sustains land and social order.</t>
  </si>
  <si>
    <t xml:space="preserve">Use cautiously; this comparative category has often been overgeneralized in older scholarship.</t>
  </si>
  <si>
    <t xml:space="preserve">dying king; king as offering; royal renewal</t>
  </si>
  <si>
    <t xml:space="preserve">fertility, legitimacy, crisis, succession</t>
  </si>
  <si>
    <t xml:space="preserve">sacred king; sacrificial ruler</t>
  </si>
  <si>
    <t xml:space="preserve">Treat as a contested comparative model. Verify each source independently rather than assuming a universal 'dying-and-rising king' pattern.</t>
  </si>
  <si>
    <t xml:space="preserve">LAW-312</t>
  </si>
  <si>
    <t xml:space="preserve">Life-for-Life Exchange</t>
  </si>
  <si>
    <t xml:space="preserve">A rule that restoring, saving, creating, or empowering one life requires another life or equivalent vital essence.</t>
  </si>
  <si>
    <t xml:space="preserve">It may be ritual, contract, conservation, or hostile mechanism and is not necessarily moral justice.</t>
  </si>
  <si>
    <t xml:space="preserve">equivalent life; soul exchange; death substitution</t>
  </si>
  <si>
    <t xml:space="preserve">resurrection cost, tragedy, ethical dilemma</t>
  </si>
  <si>
    <t xml:space="preserve">life exchange; soul price</t>
  </si>
  <si>
    <t xml:space="preserve">LAW-313</t>
  </si>
  <si>
    <t xml:space="preserve">Memory, Years, or Identity Cost</t>
  </si>
  <si>
    <t xml:space="preserve">A transaction in which power, passage, healing, knowledge, or survival is purchased with memories, lifespan, name, emotions, identity, or personal history.</t>
  </si>
  <si>
    <t xml:space="preserve">The cost changes personhood or temporal existence rather than ordinary resources.</t>
  </si>
  <si>
    <t xml:space="preserve">lost years; name payment; memory sacrifice</t>
  </si>
  <si>
    <t xml:space="preserve">power ethics, tragedy, transformation</t>
  </si>
  <si>
    <t xml:space="preserve">memory cost; lifespan price</t>
  </si>
  <si>
    <t xml:space="preserve">LAW-314</t>
  </si>
  <si>
    <t xml:space="preserve">Worship or Favor Resource</t>
  </si>
  <si>
    <t xml:space="preserve">A game-mechanical or fictional abstraction in which devotion, ritual attention, offerings, prestige, or divine relationship accumulates as spendable power.</t>
  </si>
  <si>
    <t xml:space="preserve">Do not treat quantified favor as a faithful model of historical worship; it is an adaptation operation.</t>
  </si>
  <si>
    <t xml:space="preserve">favor meter; faith points; devotion resource</t>
  </si>
  <si>
    <t xml:space="preserve">casting economy, faction identity, god powers</t>
  </si>
  <si>
    <t xml:space="preserve">favor resource; worship points</t>
  </si>
  <si>
    <t xml:space="preserve">LAW-315</t>
  </si>
  <si>
    <t xml:space="preserve">Ritual Economy</t>
  </si>
  <si>
    <t xml:space="preserve">A system in which offerings, specialists, calendars, materials, temples, vows, festivals, or sacred labor form sustained institutions of exchange.</t>
  </si>
  <si>
    <t xml:space="preserve">It includes social and material infrastructure, not simply magic fuel.</t>
  </si>
  <si>
    <t xml:space="preserve">temple economy; offering cycle; festival obligations</t>
  </si>
  <si>
    <t xml:space="preserve">institutional power, redistribution, legitimacy</t>
  </si>
  <si>
    <t xml:space="preserve">ritual economy; sacred exchange</t>
  </si>
  <si>
    <t xml:space="preserve">LAW-316</t>
  </si>
  <si>
    <t xml:space="preserve">Propitiation</t>
  </si>
  <si>
    <t xml:space="preserve">An offering, rite, apology, praise, avoidance, or compensation intended to calm, avert, reconcile, or satisfy a dangerous or offended power.</t>
  </si>
  <si>
    <t xml:space="preserve">It differs from worship motivated primarily by devotion or gratitude.</t>
  </si>
  <si>
    <t xml:space="preserve">appeasement rite; warding offering; atonement gift</t>
  </si>
  <si>
    <t xml:space="preserve">risk management, reconciliation, boundary maintenance</t>
  </si>
  <si>
    <t xml:space="preserve">propitiation; appeasement</t>
  </si>
  <si>
    <t xml:space="preserve">LAW-317</t>
  </si>
  <si>
    <t xml:space="preserve">Ritual Payment for Passage</t>
  </si>
  <si>
    <t xml:space="preserve">A coin, token, object, service, song, answer, or offering required to cross a sacred, death, faerie, legal, or cosmological boundary.</t>
  </si>
  <si>
    <t xml:space="preserve">Payment may prove status or reciprocity rather than purchase in a market sense.</t>
  </si>
  <si>
    <t xml:space="preserve">ferryman's coin; gate offering; toll of dead</t>
  </si>
  <si>
    <t xml:space="preserve">threshold, underworld journey, access</t>
  </si>
  <si>
    <t xml:space="preserve">ritual toll; passage payment</t>
  </si>
  <si>
    <t xml:space="preserve">LAW-401</t>
  </si>
  <si>
    <t xml:space="preserve">Ritual Purity</t>
  </si>
  <si>
    <t xml:space="preserve">A condition of fitness, order, preparation, or separation required for ritual, sacred presence, office, contact, or power.</t>
  </si>
  <si>
    <t xml:space="preserve">Ritual purity is not necessarily moral virtue, hygiene, or social worth; preserve source distinctions.</t>
  </si>
  <si>
    <t xml:space="preserve">clean state; consecrated body; ritual fitness</t>
  </si>
  <si>
    <t xml:space="preserve">eligibility, boundary, preparation</t>
  </si>
  <si>
    <t xml:space="preserve">ritual purity; sacred cleanliness</t>
  </si>
  <si>
    <t xml:space="preserve">LAW-402</t>
  </si>
  <si>
    <t xml:space="preserve">Pollution or Defilement</t>
  </si>
  <si>
    <t xml:space="preserve">A condition arising from specified contact, action, death, blood, violation, disorder, or sacred offense that impairs ritual or cosmological fitness.</t>
  </si>
  <si>
    <t xml:space="preserve">Do not stigmatize real people or conditions by treating them as naturally polluted; document the source's social implications critically.</t>
  </si>
  <si>
    <t xml:space="preserve">miasma-like taint; ritual impurity; defilement</t>
  </si>
  <si>
    <t xml:space="preserve">exclusion, cleansing, consequence, horror</t>
  </si>
  <si>
    <t xml:space="preserve">pollution; defilement; impurity</t>
  </si>
  <si>
    <t xml:space="preserve">LAW-403</t>
  </si>
  <si>
    <t xml:space="preserve">Purification Rite</t>
  </si>
  <si>
    <t xml:space="preserve">A ritual process that removes, transfers, contains, transforms, or marks release from pollution, curse, possession, guilt, danger, or liminality.</t>
  </si>
  <si>
    <t xml:space="preserve">Cleansing may be bodily, social, spatial, legal, or spiritual.</t>
  </si>
  <si>
    <t xml:space="preserve">washing; smoke cleansing; confession; lustration</t>
  </si>
  <si>
    <t xml:space="preserve">restoration, preparation, reintegration</t>
  </si>
  <si>
    <t xml:space="preserve">purification; cleansing rite</t>
  </si>
  <si>
    <t xml:space="preserve">LAW-404</t>
  </si>
  <si>
    <t xml:space="preserve">Consecration</t>
  </si>
  <si>
    <t xml:space="preserve">A rite that dedicates a person, place, object, office, time, or boundary to sacred use or presence.</t>
  </si>
  <si>
    <t xml:space="preserve">Consecration creates status and obligation, not merely a temporary buff.</t>
  </si>
  <si>
    <t xml:space="preserve">blessing a temple; anointing; dedicating a weapon</t>
  </si>
  <si>
    <t xml:space="preserve">authorization, protection, institutional identity</t>
  </si>
  <si>
    <t xml:space="preserve">consecration; dedication</t>
  </si>
  <si>
    <t xml:space="preserve">LAW-405</t>
  </si>
  <si>
    <t xml:space="preserve">Exorcism or Expulsion Rite</t>
  </si>
  <si>
    <t xml:space="preserve">A ritual intended to remove, dismiss, bind, relocate, negotiate with, or separate an intrusive spirit, curse, demon, ghost, or force.</t>
  </si>
  <si>
    <t xml:space="preserve">Not all spirit mediation assumes the entity is evil or the subject is merely a passive victim.</t>
  </si>
  <si>
    <t xml:space="preserve">banishment; spirit release; dispossession rite</t>
  </si>
  <si>
    <t xml:space="preserve">healing, protection, negotiation, conflict</t>
  </si>
  <si>
    <t xml:space="preserve">exorcism; banishment rite</t>
  </si>
  <si>
    <t xml:space="preserve">LAW-406</t>
  </si>
  <si>
    <t xml:space="preserve">Sacred Boundary</t>
  </si>
  <si>
    <t xml:space="preserve">A marked, recognized, or ritually maintained line separating sacred and ordinary, protected and dangerous, invited and excluded, living and dead, or one jurisdiction from another.</t>
  </si>
  <si>
    <t xml:space="preserve">Boundaries may protect both sides and are not simply barriers against monsters.</t>
  </si>
  <si>
    <t xml:space="preserve">temple precinct; ward circle; taboo border</t>
  </si>
  <si>
    <t xml:space="preserve">sanctuary, identity, realm stability</t>
  </si>
  <si>
    <t xml:space="preserve">sacred boundary; consecrated border</t>
  </si>
  <si>
    <t xml:space="preserve">LAW-407</t>
  </si>
  <si>
    <t xml:space="preserve">Sanctuary or Asylum Rule</t>
  </si>
  <si>
    <t xml:space="preserve">A law under which a place, institution, altar, host, or sacred status protects a person from violence, arrest, revenge, or supernatural pursuit.</t>
  </si>
  <si>
    <t xml:space="preserve">Protection may be conditional and violation may trigger special consequences.</t>
  </si>
  <si>
    <t xml:space="preserve">temple asylum; guest right refuge; holy ground</t>
  </si>
  <si>
    <t xml:space="preserve">protection, political conflict, moral test</t>
  </si>
  <si>
    <t xml:space="preserve">sanctuary; asylum</t>
  </si>
  <si>
    <t xml:space="preserve">LAW-408</t>
  </si>
  <si>
    <t xml:space="preserve">Forbidden Contact</t>
  </si>
  <si>
    <t xml:space="preserve">A rule against touching, seeing, eating, marrying, entering, naming, or sharing with specified beings, objects, places, or states.</t>
  </si>
  <si>
    <t xml:space="preserve">The basis may be purity, danger, hierarchy, protection, or identity; avoid endorsing discriminatory logic.</t>
  </si>
  <si>
    <t xml:space="preserve">untouchable relic; forbidden food; barred gaze</t>
  </si>
  <si>
    <t xml:space="preserve">boundary, suspense, social order</t>
  </si>
  <si>
    <t xml:space="preserve">forbidden contact; contact taboo</t>
  </si>
  <si>
    <t xml:space="preserve">LAW-409</t>
  </si>
  <si>
    <t xml:space="preserve">Death or Corpse Pollution</t>
  </si>
  <si>
    <t xml:space="preserve">A source-specific rule under which contact with death, corpses, funerals, blood, or mourning creates temporary or lasting ritual consequences.</t>
  </si>
  <si>
    <t xml:space="preserve">Do not universalize; death rites vary widely and may sacralize rather than pollute.</t>
  </si>
  <si>
    <t xml:space="preserve">mourning impurity; corpse taint; funeral seclusion</t>
  </si>
  <si>
    <t xml:space="preserve">burial, priestly eligibility, reintegration</t>
  </si>
  <si>
    <t xml:space="preserve">death pollution; corpse impurity</t>
  </si>
  <si>
    <t xml:space="preserve">LAW-410</t>
  </si>
  <si>
    <t xml:space="preserve">Place or Temple Purity</t>
  </si>
  <si>
    <t xml:space="preserve">Rules preserving the ritual condition of a shrine, city, grove, river, battlefield, court, or other sacred place.</t>
  </si>
  <si>
    <t xml:space="preserve">The place may require maintenance, restricted entry, offerings, or removal of violence and pollution.</t>
  </si>
  <si>
    <t xml:space="preserve">temple cleansing; holy precinct rules; city rites</t>
  </si>
  <si>
    <t xml:space="preserve">institutional continuity, pilgrimage, protection</t>
  </si>
  <si>
    <t xml:space="preserve">place purity; sacred-site law</t>
  </si>
  <si>
    <t xml:space="preserve">LAW-411</t>
  </si>
  <si>
    <t xml:space="preserve">Initiatory Seclusion</t>
  </si>
  <si>
    <t xml:space="preserve">A period of withdrawal, fasting, silence, disguise, instruction, or liminality required before a new status, power, office, or identity is recognized.</t>
  </si>
  <si>
    <t xml:space="preserve">Seclusion is transformative and socially regulated rather than mere solitude.</t>
  </si>
  <si>
    <t xml:space="preserve">vision quest; novice retreat; bridal seclusion</t>
  </si>
  <si>
    <t xml:space="preserve">initiation, transition, preparation</t>
  </si>
  <si>
    <t xml:space="preserve">initiatory seclusion; ritual retreat</t>
  </si>
  <si>
    <t xml:space="preserve">LAW-412</t>
  </si>
  <si>
    <t xml:space="preserve">Desecration Consequence</t>
  </si>
  <si>
    <t xml:space="preserve">A curse, loss of protection, divine anger, social rupture, haunting, blight, or legal-cosmic penalty triggered by violating sacred persons, objects, places, or rites.</t>
  </si>
  <si>
    <t xml:space="preserve">The consequence may be attributed by characters rather than objectively confirmed; record epistemic status.</t>
  </si>
  <si>
    <t xml:space="preserve">temple profanation; broken shrine; grave violation</t>
  </si>
  <si>
    <t xml:space="preserve">conflict, restoration quest, political theology</t>
  </si>
  <si>
    <t xml:space="preserve">desecration; sacrilege consequence</t>
  </si>
  <si>
    <t xml:space="preserve">LAW-413</t>
  </si>
  <si>
    <t xml:space="preserve">Contagious Corruption</t>
  </si>
  <si>
    <t xml:space="preserve">A pollution, curse, blight, possession, or metaphysical disorder that spreads by contact, imitation, proximity, consumption, emotion, or shared environment.</t>
  </si>
  <si>
    <t xml:space="preserve">Do not conflate fantasy contagion with real disease stereotypes or marginalized groups.</t>
  </si>
  <si>
    <t xml:space="preserve">taint; madness spread; corruption spores</t>
  </si>
  <si>
    <t xml:space="preserve">horror, quarantine, moral panic, cleansing</t>
  </si>
  <si>
    <t xml:space="preserve">contagious corruption; spreading taint</t>
  </si>
  <si>
    <t xml:space="preserve">LAW-414</t>
  </si>
  <si>
    <t xml:space="preserve">Moral versus Ritual Purity Distinction</t>
  </si>
  <si>
    <t xml:space="preserve">An analytical rule separating ethical conduct from source-specific states of ritual fitness, pollution, consecration, or taboo.</t>
  </si>
  <si>
    <t xml:space="preserve">The distinction is a framework safeguard rather than a universal source doctrine.</t>
  </si>
  <si>
    <t xml:space="preserve">pure but immoral; impure without guilt</t>
  </si>
  <si>
    <t xml:space="preserve">comparative analysis, cultural caution</t>
  </si>
  <si>
    <t xml:space="preserve">ritual versus moral purity</t>
  </si>
  <si>
    <t xml:space="preserve">LAW-415</t>
  </si>
  <si>
    <t xml:space="preserve">Threshold Cleansing</t>
  </si>
  <si>
    <t xml:space="preserve">A purification or protective act required before or after crossing into a home, temple, city, battlefield, underworld, birth, death, or changed status.</t>
  </si>
  <si>
    <t xml:space="preserve">Its timing at transition distinguishes it from general cleansing.</t>
  </si>
  <si>
    <t xml:space="preserve">washing at gate; smoke at doorway; return rite</t>
  </si>
  <si>
    <t xml:space="preserve">boundary maintenance, reintegration</t>
  </si>
  <si>
    <t xml:space="preserve">threshold purification; entry rite</t>
  </si>
  <si>
    <t xml:space="preserve">LAW-501</t>
  </si>
  <si>
    <t xml:space="preserve">Fate or Destiny</t>
  </si>
  <si>
    <t xml:space="preserve">A principle under which events, identities, deaths, roles, or outcomes are fixed, patterned, allotted, foretold, or strongly constrained.</t>
  </si>
  <si>
    <t xml:space="preserve">Fate may coexist with agency, choice, interpretation, and multiple possible fulfillments.</t>
  </si>
  <si>
    <t xml:space="preserve">doom; lot; destiny; appointed end</t>
  </si>
  <si>
    <t xml:space="preserve">prophecy, tragedy, legitimacy, character conflict</t>
  </si>
  <si>
    <t xml:space="preserve">fate; destiny; doom</t>
  </si>
  <si>
    <t xml:space="preserve">LAW-502</t>
  </si>
  <si>
    <t xml:space="preserve">Prophecy Fulfillment Rule</t>
  </si>
  <si>
    <t xml:space="preserve">A pattern in which foretold events must, tend to, or appear to occur, often through unexpected interpretation or attempted prevention.</t>
  </si>
  <si>
    <t xml:space="preserve">The prophecy's reliability, source, wording, and scope should be separately recorded.</t>
  </si>
  <si>
    <t xml:space="preserve">inevitable prophecy; conditional oracle; hidden meaning</t>
  </si>
  <si>
    <t xml:space="preserve">foreshadowing, irony, quest guidance</t>
  </si>
  <si>
    <t xml:space="preserve">prophecy fulfillment; oracle rule</t>
  </si>
  <si>
    <t xml:space="preserve">LAW-503</t>
  </si>
  <si>
    <t xml:space="preserve">Self-Fulfilling Prophecy</t>
  </si>
  <si>
    <t xml:space="preserve">A prophecy becomes true because belief, fear, policy, avoidance, or resistance causes the predicted outcome.</t>
  </si>
  <si>
    <t xml:space="preserve">The mechanism is social or psychological rather than direct fate, though settings may combine both.</t>
  </si>
  <si>
    <t xml:space="preserve">avoidance causes doom; ruler creates rebel</t>
  </si>
  <si>
    <t xml:space="preserve">tragedy, political critique, ambiguity</t>
  </si>
  <si>
    <t xml:space="preserve">self-fulfilling prophecy</t>
  </si>
  <si>
    <t xml:space="preserve">LAW-504</t>
  </si>
  <si>
    <t xml:space="preserve">Predestination with Agency</t>
  </si>
  <si>
    <t xml:space="preserve">A cosmology in which a destined outcome, role, or boundary coexists with meaningful choices about method, interpretation, virtue, relationships, or local consequences.</t>
  </si>
  <si>
    <t xml:space="preserve">It avoids the false binary that fate necessarily eliminates all agency.</t>
  </si>
  <si>
    <t xml:space="preserve">chosen role with free decisions; fixed death, open life</t>
  </si>
  <si>
    <t xml:space="preserve">ethical drama, prophecy, identity</t>
  </si>
  <si>
    <t xml:space="preserve">bounded destiny; fate with agency</t>
  </si>
  <si>
    <t xml:space="preserve">LAW-505</t>
  </si>
  <si>
    <t xml:space="preserve">Cosmic or Social Order</t>
  </si>
  <si>
    <t xml:space="preserve">A source-specific principle linking right relationship, role, law, ritual, society, nature, and cosmic stability.</t>
  </si>
  <si>
    <t xml:space="preserve">Terms such as dharma, ma'at, dao, ṛta, and others are not interchangeable; record them separately and map only partial analogues.</t>
  </si>
  <si>
    <t xml:space="preserve">right order; sacred law; world-maintaining duty</t>
  </si>
  <si>
    <t xml:space="preserve">kingship, ethics, ritual, cosmology</t>
  </si>
  <si>
    <t xml:space="preserve">cosmic order; sacred order</t>
  </si>
  <si>
    <t xml:space="preserve">Never use this family as a synonym for dharma, ma'at, dao, ṛta, or any other source-specific concept. Preserve each term's history, debates, and internal plurality.</t>
  </si>
  <si>
    <t xml:space="preserve">LAW-506</t>
  </si>
  <si>
    <t xml:space="preserve">Moral Causation or Karma-Like Rule</t>
  </si>
  <si>
    <t xml:space="preserve">A principle under which intentional action, conduct, merit, vice, or relation produces consequences across time, lives, communities, or cosmological states.</t>
  </si>
  <si>
    <t xml:space="preserve">Use 'karma' only for traditions and adaptations that actually invoke it; generic moral bookkeeping is not the same doctrine.</t>
  </si>
  <si>
    <t xml:space="preserve">merit consequence; deed-return; karmic system</t>
  </si>
  <si>
    <t xml:space="preserve">ethical causation, rebirth, social critique</t>
  </si>
  <si>
    <t xml:space="preserve">moral causation; karma-like law</t>
  </si>
  <si>
    <t xml:space="preserve">Karma is a family of source-specific South Asian religious and philosophical concepts, not a generic universe score. Use this normalized label only for structural comparison.</t>
  </si>
  <si>
    <t xml:space="preserve">LAW-507</t>
  </si>
  <si>
    <t xml:space="preserve">Balance or Reciprocity Law</t>
  </si>
  <si>
    <t xml:space="preserve">A rule that excess, injury, gift, power, elemental dominance, or cosmic disturbance generates compensating pressure, return, debt, or restoration.</t>
  </si>
  <si>
    <t xml:space="preserve">Balance may be dynamic relationship rather than equal quantities or moral neutrality.</t>
  </si>
  <si>
    <t xml:space="preserve">cosmic balance; return principle; equilibrium</t>
  </si>
  <si>
    <t xml:space="preserve">magic limits, ecology, justice, quest resolution</t>
  </si>
  <si>
    <t xml:space="preserve">balance law; reciprocity law</t>
  </si>
  <si>
    <t xml:space="preserve">LAW-508</t>
  </si>
  <si>
    <t xml:space="preserve">Divine Mandate</t>
  </si>
  <si>
    <t xml:space="preserve">A principle under which rulership or office is authorized, withdrawn, tested, or recognized by divine, celestial, ancestral, or cosmic order.</t>
  </si>
  <si>
    <t xml:space="preserve">Mandate can be contested and inferred through events rather than explicitly granted.</t>
  </si>
  <si>
    <t xml:space="preserve">heavenly mandate; god-chosen king; sacred commission</t>
  </si>
  <si>
    <t xml:space="preserve">legitimacy, rebellion, succession, disaster interpretation</t>
  </si>
  <si>
    <t xml:space="preserve">divine mandate; sacred authorization</t>
  </si>
  <si>
    <t xml:space="preserve">LAW-509</t>
  </si>
  <si>
    <t xml:space="preserve">Sacred Kingship</t>
  </si>
  <si>
    <t xml:space="preserve">A rule linking ruler, land, fertility, justice, ritual, divine favor, cosmic order, or collective well-being.</t>
  </si>
  <si>
    <t xml:space="preserve">Sacred kingship takes many forms; do not infer sacrifice, divinity, or absolute power without source evidence.</t>
  </si>
  <si>
    <t xml:space="preserve">king as mediator; ruler-land bond; divine king</t>
  </si>
  <si>
    <t xml:space="preserve">governance, ritual, legitimacy, crisis</t>
  </si>
  <si>
    <t xml:space="preserve">sacred kingship; sacral rule</t>
  </si>
  <si>
    <t xml:space="preserve">LAW-510</t>
  </si>
  <si>
    <t xml:space="preserve">Cyclical-Age Law</t>
  </si>
  <si>
    <t xml:space="preserve">A principle that different cosmic or historical ages have predictable qualities, lifespans, morality, access to gods, magic, or social order.</t>
  </si>
  <si>
    <t xml:space="preserve">Age schemes are source-specific and should not be flattened into generic tech tiers.</t>
  </si>
  <si>
    <t xml:space="preserve">golden-to-dark ages; yuga-like cycle; world eras</t>
  </si>
  <si>
    <t xml:space="preserve">decline, prophecy, periodic renewal</t>
  </si>
  <si>
    <t xml:space="preserve">cosmic ages; age law</t>
  </si>
  <si>
    <t xml:space="preserve">LAW-511</t>
  </si>
  <si>
    <t xml:space="preserve">Equivalent Exchange</t>
  </si>
  <si>
    <t xml:space="preserve">A rule that transformation, creation, healing, resurrection, or magical gain requires an equivalent or proportionate cost.</t>
  </si>
  <si>
    <t xml:space="preserve">'Equivalent' may be physical, symbolic, moral, or institutionally defined; it is not always objectively fair.</t>
  </si>
  <si>
    <t xml:space="preserve">equal value; conservation trade; exchange law</t>
  </si>
  <si>
    <t xml:space="preserve">magic limits, ethical conflict, crafting</t>
  </si>
  <si>
    <t xml:space="preserve">equivalent exchange; equal price</t>
  </si>
  <si>
    <t xml:space="preserve">LAW-512</t>
  </si>
  <si>
    <t xml:space="preserve">Conservation of Magic</t>
  </si>
  <si>
    <t xml:space="preserve">A rule that magical energy, matter, souls, attention, probability, or power cannot be created without source, transfer, depletion, or transformation.</t>
  </si>
  <si>
    <t xml:space="preserve">This is a setting physics model, not a universal feature of magic.</t>
  </si>
  <si>
    <t xml:space="preserve">mana conservation; finite magic; source depletion</t>
  </si>
  <si>
    <t xml:space="preserve">resource economy, ecological stakes, strategy</t>
  </si>
  <si>
    <t xml:space="preserve">magic conservation; finite power</t>
  </si>
  <si>
    <t xml:space="preserve">LAW-513</t>
  </si>
  <si>
    <t xml:space="preserve">Price of Power</t>
  </si>
  <si>
    <t xml:space="preserve">A general principle that extraordinary power imposes recurring or irreversible costs in body, mind, morality, relationships, environment, social standing, or future obligation.</t>
  </si>
  <si>
    <t xml:space="preserve">A cost must be structurally linked to power, not merely coincidental suffering.</t>
  </si>
  <si>
    <t xml:space="preserve">corruption; lifespan loss; taboo; debt</t>
  </si>
  <si>
    <t xml:space="preserve">balancing, tragedy, identity, worldbuilding</t>
  </si>
  <si>
    <t xml:space="preserve">power cost; magic price</t>
  </si>
  <si>
    <t xml:space="preserve">LAW-514</t>
  </si>
  <si>
    <t xml:space="preserve">Numerical or Pattern Rule</t>
  </si>
  <si>
    <t xml:space="preserve">A world law privileging recurring numbers, repetitions, sequences, correspondences, or ritual counts.</t>
  </si>
  <si>
    <t xml:space="preserve">The cultural meaning of three, seven, nine, twelve, and other numbers is source-specific.</t>
  </si>
  <si>
    <t xml:space="preserve">rule of three; seven seals; nine trials</t>
  </si>
  <si>
    <t xml:space="preserve">ritual structure, prophecy, puzzle, narrative rhythm</t>
  </si>
  <si>
    <t xml:space="preserve">sacred number; pattern law</t>
  </si>
  <si>
    <t xml:space="preserve">LAW-515</t>
  </si>
  <si>
    <t xml:space="preserve">Sympathetic Correspondence</t>
  </si>
  <si>
    <t xml:space="preserve">A rule that similarity in form, image, name, color, quality, or representation creates a channel of influence.</t>
  </si>
  <si>
    <t xml:space="preserve">It differs from contact contagion; the link is resemblance or modeled identity.</t>
  </si>
  <si>
    <t xml:space="preserve">like affects like; image magic; correspondence table</t>
  </si>
  <si>
    <t xml:space="preserve">ritual, healing, curse, divination</t>
  </si>
  <si>
    <t xml:space="preserve">sympathetic magic; correspondence</t>
  </si>
  <si>
    <t xml:space="preserve">LAW-516</t>
  </si>
  <si>
    <t xml:space="preserve">Contagion or Contact Correspondence</t>
  </si>
  <si>
    <t xml:space="preserve">A rule that things once connected, bodily related, owned, touched, or sharing substance continue to affect one another at a distance.</t>
  </si>
  <si>
    <t xml:space="preserve">This is an analytical family and should not be projected onto all traditions using relics, hair, blood, or names.</t>
  </si>
  <si>
    <t xml:space="preserve">hair link; blood connection; true owner's object</t>
  </si>
  <si>
    <t xml:space="preserve">tracking, healing, curse, identity</t>
  </si>
  <si>
    <t xml:space="preserve">contagion magic; contact link</t>
  </si>
  <si>
    <t xml:space="preserve">LAW-517</t>
  </si>
  <si>
    <t xml:space="preserve">Elemental Opposition or Counter Law</t>
  </si>
  <si>
    <t xml:space="preserve">A rule that elements, materials, creatures, symbols, or power domains have stable strengths, weaknesses, cancellations, or transformations relative to one another.</t>
  </si>
  <si>
    <t xml:space="preserve">A game counter chart may simplify a richer cosmology; record both layers.</t>
  </si>
  <si>
    <t xml:space="preserve">fire versus ice; holy versus undead; five-phase overcoming</t>
  </si>
  <si>
    <t xml:space="preserve">combat balance, ritual selection, ecology</t>
  </si>
  <si>
    <t xml:space="preserve">elemental counter; opposition cycle</t>
  </si>
  <si>
    <t xml:space="preserve">LAW-518</t>
  </si>
  <si>
    <t xml:space="preserve">Cosmic Bureaucratic Law</t>
  </si>
  <si>
    <t xml:space="preserve">A system of petitions, registers, warrants, ranks, seals, jurisdictions, audits, and offices through which supernatural authority operates.</t>
  </si>
  <si>
    <t xml:space="preserve">Do not treat bureaucratic religion as merely comic administration; it may model real ritual and political relations.</t>
  </si>
  <si>
    <t xml:space="preserve">celestial registers; spirit warrants; underworld records</t>
  </si>
  <si>
    <t xml:space="preserve">ritual petitions, judgment, office power</t>
  </si>
  <si>
    <t xml:space="preserve">heavenly law; cosmic administration</t>
  </si>
  <si>
    <t xml:space="preserve">LAW-519</t>
  </si>
  <si>
    <t xml:space="preserve">Divine Nonintervention Rule</t>
  </si>
  <si>
    <t xml:space="preserve">A law, covenant, barrier, balance, or political agreement limiting direct divine action in the mortal world.</t>
  </si>
  <si>
    <t xml:space="preserve">The rule may be enforced by peers, cosmic mechanics, distance, consent, or fear of escalation.</t>
  </si>
  <si>
    <t xml:space="preserve">gods cannot act directly; proxy champions; closed heaven</t>
  </si>
  <si>
    <t xml:space="preserve">mortal agency, patron systems, plot constraints</t>
  </si>
  <si>
    <t xml:space="preserve">divine nonintervention; god limit</t>
  </si>
  <si>
    <t xml:space="preserve">LAW-520</t>
  </si>
  <si>
    <t xml:space="preserve">Prophecy Loophole</t>
  </si>
  <si>
    <t xml:space="preserve">A path through which a prophecy is fulfilled in an unexpected technical sense, avoided by a category exception, or reframed without being simply false.</t>
  </si>
  <si>
    <t xml:space="preserve">The solution relies on wording or category logic, not arbitrary reversal.</t>
  </si>
  <si>
    <t xml:space="preserve">neither man nor woman; not indoors or outdoors; symbolic fulfillment</t>
  </si>
  <si>
    <t xml:space="preserve">resolution, riddle, agency within fate</t>
  </si>
  <si>
    <t xml:space="preserve">prophecy loophole; oracle exception</t>
  </si>
  <si>
    <t xml:space="preserve">LAW-521</t>
  </si>
  <si>
    <t xml:space="preserve">Law of Invitation or Consent</t>
  </si>
  <si>
    <t xml:space="preserve">A rule requiring invitation, permission, voluntary agreement, recognition, or open threshold before certain beings or powers can enter, bind, transform, feed, or act.</t>
  </si>
  <si>
    <t xml:space="preserve">Consent may be manipulable or socially coerced; do not equate magical formality with ethical consent.</t>
  </si>
  <si>
    <t xml:space="preserve">vampire invitation; pact consent; opened door</t>
  </si>
  <si>
    <t xml:space="preserve">protection, trickery, social boundaries</t>
  </si>
  <si>
    <t xml:space="preserve">invitation rule; consent law</t>
  </si>
  <si>
    <t xml:space="preserve">LAW-522</t>
  </si>
  <si>
    <t xml:space="preserve">Law of Belief or Attention</t>
  </si>
  <si>
    <t xml:space="preserve">A rule under which worship, memory, story, fear, recognition, or collective attention sustains, creates, empowers, shapes, or destroys beings and worlds.</t>
  </si>
  <si>
    <t xml:space="preserve">Belief may be one causal factor rather than total ontological truth.</t>
  </si>
  <si>
    <t xml:space="preserve">gods need worship; stories make real; forgotten spirits fade</t>
  </si>
  <si>
    <t xml:space="preserve">religion, fame, memetics, narrative power</t>
  </si>
  <si>
    <t xml:space="preserve">belief power; attention law</t>
  </si>
  <si>
    <t xml:space="preserve">LAW-523</t>
  </si>
  <si>
    <t xml:space="preserve">Territorial Jurisdiction Law</t>
  </si>
  <si>
    <t xml:space="preserve">A rule that beings, gods, spirits, magic, courts, or powers have authority limited or altered by place, border, shrine, household, domain, or invitation.</t>
  </si>
  <si>
    <t xml:space="preserve">Jurisdiction is relational and institutional, not merely a range limit.</t>
  </si>
  <si>
    <t xml:space="preserve">household spirit rights; god's territory; court boundary</t>
  </si>
  <si>
    <t xml:space="preserve">politics, travel, conflict, sanctuary</t>
  </si>
  <si>
    <t xml:space="preserve">territorial law; domain jurisdiction</t>
  </si>
  <si>
    <t xml:space="preserve">LAW-601</t>
  </si>
  <si>
    <t xml:space="preserve">True Name</t>
  </si>
  <si>
    <t xml:space="preserve">A name that reveals or constitutes essential identity and grants recognition, summoning, protection, transformation, vulnerability, or control.</t>
  </si>
  <si>
    <t xml:space="preserve">Not every secret personal name is a metaphysical true name.</t>
  </si>
  <si>
    <t xml:space="preserve">birth name; soul name; hidden name</t>
  </si>
  <si>
    <t xml:space="preserve">identity, power, control, self-knowledge</t>
  </si>
  <si>
    <t xml:space="preserve">true name; secret name</t>
  </si>
  <si>
    <t xml:space="preserve">LAW-602</t>
  </si>
  <si>
    <t xml:space="preserve">Naming Creates or Transforms</t>
  </si>
  <si>
    <t xml:space="preserve">A rule under which giving, changing, withholding, or discovering a name creates identity, status, relationship, form, or reality.</t>
  </si>
  <si>
    <t xml:space="preserve">Naming may be divine, social, legal, magical, or narrative and should not be treated as one mechanism.</t>
  </si>
  <si>
    <t xml:space="preserve">name-giving; renaming; title transformation</t>
  </si>
  <si>
    <t xml:space="preserve">creation, initiation, domination, liberation</t>
  </si>
  <si>
    <t xml:space="preserve">performative naming; name magic</t>
  </si>
  <si>
    <t xml:space="preserve">LAW-603</t>
  </si>
  <si>
    <t xml:space="preserve">Spoken Oath Binding</t>
  </si>
  <si>
    <t xml:space="preserve">A rule that an oath becomes effective through formal utterance before witnesses, powers, objects, or places.</t>
  </si>
  <si>
    <t xml:space="preserve">Speech is the activating medium; silent intention alone is insufficient.</t>
  </si>
  <si>
    <t xml:space="preserve">sworn word; vow before fire; public promise</t>
  </si>
  <si>
    <t xml:space="preserve">legitimacy, evidence, magical consequence</t>
  </si>
  <si>
    <t xml:space="preserve">spoken oath; sworn word</t>
  </si>
  <si>
    <t xml:space="preserve">LAW-604</t>
  </si>
  <si>
    <t xml:space="preserve">Mantra or Invocatory Formula</t>
  </si>
  <si>
    <t xml:space="preserve">A source-specific sacred or operative utterance whose sound, repetition, meaning, authority, transmission, or realization produces effect.</t>
  </si>
  <si>
    <t xml:space="preserve">Do not translate mantra as generic 'magic word' or 'spell' without contextual evidence.</t>
  </si>
  <si>
    <t xml:space="preserve">sacred syllable; invocation; formula recitation</t>
  </si>
  <si>
    <t xml:space="preserve">ritual, meditation, weapon invocation, protection</t>
  </si>
  <si>
    <t xml:space="preserve">mantra; invocation formula</t>
  </si>
  <si>
    <t xml:space="preserve">Preserve linguistic, initiatory, devotional, philosophical, and ritual context. 'Mantra' is not a universal synonym for an incantation.</t>
  </si>
  <si>
    <t xml:space="preserve">LAW-605</t>
  </si>
  <si>
    <t xml:space="preserve">Rune or Operative Inscription</t>
  </si>
  <si>
    <t xml:space="preserve">A written, carved, painted, woven, or encoded sign that creates, stores, directs, seals, names, or authorizes an effect.</t>
  </si>
  <si>
    <t xml:space="preserve">Do not call every magical script 'runes'; use source-native terminology when available.</t>
  </si>
  <si>
    <t xml:space="preserve">sigil; glyph; seal script; enchanted writing</t>
  </si>
  <si>
    <t xml:space="preserve">warding, crafting, communication, spell storage</t>
  </si>
  <si>
    <t xml:space="preserve">rune; glyph; sigil</t>
  </si>
  <si>
    <t xml:space="preserve">LAW-606</t>
  </si>
  <si>
    <t xml:space="preserve">Secret Language of Power</t>
  </si>
  <si>
    <t xml:space="preserve">A language, grammar, script, tone, or vocabulary whose correct use directly affects reality, beings, or divine order.</t>
  </si>
  <si>
    <t xml:space="preserve">It may require lineage, initiation, understanding, or exact pronunciation.</t>
  </si>
  <si>
    <t xml:space="preserve">language of creation; dragon speech; divine tongue</t>
  </si>
  <si>
    <t xml:space="preserve">casting, authority, scholarship, identity</t>
  </si>
  <si>
    <t xml:space="preserve">language of power; sacred language</t>
  </si>
  <si>
    <t xml:space="preserve">LAW-607</t>
  </si>
  <si>
    <t xml:space="preserve">Taboo Name</t>
  </si>
  <si>
    <t xml:space="preserve">A name that must not be spoken, written, remembered, or revealed because doing so summons, empowers, dishonors, exposes, or violates.</t>
  </si>
  <si>
    <t xml:space="preserve">The prohibition and consequences matter more than mere secrecy.</t>
  </si>
  <si>
    <t xml:space="preserve">unspeakable god; forbidden title; erased name</t>
  </si>
  <si>
    <t xml:space="preserve">horror, protection, reverence, control</t>
  </si>
  <si>
    <t xml:space="preserve">taboo name; forbidden name</t>
  </si>
  <si>
    <t xml:space="preserve">LAW-608</t>
  </si>
  <si>
    <t xml:space="preserve">Recognition or Identity Test</t>
  </si>
  <si>
    <t xml:space="preserve">A rule or ordeal that reveals rightful identity, lineage, office, humanity, loyalty, or hidden transformation.</t>
  </si>
  <si>
    <t xml:space="preserve">Recognition can depend on artifact, password, memory, mark, behavior, or witness.</t>
  </si>
  <si>
    <t xml:space="preserve">sword test; secret sign; true-form trial</t>
  </si>
  <si>
    <t xml:space="preserve">succession, infiltration, revelation</t>
  </si>
  <si>
    <t xml:space="preserve">identity test; recognition trial</t>
  </si>
  <si>
    <t xml:space="preserve">LAW-609</t>
  </si>
  <si>
    <t xml:space="preserve">Invitation Threshold</t>
  </si>
  <si>
    <t xml:space="preserve">A rule under which words, gestures, opening, hospitality, or consent allow a being or power to cross a boundary.</t>
  </si>
  <si>
    <t xml:space="preserve">This is the linguistic or social mechanism of access; pair with cosmological threshold entries as needed.</t>
  </si>
  <si>
    <t xml:space="preserve">come in; named guest; opened gate</t>
  </si>
  <si>
    <t xml:space="preserve">protection, trickery, pact formation</t>
  </si>
  <si>
    <t xml:space="preserve">invitation threshold; spoken entry</t>
  </si>
  <si>
    <t xml:space="preserve">LAW-610</t>
  </si>
  <si>
    <t xml:space="preserve">Symbolic Correspondence</t>
  </si>
  <si>
    <t xml:space="preserve">A rule that colors, animals, metals, directions, planets, gestures, diagrams, or images participate in broader networks of meaning and power.</t>
  </si>
  <si>
    <t xml:space="preserve">Correspondence systems are historically and culturally specific; avoid inventing universal charts.</t>
  </si>
  <si>
    <t xml:space="preserve">planetary metal; color-direction link; ritual diagram</t>
  </si>
  <si>
    <t xml:space="preserve">ritual design, divination, crafting</t>
  </si>
  <si>
    <t xml:space="preserve">symbolic correspondence; occult table</t>
  </si>
  <si>
    <t xml:space="preserve">LAW-611</t>
  </si>
  <si>
    <t xml:space="preserve">Story or Belief Makes Real</t>
  </si>
  <si>
    <t xml:space="preserve">A rule under which repeated narratives, collective belief, names, roles, or expectations materially generate or transform reality.</t>
  </si>
  <si>
    <t xml:space="preserve">This can be metaphysical, psychological, social, or game-systemic; identify the mechanism.</t>
  </si>
  <si>
    <t xml:space="preserve">legend creates hero; fear creates monster; trope becomes law</t>
  </si>
  <si>
    <t xml:space="preserve">metafiction, religion, memetic beings</t>
  </si>
  <si>
    <t xml:space="preserve">narrative reality; belief-made form</t>
  </si>
  <si>
    <t xml:space="preserve">LAW-612</t>
  </si>
  <si>
    <t xml:space="preserve">Music or Song as Operative Law</t>
  </si>
  <si>
    <t xml:space="preserve">A rule under which melody, rhythm, harmony, performance, or cosmic music structures reality or reliably produces supernatural effects.</t>
  </si>
  <si>
    <t xml:space="preserve">Not all bardic performance is cosmological song-law.</t>
  </si>
  <si>
    <t xml:space="preserve">creation music; song magic; command melody</t>
  </si>
  <si>
    <t xml:space="preserve">creation, healing, enchantment, memory</t>
  </si>
  <si>
    <t xml:space="preserve">song law; music magic</t>
  </si>
  <si>
    <t xml:space="preserve">LAW-613</t>
  </si>
  <si>
    <t xml:space="preserve">Written Contract Enforcement</t>
  </si>
  <si>
    <t xml:space="preserve">A rule under which written terms, signatures, seals, marks, or recorded names produce automatic or supernatural enforcement.</t>
  </si>
  <si>
    <t xml:space="preserve">The writing itself must be operative, not just evidence of an oral pact.</t>
  </si>
  <si>
    <t xml:space="preserve">signed soul contract; magic charter; sealed warrant</t>
  </si>
  <si>
    <t xml:space="preserve">legalism, bureaucracy, bargains</t>
  </si>
  <si>
    <t xml:space="preserve">binding document; enchanted contract</t>
  </si>
  <si>
    <t xml:space="preserve">LAW-614</t>
  </si>
  <si>
    <t xml:space="preserve">Word of Command</t>
  </si>
  <si>
    <t xml:space="preserve">A privileged utterance that compels beings, activates artifacts, opens seals, halts action, or imposes temporary order.</t>
  </si>
  <si>
    <t xml:space="preserve">It may derive from office, true name, divine authority, or technical access.</t>
  </si>
  <si>
    <t xml:space="preserve">command word; activation phrase; royal order</t>
  </si>
  <si>
    <t xml:space="preserve">control, authentication, artifact use</t>
  </si>
  <si>
    <t xml:space="preserve">word of command; command phrase</t>
  </si>
  <si>
    <t xml:space="preserve">LAW-615</t>
  </si>
  <si>
    <t xml:space="preserve">Silence as Power or Protection</t>
  </si>
  <si>
    <t xml:space="preserve">A rule under which withholding speech, names, music, or acknowledgment preserves power, prevents summoning, resists control, or fulfills a vow.</t>
  </si>
  <si>
    <t xml:space="preserve">Silence is operative rather than merely absence of dialogue.</t>
  </si>
  <si>
    <t xml:space="preserve">vow of silence; unsaid name; anti-song ward</t>
  </si>
  <si>
    <t xml:space="preserve">protection, discipline, secrecy, resistance</t>
  </si>
  <si>
    <t xml:space="preserve">sacred silence; silent ward</t>
  </si>
  <si>
    <t xml:space="preserve">LAW-616</t>
  </si>
  <si>
    <t xml:space="preserve">Witness and Public Recognition</t>
  </si>
  <si>
    <t xml:space="preserve">A rule that an act, oath, succession, marriage, crime, gift, or transformation gains force only through recognized witnesses or communal acknowledgment.</t>
  </si>
  <si>
    <t xml:space="preserve">Witness can be divine, ancestral, legal, social, or magical.</t>
  </si>
  <si>
    <t xml:space="preserve">witnessed vow; acclaimed king; named adoption</t>
  </si>
  <si>
    <t xml:space="preserve">legitimacy, memory, enforceability</t>
  </si>
  <si>
    <t xml:space="preserve">witness rule; public recognition</t>
  </si>
  <si>
    <t xml:space="preserve">LAW-701</t>
  </si>
  <si>
    <t xml:space="preserve">Reincarnation Rule</t>
  </si>
  <si>
    <t xml:space="preserve">A rule governing whether, how, when, and into what beings or worlds a consciousness, soul, lineage, identity, or karmic stream is reborn.</t>
  </si>
  <si>
    <t xml:space="preserve">Do not assume a permanent soul, moral ranking, or memory continuity; doctrines vary substantially.</t>
  </si>
  <si>
    <t xml:space="preserve">rebirth; transmigration; return cycle</t>
  </si>
  <si>
    <t xml:space="preserve">afterlife, progression, moral causation</t>
  </si>
  <si>
    <t xml:space="preserve">reincarnation; rebirth law</t>
  </si>
  <si>
    <t xml:space="preserve">LAW-702</t>
  </si>
  <si>
    <t xml:space="preserve">Resurrection Cost</t>
  </si>
  <si>
    <t xml:space="preserve">A requirement, payment, loss, danger, ritual, exchange, or limitation attached to returning a dead being to embodied life.</t>
  </si>
  <si>
    <t xml:space="preserve">The cost may fall on the returned person, resurrector, substitute, community, or world.</t>
  </si>
  <si>
    <t xml:space="preserve">life exchange; rare relic; memory loss; soul debt</t>
  </si>
  <si>
    <t xml:space="preserve">stakes, resource economy, ethical conflict</t>
  </si>
  <si>
    <t xml:space="preserve">resurrection cost; price of return</t>
  </si>
  <si>
    <t xml:space="preserve">LAW-703</t>
  </si>
  <si>
    <t xml:space="preserve">Limited Returns from Death</t>
  </si>
  <si>
    <t xml:space="preserve">A rule restricting resurrection by number, time, manner of death, body integrity, consent, soul location, divine permission, or cosmic balance.</t>
  </si>
  <si>
    <t xml:space="preserve">The restriction preserves death's consequence and defines exceptions.</t>
  </si>
  <si>
    <t xml:space="preserve">one return; time window; no return after judgment</t>
  </si>
  <si>
    <t xml:space="preserve">stakes, quest urgency, worldbuilding</t>
  </si>
  <si>
    <t xml:space="preserve">limited resurrection; return limit</t>
  </si>
  <si>
    <t xml:space="preserve">LAW-704</t>
  </si>
  <si>
    <t xml:space="preserve">Soul Judgment</t>
  </si>
  <si>
    <t xml:space="preserve">A rule under which the dead are evaluated and assigned consequences, realms, rebirths, purification, service, or dissolution.</t>
  </si>
  <si>
    <t xml:space="preserve">Criteria may include deeds, ritual condition, identity, truth, affiliation, or divine decision.</t>
  </si>
  <si>
    <t xml:space="preserve">weighing soul; book of deeds; underworld trial</t>
  </si>
  <si>
    <t xml:space="preserve">afterlife sorting, accountability</t>
  </si>
  <si>
    <t xml:space="preserve">judgment of dead; soul trial</t>
  </si>
  <si>
    <t xml:space="preserve">LAW-705</t>
  </si>
  <si>
    <t xml:space="preserve">Psychopomp Passage Rule</t>
  </si>
  <si>
    <t xml:space="preserve">A rule requiring a guide, ferryman, animal, deity, ancestor, ritual specialist, or route for safe transition after death.</t>
  </si>
  <si>
    <t xml:space="preserve">The guide may assist, compel, judge, or protect rather than merely transport.</t>
  </si>
  <si>
    <t xml:space="preserve">ferryman; death guide; ancestral escort</t>
  </si>
  <si>
    <t xml:space="preserve">funeral rites, afterlife journey, rescue</t>
  </si>
  <si>
    <t xml:space="preserve">psychopomp rule; guided passage</t>
  </si>
  <si>
    <t xml:space="preserve">LAW-706</t>
  </si>
  <si>
    <t xml:space="preserve">Burial or Funeral Requirement</t>
  </si>
  <si>
    <t xml:space="preserve">A rule under which proper burial, cremation, exposure, mourning, naming, offerings, or funerary rites affect rest, identity, passage, return, or haunting.</t>
  </si>
  <si>
    <t xml:space="preserve">Do not universalize one funeral form or depict unburied dead as morally culpable.</t>
  </si>
  <si>
    <t xml:space="preserve">burial coin; funeral fire; named grave</t>
  </si>
  <si>
    <t xml:space="preserve">kinship duty, ghost prevention, social memory</t>
  </si>
  <si>
    <t xml:space="preserve">funeral requirement; burial law</t>
  </si>
  <si>
    <t xml:space="preserve">LAW-707</t>
  </si>
  <si>
    <t xml:space="preserve">Unfinished Business Rule</t>
  </si>
  <si>
    <t xml:space="preserve">A rule under which attachment, oath, trauma, duty, injustice, love, debt, or uncompleted task prevents the dead from passing on.</t>
  </si>
  <si>
    <t xml:space="preserve">This may be an in-world belief rather than an objective law; record evidence status.</t>
  </si>
  <si>
    <t xml:space="preserve">vengeful ghost; guardian ancestor; oathbound dead</t>
  </si>
  <si>
    <t xml:space="preserve">haunting, closure quest, testimony</t>
  </si>
  <si>
    <t xml:space="preserve">unfinished business; lingering obligation</t>
  </si>
  <si>
    <t xml:space="preserve">LAW-708</t>
  </si>
  <si>
    <t xml:space="preserve">Name or Memory Sustains the Dead</t>
  </si>
  <si>
    <t xml:space="preserve">A rule under which remembrance, spoken names, stories, offerings, images, descendants, or records preserve a dead being's identity or power.</t>
  </si>
  <si>
    <t xml:space="preserve">Memory may sustain social presence, literal spirit existence, or divine status; distinguish the mechanism.</t>
  </si>
  <si>
    <t xml:space="preserve">ancestor remembrance; forgotten god; true-name memorial</t>
  </si>
  <si>
    <t xml:space="preserve">ritual, grief, fame, extinction</t>
  </si>
  <si>
    <t xml:space="preserve">memory sustains; name remembrance</t>
  </si>
  <si>
    <t xml:space="preserve">LAW-709</t>
  </si>
  <si>
    <t xml:space="preserve">Soul-Partition Rule</t>
  </si>
  <si>
    <t xml:space="preserve">A rule in which a person's soul, identity, life, memory, shadow, breath, or consciousness can divide into components with separate fates.</t>
  </si>
  <si>
    <t xml:space="preserve">Do not impose a unitary Western soul model on traditions with multiple person-components.</t>
  </si>
  <si>
    <t xml:space="preserve">split soul; lost shadow; divided spirit</t>
  </si>
  <si>
    <t xml:space="preserve">healing, vulnerability, afterlife complexity</t>
  </si>
  <si>
    <t xml:space="preserve">soul parts; partitioned spirit</t>
  </si>
  <si>
    <t xml:space="preserve">LAW-710</t>
  </si>
  <si>
    <t xml:space="preserve">External-Life Rule</t>
  </si>
  <si>
    <t xml:space="preserve">A being's life or death is located outside its ordinary body in an object, animal, place, name, sequence, or nested container.</t>
  </si>
  <si>
    <t xml:space="preserve">This can create conditional immortality without implying a lich or deliberate soul magic.</t>
  </si>
  <si>
    <t xml:space="preserve">life in egg; death in needle; hidden heart</t>
  </si>
  <si>
    <t xml:space="preserve">quest puzzle, invulnerability, vulnerability</t>
  </si>
  <si>
    <t xml:space="preserve">external soul; life outside body</t>
  </si>
  <si>
    <t xml:space="preserve">LAW-711</t>
  </si>
  <si>
    <t xml:space="preserve">Feeding Requirement for Undeath or Immortality</t>
  </si>
  <si>
    <t xml:space="preserve">A rule that continued supernatural existence requires recurring consumption of blood, life, breath, memory, emotion, souls, worship, or another resource.</t>
  </si>
  <si>
    <t xml:space="preserve">Feeding may be biological, magical, social, or symbolic and should not be moralized automatically.</t>
  </si>
  <si>
    <t xml:space="preserve">blood hunger; soul consumption; worship dependence</t>
  </si>
  <si>
    <t xml:space="preserve">resource pressure, horror, ethics</t>
  </si>
  <si>
    <t xml:space="preserve">feeding requirement; hunger law</t>
  </si>
  <si>
    <t xml:space="preserve">LAW-712</t>
  </si>
  <si>
    <t xml:space="preserve">Conditional Immortality</t>
  </si>
  <si>
    <t xml:space="preserve">A rule granting freedom from aging or ordinary death only while a location, object, vow, body, secret, element, relationship, or prohibition remains intact.</t>
  </si>
  <si>
    <t xml:space="preserve">It differs from absolute immortality and often creates a hidden vulnerability.</t>
  </si>
  <si>
    <t xml:space="preserve">immortal while flame burns; no death on land; unaging until oath breaks</t>
  </si>
  <si>
    <t xml:space="preserve">mystery, invulnerability puzzle, tragic bargain</t>
  </si>
  <si>
    <t xml:space="preserve">conditional immortality; death exception</t>
  </si>
  <si>
    <t xml:space="preserve">LAW-713</t>
  </si>
  <si>
    <t xml:space="preserve">Death Substitute</t>
  </si>
  <si>
    <t xml:space="preserve">A rule allowing another being, object, animal, duplicate, future self, or portion of life to die in place of the intended person.</t>
  </si>
  <si>
    <t xml:space="preserve">Substitution can be voluntary, coerced, ritualized, or automatic.</t>
  </si>
  <si>
    <t xml:space="preserve">scapegoat death; proxy life; clone sacrifice</t>
  </si>
  <si>
    <t xml:space="preserve">rescue, injustice, immortality cost</t>
  </si>
  <si>
    <t xml:space="preserve">death substitute; proxy mortality</t>
  </si>
  <si>
    <t xml:space="preserve">LAW-714</t>
  </si>
  <si>
    <t xml:space="preserve">Ancestral Return</t>
  </si>
  <si>
    <t xml:space="preserve">A rule under which ancestors return through reincarnation, possession, naming, dreams, office succession, bloodline manifestation, or recurring social role.</t>
  </si>
  <si>
    <t xml:space="preserve">Not every resemblance or inherited trait is literal reincarnation.</t>
  </si>
  <si>
    <t xml:space="preserve">ancestor reborn; returning founder; lineage spirit</t>
  </si>
  <si>
    <t xml:space="preserve">kinship, legitimacy, memory</t>
  </si>
  <si>
    <t xml:space="preserve">ancestral return; ancestor rebirth</t>
  </si>
  <si>
    <t xml:space="preserve">LAW-715</t>
  </si>
  <si>
    <t xml:space="preserve">Escape from the Cycle or Liberation</t>
  </si>
  <si>
    <t xml:space="preserve">A rule or goal by which beings cease compulsory rebirth, death, attachment, ignorance, bondage, or cosmological repetition.</t>
  </si>
  <si>
    <t xml:space="preserve">Do not flatten mokṣa, nirvāṇa, immortality, apotheosis, and game ascension into one concept.</t>
  </si>
  <si>
    <t xml:space="preserve">liberation; cycle escape; release</t>
  </si>
  <si>
    <t xml:space="preserve">spiritual goal, final transformation, renunciation</t>
  </si>
  <si>
    <t xml:space="preserve">liberation; release from cycle</t>
  </si>
  <si>
    <t xml:space="preserve">Use source-native terms and doctrinal distinctions. South Asian concepts such as mokṣa and nirvāṇa are not interchangeable with each other or with generic fantasy transcendence.</t>
  </si>
  <si>
    <t xml:space="preserve">LAW-716</t>
  </si>
  <si>
    <t xml:space="preserve">Ghost-Making Condition</t>
  </si>
  <si>
    <t xml:space="preserve">A rule specifying which deaths, emotions, rites, injustices, places, identities, or violations generate ghosts or revenants.</t>
  </si>
  <si>
    <t xml:space="preserve">The condition may be a cultural belief, narrative pattern, or objective setting law.</t>
  </si>
  <si>
    <t xml:space="preserve">violent death; improper burial; betrayal; curse</t>
  </si>
  <si>
    <t xml:space="preserve">horror ecology, funeral duty, investigation</t>
  </si>
  <si>
    <t xml:space="preserve">ghost condition; revenant rule</t>
  </si>
  <si>
    <t xml:space="preserve">LAW-717</t>
  </si>
  <si>
    <t xml:space="preserve">Final Death or Soul Destruction</t>
  </si>
  <si>
    <t xml:space="preserve">A rule under which an otherwise resurrectable, immortal, divine, undead, or spiritual being can be permanently ended.</t>
  </si>
  <si>
    <t xml:space="preserve">The method may involve true name, soul vessel, special weapon, judgment, forgetting, or realm destruction.</t>
  </si>
  <si>
    <t xml:space="preserve">second death; unmaking; soul erasure</t>
  </si>
  <si>
    <t xml:space="preserve">ultimate stakes, taboo, release</t>
  </si>
  <si>
    <t xml:space="preserve">final death; true death</t>
  </si>
  <si>
    <t xml:space="preserve">LAW-718</t>
  </si>
  <si>
    <t xml:space="preserve">Consent of the Dead</t>
  </si>
  <si>
    <t xml:space="preserve">A rule requiring a dead being's willingness, identity, or continuing attachment for resurrection, summoning, possession, communion, or release.</t>
  </si>
  <si>
    <t xml:space="preserve">Consent may be unknown or manipulated; distinguish ethical from merely technical permission.</t>
  </si>
  <si>
    <t xml:space="preserve">soul refuses return; ancestor answers; willing possession</t>
  </si>
  <si>
    <t xml:space="preserve">resurrection ethics, necromancy limits</t>
  </si>
  <si>
    <t xml:space="preserve">consent of dead; willing return</t>
  </si>
  <si>
    <t xml:space="preserve">LAW-801</t>
  </si>
  <si>
    <t xml:space="preserve">Sacred Hospitality</t>
  </si>
  <si>
    <t xml:space="preserve">A rule binding hosts and guests to protection, food, truth, restraint, reciprocity, gift, and proper departure under divine or supernatural sanction.</t>
  </si>
  <si>
    <t xml:space="preserve">Hospitality traditions are culturally specific; do not reduce them to a generic inn buff or simple politeness.</t>
  </si>
  <si>
    <t xml:space="preserve">guest-right; xenia-like rule; protected visitor</t>
  </si>
  <si>
    <t xml:space="preserve">diplomacy, disguise, moral test, sanctuary</t>
  </si>
  <si>
    <t xml:space="preserve">sacred hospitality; guest right</t>
  </si>
  <si>
    <t xml:space="preserve">Use source-native hospitality concepts where available. Greek xenia, South Asian atithi-dharma, and other traditions have distinct institutions and meanings.</t>
  </si>
  <si>
    <t xml:space="preserve">LAW-802</t>
  </si>
  <si>
    <t xml:space="preserve">Guest–Host Reciprocity</t>
  </si>
  <si>
    <t xml:space="preserve">A continuing exchange of gifts, obligations, protection, information, remembrance, or future welcome created by hosting.</t>
  </si>
  <si>
    <t xml:space="preserve">The relationship may outlast the visit and bind descendants or polities.</t>
  </si>
  <si>
    <t xml:space="preserve">guest gift; return hospitality; host debt</t>
  </si>
  <si>
    <t xml:space="preserve">alliance, travel safety, social network</t>
  </si>
  <si>
    <t xml:space="preserve">guest-host bond; hospitality debt</t>
  </si>
  <si>
    <t xml:space="preserve">LAW-803</t>
  </si>
  <si>
    <t xml:space="preserve">Kinship Blessing or Curse</t>
  </si>
  <si>
    <t xml:space="preserve">A rule under which actions toward parents, children, siblings, spouses, elders, dependents, or lineage trigger special blessings, curses, duties, or collective effects.</t>
  </si>
  <si>
    <t xml:space="preserve">Kinship obligations vary; record conflict, hierarchy, and exclusion critically.</t>
  </si>
  <si>
    <t xml:space="preserve">parental blessing; mother's curse; sibling oath</t>
  </si>
  <si>
    <t xml:space="preserve">family drama, legitimacy, consequence</t>
  </si>
  <si>
    <t xml:space="preserve">kinship blessing; family curse</t>
  </si>
  <si>
    <t xml:space="preserve">LAW-804</t>
  </si>
  <si>
    <t xml:space="preserve">Blood Feud or Vengeance Obligation</t>
  </si>
  <si>
    <t xml:space="preserve">A rule requiring kin, household, clan, sworn group, or office to avenge injury, death, dishonor, or broken settlement.</t>
  </si>
  <si>
    <t xml:space="preserve">It may be limited by compensation, sanctuary, truce, marriage, or law rather than endless violence.</t>
  </si>
  <si>
    <t xml:space="preserve">vendetta; revenge duty; wergild-like settlement</t>
  </si>
  <si>
    <t xml:space="preserve">conflict propagation, diplomacy, tragedy</t>
  </si>
  <si>
    <t xml:space="preserve">blood feud; vengeance duty</t>
  </si>
  <si>
    <t xml:space="preserve">LAW-805</t>
  </si>
  <si>
    <t xml:space="preserve">Fosterage or Adoption Bond</t>
  </si>
  <si>
    <t xml:space="preserve">A socially, ritually, legally, or magically recognized kinship created through raising, naming, feeding, teaching, oath, or formal adoption.</t>
  </si>
  <si>
    <t xml:space="preserve">It can equal or supersede descent and should not be treated as lesser 'found family' by default.</t>
  </si>
  <si>
    <t xml:space="preserve">foster brother; ritual child; adopted heir</t>
  </si>
  <si>
    <t xml:space="preserve">alliance, succession, identity, loyalty</t>
  </si>
  <si>
    <t xml:space="preserve">fosterage; adoption bond</t>
  </si>
  <si>
    <t xml:space="preserve">LAW-806</t>
  </si>
  <si>
    <t xml:space="preserve">Teacher–Disciple Debt</t>
  </si>
  <si>
    <t xml:space="preserve">A relationship in which instruction, initiation, lineage transmission, protection, service, fee, obedience, or succession creates enduring reciprocal duties.</t>
  </si>
  <si>
    <t xml:space="preserve">It is not reducible to a classroom or generic mentor role.</t>
  </si>
  <si>
    <t xml:space="preserve">guru-disciple bond; master-apprentice oath; transmission debt</t>
  </si>
  <si>
    <t xml:space="preserve">training, institution, betrayal, inheritance</t>
  </si>
  <si>
    <t xml:space="preserve">teacher-disciple obligation; lineage debt</t>
  </si>
  <si>
    <t xml:space="preserve">LAW-807</t>
  </si>
  <si>
    <t xml:space="preserve">Gift-Debt</t>
  </si>
  <si>
    <t xml:space="preserve">A rule under which accepting a gift creates obligation, vulnerability, alliance, identity, or requirement of return.</t>
  </si>
  <si>
    <t xml:space="preserve">A gift may be coercive or impossible to refuse; reciprocity need not be equal.</t>
  </si>
  <si>
    <t xml:space="preserve">faerie gift; royal gift; binding present</t>
  </si>
  <si>
    <t xml:space="preserve">social power, bargain, temptation</t>
  </si>
  <si>
    <t xml:space="preserve">gift debt; obligation of acceptance</t>
  </si>
  <si>
    <t xml:space="preserve">LAW-808</t>
  </si>
  <si>
    <t xml:space="preserve">Marriage Trial or Bridegroom/Bride Test</t>
  </si>
  <si>
    <t xml:space="preserve">A formal ordeal, contest, task, lineage test, riddle, payment, choice, or recognition process governing marriage or union.</t>
  </si>
  <si>
    <t xml:space="preserve">Record agency, coercion, and social structure rather than treating the person as a prize.</t>
  </si>
  <si>
    <t xml:space="preserve">archery contest; impossible tasks; identity test</t>
  </si>
  <si>
    <t xml:space="preserve">alliance, succession, heroic proof</t>
  </si>
  <si>
    <t xml:space="preserve">marriage trial; suitor test</t>
  </si>
  <si>
    <t xml:space="preserve">LAW-809</t>
  </si>
  <si>
    <t xml:space="preserve">Succession by Sign or Relic</t>
  </si>
  <si>
    <t xml:space="preserve">A rule determining legitimate succession through recognition by an artifact, omen, mark, divine choice, public acclamation, ancestry, or ordeal.</t>
  </si>
  <si>
    <t xml:space="preserve">This family concerns the rule of transition, not the artifact alone.</t>
  </si>
  <si>
    <t xml:space="preserve">sword chooses king; sacred mark; throne test</t>
  </si>
  <si>
    <t xml:space="preserve">legitimacy, civil war, revelation</t>
  </si>
  <si>
    <t xml:space="preserve">succession sign; chosen heir rule</t>
  </si>
  <si>
    <t xml:space="preserve">LAW-810</t>
  </si>
  <si>
    <t xml:space="preserve">Oath Brotherhood or Chosen Kinship</t>
  </si>
  <si>
    <t xml:space="preserve">A formally created kinship among unrelated persons through oath, ritual, blood, shared meal, adoption, or common cause.</t>
  </si>
  <si>
    <t xml:space="preserve">The bond may carry duties equal to or greater than descent.</t>
  </si>
  <si>
    <t xml:space="preserve">sworn brothers; shield siblings; ritual kin</t>
  </si>
  <si>
    <t xml:space="preserve">party cohesion, alliance, tragedy</t>
  </si>
  <si>
    <t xml:space="preserve">oath kinship; sworn siblings</t>
  </si>
  <si>
    <t xml:space="preserve">LAW-811</t>
  </si>
  <si>
    <t xml:space="preserve">Collective Consequence</t>
  </si>
  <si>
    <t xml:space="preserve">A rule under which an individual's act affects household, lineage, city, land, army, species, or future generations through curse, honor, pollution, debt, or cosmic solidarity.</t>
  </si>
  <si>
    <t xml:space="preserve">This may reflect source ideology and should be critically distinguished from ethical endorsement.</t>
  </si>
  <si>
    <t xml:space="preserve">family curse; city punished; inherited guilt</t>
  </si>
  <si>
    <t xml:space="preserve">political theology, tragedy, restitution</t>
  </si>
  <si>
    <t xml:space="preserve">collective consequence; corporate guilt</t>
  </si>
  <si>
    <t xml:space="preserve">LAW-812</t>
  </si>
  <si>
    <t xml:space="preserve">Ancestor Obligation</t>
  </si>
  <si>
    <t xml:space="preserve">Duties owed to ancestors through remembrance, ritual, burial, name, land, behavior, office, or continuation of lineage and tradition.</t>
  </si>
  <si>
    <t xml:space="preserve">Do not treat ancestor relations as superstition or generic necromancy.</t>
  </si>
  <si>
    <t xml:space="preserve">funeral duty; lineage rites; ancestral law</t>
  </si>
  <si>
    <t xml:space="preserve">identity, legitimacy, protection, social continuity</t>
  </si>
  <si>
    <t xml:space="preserve">ancestor duty; ancestral obligation</t>
  </si>
  <si>
    <t xml:space="preserve">LAW-813</t>
  </si>
  <si>
    <t xml:space="preserve">Exile as Ritual or Social State</t>
  </si>
  <si>
    <t xml:space="preserve">A condition of removal from land, kin, office, protection, purity, or legal identity with defined terms and transformative consequences.</t>
  </si>
  <si>
    <t xml:space="preserve">Exile is not merely travel; it suspends or changes social belonging and rights.</t>
  </si>
  <si>
    <t xml:space="preserve">banishment; forest exile; outlawry; pilgrimage exile</t>
  </si>
  <si>
    <t xml:space="preserve">identity, ordeal, succession, return</t>
  </si>
  <si>
    <t xml:space="preserve">exile state; banishment law</t>
  </si>
  <si>
    <t xml:space="preserve">LAW-814</t>
  </si>
  <si>
    <t xml:space="preserve">Pilgrimage Merit or Transformation</t>
  </si>
  <si>
    <t xml:space="preserve">A rule under which visiting, circling, bathing, climbing, remembering, serving, or enduring along sacred geography creates merit, healing, status, knowledge, or transformed identity.</t>
  </si>
  <si>
    <t xml:space="preserve">Do not reduce pilgrimage to a quest checklist or travel bonus.</t>
  </si>
  <si>
    <t xml:space="preserve">holy circuit; sacred bath; mountain ascent</t>
  </si>
  <si>
    <t xml:space="preserve">ritual practice, social exchange, transformation</t>
  </si>
  <si>
    <t xml:space="preserve">pilgrimage merit; sacred journey effect</t>
  </si>
  <si>
    <t xml:space="preserve">LAW-815</t>
  </si>
  <si>
    <t xml:space="preserve">Trial by Ordeal</t>
  </si>
  <si>
    <t xml:space="preserve">A formal test using danger, combat, elements, poison, sacred object, oath, dream, or divine sign to determine truth, innocence, eligibility, or favor.</t>
  </si>
  <si>
    <t xml:space="preserve">The ordeal's social authority matters even where its empirical reliability is contested.</t>
  </si>
  <si>
    <t xml:space="preserve">fire ordeal; water test; weapon trial</t>
  </si>
  <si>
    <t xml:space="preserve">judgment, initiation, succession, conflict</t>
  </si>
  <si>
    <t xml:space="preserve">ordeal; divine test</t>
  </si>
  <si>
    <t xml:space="preserve">LAW-816</t>
  </si>
  <si>
    <t xml:space="preserve">Sanctuary Violation</t>
  </si>
  <si>
    <t xml:space="preserve">A special offense committed by harming a guest, supplicant, refugee, priest, messenger, enemy under truce, or protected person within sanctuary.</t>
  </si>
  <si>
    <t xml:space="preserve">The violation threatens social trust and sacred order beyond the immediate harm.</t>
  </si>
  <si>
    <t xml:space="preserve">guest murder; altar violence; broken truce</t>
  </si>
  <si>
    <t xml:space="preserve">curse, war, legitimacy crisis</t>
  </si>
  <si>
    <t xml:space="preserve">sanctuary violation; guest-right breach</t>
  </si>
  <si>
    <t xml:space="preserve">LAW-817</t>
  </si>
  <si>
    <t xml:space="preserve">Messenger or Envoy Immunity</t>
  </si>
  <si>
    <t xml:space="preserve">A rule protecting heralds, envoys, messengers, negotiators, or ritual intermediaries from harm while performing recognized duties.</t>
  </si>
  <si>
    <t xml:space="preserve">Protection may be sacred, customary, legal, or strategically reciprocal.</t>
  </si>
  <si>
    <t xml:space="preserve">herald's peace; envoy law; truce bearer</t>
  </si>
  <si>
    <t xml:space="preserve">diplomacy, war ethics, betrayal</t>
  </si>
  <si>
    <t xml:space="preserve">envoy immunity; messenger law</t>
  </si>
  <si>
    <t xml:space="preserve">LAW-818</t>
  </si>
  <si>
    <t xml:space="preserve">Food-Sharing Bond</t>
  </si>
  <si>
    <t xml:space="preserve">A rule under which eating or drinking together establishes kinship, truce, hospitality, pact, protection, or contamination.</t>
  </si>
  <si>
    <t xml:space="preserve">Shared food may bind across species or realms; details are source-specific.</t>
  </si>
  <si>
    <t xml:space="preserve">bread and salt; shared cup; otherworld food</t>
  </si>
  <si>
    <t xml:space="preserve">alliance, taboo, transformation, belonging</t>
  </si>
  <si>
    <t xml:space="preserve">commensality; food bond</t>
  </si>
  <si>
    <t xml:space="preserve">LAW-819</t>
  </si>
  <si>
    <t xml:space="preserve">Right of Return or Homecoming</t>
  </si>
  <si>
    <t xml:space="preserve">A recognized social, dynastic, sacred, or cosmological claim to return from exile, displacement, death, pilgrimage, or hidden identity.</t>
  </si>
  <si>
    <t xml:space="preserve">The right may conflict with current authority and require recognition or restoration.</t>
  </si>
  <si>
    <t xml:space="preserve">returning king; restored heir; homecoming covenant</t>
  </si>
  <si>
    <t xml:space="preserve">succession, restitution, identity</t>
  </si>
  <si>
    <t xml:space="preserve">right of return; homecoming claim</t>
  </si>
  <si>
    <t xml:space="preserve">MEC-431</t>
  </si>
  <si>
    <t xml:space="preserve">Stress Resource Track</t>
  </si>
  <si>
    <t xml:space="preserve">A persistent nonphysical resource representing fear, strain, morale, sanity pressure, or psychological overload.</t>
  </si>
  <si>
    <t xml:space="preserve">It is distinct from health and must materially alter decisions or outcomes rather than serving as flavor.</t>
  </si>
  <si>
    <t xml:space="preserve">stress meter; sanity pressure; morale strain</t>
  </si>
  <si>
    <t xml:space="preserve">risk escalation, retreat decisions, long-term management</t>
  </si>
  <si>
    <t xml:space="preserve">stress; resolve; sanity track</t>
  </si>
  <si>
    <t xml:space="preserve">MEC-432</t>
  </si>
  <si>
    <t xml:space="preserve">Crisis Threshold or Resolve Check</t>
  </si>
  <si>
    <t xml:space="preserve">A threshold event where accumulated stress or danger triggers a test that branches into breakdown, resilience, transformation, or another state.</t>
  </si>
  <si>
    <t xml:space="preserve">The threshold produces a discrete state change, not merely a linear penalty.</t>
  </si>
  <si>
    <t xml:space="preserve">resolve test; panic check; breaking point</t>
  </si>
  <si>
    <t xml:space="preserve">dramatic crisis, variance, character differentiation</t>
  </si>
  <si>
    <t xml:space="preserve">crisis check; resolve threshold</t>
  </si>
  <si>
    <t xml:space="preserve">MEC-433</t>
  </si>
  <si>
    <t xml:space="preserve">Affliction-or-Virtue Branch</t>
  </si>
  <si>
    <t xml:space="preserve">A branching crisis mechanic in which the same pressure can produce a harmful affliction or a beneficial resilient state.</t>
  </si>
  <si>
    <t xml:space="preserve">The positive and negative outcomes are paired responses to crisis, not ordinary buffs and debuffs.</t>
  </si>
  <si>
    <t xml:space="preserve">breakdown versus heroism; vice/virtue crisis</t>
  </si>
  <si>
    <t xml:space="preserve">emergent narrative, comeback, collapse</t>
  </si>
  <si>
    <t xml:space="preserve">affliction/virtue; crisis branch</t>
  </si>
  <si>
    <t xml:space="preserve">MEC-434</t>
  </si>
  <si>
    <t xml:space="preserve">Quirk Trait System</t>
  </si>
  <si>
    <t xml:space="preserve">A system of persistent positive and negative traits acquired through play, events, environment, or recovery.</t>
  </si>
  <si>
    <t xml:space="preserve">Quirks are individualized and durable rather than a temporary status-effect list.</t>
  </si>
  <si>
    <t xml:space="preserve">positive quirks; negative quirks; locked traits</t>
  </si>
  <si>
    <t xml:space="preserve">roster differentiation, emergent biography, build friction</t>
  </si>
  <si>
    <t xml:space="preserve">quirks; persistent traits</t>
  </si>
  <si>
    <t xml:space="preserve">MEC-435</t>
  </si>
  <si>
    <t xml:space="preserve">Light–Risk Meter</t>
  </si>
  <si>
    <t xml:space="preserve">A resource or state where illumination, darkness, visibility, or safety can be traded against reward, danger, surprise, or stress.</t>
  </si>
  <si>
    <t xml:space="preserve">It is a bidirectional risk/reward system, not simply a brightness setting.</t>
  </si>
  <si>
    <t xml:space="preserve">torch meter; darkness bonus; visibility risk</t>
  </si>
  <si>
    <t xml:space="preserve">expedition planning, atmosphere, difficulty control</t>
  </si>
  <si>
    <t xml:space="preserve">torchlight; light meter; darkness risk</t>
  </si>
  <si>
    <t xml:space="preserve">MEC-436</t>
  </si>
  <si>
    <t xml:space="preserve">Expedition Attrition Loop</t>
  </si>
  <si>
    <t xml:space="preserve">An encounter structure where health, stress, supplies, light, disease, and other losses accumulate across a multi-room or multi-stage expedition.</t>
  </si>
  <si>
    <t xml:space="preserve">The design centers on cumulative depletion and retreat judgment rather than isolated fights.</t>
  </si>
  <si>
    <t xml:space="preserve">dungeon expedition; delve attrition; supply run</t>
  </si>
  <si>
    <t xml:space="preserve">resource planning, retreat, long-term consequences</t>
  </si>
  <si>
    <t xml:space="preserve">expedition loop; attrition crawl</t>
  </si>
  <si>
    <t xml:space="preserve">MEC-437</t>
  </si>
  <si>
    <t xml:space="preserve">Roster-Based Campaign</t>
  </si>
  <si>
    <t xml:space="preserve">A campaign centered on managing a replaceable or evolving roster rather than protecting one fixed protagonist party.</t>
  </si>
  <si>
    <t xml:space="preserve">Individual characters can be lost, benched, treated, specialized, or replaced while the campaign persists.</t>
  </si>
  <si>
    <t xml:space="preserve">hero roster; company management; guild roster</t>
  </si>
  <si>
    <t xml:space="preserve">long-term strategy, permadeath, emergent stories</t>
  </si>
  <si>
    <t xml:space="preserve">roster campaign; company management</t>
  </si>
  <si>
    <t xml:space="preserve">MEC-438</t>
  </si>
  <si>
    <t xml:space="preserve">Town Recovery Loop</t>
  </si>
  <si>
    <t xml:space="preserve">A between-expedition phase where characters recover, train, remove conditions, gain quirks, use institutions, or become unavailable.</t>
  </si>
  <si>
    <t xml:space="preserve">Recovery consumes time or resources and changes roster availability rather than resetting automatically.</t>
  </si>
  <si>
    <t xml:space="preserve">downtime treatment; hub recovery; abbey/tavern loop</t>
  </si>
  <si>
    <t xml:space="preserve">campaign pacing, resource sink, character rotation</t>
  </si>
  <si>
    <t xml:space="preserve">recovery loop; downtime phase</t>
  </si>
  <si>
    <t xml:space="preserve">MEC-439</t>
  </si>
  <si>
    <t xml:space="preserve">Position-Restricted Skill Kit</t>
  </si>
  <si>
    <t xml:space="preserve">A combat kit whose abilities depend on the user's current rank and may target only specified enemy ranks.</t>
  </si>
  <si>
    <t xml:space="preserve">This is stricter than a generic positional bonus because position determines skill availability and target geometry.</t>
  </si>
  <si>
    <t xml:space="preserve">rank skills; row targeting; formation attacks</t>
  </si>
  <si>
    <t xml:space="preserve">formation tactics, movement value, party composition</t>
  </si>
  <si>
    <t xml:space="preserve">position skills; rank-restricted abilities</t>
  </si>
  <si>
    <t xml:space="preserve">MEC-440</t>
  </si>
  <si>
    <t xml:space="preserve">Pantheon or Patron Choice</t>
  </si>
  <si>
    <t xml:space="preserve">A faction or build choice in which a major deity, pantheon, patron, or divine portfolio determines units, powers, technologies, and later branches.</t>
  </si>
  <si>
    <t xml:space="preserve">It mechanizes religious affiliation and should not be mistaken for a neutral summary of a living tradition.</t>
  </si>
  <si>
    <t xml:space="preserve">major-god choice; patron deity tree; pantheon faction</t>
  </si>
  <si>
    <t xml:space="preserve">asymmetric faction identity, build planning</t>
  </si>
  <si>
    <t xml:space="preserve">pantheon choice; major god</t>
  </si>
  <si>
    <t xml:space="preserve">MEC-441</t>
  </si>
  <si>
    <t xml:space="preserve">Branching Age-Up Choice</t>
  </si>
  <si>
    <t xml:space="preserve">A progression step that advances an era or tier while requiring a choice among patrons, technologies, subfactions, or power packages.</t>
  </si>
  <si>
    <t xml:space="preserve">Unlike a simple level-up, the branch permanently shapes the strategic roster or economy.</t>
  </si>
  <si>
    <t xml:space="preserve">minor-god age-up; era branch; tech-age choice</t>
  </si>
  <si>
    <t xml:space="preserve">strategic commitment, replayability</t>
  </si>
  <si>
    <t xml:space="preserve">age-up branch; era choice</t>
  </si>
  <si>
    <t xml:space="preserve">MEC-442</t>
  </si>
  <si>
    <t xml:space="preserve">God-Power Ability Slot</t>
  </si>
  <si>
    <t xml:space="preserve">A discrete, highly visible divine intervention represented as an activated strategic ability with charges, cooldowns, targeting, or recast conditions.</t>
  </si>
  <si>
    <t xml:space="preserve">This is a game abstraction of divine agency rather than a source-faithful theological category.</t>
  </si>
  <si>
    <t xml:space="preserve">one-use god power; recastable divine ability; global miracle</t>
  </si>
  <si>
    <t xml:space="preserve">strategic swing, faction identity, spectacle</t>
  </si>
  <si>
    <t xml:space="preserve">god power; divine ability</t>
  </si>
  <si>
    <t xml:space="preserve">MEC-443</t>
  </si>
  <si>
    <t xml:space="preserve">Myth-Unit and Hero Counter Triangle</t>
  </si>
  <si>
    <t xml:space="preserve">A counter structure in which mythic units defeat ordinary units, heroes specialize against mythic units, and ordinary military units efficiently oppose heroes or fulfill other counter roles.</t>
  </si>
  <si>
    <t xml:space="preserve">The triangle is a designed tactical ecology, not a claim about mythology.</t>
  </si>
  <si>
    <t xml:space="preserve">hero versus myth; myth versus human; counter triangle</t>
  </si>
  <si>
    <t xml:space="preserve">unit composition, tactical readability</t>
  </si>
  <si>
    <t xml:space="preserve">myth counter; hero counter</t>
  </si>
  <si>
    <t xml:space="preserve">MEC-444</t>
  </si>
  <si>
    <t xml:space="preserve">Favor Generation Model</t>
  </si>
  <si>
    <t xml:space="preserve">A faction-specific method for producing a divine or religious resource through worship, combat, monuments, heroes, rituals, or other culturally themed actions.</t>
  </si>
  <si>
    <t xml:space="preserve">The resource model is an adaptation and may simplify religious life into economic throughput.</t>
  </si>
  <si>
    <t xml:space="preserve">temple worship; combat favor; monument favor</t>
  </si>
  <si>
    <t xml:space="preserve">asymmetric economy, god-power access, myth-unit production</t>
  </si>
  <si>
    <t xml:space="preserve">favor generation; worship economy</t>
  </si>
  <si>
    <t xml:space="preserve">MEC-445</t>
  </si>
  <si>
    <t xml:space="preserve">Wonder Age or Overflow Phase</t>
  </si>
  <si>
    <t xml:space="preserve">A late-game progression state unlocked through a monumental project that accelerates high-tier powers, recasts, or superunit access beyond normal advancement.</t>
  </si>
  <si>
    <t xml:space="preserve">It is an overflow or endgame phase rather than a conventional historical era.</t>
  </si>
  <si>
    <t xml:space="preserve">wonder age; mythic age; endgame phase</t>
  </si>
  <si>
    <t xml:space="preserve">late-game escalation, victory pressure</t>
  </si>
  <si>
    <t xml:space="preserve">wonder age; overflow tier</t>
  </si>
  <si>
    <t xml:space="preserve">MEC-446</t>
  </si>
  <si>
    <t xml:space="preserve">Relic Capture Bonus</t>
  </si>
  <si>
    <t xml:space="preserve">A mechanic where discoverable relic objects are carried, installed, guarded, or contested to grant persistent strategic bonuses.</t>
  </si>
  <si>
    <t xml:space="preserve">It itemizes sacred or legendary objects as map objectives and economic modifiers.</t>
  </si>
  <si>
    <t xml:space="preserve">temple relic; carried artifact; map treasure</t>
  </si>
  <si>
    <t xml:space="preserve">exploration, map control, snowballing</t>
  </si>
  <si>
    <t xml:space="preserve">relic capture; artifact bonus</t>
  </si>
  <si>
    <t xml:space="preserve">MEC-447</t>
  </si>
  <si>
    <t xml:space="preserve">Titan or Superunit Escalation</t>
  </si>
  <si>
    <t xml:space="preserve">A late-game mechanic enabling a singular or limited colossal unit whose power and production cost reshape the strategic field.</t>
  </si>
  <si>
    <t xml:space="preserve">A superunit is defined mechanically; its source may be titan, dragon, god, machine, or another being.</t>
  </si>
  <si>
    <t xml:space="preserve">titan gate; ultimate unit; colossal summon</t>
  </si>
  <si>
    <t xml:space="preserve">endgame escalation, focal threat, comeback</t>
  </si>
  <si>
    <t xml:space="preserve">superunit; titan unit</t>
  </si>
  <si>
    <t xml:space="preserve">MEC-448</t>
  </si>
  <si>
    <t xml:space="preserve">Procedural Expedition Layout</t>
  </si>
  <si>
    <t xml:space="preserve">A dungeon or mission structure whose rooms, corridors, encounters, rewards, or hazards are procedurally assembled for repeated expeditions.</t>
  </si>
  <si>
    <t xml:space="preserve">The emphasis is encounter-space generation, distinct from randomized character builds.</t>
  </si>
  <si>
    <t xml:space="preserve">random dungeon; procedural corridor map; expedition generator</t>
  </si>
  <si>
    <t xml:space="preserve">replayability, uncertainty, scouting</t>
  </si>
  <si>
    <t xml:space="preserve">procedural dungeon; random expedition</t>
  </si>
  <si>
    <t xml:space="preserve">STA-521</t>
  </si>
  <si>
    <t xml:space="preserve">Stress Affliction</t>
  </si>
  <si>
    <t xml:space="preserve">A persistent harmful psychological or behavioral state triggered by accumulated stress, crisis, fear, or trauma.</t>
  </si>
  <si>
    <t xml:space="preserve">It is an acquired state layered onto a person, not a species trait or moral essence.</t>
  </si>
  <si>
    <t xml:space="preserve">paranoia; fear; irrationality; masochism</t>
  </si>
  <si>
    <t xml:space="preserve">behavior change, party friction, recovery need</t>
  </si>
  <si>
    <t xml:space="preserve">stress affliction; breakdown</t>
  </si>
  <si>
    <t xml:space="preserve">STA-522</t>
  </si>
  <si>
    <t xml:space="preserve">Virtue Crisis State</t>
  </si>
  <si>
    <t xml:space="preserve">A temporary or persistent resilient state emerging at a crisis point and granting courage, focus, leadership, or exceptional resistance.</t>
  </si>
  <si>
    <t xml:space="preserve">It arises from pressure and contrasts with breakdown; it is not a permanent moral classification.</t>
  </si>
  <si>
    <t xml:space="preserve">courage; stalwart resolve; focused state</t>
  </si>
  <si>
    <t xml:space="preserve">comeback, morale support, emergent heroism</t>
  </si>
  <si>
    <t xml:space="preserve">virtue state; resilient crisis</t>
  </si>
  <si>
    <t xml:space="preserve">STA-523</t>
  </si>
  <si>
    <t xml:space="preserve">Acquired Quirk</t>
  </si>
  <si>
    <t xml:space="preserve">A persistent positive, negative, or ambivalent trait acquired through experience, location, event, illness, treatment, or stress.</t>
  </si>
  <si>
    <t xml:space="preserve">Quirks are specific modifications, not a total personality type or fixed moral alignment.</t>
  </si>
  <si>
    <t xml:space="preserve">obsession; fear; habit; specialized confidence</t>
  </si>
  <si>
    <t xml:space="preserve">individualization, long-term consequence, recovery</t>
  </si>
  <si>
    <t xml:space="preserve">quirk; persistent trait</t>
  </si>
  <si>
    <t xml:space="preserve">STA-524</t>
  </si>
  <si>
    <t xml:space="preserve">Expedition Trauma</t>
  </si>
  <si>
    <t xml:space="preserve">A durable physical, psychological, social, or supernatural burden accumulated through repeated dangerous expeditions.</t>
  </si>
  <si>
    <t xml:space="preserve">It links campaign experience to later vulnerability and recovery rather than resetting after combat.</t>
  </si>
  <si>
    <t xml:space="preserve">battle trauma; dungeon stress; survivor burden</t>
  </si>
  <si>
    <t xml:space="preserve">character history, attrition, treatment</t>
  </si>
  <si>
    <t xml:space="preserve">expedition trauma; accumulated strain</t>
  </si>
  <si>
    <t xml:space="preserve">NAR-441</t>
  </si>
  <si>
    <t xml:space="preserve">Inherited Ruin or Ancestor's Folly</t>
  </si>
  <si>
    <t xml:space="preserve">A plot structure in which descendants, heirs, servants, or communities must confront a catastrophe created by an ancestor's ambition, crime, pact, or discovery.</t>
  </si>
  <si>
    <t xml:space="preserve">The inherited burden may be material, moral, supernatural, institutional, or epistemic.</t>
  </si>
  <si>
    <t xml:space="preserve">cursed estate; ancestral sin; failed expedition legacy</t>
  </si>
  <si>
    <t xml:space="preserve">campaign premise, investigation, restoration</t>
  </si>
  <si>
    <t xml:space="preserve">inherited ruin; ancestor's folly</t>
  </si>
  <si>
    <t xml:space="preserve">NAR-442</t>
  </si>
  <si>
    <t xml:space="preserve">Roster of Flawed Adventurers</t>
  </si>
  <si>
    <t xml:space="preserve">A collective protagonist model built from vulnerable, replaceable, traumatized, morally mixed, or socially marginal adventurers rather than idealized heroes.</t>
  </si>
  <si>
    <t xml:space="preserve">The roster itself carries the narrative; no single member must be indispensable.</t>
  </si>
  <si>
    <t xml:space="preserve">mercenary roster; doomed expedition company; guild of misfits</t>
  </si>
  <si>
    <t xml:space="preserve">emergent biography, loss, ensemble drama</t>
  </si>
  <si>
    <t xml:space="preserve">flawed roster; expendable heroes</t>
  </si>
  <si>
    <t xml:space="preserve">NAR-443</t>
  </si>
  <si>
    <t xml:space="preserve">Psychological Attrition Journey</t>
  </si>
  <si>
    <t xml:space="preserve">A journey or campaign where fear, stress, despair, obsession, and recovery are as structurally important as wounds and material depletion.</t>
  </si>
  <si>
    <t xml:space="preserve">Mental strain is an evolving narrative system rather than occasional characterization.</t>
  </si>
  <si>
    <t xml:space="preserve">descent into madness; expedition strain; morale collapse</t>
  </si>
  <si>
    <t xml:space="preserve">horror, survival, character change</t>
  </si>
  <si>
    <t xml:space="preserve">psychological attrition; stress journey</t>
  </si>
  <si>
    <t xml:space="preserve">INS-423</t>
  </si>
  <si>
    <t xml:space="preserve">Recovery and Respite Institution</t>
  </si>
  <si>
    <t xml:space="preserve">An organization or site dedicated to rest, treatment, prayer, entertainment, vice, therapy, purification, or stress relief between adventures.</t>
  </si>
  <si>
    <t xml:space="preserve">Its social meaning and risks matter; it is not merely a user-interface reset button.</t>
  </si>
  <si>
    <t xml:space="preserve">abbey; tavern; sanatorium; bathhouse; temple refuge</t>
  </si>
  <si>
    <t xml:space="preserve">healing, downtime, resource sink, social worldbuilding</t>
  </si>
  <si>
    <t xml:space="preserve">recovery institution; respite house</t>
  </si>
  <si>
    <t xml:space="preserve">ROL-933</t>
  </si>
  <si>
    <t xml:space="preserve">Ascetic or Renunciant</t>
  </si>
  <si>
    <t xml:space="preserve">A person who undertakes disciplined renunciation, austerity, seclusion, celibacy, fasting, silence, meditation, or other practices as a sacred life path.</t>
  </si>
  <si>
    <t xml:space="preserve">Do not collapse distinct monastic, householder, forest-dwelling, yogic, mendicant, or source-specific renunciant traditions into one generic monk class.</t>
  </si>
  <si>
    <t xml:space="preserve">hermit; mendicant; forest ascetic; vow-keeper</t>
  </si>
  <si>
    <t xml:space="preserve">spiritual authority, counsel, power acquisition, social critique</t>
  </si>
  <si>
    <t xml:space="preserve">ascetic; renunciant; hermit</t>
  </si>
  <si>
    <t xml:space="preserve">ROL-934</t>
  </si>
  <si>
    <t xml:space="preserve">Royal Sage</t>
  </si>
  <si>
    <t xml:space="preserve">A ruler or royal figure whose recognized identity joins kingship with wisdom, ascetic practice, revelation, prophecy, or sacred teaching.</t>
  </si>
  <si>
    <t xml:space="preserve">The role is not simply a mage-king; authority may come from discipline, ethical insight, or ritual status rather than spellcasting.</t>
  </si>
  <si>
    <t xml:space="preserve">sage-king; philosopher-ruler; ascetic king</t>
  </si>
  <si>
    <t xml:space="preserve">mediation of rule and wisdom, reform, counsel</t>
  </si>
  <si>
    <t xml:space="preserve">royal sage; sage-king</t>
  </si>
  <si>
    <t xml:space="preserve">ROL-935</t>
  </si>
  <si>
    <t xml:space="preserve">Martial Preceptor</t>
  </si>
  <si>
    <t xml:space="preserve">A formal teacher responsible for transmitting weapons, tactics, discipline, lineage knowledge, or warrior ethics to elite students.</t>
  </si>
  <si>
    <t xml:space="preserve">The preceptor relationship creates social and political obligations beyond ordinary skill instruction.</t>
  </si>
  <si>
    <t xml:space="preserve">weapons master; court instructor; lineage teacher</t>
  </si>
  <si>
    <t xml:space="preserve">training, succession, faction formation, debt</t>
  </si>
  <si>
    <t xml:space="preserve">martial preceptor; weapons teacher</t>
  </si>
  <si>
    <t xml:space="preserve">INS-424</t>
  </si>
  <si>
    <t xml:space="preserve">Hermitage or Ascetic Community</t>
  </si>
  <si>
    <t xml:space="preserve">A retreat, forest settlement, monastery-like community, teacher's household, or sacred residence organized around ascetic practice, learning, ritual, and hospitality.</t>
  </si>
  <si>
    <t xml:space="preserve">It should not automatically be modeled as a Western monastery or adventurer training hub.</t>
  </si>
  <si>
    <t xml:space="preserve">forest hermitage; sage settlement; retreat</t>
  </si>
  <si>
    <t xml:space="preserve">teaching, refuge, ritual, pilgrimage, political mediation</t>
  </si>
  <si>
    <t xml:space="preserve">hermitage; ascetic community</t>
  </si>
  <si>
    <t xml:space="preserve">INS-425</t>
  </si>
  <si>
    <t xml:space="preserve">Teacher–Disciple Lineage</t>
  </si>
  <si>
    <t xml:space="preserve">An institution that transmits authorized knowledge, practice, weapons, ritual, office, or spiritual realization through recognized teacher–disciple succession.</t>
  </si>
  <si>
    <t xml:space="preserve">The lineage is relational and authoritative, not merely a school curriculum or bloodline.</t>
  </si>
  <si>
    <t xml:space="preserve">initiation lineage; master-disciple school; transmission chain</t>
  </si>
  <si>
    <t xml:space="preserve">training, legitimacy, inheritance, faction identity</t>
  </si>
  <si>
    <t xml:space="preserve">teaching lineage; transmission lineage</t>
  </si>
  <si>
    <t xml:space="preserve">INS-426</t>
  </si>
  <si>
    <t xml:space="preserve">Royal Assembly or Council Hall</t>
  </si>
  <si>
    <t xml:space="preserve">A formal gathering and institutional space where rulers, elders, kin, warriors, priests, advisers, envoys, and petitioners deliberate, witness, judge, or display authority.</t>
  </si>
  <si>
    <t xml:space="preserve">It combines architecture, procedure, public recognition, and political hierarchy rather than being only a faction.</t>
  </si>
  <si>
    <t xml:space="preserve">royal hall; court assembly; council chamber</t>
  </si>
  <si>
    <t xml:space="preserve">governance, diplomacy, judgment, spectacle</t>
  </si>
  <si>
    <t xml:space="preserve">royal assembly; council hall</t>
  </si>
  <si>
    <t xml:space="preserve">INS-427</t>
  </si>
  <si>
    <t xml:space="preserve">Marriage-Selection Assembly</t>
  </si>
  <si>
    <t xml:space="preserve">A formal public process in which a marriage alliance is selected, contested, recognized, or tested through choice, lineage, ordeal, competition, or political negotiation.</t>
  </si>
  <si>
    <t xml:space="preserve">The source-specific institution must be analyzed for agency, gender, kinship, and politics rather than reduced to a tournament prize.</t>
  </si>
  <si>
    <t xml:space="preserve">suitor assembly; choice ceremony; marriage contest</t>
  </si>
  <si>
    <t xml:space="preserve">alliance, succession, heroic test, conflict</t>
  </si>
  <si>
    <t xml:space="preserve">marriage assembly; suitor selection</t>
  </si>
  <si>
    <t xml:space="preserve">NAR-444</t>
  </si>
  <si>
    <t xml:space="preserve">Vow-Bound Elder</t>
  </si>
  <si>
    <t xml:space="preserve">An elder statesperson or warrior whose extraordinary vow sustains legitimacy and duty while also producing tragic rigidity or political consequences.</t>
  </si>
  <si>
    <t xml:space="preserve">The vow is both source of authority and constraint; the archetype is not merely a loyal adviser.</t>
  </si>
  <si>
    <t xml:space="preserve">celibate guardian; sworn regent; undying oathkeeper</t>
  </si>
  <si>
    <t xml:space="preserve">counsel, sacrifice, succession conflict</t>
  </si>
  <si>
    <t xml:space="preserve">vow-bound elder; oath elder</t>
  </si>
  <si>
    <t xml:space="preserve">NAR-445</t>
  </si>
  <si>
    <t xml:space="preserve">Tragic Loyalist</t>
  </si>
  <si>
    <t xml:space="preserve">A capable and often admirable figure who knowingly remains loyal to a flawed ruler, faction, debt, patron, or identity and suffers because competing duties cannot be reconciled.</t>
  </si>
  <si>
    <t xml:space="preserve">Loyalty is ethically complex rather than proof of virtue or villainy.</t>
  </si>
  <si>
    <t xml:space="preserve">doomed champion; loyal enemy; indebted warrior</t>
  </si>
  <si>
    <t xml:space="preserve">moral conflict, pathos, rival heroism</t>
  </si>
  <si>
    <t xml:space="preserve">tragic loyalist; doomed retainer</t>
  </si>
  <si>
    <t xml:space="preserve">NAR-446</t>
  </si>
  <si>
    <t xml:space="preserve">Divine Charioteer-Counselor</t>
  </si>
  <si>
    <t xml:space="preserve">A guide who occupies a seemingly supporting role as driver, companion, messenger, or adviser while possessing superior divine or cosmological knowledge and directing the hero at a decisive crisis.</t>
  </si>
  <si>
    <t xml:space="preserve">The apparent service role and revelatory authority coexist; it is not simply a mentor in disguise.</t>
  </si>
  <si>
    <t xml:space="preserve">god as driver; hidden divine adviser; battlefield guide</t>
  </si>
  <si>
    <t xml:space="preserve">revelation, ethical counsel, strategic aid</t>
  </si>
  <si>
    <t xml:space="preserve">divine charioteer; sacred counselor</t>
  </si>
  <si>
    <t xml:space="preserve">NAR-447</t>
  </si>
  <si>
    <t xml:space="preserve">Dice-Game Dispossession</t>
  </si>
  <si>
    <t xml:space="preserve">A political and familial collapse precipitated through gambling, manipulated chance, legalistic wagering, or a contest whose stakes expand to land, freedom, kin, and honor.</t>
  </si>
  <si>
    <t xml:space="preserve">The pattern concerns dispossession through socially recognized play, not ordinary gambling loss.</t>
  </si>
  <si>
    <t xml:space="preserve">rigged dice; wagered kingdom; game of succession</t>
  </si>
  <si>
    <t xml:space="preserve">exile trigger, legitimacy crisis, humiliation</t>
  </si>
  <si>
    <t xml:space="preserve">dice-game dispossession; wagered kingdom</t>
  </si>
  <si>
    <t xml:space="preserve">NAR-448</t>
  </si>
  <si>
    <t xml:space="preserve">Incognito Exile</t>
  </si>
  <si>
    <t xml:space="preserve">A period of banishment or hiding in which protagonists must suppress identity, status, weapons, gender role, or reputation while serving within another society.</t>
  </si>
  <si>
    <t xml:space="preserve">Concealment is part of the exile's conditions and creates tests of identity and recognition.</t>
  </si>
  <si>
    <t xml:space="preserve">hidden year; disguised service; anonymous wandering</t>
  </si>
  <si>
    <t xml:space="preserve">ordeal, infiltration, identity development</t>
  </si>
  <si>
    <t xml:space="preserve">incognito exile; concealed banishment</t>
  </si>
  <si>
    <t xml:space="preserve">NAR-449</t>
  </si>
  <si>
    <t xml:space="preserve">Battlefield Revelation</t>
  </si>
  <si>
    <t xml:space="preserve">A philosophical, divine, prophetic, or identity-transforming disclosure delivered immediately before or during battle, reframing action, duty, death, or reality.</t>
  </si>
  <si>
    <t xml:space="preserve">The revelation does not merely provide tactical information; it changes the meaning of participation.</t>
  </si>
  <si>
    <t xml:space="preserve">war-council vision; divine teaching before battle; true-form disclosure</t>
  </si>
  <si>
    <t xml:space="preserve">ethical crisis, resolve, cosmological exposition</t>
  </si>
  <si>
    <t xml:space="preserve">battlefield revelation; war epiphany</t>
  </si>
  <si>
    <t xml:space="preserve">NAR-450</t>
  </si>
  <si>
    <t xml:space="preserve">Postwar Moral Reckoning</t>
  </si>
  <si>
    <t xml:space="preserve">A sustained aftermath in which victors and survivors confront grief, guilt, governance, law, funerary duty, and the legitimacy of a war's outcome.</t>
  </si>
  <si>
    <t xml:space="preserve">It refuses to treat victory as automatic restoration and makes aftermath a major narrative phase.</t>
  </si>
  <si>
    <t xml:space="preserve">king's remorse; field of dead; reconstruction debate</t>
  </si>
  <si>
    <t xml:space="preserve">ethical inquiry, governance, mourning, restoration</t>
  </si>
  <si>
    <t xml:space="preserve">postwar reckoning; victor's remorse</t>
  </si>
  <si>
    <t xml:space="preserve">NAR-451</t>
  </si>
  <si>
    <t xml:space="preserve">Final Ascent and Recognition Test</t>
  </si>
  <si>
    <t xml:space="preserve">A concluding journey upward or beyond the world in which a hero is tested through loyalty, loss, apparent contradiction, judgment, or recognition before final status is revealed.</t>
  </si>
  <si>
    <t xml:space="preserve">The test may challenge attachment to reward, companions, identity, or moral certainty.</t>
  </si>
  <si>
    <t xml:space="preserve">heavenward journey; last companion test; final judgment ascent</t>
  </si>
  <si>
    <t xml:space="preserve">closure, apotheosis, ethical revelation</t>
  </si>
  <si>
    <t xml:space="preserve">final ascent; last recognition test</t>
  </si>
  <si>
    <t xml:space="preserve">NAR-452</t>
  </si>
  <si>
    <t xml:space="preserve">Conflict of Duties</t>
  </si>
  <si>
    <t xml:space="preserve">A protagonist or major figure must choose among incompatible duties to kin, ruler, teacher, friend, oath, law, conscience, vocation, or cosmic order.</t>
  </si>
  <si>
    <t xml:space="preserve">The conflict is not simply good versus evil; each obligation has legitimate force and no choice preserves all relationships.</t>
  </si>
  <si>
    <t xml:space="preserve">kin versus justice; oath versus compassion; teacher versus kingdom</t>
  </si>
  <si>
    <t xml:space="preserve">ethical drama, tragedy, character definition</t>
  </si>
  <si>
    <t xml:space="preserve">conflict of duties; divided obligation</t>
  </si>
  <si>
    <t xml:space="preserve">Source_ID</t>
  </si>
  <si>
    <t xml:space="preserve">Title_or_Franchise</t>
  </si>
  <si>
    <t xml:space="preserve">Creator_Studio</t>
  </si>
  <si>
    <t xml:space="preserve">Region_Tradition</t>
  </si>
  <si>
    <t xml:space="preserve">First_Appearance</t>
  </si>
  <si>
    <t xml:space="preserve">Continuity_Unit</t>
  </si>
  <si>
    <t xml:space="preserve">Priority_Tier</t>
  </si>
  <si>
    <t xml:space="preserve">Distinctive_Contribution</t>
  </si>
  <si>
    <t xml:space="preserve">Scope_Note</t>
  </si>
  <si>
    <t xml:space="preserve">Reference_URL</t>
  </si>
  <si>
    <t xml:space="preserve">Status</t>
  </si>
  <si>
    <t xml:space="preserve">SRC-001</t>
  </si>
  <si>
    <t xml:space="preserve">Ancient Greek Mythology</t>
  </si>
  <si>
    <t xml:space="preserve">Multiple oral and literary traditions</t>
  </si>
  <si>
    <t xml:space="preserve">Mythology / Folklore</t>
  </si>
  <si>
    <t xml:space="preserve">Mediterranean / Greek</t>
  </si>
  <si>
    <t xml:space="preserve">Archaic–Classical antiquity</t>
  </si>
  <si>
    <t xml:space="preserve">Culture-specific corpus</t>
  </si>
  <si>
    <t xml:space="preserve">Tier 1</t>
  </si>
  <si>
    <t xml:space="preserve">Gods, demigods, heroes, monsters, nymphs, underworld journeys, metamorphosis, prophecy.</t>
  </si>
  <si>
    <t xml:space="preserve">Treat adaptations/editions separately when taxonomically material.</t>
  </si>
  <si>
    <t xml:space="preserve">https://en.wikipedia.org/wiki/Ancient_Greek_Mythology</t>
  </si>
  <si>
    <t xml:space="preserve">Included</t>
  </si>
  <si>
    <t xml:space="preserve">SRC-002</t>
  </si>
  <si>
    <t xml:space="preserve">Norse Mythology</t>
  </si>
  <si>
    <t xml:space="preserve">Old Norse oral and literary traditions</t>
  </si>
  <si>
    <t xml:space="preserve">Northern Europe / Norse</t>
  </si>
  <si>
    <t xml:space="preserve">Medieval textual witnesses</t>
  </si>
  <si>
    <t xml:space="preserve">Poetic Edda, Prose Edda, sagas</t>
  </si>
  <si>
    <t xml:space="preserve">Jötnar, elves, dwarfs, draugr, world serpent, valkyries, fate, cyclical apocalypse.</t>
  </si>
  <si>
    <t xml:space="preserve">https://en.wikipedia.org/wiki/Norse_Mythology</t>
  </si>
  <si>
    <t xml:space="preserve">SRC-003</t>
  </si>
  <si>
    <t xml:space="preserve">Irish Mythological Cycle</t>
  </si>
  <si>
    <t xml:space="preserve">Irish oral and manuscript traditions</t>
  </si>
  <si>
    <t xml:space="preserve">Ireland</t>
  </si>
  <si>
    <t xml:space="preserve">Mythological, Ulster, Fenian, and Kings' cycles</t>
  </si>
  <si>
    <t xml:space="preserve">Otherworld peoples, geasa, heroic warbands, sovereignty, transformation, fairy mounds.</t>
  </si>
  <si>
    <t xml:space="preserve">https://en.wikipedia.org/wiki/Irish_Mythological_Cycle</t>
  </si>
  <si>
    <t xml:space="preserve">SRC-004</t>
  </si>
  <si>
    <t xml:space="preserve">The Mabinogion</t>
  </si>
  <si>
    <t xml:space="preserve">Medieval Welsh authors and oral traditions</t>
  </si>
  <si>
    <t xml:space="preserve">Literature / Mythic Cycle</t>
  </si>
  <si>
    <t xml:space="preserve">Wales</t>
  </si>
  <si>
    <t xml:space="preserve">12th–14th centuries</t>
  </si>
  <si>
    <t xml:space="preserve">Welsh tale collection</t>
  </si>
  <si>
    <t xml:space="preserve">Otherworld journeys, enchantment, shapechange, cursed sovereignty, heroic kinship.</t>
  </si>
  <si>
    <t xml:space="preserve">https://en.wikipedia.org/wiki/The_Mabinogion</t>
  </si>
  <si>
    <t xml:space="preserve">SRC-005</t>
  </si>
  <si>
    <t xml:space="preserve">Arthurian Legend</t>
  </si>
  <si>
    <t xml:space="preserve">Multiple medieval and later authors</t>
  </si>
  <si>
    <t xml:space="preserve">Britain / France / Europe</t>
  </si>
  <si>
    <t xml:space="preserve">12th century onward</t>
  </si>
  <si>
    <t xml:space="preserve">Romance tradition</t>
  </si>
  <si>
    <t xml:space="preserve">Knights, quests, holy relics, enchanted weapons, courtly orders, grail patterns.</t>
  </si>
  <si>
    <t xml:space="preserve">https://en.wikipedia.org/wiki/Arthurian_Legend</t>
  </si>
  <si>
    <t xml:space="preserve">SRC-006</t>
  </si>
  <si>
    <t xml:space="preserve">Kalevala</t>
  </si>
  <si>
    <t xml:space="preserve">Compiled by Elias Lönnrot from Finnish and Karelian oral poetry</t>
  </si>
  <si>
    <t xml:space="preserve">Epic / Folklore</t>
  </si>
  <si>
    <t xml:space="preserve">Finland / Karelia</t>
  </si>
  <si>
    <t xml:space="preserve">1835/1849</t>
  </si>
  <si>
    <t xml:space="preserve">National epic compilation</t>
  </si>
  <si>
    <t xml:space="preserve">Song magic, smithing, shamanic heroes, artifact quest, rival cultures.</t>
  </si>
  <si>
    <t xml:space="preserve">https://en.wikipedia.org/wiki/Kalevala</t>
  </si>
  <si>
    <t xml:space="preserve">SRC-007</t>
  </si>
  <si>
    <t xml:space="preserve">Slavic Folklore</t>
  </si>
  <si>
    <t xml:space="preserve">Multiple regional traditions</t>
  </si>
  <si>
    <t xml:space="preserve">Eastern and Central Europe</t>
  </si>
  <si>
    <t xml:space="preserve">Premodern and modern collections</t>
  </si>
  <si>
    <t xml:space="preserve">Vampiric revenants, household spirits, witches, forest beings, dragons, deathless sorcerers.</t>
  </si>
  <si>
    <t xml:space="preserve">https://en.wikipedia.org/wiki/Slavic_Folklore</t>
  </si>
  <si>
    <t xml:space="preserve">SRC-008</t>
  </si>
  <si>
    <t xml:space="preserve">Grimm Fairy Tales</t>
  </si>
  <si>
    <t xml:space="preserve">Jacob and Wilhelm Grimm, collectors/editors</t>
  </si>
  <si>
    <t xml:space="preserve">Fairy Tale Collection</t>
  </si>
  <si>
    <t xml:space="preserve">German-speaking Europe</t>
  </si>
  <si>
    <t xml:space="preserve">1812 onward</t>
  </si>
  <si>
    <t xml:space="preserve">Multiple editions</t>
  </si>
  <si>
    <t xml:space="preserve">Witches, enchanted animals, curses, helpers, trials, transformed royals, household magic.</t>
  </si>
  <si>
    <t xml:space="preserve">https://en.wikipedia.org/wiki/Grimm_Fairy_Tales</t>
  </si>
  <si>
    <t xml:space="preserve">SRC-009</t>
  </si>
  <si>
    <t xml:space="preserve">One Thousand and One Nights</t>
  </si>
  <si>
    <t xml:space="preserve">Multiple Arabic, Persian, South Asian, and later compilers</t>
  </si>
  <si>
    <t xml:space="preserve">Frame Tale / Folklore</t>
  </si>
  <si>
    <t xml:space="preserve">Middle East / South Asia</t>
  </si>
  <si>
    <t xml:space="preserve">Medieval compilation</t>
  </si>
  <si>
    <t xml:space="preserve">Multiple manuscript and translation traditions</t>
  </si>
  <si>
    <t xml:space="preserve">Djinn, sorcerers, talismans, magical travel, tricksters, merchants, nested stories.</t>
  </si>
  <si>
    <t xml:space="preserve">https://en.wikipedia.org/wiki/One_Thousand_and_One_Nights</t>
  </si>
  <si>
    <t xml:space="preserve">SRC-010</t>
  </si>
  <si>
    <t xml:space="preserve">Jinn Traditions</t>
  </si>
  <si>
    <t xml:space="preserve">Arabic and Islamic religious, folkloric, and literary traditions</t>
  </si>
  <si>
    <t xml:space="preserve">Middle East / Islamic world</t>
  </si>
  <si>
    <t xml:space="preserve">Qur'anic and later traditions</t>
  </si>
  <si>
    <t xml:space="preserve">Spirit personhood, free will, binding, possession, fire origins, parallel societies.</t>
  </si>
  <si>
    <t xml:space="preserve">https://en.wikipedia.org/wiki/Jinn_Traditions</t>
  </si>
  <si>
    <t xml:space="preserve">SRC-011</t>
  </si>
  <si>
    <t xml:space="preserve">Shahnameh</t>
  </si>
  <si>
    <t xml:space="preserve">Ferdowsi</t>
  </si>
  <si>
    <t xml:space="preserve">Epic Literature</t>
  </si>
  <si>
    <t xml:space="preserve">Persian / Iranian</t>
  </si>
  <si>
    <t xml:space="preserve">c. 1010</t>
  </si>
  <si>
    <t xml:space="preserve">Persian epic</t>
  </si>
  <si>
    <t xml:space="preserve">Heroic warriors, kingship, demons, magical birds, tragic champions, dynastic cycles.</t>
  </si>
  <si>
    <t xml:space="preserve">https://en.wikipedia.org/wiki/Shahnameh</t>
  </si>
  <si>
    <t xml:space="preserve">SRC-012</t>
  </si>
  <si>
    <t xml:space="preserve">Epic of Gilgamesh</t>
  </si>
  <si>
    <t xml:space="preserve">Ancient Mesopotamian authors</t>
  </si>
  <si>
    <t xml:space="preserve">Mesopotamia</t>
  </si>
  <si>
    <t xml:space="preserve">2nd millennium BCE textual forms</t>
  </si>
  <si>
    <t xml:space="preserve">Akkadian and earlier traditions</t>
  </si>
  <si>
    <t xml:space="preserve">Hero-king, wild companion, monster guardians, divine conflict, immortality quest.</t>
  </si>
  <si>
    <t xml:space="preserve">https://en.wikipedia.org/wiki/Epic_of_Gilgamesh</t>
  </si>
  <si>
    <t xml:space="preserve">SRC-013</t>
  </si>
  <si>
    <t xml:space="preserve">Ancient Egyptian Mythology</t>
  </si>
  <si>
    <t xml:space="preserve">Multiple temple and literary traditions</t>
  </si>
  <si>
    <t xml:space="preserve">Ancient Egypt</t>
  </si>
  <si>
    <t xml:space="preserve">Pharaonic periods</t>
  </si>
  <si>
    <t xml:space="preserve">Tier 2</t>
  </si>
  <si>
    <t xml:space="preserve">Divine kingship, animal-headed gods, afterlife judgment, resurrection, sacred names.</t>
  </si>
  <si>
    <t xml:space="preserve">https://en.wikipedia.org/wiki/Ancient_Egyptian_Mythology</t>
  </si>
  <si>
    <t xml:space="preserve">SRC-014</t>
  </si>
  <si>
    <t xml:space="preserve">Mahābhārata (epic tradition)</t>
  </si>
  <si>
    <t xml:space="preserve">Multiple authors, reciters, redactors, and regional traditions</t>
  </si>
  <si>
    <t xml:space="preserve">Epic Literature / Sacred Narrative</t>
  </si>
  <si>
    <t xml:space="preserve">South Asia / Sanskrit and regional traditions</t>
  </si>
  <si>
    <t xml:space="preserve">Layered composition, approximately 400 BCE–400 CE, with older oral materials</t>
  </si>
  <si>
    <t xml:space="preserve">Umbrella source complex: Sanskrit textual traditions, regional and vernacular retellings, performance, commentary, and modern adaptation layers</t>
  </si>
  <si>
    <t xml:space="preserve">Divine and semi-divine beings, dynastic and kinship orders, chariot warfare, vows, boons, curses, ascetic power, sacred weapons, dharma conflicts, cosmic time, death and rebirth, and layered narrative authority.</t>
  </si>
  <si>
    <t xml:space="preserve">Umbrella record only. Do not treat the BORI Critical Edition, individual manuscripts, regional retellings, devotional traditions, performance traditions, translations, or modern adaptations as one interchangeable continuity.</t>
  </si>
  <si>
    <t xml:space="preserve">https://bori.ac.in/department/mahabharata/</t>
  </si>
  <si>
    <t xml:space="preserve">SRC-015</t>
  </si>
  <si>
    <t xml:space="preserve">Ramayana</t>
  </si>
  <si>
    <t xml:space="preserve">Traditionally attributed to Valmiki; many regional traditions</t>
  </si>
  <si>
    <t xml:space="preserve">South and Southeast Asia</t>
  </si>
  <si>
    <t xml:space="preserve">Ancient with later versions</t>
  </si>
  <si>
    <t xml:space="preserve">Multiple regional continuities</t>
  </si>
  <si>
    <t xml:space="preserve">Divine hero, demon kingdom, monkey and bear allies, sacred weapons, exile and return.</t>
  </si>
  <si>
    <t xml:space="preserve">https://en.wikipedia.org/wiki/Ramayana</t>
  </si>
  <si>
    <t xml:space="preserve">SRC-016</t>
  </si>
  <si>
    <t xml:space="preserve">Journey to the West</t>
  </si>
  <si>
    <t xml:space="preserve">Wu Cheng'en (traditional attribution)</t>
  </si>
  <si>
    <t xml:space="preserve">Novel / Mythic Fantasy</t>
  </si>
  <si>
    <t xml:space="preserve">China</t>
  </si>
  <si>
    <t xml:space="preserve">16th century</t>
  </si>
  <si>
    <t xml:space="preserve">Chinese novel and adaptations</t>
  </si>
  <si>
    <t xml:space="preserve">Immortals, demons, shapeshifters, pilgrimage party, cultivation, magical weapons.</t>
  </si>
  <si>
    <t xml:space="preserve">https://en.wikipedia.org/wiki/Journey_to_the_West</t>
  </si>
  <si>
    <t xml:space="preserve">SRC-017</t>
  </si>
  <si>
    <t xml:space="preserve">Investiture of the Gods</t>
  </si>
  <si>
    <t xml:space="preserve">Xu Zhonglin (traditional attribution)</t>
  </si>
  <si>
    <t xml:space="preserve">God-making, immortals, sects, talismans, divine weapons, cosmic bureaucracy.</t>
  </si>
  <si>
    <t xml:space="preserve">https://en.wikipedia.org/wiki/Investiture_of_the_Gods</t>
  </si>
  <si>
    <t xml:space="preserve">SRC-018</t>
  </si>
  <si>
    <t xml:space="preserve">Chinese Xianxia and Cultivation Tradition</t>
  </si>
  <si>
    <t xml:space="preserve">Multiple authors</t>
  </si>
  <si>
    <t xml:space="preserve">Literary / Media Tradition</t>
  </si>
  <si>
    <t xml:space="preserve">20th–21st centuries</t>
  </si>
  <si>
    <t xml:space="preserve">Genre complex</t>
  </si>
  <si>
    <t xml:space="preserve">Cultivation realms, sects, qi, talismans, alchemy, immortality, heavenly tribulation.</t>
  </si>
  <si>
    <t xml:space="preserve">https://en.wikipedia.org/wiki/Chinese_Xianxia_and_Cultivation_Tradition</t>
  </si>
  <si>
    <t xml:space="preserve">SRC-019</t>
  </si>
  <si>
    <t xml:space="preserve">Japanese Yōkai and Kami Traditions</t>
  </si>
  <si>
    <t xml:space="preserve">Multiple religious, folkloric, and artistic traditions</t>
  </si>
  <si>
    <t xml:space="preserve">Japan</t>
  </si>
  <si>
    <t xml:space="preserve">Premodern to present</t>
  </si>
  <si>
    <t xml:space="preserve">Kami, yōkai, oni, tengu, kitsune, tsukumogami, miko, onmyōji.</t>
  </si>
  <si>
    <t xml:space="preserve">https://en.wikipedia.org/wiki/Japanese_Y%C5%8Dkai_and_Kami_Traditions</t>
  </si>
  <si>
    <t xml:space="preserve">SRC-020</t>
  </si>
  <si>
    <t xml:space="preserve">Korean Mythology and Folklore</t>
  </si>
  <si>
    <t xml:space="preserve">Korea</t>
  </si>
  <si>
    <t xml:space="preserve">Gumiho, dokkaebi, mountain spirits, shamans, underworld journeys, household beings.</t>
  </si>
  <si>
    <t xml:space="preserve">https://en.wikipedia.org/wiki/Korean_Mythology_and_Folklore</t>
  </si>
  <si>
    <t xml:space="preserve">SRC-021</t>
  </si>
  <si>
    <t xml:space="preserve">Popol Vuh</t>
  </si>
  <si>
    <t xml:space="preserve">K'iche' Maya authors and traditions</t>
  </si>
  <si>
    <t xml:space="preserve">Epic / Sacred Narrative</t>
  </si>
  <si>
    <t xml:space="preserve">Mesoamerica / K'iche' Maya</t>
  </si>
  <si>
    <t xml:space="preserve">16th-century manuscript of older traditions</t>
  </si>
  <si>
    <t xml:space="preserve">K'iche' Maya text</t>
  </si>
  <si>
    <t xml:space="preserve">Hero twins, underworld trials, creation, animal helpers, divine transformation.</t>
  </si>
  <si>
    <t xml:space="preserve">https://en.wikipedia.org/wiki/Popol_Vuh</t>
  </si>
  <si>
    <t xml:space="preserve">SRC-022</t>
  </si>
  <si>
    <t xml:space="preserve">Yorùbá Òrìṣà Traditions</t>
  </si>
  <si>
    <t xml:space="preserve">Multiple oral, religious, and literary traditions</t>
  </si>
  <si>
    <t xml:space="preserve">Mythology / Religion / Folklore</t>
  </si>
  <si>
    <t xml:space="preserve">West Africa / Yorùbá</t>
  </si>
  <si>
    <t xml:space="preserve">Òrìṣà, divination, sacred authority, trickster mediation, possession, lineage.</t>
  </si>
  <si>
    <t xml:space="preserve">https://en.wikipedia.org/wiki/Yor%C3%B9b%C3%A1_%C3%92r%C3%AC%E1%B9%A3%C3%A0_Traditions</t>
  </si>
  <si>
    <t xml:space="preserve">SRC-023</t>
  </si>
  <si>
    <t xml:space="preserve">Sundiata Epic</t>
  </si>
  <si>
    <t xml:space="preserve">Mande oral tradition</t>
  </si>
  <si>
    <t xml:space="preserve">Epic / Oral Literature</t>
  </si>
  <si>
    <t xml:space="preserve">West Africa / Mande</t>
  </si>
  <si>
    <t xml:space="preserve">13th century roots; later recordings</t>
  </si>
  <si>
    <t xml:space="preserve">Multiple performed versions</t>
  </si>
  <si>
    <t xml:space="preserve">Heroic kingship, griots, hunters, prophecy, exile, sorcery, founding empire.</t>
  </si>
  <si>
    <t xml:space="preserve">https://en.wikipedia.org/wiki/Sundiata_Epic</t>
  </si>
  <si>
    <t xml:space="preserve">SRC-024</t>
  </si>
  <si>
    <t xml:space="preserve">Māori Mythology</t>
  </si>
  <si>
    <t xml:space="preserve">Māori oral and literary traditions</t>
  </si>
  <si>
    <t xml:space="preserve">Aotearoa New Zealand</t>
  </si>
  <si>
    <t xml:space="preserve">Culture heroes, atua, taniwha, genealogy, sacred landscape, transformation.</t>
  </si>
  <si>
    <t xml:space="preserve">https://en.wikipedia.org/wiki/M%C4%81ori_Mythology</t>
  </si>
  <si>
    <t xml:space="preserve">SRC-025</t>
  </si>
  <si>
    <t xml:space="preserve">Polynesian Māui Cycles</t>
  </si>
  <si>
    <t xml:space="preserve">Multiple Polynesian traditions</t>
  </si>
  <si>
    <t xml:space="preserve">Polynesia</t>
  </si>
  <si>
    <t xml:space="preserve">Trickster culture hero, fishing up islands, transformation, fire, mortality.</t>
  </si>
  <si>
    <t xml:space="preserve">https://en.wikipedia.org/wiki/Polynesian_M%C4%81ui_Cycles</t>
  </si>
  <si>
    <t xml:space="preserve">SRC-026</t>
  </si>
  <si>
    <t xml:space="preserve">Tolkien's Legendarium</t>
  </si>
  <si>
    <t xml:space="preserve">J. R. R. Tolkien; edited works by Christopher Tolkien</t>
  </si>
  <si>
    <t xml:space="preserve">Literature</t>
  </si>
  <si>
    <t xml:space="preserve">Britain / European philological fantasy</t>
  </si>
  <si>
    <t xml:space="preserve">1937 onward</t>
  </si>
  <si>
    <t xml:space="preserve">The Hobbit, The Lord of the Rings, The Silmarillion, related texts</t>
  </si>
  <si>
    <t xml:space="preserve">Modern high-fantasy peoples, deep-time mythology, fading magic, linguistic worldbuilding.</t>
  </si>
  <si>
    <t xml:space="preserve">https://www.tolkienestate.com/writing/</t>
  </si>
  <si>
    <t xml:space="preserve">SRC-027</t>
  </si>
  <si>
    <t xml:space="preserve">Conan the Cimmerian</t>
  </si>
  <si>
    <t xml:space="preserve">Robert E. Howard</t>
  </si>
  <si>
    <t xml:space="preserve">United States / sword and sorcery</t>
  </si>
  <si>
    <t xml:space="preserve">1932</t>
  </si>
  <si>
    <t xml:space="preserve">Original stories and later continuities</t>
  </si>
  <si>
    <t xml:space="preserve">Barbarian hero, decadent civilizations, sorcerers, monsters, low-trust adventure.</t>
  </si>
  <si>
    <t xml:space="preserve">https://en.wikipedia.org/wiki/Conan_the_Cimmerian</t>
  </si>
  <si>
    <t xml:space="preserve">SRC-028</t>
  </si>
  <si>
    <t xml:space="preserve">Fafhrd and the Gray Mouser</t>
  </si>
  <si>
    <t xml:space="preserve">Fritz Leiber</t>
  </si>
  <si>
    <t xml:space="preserve">1939</t>
  </si>
  <si>
    <t xml:space="preserve">Nehwon stories</t>
  </si>
  <si>
    <t xml:space="preserve">Warrior–rogue duo, urban fantasy city, thieves, weird sorcery, episodic adventure.</t>
  </si>
  <si>
    <t xml:space="preserve">https://en.wikipedia.org/wiki/Fafhrd_and_the_Gray_Mouser</t>
  </si>
  <si>
    <t xml:space="preserve">SRC-029</t>
  </si>
  <si>
    <t xml:space="preserve">The Dying Earth</t>
  </si>
  <si>
    <t xml:space="preserve">Jack Vance</t>
  </si>
  <si>
    <t xml:space="preserve">United States / science fantasy</t>
  </si>
  <si>
    <t xml:space="preserve">1950</t>
  </si>
  <si>
    <t xml:space="preserve">Dying Earth sequence</t>
  </si>
  <si>
    <t xml:space="preserve">Vancian magic, far-future decadence, strange peoples, picaresque sorcerers.</t>
  </si>
  <si>
    <t xml:space="preserve">https://en.wikipedia.org/wiki/The_Dying_Earth</t>
  </si>
  <si>
    <t xml:space="preserve">SRC-030</t>
  </si>
  <si>
    <t xml:space="preserve">The Chronicles of Narnia</t>
  </si>
  <si>
    <t xml:space="preserve">C. S. Lewis</t>
  </si>
  <si>
    <t xml:space="preserve">Britain</t>
  </si>
  <si>
    <t xml:space="preserve">Seven-novel series</t>
  </si>
  <si>
    <t xml:space="preserve">Portal fantasy, talking animals, fauns, divine lion, mythic syncretism, chosen children.</t>
  </si>
  <si>
    <t xml:space="preserve">https://en.wikipedia.org/wiki/The_Chronicles_of_Narnia</t>
  </si>
  <si>
    <t xml:space="preserve">SRC-031</t>
  </si>
  <si>
    <t xml:space="preserve">The Lord of the Rings</t>
  </si>
  <si>
    <t xml:space="preserve">J. R. R. Tolkien</t>
  </si>
  <si>
    <t xml:space="preserve">1954–1955</t>
  </si>
  <si>
    <t xml:space="preserve">Novel; adaptations tracked separately</t>
  </si>
  <si>
    <t xml:space="preserve">Fellowship quest, artifact destruction, peoples and cultures, dark lord, returning king.</t>
  </si>
  <si>
    <t xml:space="preserve">https://www.tolkienestate.com/writing/j-r-r-tolkien/the-lord-of-the-rings/</t>
  </si>
  <si>
    <t xml:space="preserve">SRC-032</t>
  </si>
  <si>
    <t xml:space="preserve">Gormenghast</t>
  </si>
  <si>
    <t xml:space="preserve">Mervyn Peake</t>
  </si>
  <si>
    <t xml:space="preserve">1946–1959</t>
  </si>
  <si>
    <t xml:space="preserve">Gormenghast novels</t>
  </si>
  <si>
    <t xml:space="preserve">Ritualized castle society, grotesque offices, anti-quest fantasy, institutional identity.</t>
  </si>
  <si>
    <t xml:space="preserve">https://en.wikipedia.org/wiki/Gormenghast</t>
  </si>
  <si>
    <t xml:space="preserve">SRC-033</t>
  </si>
  <si>
    <t xml:space="preserve">The Once and Future King</t>
  </si>
  <si>
    <t xml:space="preserve">T. H. White</t>
  </si>
  <si>
    <t xml:space="preserve">1938–1958</t>
  </si>
  <si>
    <t xml:space="preserve">Arthurian novel cycle</t>
  </si>
  <si>
    <t xml:space="preserve">Wizard mentor, transformed education, chivalry, kingship, tragic round table.</t>
  </si>
  <si>
    <t xml:space="preserve">https://en.wikipedia.org/wiki/The_Once_and_Future_King</t>
  </si>
  <si>
    <t xml:space="preserve">SRC-034</t>
  </si>
  <si>
    <t xml:space="preserve">The Chronicles of Prydain</t>
  </si>
  <si>
    <t xml:space="preserve">Lloyd Alexander</t>
  </si>
  <si>
    <t xml:space="preserve">United States / Welsh-inspired fantasy</t>
  </si>
  <si>
    <t xml:space="preserve">1964</t>
  </si>
  <si>
    <t xml:space="preserve">Five novels and related stories</t>
  </si>
  <si>
    <t xml:space="preserve">Assistant pig-keeper hero, bard, princess, deathless cauldron-born, Welsh myth adaptation.</t>
  </si>
  <si>
    <t xml:space="preserve">https://en.wikipedia.org/wiki/The_Chronicles_of_Prydain</t>
  </si>
  <si>
    <t xml:space="preserve">SRC-035</t>
  </si>
  <si>
    <t xml:space="preserve">Earthsea</t>
  </si>
  <si>
    <t xml:space="preserve">Ursula K. Le Guin</t>
  </si>
  <si>
    <t xml:space="preserve">United States</t>
  </si>
  <si>
    <t xml:space="preserve">1968</t>
  </si>
  <si>
    <t xml:space="preserve">Earthsea cycle</t>
  </si>
  <si>
    <t xml:space="preserve">True names, wizard schools, balance, shadow self, archipelagic cultures, dragons.</t>
  </si>
  <si>
    <t xml:space="preserve">https://en.wikipedia.org/wiki/Earthsea</t>
  </si>
  <si>
    <t xml:space="preserve">SRC-036</t>
  </si>
  <si>
    <t xml:space="preserve">Elric of Melniboné</t>
  </si>
  <si>
    <t xml:space="preserve">Michael Moorcock</t>
  </si>
  <si>
    <t xml:space="preserve">Britain / sword and sorcery</t>
  </si>
  <si>
    <t xml:space="preserve">1961</t>
  </si>
  <si>
    <t xml:space="preserve">Elric sequence and Eternal Champion multiverse</t>
  </si>
  <si>
    <t xml:space="preserve">Doomed sorcerer-emperor, living sword, chaos/order cosmology, antihero.</t>
  </si>
  <si>
    <t xml:space="preserve">https://en.wikipedia.org/wiki/Elric_of_Melnibon%C3%A9</t>
  </si>
  <si>
    <t xml:space="preserve">SRC-037</t>
  </si>
  <si>
    <t xml:space="preserve">The Last Unicorn</t>
  </si>
  <si>
    <t xml:space="preserve">Peter S. Beagle</t>
  </si>
  <si>
    <t xml:space="preserve">Novel and adaptations</t>
  </si>
  <si>
    <t xml:space="preserve">Last-of-kind quest, unicorn ontology, transformation, melancholic fairy tale.</t>
  </si>
  <si>
    <t xml:space="preserve">https://en.wikipedia.org/wiki/The_Last_Unicorn</t>
  </si>
  <si>
    <t xml:space="preserve">SRC-038</t>
  </si>
  <si>
    <t xml:space="preserve">Dragonriders of Pern</t>
  </si>
  <si>
    <t xml:space="preserve">Anne McCaffrey</t>
  </si>
  <si>
    <t xml:space="preserve">United States / Ireland / science fantasy</t>
  </si>
  <si>
    <t xml:space="preserve">1967</t>
  </si>
  <si>
    <t xml:space="preserve">Pern series</t>
  </si>
  <si>
    <t xml:space="preserve">Dragon bonding, rider caste, hereditary roles, science-fantasy reinterpretation.</t>
  </si>
  <si>
    <t xml:space="preserve">https://en.wikipedia.org/wiki/Dragonriders_of_Pern</t>
  </si>
  <si>
    <t xml:space="preserve">SRC-039</t>
  </si>
  <si>
    <t xml:space="preserve">The Chronicles of Amber</t>
  </si>
  <si>
    <t xml:space="preserve">Roger Zelazny</t>
  </si>
  <si>
    <t xml:space="preserve">1970</t>
  </si>
  <si>
    <t xml:space="preserve">Amber series</t>
  </si>
  <si>
    <t xml:space="preserve">Shadow worlds, divine family, reality walking, dynastic intrigue, ambiguous immortals.</t>
  </si>
  <si>
    <t xml:space="preserve">https://en.wikipedia.org/wiki/The_Chronicles_of_Amber</t>
  </si>
  <si>
    <t xml:space="preserve">SRC-040</t>
  </si>
  <si>
    <t xml:space="preserve">The Black Company</t>
  </si>
  <si>
    <t xml:space="preserve">Glen Cook</t>
  </si>
  <si>
    <t xml:space="preserve">United States / military fantasy</t>
  </si>
  <si>
    <t xml:space="preserve">1984</t>
  </si>
  <si>
    <t xml:space="preserve">Black Company series</t>
  </si>
  <si>
    <t xml:space="preserve">Mercenary company, soldier viewpoint, dark sorcerers, moral ambiguity, chronicler.</t>
  </si>
  <si>
    <t xml:space="preserve">https://en.wikipedia.org/wiki/The_Black_Company</t>
  </si>
  <si>
    <t xml:space="preserve">SRC-041</t>
  </si>
  <si>
    <t xml:space="preserve">Riftwar Cycle</t>
  </si>
  <si>
    <t xml:space="preserve">Raymond E. Feist</t>
  </si>
  <si>
    <t xml:space="preserve">1982</t>
  </si>
  <si>
    <t xml:space="preserve">Multiple Midkemia series</t>
  </si>
  <si>
    <t xml:space="preserve">Interworld invasion, magic schools, kingdoms, elves/dwarves, long-form shared history.</t>
  </si>
  <si>
    <t xml:space="preserve">https://en.wikipedia.org/wiki/Riftwar_Cycle</t>
  </si>
  <si>
    <t xml:space="preserve">SRC-042</t>
  </si>
  <si>
    <t xml:space="preserve">Discworld</t>
  </si>
  <si>
    <t xml:space="preserve">Terry Pratchett</t>
  </si>
  <si>
    <t xml:space="preserve">1983</t>
  </si>
  <si>
    <t xml:space="preserve">Forty-one novels and related works</t>
  </si>
  <si>
    <t xml:space="preserve">Parody and reconstruction of classes, races, institutions, Death, witches, city watch.</t>
  </si>
  <si>
    <t xml:space="preserve">https://en.wikipedia.org/wiki/Discworld</t>
  </si>
  <si>
    <t xml:space="preserve">SRC-043</t>
  </si>
  <si>
    <t xml:space="preserve">Memory, Sorrow, and Thorn</t>
  </si>
  <si>
    <t xml:space="preserve">Tad Williams</t>
  </si>
  <si>
    <t xml:space="preserve">1988</t>
  </si>
  <si>
    <t xml:space="preserve">Osten Ard series</t>
  </si>
  <si>
    <t xml:space="preserve">Post-Tolkien high fantasy, ancient immortal people, kitchen-boy hero, historical memory.</t>
  </si>
  <si>
    <t xml:space="preserve">https://en.wikipedia.org/wiki/Memory,_Sorrow,_and_Thorn</t>
  </si>
  <si>
    <t xml:space="preserve">SRC-044</t>
  </si>
  <si>
    <t xml:space="preserve">The Wheel of Time</t>
  </si>
  <si>
    <t xml:space="preserve">Robert Jordan; completed by Brandon Sanderson</t>
  </si>
  <si>
    <t xml:space="preserve">1990</t>
  </si>
  <si>
    <t xml:space="preserve">Fourteen novels and prequel</t>
  </si>
  <si>
    <t xml:space="preserve">Gendered magic institution, reincarnated champion, cyclical ages, cultures, shadowspawn.</t>
  </si>
  <si>
    <t xml:space="preserve">https://en.wikipedia.org/wiki/The_Wheel_of_Time</t>
  </si>
  <si>
    <t xml:space="preserve">SRC-045</t>
  </si>
  <si>
    <t xml:space="preserve">Realm of the Elderlings</t>
  </si>
  <si>
    <t xml:space="preserve">Robin Hobb</t>
  </si>
  <si>
    <t xml:space="preserve">1995</t>
  </si>
  <si>
    <t xml:space="preserve">Linked novel sequences</t>
  </si>
  <si>
    <t xml:space="preserve">Animal bonds, hereditary magic, dragons, assassins, court roles, identity and trauma.</t>
  </si>
  <si>
    <t xml:space="preserve">https://en.wikipedia.org/wiki/Realm_of_the_Elderlings</t>
  </si>
  <si>
    <t xml:space="preserve">SRC-046</t>
  </si>
  <si>
    <t xml:space="preserve">A Song of Ice and Fire</t>
  </si>
  <si>
    <t xml:space="preserve">George R. R. Martin</t>
  </si>
  <si>
    <t xml:space="preserve">1996</t>
  </si>
  <si>
    <t xml:space="preserve">Novel series and related worldbooks</t>
  </si>
  <si>
    <t xml:space="preserve">Low-magic political fantasy, orders and offices, skinchanging, dragons, undead threat.</t>
  </si>
  <si>
    <t xml:space="preserve">https://georgerrmartin.com/all-books/cover-gallery/a-song-of-ice-and-fire/</t>
  </si>
  <si>
    <t xml:space="preserve">SRC-047</t>
  </si>
  <si>
    <t xml:space="preserve">The Witcher</t>
  </si>
  <si>
    <t xml:space="preserve">Andrzej Sapkowski</t>
  </si>
  <si>
    <t xml:space="preserve">Poland / Central European fantasy</t>
  </si>
  <si>
    <t xml:space="preserve">1986</t>
  </si>
  <si>
    <t xml:space="preserve">Short stories and novels; games and screen tracked separately</t>
  </si>
  <si>
    <t xml:space="preserve">Witcher profession, mutations, monster folklore, elves/dwarves, sorcerers, moral ambiguity.</t>
  </si>
  <si>
    <t xml:space="preserve">https://www.andrzejsapkowski.pl/</t>
  </si>
  <si>
    <t xml:space="preserve">SRC-048</t>
  </si>
  <si>
    <t xml:space="preserve">Malazan Book of the Fallen</t>
  </si>
  <si>
    <t xml:space="preserve">Steven Erikson</t>
  </si>
  <si>
    <t xml:space="preserve">Canada</t>
  </si>
  <si>
    <t xml:space="preserve">1999</t>
  </si>
  <si>
    <t xml:space="preserve">Malazan novels and related series</t>
  </si>
  <si>
    <t xml:space="preserve">Ascendants, gods, elder races, military units, warrens, shapeshifters, vast cosmology.</t>
  </si>
  <si>
    <t xml:space="preserve">https://en.wikipedia.org/wiki/Malazan_Book_of_the_Fallen</t>
  </si>
  <si>
    <t xml:space="preserve">SRC-049</t>
  </si>
  <si>
    <t xml:space="preserve">His Dark Materials</t>
  </si>
  <si>
    <t xml:space="preserve">Philip Pullman</t>
  </si>
  <si>
    <t xml:space="preserve">Trilogy and Book of Dust sequence</t>
  </si>
  <si>
    <t xml:space="preserve">Dæmon companions, multiverse, armored bears, angels, church power, soul ontology.</t>
  </si>
  <si>
    <t xml:space="preserve">https://en.wikipedia.org/wiki/His_Dark_Materials</t>
  </si>
  <si>
    <t xml:space="preserve">SRC-050</t>
  </si>
  <si>
    <t xml:space="preserve">Bas-Lag</t>
  </si>
  <si>
    <t xml:space="preserve">China Miéville</t>
  </si>
  <si>
    <t xml:space="preserve">Britain / New Weird</t>
  </si>
  <si>
    <t xml:space="preserve">2000</t>
  </si>
  <si>
    <t xml:space="preserve">Perdido Street Station and related novels</t>
  </si>
  <si>
    <t xml:space="preserve">Hybrid peoples, remaking, industrial magic, city factions, weird ecology.</t>
  </si>
  <si>
    <t xml:space="preserve">https://en.wikipedia.org/wiki/Bas-Lag</t>
  </si>
  <si>
    <t xml:space="preserve">SRC-051</t>
  </si>
  <si>
    <t xml:space="preserve">The First Law</t>
  </si>
  <si>
    <t xml:space="preserve">Joe Abercrombie</t>
  </si>
  <si>
    <t xml:space="preserve">2006</t>
  </si>
  <si>
    <t xml:space="preserve">First Law world novels</t>
  </si>
  <si>
    <t xml:space="preserve">Deconstructed warrior roles, political violence, limited magic, Northmen, institutions.</t>
  </si>
  <si>
    <t xml:space="preserve">https://en.wikipedia.org/wiki/The_First_Law</t>
  </si>
  <si>
    <t xml:space="preserve">SRC-052</t>
  </si>
  <si>
    <t xml:space="preserve">Mistborn</t>
  </si>
  <si>
    <t xml:space="preserve">Brandon Sanderson</t>
  </si>
  <si>
    <t xml:space="preserve">Cosmere subseries</t>
  </si>
  <si>
    <t xml:space="preserve">Rule-based metal magic, class oppression, heist party, immortal tyrant, technological eras.</t>
  </si>
  <si>
    <t xml:space="preserve">https://en.wikipedia.org/wiki/Mistborn</t>
  </si>
  <si>
    <t xml:space="preserve">SRC-053</t>
  </si>
  <si>
    <t xml:space="preserve">The Stormlight Archive</t>
  </si>
  <si>
    <t xml:space="preserve">2010</t>
  </si>
  <si>
    <t xml:space="preserve">Knightly orders, spren bonds, magic ideals, shard weapons, cultures, world ecology.</t>
  </si>
  <si>
    <t xml:space="preserve">https://en.wikipedia.org/wiki/The_Stormlight_Archive</t>
  </si>
  <si>
    <t xml:space="preserve">SRC-054</t>
  </si>
  <si>
    <t xml:space="preserve">The Kingkiller Chronicle</t>
  </si>
  <si>
    <t xml:space="preserve">Patrick Rothfuss</t>
  </si>
  <si>
    <t xml:space="preserve">2007</t>
  </si>
  <si>
    <t xml:space="preserve">Novel series</t>
  </si>
  <si>
    <t xml:space="preserve">University magic, naming, sympathy, bardic hero, framed unreliable autobiography.</t>
  </si>
  <si>
    <t xml:space="preserve">https://en.wikipedia.org/wiki/The_Kingkiller_Chronicle</t>
  </si>
  <si>
    <t xml:space="preserve">SRC-055</t>
  </si>
  <si>
    <t xml:space="preserve">Gentleman Bastard Sequence</t>
  </si>
  <si>
    <t xml:space="preserve">Scott Lynch</t>
  </si>
  <si>
    <t xml:space="preserve">Con artists, thieves, city factions, heists, found family, alchemical settings.</t>
  </si>
  <si>
    <t xml:space="preserve">https://en.wikipedia.org/wiki/Gentleman_Bastard_Sequence</t>
  </si>
  <si>
    <t xml:space="preserve">SRC-056</t>
  </si>
  <si>
    <t xml:space="preserve">The Broken Earth</t>
  </si>
  <si>
    <t xml:space="preserve">N. K. Jemisin</t>
  </si>
  <si>
    <t xml:space="preserve">2015</t>
  </si>
  <si>
    <t xml:space="preserve">Trilogy</t>
  </si>
  <si>
    <t xml:space="preserve">Earth power, caste oppression, post-apocalypse, non-linear identity, constructed people.</t>
  </si>
  <si>
    <t xml:space="preserve">https://en.wikipedia.org/wiki/The_Broken_Earth</t>
  </si>
  <si>
    <t xml:space="preserve">SRC-057</t>
  </si>
  <si>
    <t xml:space="preserve">The Poppy War</t>
  </si>
  <si>
    <t xml:space="preserve">R. F. Kuang</t>
  </si>
  <si>
    <t xml:space="preserve">United States / Chinese-inspired fantasy</t>
  </si>
  <si>
    <t xml:space="preserve">2018</t>
  </si>
  <si>
    <t xml:space="preserve">Military academy, shamanic power, empire, war trauma, gods and possession.</t>
  </si>
  <si>
    <t xml:space="preserve">https://en.wikipedia.org/wiki/The_Poppy_War</t>
  </si>
  <si>
    <t xml:space="preserve">SRC-058</t>
  </si>
  <si>
    <t xml:space="preserve">The Daevabad Trilogy</t>
  </si>
  <si>
    <t xml:space="preserve">S. A. Chakraborty</t>
  </si>
  <si>
    <t xml:space="preserve">United States / Islamic-world-inspired fantasy</t>
  </si>
  <si>
    <t xml:space="preserve">2017</t>
  </si>
  <si>
    <t xml:space="preserve">Djinn peoples, magical city, dynasties, healing, sectarian politics, mixed ancestry.</t>
  </si>
  <si>
    <t xml:space="preserve">https://en.wikipedia.org/wiki/The_Daevabad_Trilogy</t>
  </si>
  <si>
    <t xml:space="preserve">SRC-059</t>
  </si>
  <si>
    <t xml:space="preserve">The Green Bone Saga</t>
  </si>
  <si>
    <t xml:space="preserve">Fonda Lee</t>
  </si>
  <si>
    <t xml:space="preserve">Canada / East Asian-inspired urban epic fantasy</t>
  </si>
  <si>
    <t xml:space="preserve">Clan institutions, jade-enhanced warriors, modernizing society, honor and crime.</t>
  </si>
  <si>
    <t xml:space="preserve">https://en.wikipedia.org/wiki/The_Green_Bone_Saga</t>
  </si>
  <si>
    <t xml:space="preserve">SRC-060</t>
  </si>
  <si>
    <t xml:space="preserve">The Priory of the Orange Tree</t>
  </si>
  <si>
    <t xml:space="preserve">Samantha Shannon</t>
  </si>
  <si>
    <t xml:space="preserve">2019</t>
  </si>
  <si>
    <t xml:space="preserve">Roots of Chaos setting</t>
  </si>
  <si>
    <t xml:space="preserve">Dragon traditions, queenship, secret orders, east/west cosmologies, sapphic epic fantasy.</t>
  </si>
  <si>
    <t xml:space="preserve">https://en.wikipedia.org/wiki/The_Priory_of_the_Orange_Tree</t>
  </si>
  <si>
    <t xml:space="preserve">SRC-061</t>
  </si>
  <si>
    <t xml:space="preserve">The Locked Tomb</t>
  </si>
  <si>
    <t xml:space="preserve">Tamsyn Muir</t>
  </si>
  <si>
    <t xml:space="preserve">New Zealand / science fantasy</t>
  </si>
  <si>
    <t xml:space="preserve">Necromancer houses, cavaliers, resurrection empire, soul magic, identity puzzles.</t>
  </si>
  <si>
    <t xml:space="preserve">https://en.wikipedia.org/wiki/The_Locked_Tomb</t>
  </si>
  <si>
    <t xml:space="preserve">SRC-062</t>
  </si>
  <si>
    <t xml:space="preserve">The Book of the New Sun</t>
  </si>
  <si>
    <t xml:space="preserve">Gene Wolfe</t>
  </si>
  <si>
    <t xml:space="preserve">1980</t>
  </si>
  <si>
    <t xml:space="preserve">Solar Cycle</t>
  </si>
  <si>
    <t xml:space="preserve">Far-future guild offices, unreliable narration, relic technology, dying world.</t>
  </si>
  <si>
    <t xml:space="preserve">https://en.wikipedia.org/wiki/The_Book_of_the_New_Sun</t>
  </si>
  <si>
    <t xml:space="preserve">SRC-063</t>
  </si>
  <si>
    <t xml:space="preserve">The Broken Empire</t>
  </si>
  <si>
    <t xml:space="preserve">Mark Lawrence</t>
  </si>
  <si>
    <t xml:space="preserve">Britain / dark fantasy</t>
  </si>
  <si>
    <t xml:space="preserve">2011</t>
  </si>
  <si>
    <t xml:space="preserve">Tier 3</t>
  </si>
  <si>
    <t xml:space="preserve">Antihero prince, post-technological ruins, necromancy, fragmented empire.</t>
  </si>
  <si>
    <t xml:space="preserve">https://en.wikipedia.org/wiki/The_Broken_Empire</t>
  </si>
  <si>
    <t xml:space="preserve">SRC-064</t>
  </si>
  <si>
    <t xml:space="preserve">Powder Mage</t>
  </si>
  <si>
    <t xml:space="preserve">Brian McClellan</t>
  </si>
  <si>
    <t xml:space="preserve">United States / flintlock fantasy</t>
  </si>
  <si>
    <t xml:space="preserve">2013</t>
  </si>
  <si>
    <t xml:space="preserve">Powder mages, military classes, gods, revolution, firearms integrated with magic.</t>
  </si>
  <si>
    <t xml:space="preserve">https://en.wikipedia.org/wiki/Powder_Mage</t>
  </si>
  <si>
    <t xml:space="preserve">SRC-065</t>
  </si>
  <si>
    <t xml:space="preserve">Jonathan Strange &amp; Mr Norrell</t>
  </si>
  <si>
    <t xml:space="preserve">Susanna Clarke</t>
  </si>
  <si>
    <t xml:space="preserve">2004</t>
  </si>
  <si>
    <t xml:space="preserve">Novel and screen adaptation</t>
  </si>
  <si>
    <t xml:space="preserve">English magic history, gentleman magicians, faerie bargain, scholarly practice.</t>
  </si>
  <si>
    <t xml:space="preserve">https://en.wikipedia.org/wiki/Jonathan_Strange_%26_Mr_Norrell</t>
  </si>
  <si>
    <t xml:space="preserve">SRC-066</t>
  </si>
  <si>
    <t xml:space="preserve">Kushiel's Legacy</t>
  </si>
  <si>
    <t xml:space="preserve">Jacqueline Carey</t>
  </si>
  <si>
    <t xml:space="preserve">2001</t>
  </si>
  <si>
    <t xml:space="preserve">Terre d'Ange novels</t>
  </si>
  <si>
    <t xml:space="preserve">Sacred lineages, courtesan-spy role, political travel, religious orders, chosen pain.</t>
  </si>
  <si>
    <t xml:space="preserve">https://en.wikipedia.org/wiki/Kushiel's_Legacy</t>
  </si>
  <si>
    <t xml:space="preserve">SRC-067</t>
  </si>
  <si>
    <t xml:space="preserve">Black Leopard, Red Wolf</t>
  </si>
  <si>
    <t xml:space="preserve">Marlon James</t>
  </si>
  <si>
    <t xml:space="preserve">Jamaica / African-inspired fantasy</t>
  </si>
  <si>
    <t xml:space="preserve">Dark Star Trilogy</t>
  </si>
  <si>
    <t xml:space="preserve">African mythic beings, tracker role, shapeshifters, unreliable narrative, quest inversion.</t>
  </si>
  <si>
    <t xml:space="preserve">https://en.wikipedia.org/wiki/Black_Leopard,_Red_Wolf</t>
  </si>
  <si>
    <t xml:space="preserve">SRC-068</t>
  </si>
  <si>
    <t xml:space="preserve">Who Fears Death</t>
  </si>
  <si>
    <t xml:space="preserve">Nnedi Okorafor</t>
  </si>
  <si>
    <t xml:space="preserve">Nigeria / United States</t>
  </si>
  <si>
    <t xml:space="preserve">Novel and related setting</t>
  </si>
  <si>
    <t xml:space="preserve">Sorcery, transformation, social violence, prophecy, post-apocalyptic African setting.</t>
  </si>
  <si>
    <t xml:space="preserve">https://en.wikipedia.org/wiki/Who_Fears_Death</t>
  </si>
  <si>
    <t xml:space="preserve">SRC-069</t>
  </si>
  <si>
    <t xml:space="preserve">Akata Witch</t>
  </si>
  <si>
    <t xml:space="preserve">Nsibidi Scripts series</t>
  </si>
  <si>
    <t xml:space="preserve">Magical society, spirit doubles, masquerades, learning groups, Nigerian folklore.</t>
  </si>
  <si>
    <t xml:space="preserve">https://en.wikipedia.org/wiki/Akata_Witch</t>
  </si>
  <si>
    <t xml:space="preserve">SRC-070</t>
  </si>
  <si>
    <t xml:space="preserve">Children of Blood and Bone</t>
  </si>
  <si>
    <t xml:space="preserve">Tomi Adeyemi</t>
  </si>
  <si>
    <t xml:space="preserve">United States / West African-inspired fantasy</t>
  </si>
  <si>
    <t xml:space="preserve">Legacy of Orïsha series</t>
  </si>
  <si>
    <t xml:space="preserve">Magic castes, suppressed practitioners, divine powers, rebellion, monarchy.</t>
  </si>
  <si>
    <t xml:space="preserve">https://en.wikipedia.org/wiki/Children_of_Blood_and_Bone</t>
  </si>
  <si>
    <t xml:space="preserve">SRC-071</t>
  </si>
  <si>
    <t xml:space="preserve">The Bird That Drinks Tears</t>
  </si>
  <si>
    <t xml:space="preserve">Lee Yeongdo</t>
  </si>
  <si>
    <t xml:space="preserve">South Korea</t>
  </si>
  <si>
    <t xml:space="preserve">2003</t>
  </si>
  <si>
    <t xml:space="preserve">Korean fantasy novel</t>
  </si>
  <si>
    <t xml:space="preserve">Distinct nonhuman peoples, rescue party, culturally specific worldbuilding, gods.</t>
  </si>
  <si>
    <t xml:space="preserve">https://en.wikipedia.org/wiki/The_Bird_That_Drinks_Tears</t>
  </si>
  <si>
    <t xml:space="preserve">SRC-072</t>
  </si>
  <si>
    <t xml:space="preserve">The Twelve Kingdoms</t>
  </si>
  <si>
    <t xml:space="preserve">Fuyumi Ono</t>
  </si>
  <si>
    <t xml:space="preserve">Light Novel / Literature</t>
  </si>
  <si>
    <t xml:space="preserve">1992</t>
  </si>
  <si>
    <t xml:space="preserve">Novel series and anime adaptation</t>
  </si>
  <si>
    <t xml:space="preserve">Isekai sovereignty, kirin, divine mandate, nonhuman ecology, bureaucratic kingdoms.</t>
  </si>
  <si>
    <t xml:space="preserve">https://en.wikipedia.org/wiki/The_Twelve_Kingdoms</t>
  </si>
  <si>
    <t xml:space="preserve">SRC-073</t>
  </si>
  <si>
    <t xml:space="preserve">Guin Saga</t>
  </si>
  <si>
    <t xml:space="preserve">Kaoru Kurimoto</t>
  </si>
  <si>
    <t xml:space="preserve">Literature / Light Novel</t>
  </si>
  <si>
    <t xml:space="preserve">1979</t>
  </si>
  <si>
    <t xml:space="preserve">Long-running novel series</t>
  </si>
  <si>
    <t xml:space="preserve">Amnesiac warrior, kingdoms, sorcery, war, leopard mask, epic scale.</t>
  </si>
  <si>
    <t xml:space="preserve">https://en.wikipedia.org/wiki/Guin_Saga</t>
  </si>
  <si>
    <t xml:space="preserve">SRC-074</t>
  </si>
  <si>
    <t xml:space="preserve">Moribito</t>
  </si>
  <si>
    <t xml:space="preserve">Nahoko Uehashi</t>
  </si>
  <si>
    <t xml:space="preserve">Spearwoman bodyguard, spirit ecology, royal ritual, parallel worlds, anthropology.</t>
  </si>
  <si>
    <t xml:space="preserve">https://en.wikipedia.org/wiki/Moribito</t>
  </si>
  <si>
    <t xml:space="preserve">SRC-075</t>
  </si>
  <si>
    <t xml:space="preserve">Record of Lodoss War</t>
  </si>
  <si>
    <t xml:space="preserve">Ryo Mizuno and Group SNE</t>
  </si>
  <si>
    <t xml:space="preserve">Replay / Novel / Anime</t>
  </si>
  <si>
    <t xml:space="preserve">1986 onward</t>
  </si>
  <si>
    <t xml:space="preserve">Novels, replays, anime, games</t>
  </si>
  <si>
    <t xml:space="preserve">Japanese reception of tabletop high fantasy, classic party classes, dark elves, knightly quest.</t>
  </si>
  <si>
    <t xml:space="preserve">https://en.wikipedia.org/wiki/Record_of_Lodoss_War</t>
  </si>
  <si>
    <t xml:space="preserve">SRC-076</t>
  </si>
  <si>
    <t xml:space="preserve">Slayers</t>
  </si>
  <si>
    <t xml:space="preserve">Hajime Kanzaka</t>
  </si>
  <si>
    <t xml:space="preserve">Light Novel / Anime</t>
  </si>
  <si>
    <t xml:space="preserve">1989</t>
  </si>
  <si>
    <t xml:space="preserve">Novels and adaptations</t>
  </si>
  <si>
    <t xml:space="preserve">Sorcerer adventurers, demon lords, spell lists, comedic party dynamics.</t>
  </si>
  <si>
    <t xml:space="preserve">https://en.wikipedia.org/wiki/Slayers</t>
  </si>
  <si>
    <t xml:space="preserve">SRC-077</t>
  </si>
  <si>
    <t xml:space="preserve">A Record of a Mortal's Journey to Immortality</t>
  </si>
  <si>
    <t xml:space="preserve">Wang Yu</t>
  </si>
  <si>
    <t xml:space="preserve">Web Novel</t>
  </si>
  <si>
    <t xml:space="preserve">China / xianxia</t>
  </si>
  <si>
    <t xml:space="preserve">2008</t>
  </si>
  <si>
    <t xml:space="preserve">Cultivation stages, sects, talismans, alchemy, spirit beasts, resource progression.</t>
  </si>
  <si>
    <t xml:space="preserve">https://en.wikipedia.org/wiki/A_Record_of_a_Mortal's_Journey_to_Immortality</t>
  </si>
  <si>
    <t xml:space="preserve">SRC-078</t>
  </si>
  <si>
    <t xml:space="preserve">Grandmaster of Demonic Cultivation</t>
  </si>
  <si>
    <t xml:space="preserve">Mo Xiang Tong Xiu</t>
  </si>
  <si>
    <t xml:space="preserve">Web Novel / Danmei / Xianxia</t>
  </si>
  <si>
    <t xml:space="preserve">Cultivation clans, demonic cultivation, guqin, resentful energy, reincarnated identity.</t>
  </si>
  <si>
    <t xml:space="preserve">https://en.wikipedia.org/wiki/Grandmaster_of_Demonic_Cultivation</t>
  </si>
  <si>
    <t xml:space="preserve">SRC-079</t>
  </si>
  <si>
    <t xml:space="preserve">The Legend of the Condor Heroes</t>
  </si>
  <si>
    <t xml:space="preserve">Jin Yong</t>
  </si>
  <si>
    <t xml:space="preserve">Literature / Wuxia</t>
  </si>
  <si>
    <t xml:space="preserve">Hong Kong / China</t>
  </si>
  <si>
    <t xml:space="preserve">1957</t>
  </si>
  <si>
    <t xml:space="preserve">Martial schools, techniques, masters, sects, chivalric wandering, historical politics.</t>
  </si>
  <si>
    <t xml:space="preserve">https://en.wikipedia.org/wiki/The_Legend_of_the_Condor_Heroes</t>
  </si>
  <si>
    <t xml:space="preserve">SRC-080</t>
  </si>
  <si>
    <t xml:space="preserve">Kalpa Imperial</t>
  </si>
  <si>
    <t xml:space="preserve">Angélica Gorodischer</t>
  </si>
  <si>
    <t xml:space="preserve">Argentina</t>
  </si>
  <si>
    <t xml:space="preserve">1983–1984</t>
  </si>
  <si>
    <t xml:space="preserve">Story cycle</t>
  </si>
  <si>
    <t xml:space="preserve">Imperial rise and fall, storyteller frame, civilization archetypes, anti-linear history.</t>
  </si>
  <si>
    <t xml:space="preserve">https://en.wikipedia.org/wiki/Kalpa_Imperial</t>
  </si>
  <si>
    <t xml:space="preserve">SRC-081</t>
  </si>
  <si>
    <t xml:space="preserve">The Inheritance Cycle</t>
  </si>
  <si>
    <t xml:space="preserve">Christopher Paolini</t>
  </si>
  <si>
    <t xml:space="preserve">2002</t>
  </si>
  <si>
    <t xml:space="preserve">Dragon riders, magical language, elves/dwarves, empire, chosen farmboy hero.</t>
  </si>
  <si>
    <t xml:space="preserve">https://en.wikipedia.org/wiki/The_Inheritance_Cycle</t>
  </si>
  <si>
    <t xml:space="preserve">SRC-082</t>
  </si>
  <si>
    <t xml:space="preserve">The Deed of Paksenarrion</t>
  </si>
  <si>
    <t xml:space="preserve">Elizabeth Moon</t>
  </si>
  <si>
    <t xml:space="preserve">1988–1989</t>
  </si>
  <si>
    <t xml:space="preserve">Novel trilogy and related works</t>
  </si>
  <si>
    <t xml:space="preserve">Soldier-to-paladin progression, military life, divine vocation, oath and trauma.</t>
  </si>
  <si>
    <t xml:space="preserve">https://en.wikipedia.org/wiki/The_Deed_of_Paksenarrion</t>
  </si>
  <si>
    <t xml:space="preserve">SRC-083</t>
  </si>
  <si>
    <t xml:space="preserve">The Dragonbone Chair / Osten Ard</t>
  </si>
  <si>
    <t xml:space="preserve">1988 onward</t>
  </si>
  <si>
    <t xml:space="preserve">Osten Ard novels</t>
  </si>
  <si>
    <t xml:space="preserve">Immortal elder peoples, court politics, kitchen-boy quest, legend becoming history.</t>
  </si>
  <si>
    <t xml:space="preserve">https://en.wikipedia.org/wiki/The_Dragonbone_Chair_%2F_Osten_Ard</t>
  </si>
  <si>
    <t xml:space="preserve">SRC-084</t>
  </si>
  <si>
    <t xml:space="preserve">The Lions of Al-Rassan</t>
  </si>
  <si>
    <t xml:space="preserve">Guy Gavriel Kay</t>
  </si>
  <si>
    <t xml:space="preserve">Canada / historical fantasy</t>
  </si>
  <si>
    <t xml:space="preserve">Standalone novel</t>
  </si>
  <si>
    <t xml:space="preserve">Analogical history, warrior-poet, physician, divided faiths, cultural hybridity.</t>
  </si>
  <si>
    <t xml:space="preserve">https://en.wikipedia.org/wiki/The_Lions_of_Al-Rassan</t>
  </si>
  <si>
    <t xml:space="preserve">SRC-085</t>
  </si>
  <si>
    <t xml:space="preserve">The Books of Earthsea</t>
  </si>
  <si>
    <t xml:space="preserve">1968–2001</t>
  </si>
  <si>
    <t xml:space="preserve">Full Earthsea cycle</t>
  </si>
  <si>
    <t xml:space="preserve">Naming, wizard institution, gender critique, dragons, balance, archipelago cultures.</t>
  </si>
  <si>
    <t xml:space="preserve">https://en.wikipedia.org/wiki/The_Books_of_Earthsea</t>
  </si>
  <si>
    <t xml:space="preserve">SRC-086</t>
  </si>
  <si>
    <t xml:space="preserve">The Spear Cuts Through Water</t>
  </si>
  <si>
    <t xml:space="preserve">Simon Jimenez</t>
  </si>
  <si>
    <t xml:space="preserve">United States / Filipino-American</t>
  </si>
  <si>
    <t xml:space="preserve">2022</t>
  </si>
  <si>
    <t xml:space="preserve">Epic journey, moon goddess, mythic frame, authoritarian empire, theatrical narration.</t>
  </si>
  <si>
    <t xml:space="preserve">https://en.wikipedia.org/wiki/The_Spear_Cuts_Through_Water</t>
  </si>
  <si>
    <t xml:space="preserve">SRC-087</t>
  </si>
  <si>
    <t xml:space="preserve">The Jasmine Throne</t>
  </si>
  <si>
    <t xml:space="preserve">Tasha Suri</t>
  </si>
  <si>
    <t xml:space="preserve">Britain / South Asian-inspired fantasy</t>
  </si>
  <si>
    <t xml:space="preserve">2021</t>
  </si>
  <si>
    <t xml:space="preserve">Burning Kingdoms series</t>
  </si>
  <si>
    <t xml:space="preserve">Plant magic, empire, religious orders, queenship, rebellion, sacred ecology.</t>
  </si>
  <si>
    <t xml:space="preserve">https://en.wikipedia.org/wiki/The_Jasmine_Throne</t>
  </si>
  <si>
    <t xml:space="preserve">SRC-088</t>
  </si>
  <si>
    <t xml:space="preserve">The Adventures of Amina al-Sirafi</t>
  </si>
  <si>
    <t xml:space="preserve">Shannon Chakraborty</t>
  </si>
  <si>
    <t xml:space="preserve">United States / Indian Ocean fantasy</t>
  </si>
  <si>
    <t xml:space="preserve">2023</t>
  </si>
  <si>
    <t xml:space="preserve">Pirate captain, djinn, maritime trade, aging adventurer, Islamic-world setting.</t>
  </si>
  <si>
    <t xml:space="preserve">https://en.wikipedia.org/wiki/The_Adventures_of_Amina_al-Sirafi</t>
  </si>
  <si>
    <t xml:space="preserve">SRC-089</t>
  </si>
  <si>
    <t xml:space="preserve">Dungeons &amp; Dragons</t>
  </si>
  <si>
    <t xml:space="preserve">Wizards of the Coast and predecessor TSR</t>
  </si>
  <si>
    <t xml:space="preserve">Tabletop RPG</t>
  </si>
  <si>
    <t xml:space="preserve">1974</t>
  </si>
  <si>
    <t xml:space="preserve">Editions and settings tracked separately</t>
  </si>
  <si>
    <t xml:space="preserve">Formal race/class taxonomy, alignment, monster types, spell schools, party roles.</t>
  </si>
  <si>
    <t xml:space="preserve">Separate 2014, 2024, and earlier rules when mechanics or terminology differ.</t>
  </si>
  <si>
    <t xml:space="preserve">https://www.dndbeyond.com/sources/dnd/br-2024/character-classes</t>
  </si>
  <si>
    <t xml:space="preserve">SRC-090</t>
  </si>
  <si>
    <t xml:space="preserve">Forgotten Realms</t>
  </si>
  <si>
    <t xml:space="preserve">Ed Greenwood; TSR/Wizards of the Coast</t>
  </si>
  <si>
    <t xml:space="preserve">Tabletop RPG Setting</t>
  </si>
  <si>
    <t xml:space="preserve">1987 publication</t>
  </si>
  <si>
    <t xml:space="preserve">D&amp;D setting across editions and media</t>
  </si>
  <si>
    <t xml:space="preserve">Large shared-world catalogue of peoples, classes, deities, factions, and regional cultures.</t>
  </si>
  <si>
    <t xml:space="preserve">https://en.wikipedia.org/wiki/Forgotten_Realms</t>
  </si>
  <si>
    <t xml:space="preserve">SRC-091</t>
  </si>
  <si>
    <t xml:space="preserve">Greyhawk</t>
  </si>
  <si>
    <t xml:space="preserve">Gary Gygax; TSR/Wizards of the Coast</t>
  </si>
  <si>
    <t xml:space="preserve">1975</t>
  </si>
  <si>
    <t xml:space="preserve">D&amp;D setting across editions</t>
  </si>
  <si>
    <t xml:space="preserve">Early codification of fantasy classes, alignment, monsters, and adventure geography.</t>
  </si>
  <si>
    <t xml:space="preserve">https://en.wikipedia.org/wiki/Greyhawk</t>
  </si>
  <si>
    <t xml:space="preserve">SRC-092</t>
  </si>
  <si>
    <t xml:space="preserve">Dragonlance</t>
  </si>
  <si>
    <t xml:space="preserve">Laura and Tracy Hickman; Margaret Weis; TSR/Wizards</t>
  </si>
  <si>
    <t xml:space="preserve">Tabletop RPG / Literature Setting</t>
  </si>
  <si>
    <t xml:space="preserve">D&amp;D setting, novels, and games</t>
  </si>
  <si>
    <t xml:space="preserve">Knightly orders, wizard robes, kender, draconians, dragon armies, divine return.</t>
  </si>
  <si>
    <t xml:space="preserve">https://en.wikipedia.org/wiki/Dragonlance</t>
  </si>
  <si>
    <t xml:space="preserve">SRC-093</t>
  </si>
  <si>
    <t xml:space="preserve">Eberron</t>
  </si>
  <si>
    <t xml:space="preserve">Keith Baker; Wizards of the Coast</t>
  </si>
  <si>
    <t xml:space="preserve">Warforged, dragonmarks, pulp roles, magitech industry, noir institutions, monstrous nations.</t>
  </si>
  <si>
    <t xml:space="preserve">https://en.wikipedia.org/wiki/Eberron</t>
  </si>
  <si>
    <t xml:space="preserve">SRC-094</t>
  </si>
  <si>
    <t xml:space="preserve">Dark Sun</t>
  </si>
  <si>
    <t xml:space="preserve">Troy Denning and Timothy Brown; TSR/Wizards</t>
  </si>
  <si>
    <t xml:space="preserve">1991</t>
  </si>
  <si>
    <t xml:space="preserve">Post-apocalyptic ecology, psionics, sorcerer-kings, altered peoples, survival classes.</t>
  </si>
  <si>
    <t xml:space="preserve">https://en.wikipedia.org/wiki/Dark_Sun</t>
  </si>
  <si>
    <t xml:space="preserve">SRC-095</t>
  </si>
  <si>
    <t xml:space="preserve">Planescape</t>
  </si>
  <si>
    <t xml:space="preserve">David Cook and TSR/Wizards</t>
  </si>
  <si>
    <t xml:space="preserve">1994</t>
  </si>
  <si>
    <t xml:space="preserve">D&amp;D setting and adaptations</t>
  </si>
  <si>
    <t xml:space="preserve">Planar peoples, factions as philosophical classes, celestials/fiends, multiversal city.</t>
  </si>
  <si>
    <t xml:space="preserve">https://en.wikipedia.org/wiki/Planescape</t>
  </si>
  <si>
    <t xml:space="preserve">SRC-096</t>
  </si>
  <si>
    <t xml:space="preserve">Ravenloft</t>
  </si>
  <si>
    <t xml:space="preserve">Tracy and Laura Hickman; TSR/Wizards</t>
  </si>
  <si>
    <t xml:space="preserve">1983/1990 setting</t>
  </si>
  <si>
    <t xml:space="preserve">Darklords, gothic monsters, curses, domains, horror transformation and moral pressure.</t>
  </si>
  <si>
    <t xml:space="preserve">https://en.wikipedia.org/wiki/Ravenloft</t>
  </si>
  <si>
    <t xml:space="preserve">SRC-097</t>
  </si>
  <si>
    <t xml:space="preserve">Spelljammer</t>
  </si>
  <si>
    <t xml:space="preserve">Jeff Grubb; TSR/Wizards</t>
  </si>
  <si>
    <t xml:space="preserve">D&amp;D science-fantasy setting</t>
  </si>
  <si>
    <t xml:space="preserve">Spacefaring fantasy peoples, magical ships, multiverse travel, hybrid genre classes.</t>
  </si>
  <si>
    <t xml:space="preserve">https://en.wikipedia.org/wiki/Spelljammer</t>
  </si>
  <si>
    <t xml:space="preserve">SRC-098</t>
  </si>
  <si>
    <t xml:space="preserve">Pathfinder / Golarion</t>
  </si>
  <si>
    <t xml:space="preserve">Paizo</t>
  </si>
  <si>
    <t xml:space="preserve">Tabletop RPG / Setting</t>
  </si>
  <si>
    <t xml:space="preserve">2009</t>
  </si>
  <si>
    <t xml:space="preserve">Editions and setting books</t>
  </si>
  <si>
    <t xml:space="preserve">Extensive ancestry/class system, archetypes, deities, regions, monsters, evolving terminology.</t>
  </si>
  <si>
    <t xml:space="preserve">https://en.wikipedia.org/wiki/Pathfinder_%2F_Golarion</t>
  </si>
  <si>
    <t xml:space="preserve">SRC-099</t>
  </si>
  <si>
    <t xml:space="preserve">RuneQuest / Glorantha</t>
  </si>
  <si>
    <t xml:space="preserve">Greg Stafford; Chaosium and others</t>
  </si>
  <si>
    <t xml:space="preserve">1978</t>
  </si>
  <si>
    <t xml:space="preserve">Glorantha across games and fiction</t>
  </si>
  <si>
    <t xml:space="preserve">Cult membership as class-like identity, mythic time, runes, species-specific cultures, heroquesting.</t>
  </si>
  <si>
    <t xml:space="preserve">https://en.wikipedia.org/wiki/RuneQuest_%2F_Glorantha</t>
  </si>
  <si>
    <t xml:space="preserve">SRC-100</t>
  </si>
  <si>
    <t xml:space="preserve">Warhammer Fantasy Roleplay</t>
  </si>
  <si>
    <t xml:space="preserve">Games Workshop and licensees</t>
  </si>
  <si>
    <t xml:space="preserve">Old World across editions</t>
  </si>
  <si>
    <t xml:space="preserve">Career system, grim social professions, Chaos mutation, species, institutions, disease and corruption.</t>
  </si>
  <si>
    <t xml:space="preserve">https://en.wikipedia.org/wiki/Warhammer_Fantasy_Roleplay</t>
  </si>
  <si>
    <t xml:space="preserve">SRC-101</t>
  </si>
  <si>
    <t xml:space="preserve">Warhammer: The Old World</t>
  </si>
  <si>
    <t xml:space="preserve">Games Workshop</t>
  </si>
  <si>
    <t xml:space="preserve">Miniatures Wargame / Setting</t>
  </si>
  <si>
    <t xml:space="preserve">2024 revival; roots in 1983</t>
  </si>
  <si>
    <t xml:space="preserve">Warhammer Fantasy setting</t>
  </si>
  <si>
    <t xml:space="preserve">Army factions as civilizational archetypes, species, cults, monsters, military roles.</t>
  </si>
  <si>
    <t xml:space="preserve">Track classic Warhammer Fantasy and current Old World publications separately.</t>
  </si>
  <si>
    <t xml:space="preserve">https://www.warhammer.com/en-US/explore/the-old-world</t>
  </si>
  <si>
    <t xml:space="preserve">SRC-102</t>
  </si>
  <si>
    <t xml:space="preserve">Warhammer Age of Sigmar</t>
  </si>
  <si>
    <t xml:space="preserve">Mortal Realms setting</t>
  </si>
  <si>
    <t xml:space="preserve">Mythic-scale factions, reforged warriors, gods, undead orders, chaos, realm-based peoples.</t>
  </si>
  <si>
    <t xml:space="preserve">Track separately from the Old World continuity.</t>
  </si>
  <si>
    <t xml:space="preserve">https://www.warhammer.com/en-US/explore/age-of-sigmar</t>
  </si>
  <si>
    <t xml:space="preserve">SRC-103</t>
  </si>
  <si>
    <t xml:space="preserve">The One Ring</t>
  </si>
  <si>
    <t xml:space="preserve">Francesco Nepitello; Free League / Cubicle 7 editions</t>
  </si>
  <si>
    <t xml:space="preserve">Europe</t>
  </si>
  <si>
    <t xml:space="preserve">Licensed Tolkien RPG</t>
  </si>
  <si>
    <t xml:space="preserve">Culture rather than race emphasis, callings, shadow burden, travel, fellowship and patronage.</t>
  </si>
  <si>
    <t xml:space="preserve">https://en.wikipedia.org/wiki/The_One_Ring</t>
  </si>
  <si>
    <t xml:space="preserve">SRC-104</t>
  </si>
  <si>
    <t xml:space="preserve">Ars Magica</t>
  </si>
  <si>
    <t xml:space="preserve">Jonathan Tweet and Mark Rein-Hagen; Atlas Games</t>
  </si>
  <si>
    <t xml:space="preserve">1987</t>
  </si>
  <si>
    <t xml:space="preserve">Mythic Europe editions</t>
  </si>
  <si>
    <t xml:space="preserve">Hermetic houses, rigorous magic arts, covenants, magi/companions/grogs social structure.</t>
  </si>
  <si>
    <t xml:space="preserve">https://en.wikipedia.org/wiki/Ars_Magica</t>
  </si>
  <si>
    <t xml:space="preserve">SRC-105</t>
  </si>
  <si>
    <t xml:space="preserve">Exalted</t>
  </si>
  <si>
    <t xml:space="preserve">White Wolf / Onyx Path</t>
  </si>
  <si>
    <t xml:space="preserve">Editions and Creation setting</t>
  </si>
  <si>
    <t xml:space="preserve">Exalt types, charms, martial arts, gods, spirits, demons, reincarnation, mythic power tiers.</t>
  </si>
  <si>
    <t xml:space="preserve">https://en.wikipedia.org/wiki/Exalted</t>
  </si>
  <si>
    <t xml:space="preserve">SRC-106</t>
  </si>
  <si>
    <t xml:space="preserve">Earthdawn</t>
  </si>
  <si>
    <t xml:space="preserve">FASA and later publishers</t>
  </si>
  <si>
    <t xml:space="preserve">1993</t>
  </si>
  <si>
    <t xml:space="preserve">Barsaive setting across editions</t>
  </si>
  <si>
    <t xml:space="preserve">Disciplines as metaphysical classes, Namegivers, Horrors, post-apocalyptic kaers.</t>
  </si>
  <si>
    <t xml:space="preserve">https://en.wikipedia.org/wiki/Earthdawn</t>
  </si>
  <si>
    <t xml:space="preserve">SRC-107</t>
  </si>
  <si>
    <t xml:space="preserve">Shadowrun</t>
  </si>
  <si>
    <t xml:space="preserve">FASA and later Catalyst Game Labs</t>
  </si>
  <si>
    <t xml:space="preserve">Tabletop RPG / Science Fantasy</t>
  </si>
  <si>
    <t xml:space="preserve">Editions and media</t>
  </si>
  <si>
    <t xml:space="preserve">Fantasy peoples in cyberpunk society, shamans, mages, technomancers, corporations.</t>
  </si>
  <si>
    <t xml:space="preserve">https://en.wikipedia.org/wiki/Shadowrun</t>
  </si>
  <si>
    <t xml:space="preserve">SRC-108</t>
  </si>
  <si>
    <t xml:space="preserve">World of Darkness</t>
  </si>
  <si>
    <t xml:space="preserve">White Wolf / Paradox</t>
  </si>
  <si>
    <t xml:space="preserve">Tabletop RPG / Shared Setting</t>
  </si>
  <si>
    <t xml:space="preserve">1991 onward</t>
  </si>
  <si>
    <t xml:space="preserve">Vampire, Werewolf, Mage and related lines</t>
  </si>
  <si>
    <t xml:space="preserve">Supernatural conditions as societies, clans/tribes/traditions, urban occult institutions.</t>
  </si>
  <si>
    <t xml:space="preserve">https://en.wikipedia.org/wiki/World_of_Darkness</t>
  </si>
  <si>
    <t xml:space="preserve">SRC-109</t>
  </si>
  <si>
    <t xml:space="preserve">The Dark Eye</t>
  </si>
  <si>
    <t xml:space="preserve">Ulrich Kiesow and Ulisses Spiele</t>
  </si>
  <si>
    <t xml:space="preserve">Germany</t>
  </si>
  <si>
    <t xml:space="preserve">Aventuria across editions</t>
  </si>
  <si>
    <t xml:space="preserve">European continental fantasy careers, cultures, magic traditions, gods, regional detail.</t>
  </si>
  <si>
    <t xml:space="preserve">https://en.wikipedia.org/wiki/The_Dark_Eye</t>
  </si>
  <si>
    <t xml:space="preserve">SRC-110</t>
  </si>
  <si>
    <t xml:space="preserve">Legend of the Five Rings</t>
  </si>
  <si>
    <t xml:space="preserve">Alderac, Fantasy Flight, Edge</t>
  </si>
  <si>
    <t xml:space="preserve">Tabletop RPG / Card Game Setting</t>
  </si>
  <si>
    <t xml:space="preserve">United States / Japanese-inspired fantasy</t>
  </si>
  <si>
    <t xml:space="preserve">Rokugan across editions</t>
  </si>
  <si>
    <t xml:space="preserve">Clan roles, samurai, shugenja, courtiers, monks, honor, spirits and cultural adaptation.</t>
  </si>
  <si>
    <t xml:space="preserve">https://en.wikipedia.org/wiki/Legend_of_the_Five_Rings</t>
  </si>
  <si>
    <t xml:space="preserve">SRC-111</t>
  </si>
  <si>
    <t xml:space="preserve">13th Age</t>
  </si>
  <si>
    <t xml:space="preserve">Rob Heinsoo and Jonathan Tweet</t>
  </si>
  <si>
    <t xml:space="preserve">Dragon Empire setting</t>
  </si>
  <si>
    <t xml:space="preserve">Icons, flexible backgrounds, modernized classes, narrative relationship mechanics.</t>
  </si>
  <si>
    <t xml:space="preserve">https://en.wikipedia.org/wiki/13th_Age</t>
  </si>
  <si>
    <t xml:space="preserve">SRC-112</t>
  </si>
  <si>
    <t xml:space="preserve">Dungeon World</t>
  </si>
  <si>
    <t xml:space="preserve">Sage LaTorra and Adam Koebel</t>
  </si>
  <si>
    <t xml:space="preserve">2012</t>
  </si>
  <si>
    <t xml:space="preserve">Powered by the Apocalypse fantasy game</t>
  </si>
  <si>
    <t xml:space="preserve">Genre playbooks as narrative class archetypes and fiction-first moves.</t>
  </si>
  <si>
    <t xml:space="preserve">https://en.wikipedia.org/wiki/Dungeon_World</t>
  </si>
  <si>
    <t xml:space="preserve">SRC-113</t>
  </si>
  <si>
    <t xml:space="preserve">Blades in the Dark</t>
  </si>
  <si>
    <t xml:space="preserve">John Harper</t>
  </si>
  <si>
    <t xml:space="preserve">Doskvol setting</t>
  </si>
  <si>
    <t xml:space="preserve">Criminal crew types, playbooks, ghosts, industrial occult city, faction clocks.</t>
  </si>
  <si>
    <t xml:space="preserve">https://en.wikipedia.org/wiki/Blades_in_the_Dark</t>
  </si>
  <si>
    <t xml:space="preserve">SRC-114</t>
  </si>
  <si>
    <t xml:space="preserve">Burning Wheel</t>
  </si>
  <si>
    <t xml:space="preserve">Luke Crane</t>
  </si>
  <si>
    <t xml:space="preserve">Fantasy system and settings</t>
  </si>
  <si>
    <t xml:space="preserve">Lifepaths, beliefs, species-specific mechanics, social conflict, skill-based identity.</t>
  </si>
  <si>
    <t xml:space="preserve">https://en.wikipedia.org/wiki/Burning_Wheel</t>
  </si>
  <si>
    <t xml:space="preserve">SRC-115</t>
  </si>
  <si>
    <t xml:space="preserve">Symbaroum</t>
  </si>
  <si>
    <t xml:space="preserve">Järnringen / Free League</t>
  </si>
  <si>
    <t xml:space="preserve">Sweden</t>
  </si>
  <si>
    <t xml:space="preserve">2014</t>
  </si>
  <si>
    <t xml:space="preserve">Davokar setting</t>
  </si>
  <si>
    <t xml:space="preserve">Corruption mechanics, dark forest, orders, peoples, monster ecology, ambiguous civilization.</t>
  </si>
  <si>
    <t xml:space="preserve">https://en.wikipedia.org/wiki/Symbaroum</t>
  </si>
  <si>
    <t xml:space="preserve">SRC-116</t>
  </si>
  <si>
    <t xml:space="preserve">Forbidden Lands</t>
  </si>
  <si>
    <t xml:space="preserve">Free League</t>
  </si>
  <si>
    <t xml:space="preserve">Ravenland setting</t>
  </si>
  <si>
    <t xml:space="preserve">Kin and profession system, survival, strongholds, exploration, dark fantasy sandbox.</t>
  </si>
  <si>
    <t xml:space="preserve">https://en.wikipedia.org/wiki/Forbidden_Lands</t>
  </si>
  <si>
    <t xml:space="preserve">SRC-117</t>
  </si>
  <si>
    <t xml:space="preserve">Fabula Ultima</t>
  </si>
  <si>
    <t xml:space="preserve">Emanuele Galletto and Need Games</t>
  </si>
  <si>
    <t xml:space="preserve">Italy / JRPG-inspired</t>
  </si>
  <si>
    <t xml:space="preserve">Genre emulation system</t>
  </si>
  <si>
    <t xml:space="preserve">Multiclass job building, JRPG roles, bonds, villain rules, techno-fantasy.</t>
  </si>
  <si>
    <t xml:space="preserve">https://en.wikipedia.org/wiki/Fabula_Ultima</t>
  </si>
  <si>
    <t xml:space="preserve">SRC-118</t>
  </si>
  <si>
    <t xml:space="preserve">Magic: The Gathering</t>
  </si>
  <si>
    <t xml:space="preserve">Richard Garfield; Wizards of the Coast</t>
  </si>
  <si>
    <t xml:space="preserve">Trading Card Game / Shared Setting</t>
  </si>
  <si>
    <t xml:space="preserve">Multiverse of planes and sets</t>
  </si>
  <si>
    <t xml:space="preserve">Color-based power philosophy, creature types, planeswalkers, factions, endless world archetypes.</t>
  </si>
  <si>
    <t xml:space="preserve">https://en.wikipedia.org/wiki/Magic:_The_Gathering</t>
  </si>
  <si>
    <t xml:space="preserve">SRC-119</t>
  </si>
  <si>
    <t xml:space="preserve">Gloomhaven</t>
  </si>
  <si>
    <t xml:space="preserve">Isaac Childres / Cephalofair Games</t>
  </si>
  <si>
    <t xml:space="preserve">Board Game / Tactical RPG</t>
  </si>
  <si>
    <t xml:space="preserve">Gloomhaven setting and sequels</t>
  </si>
  <si>
    <t xml:space="preserve">Distinct playable peoples and hidden classes, card-driven roles, mercenary city ecology.</t>
  </si>
  <si>
    <t xml:space="preserve">https://en.wikipedia.org/wiki/Gloomhaven</t>
  </si>
  <si>
    <t xml:space="preserve">SRC-120</t>
  </si>
  <si>
    <t xml:space="preserve">Descent: Journeys in the Dark</t>
  </si>
  <si>
    <t xml:space="preserve">Fantasy Flight Games</t>
  </si>
  <si>
    <t xml:space="preserve">Board Game / Dungeon Crawl</t>
  </si>
  <si>
    <t xml:space="preserve">2005</t>
  </si>
  <si>
    <t xml:space="preserve">Terrinoth setting and editions</t>
  </si>
  <si>
    <t xml:space="preserve">Hero classes, overlord structure, dungeon units, classic fantasy peoples and monsters.</t>
  </si>
  <si>
    <t xml:space="preserve">https://en.wikipedia.org/wiki/Descent:_Journeys_in_the_Dark</t>
  </si>
  <si>
    <t xml:space="preserve">SRC-121</t>
  </si>
  <si>
    <t xml:space="preserve">HeroQuest</t>
  </si>
  <si>
    <t xml:space="preserve">Milton Bradley / Games Workshop and later Hasbro</t>
  </si>
  <si>
    <t xml:space="preserve">Britain / United States</t>
  </si>
  <si>
    <t xml:space="preserve">Editions and licensed setting</t>
  </si>
  <si>
    <t xml:space="preserve">Iconic barbarian, dwarf, elf, wizard party; furniture dungeon; archetypal roles.</t>
  </si>
  <si>
    <t xml:space="preserve">https://en.wikipedia.org/wiki/HeroQuest</t>
  </si>
  <si>
    <t xml:space="preserve">SRC-122</t>
  </si>
  <si>
    <t xml:space="preserve">Talisman</t>
  </si>
  <si>
    <t xml:space="preserve">Games Workshop and later publishers</t>
  </si>
  <si>
    <t xml:space="preserve">Board Game</t>
  </si>
  <si>
    <t xml:space="preserve">Editions and expansions</t>
  </si>
  <si>
    <t xml:space="preserve">Broad playable character archetypes, alignment, transformation, adventure-board progression.</t>
  </si>
  <si>
    <t xml:space="preserve">https://en.wikipedia.org/wiki/Talisman</t>
  </si>
  <si>
    <t xml:space="preserve">SRC-123</t>
  </si>
  <si>
    <t xml:space="preserve">Mage Knight</t>
  </si>
  <si>
    <t xml:space="preserve">Vlaada Chvátil / WizKids</t>
  </si>
  <si>
    <t xml:space="preserve">Czech Republic / United States</t>
  </si>
  <si>
    <t xml:space="preserve">2011 board game; 2000 miniatures roots</t>
  </si>
  <si>
    <t xml:space="preserve">Mage Knight setting</t>
  </si>
  <si>
    <t xml:space="preserve">Hybrid hero classes, deck-building progression, conquest, exploration and mana.</t>
  </si>
  <si>
    <t xml:space="preserve">https://en.wikipedia.org/wiki/Mage_Knight</t>
  </si>
  <si>
    <t xml:space="preserve">SRC-124</t>
  </si>
  <si>
    <t xml:space="preserve">Spirit Island</t>
  </si>
  <si>
    <t xml:space="preserve">R. Eric Reuss / Greater Than Games</t>
  </si>
  <si>
    <t xml:space="preserve">Board game setting</t>
  </si>
  <si>
    <t xml:space="preserve">Spirits as player identities, indigenous defense, colonization critique, elemental growth.</t>
  </si>
  <si>
    <t xml:space="preserve">https://en.wikipedia.org/wiki/Spirit_Island</t>
  </si>
  <si>
    <t xml:space="preserve">SRC-125</t>
  </si>
  <si>
    <t xml:space="preserve">Small World</t>
  </si>
  <si>
    <t xml:space="preserve">Philippe Keyaerts / Days of Wonder</t>
  </si>
  <si>
    <t xml:space="preserve">Belgium / France</t>
  </si>
  <si>
    <t xml:space="preserve">Board game and expansions</t>
  </si>
  <si>
    <t xml:space="preserve">Composable fantasy peoples plus powers; decline mechanic; parody of race-as-mechanics.</t>
  </si>
  <si>
    <t xml:space="preserve">https://en.wikipedia.org/wiki/Small_World</t>
  </si>
  <si>
    <t xml:space="preserve">SRC-126</t>
  </si>
  <si>
    <t xml:space="preserve">Root</t>
  </si>
  <si>
    <t xml:space="preserve">Cole Wehrle / Leder Games</t>
  </si>
  <si>
    <t xml:space="preserve">Woodland setting</t>
  </si>
  <si>
    <t xml:space="preserve">Anthropomorphic factions with asymmetric institutional and strategic identities.</t>
  </si>
  <si>
    <t xml:space="preserve">https://en.wikipedia.org/wiki/Root</t>
  </si>
  <si>
    <t xml:space="preserve">SRC-127</t>
  </si>
  <si>
    <t xml:space="preserve">Tactics Ogre / Ogre Battle</t>
  </si>
  <si>
    <t xml:space="preserve">Quest; Square Enix</t>
  </si>
  <si>
    <t xml:space="preserve">Video Game / Tactical RPG</t>
  </si>
  <si>
    <t xml:space="preserve">1993/1995 onward</t>
  </si>
  <si>
    <t xml:space="preserve">Ogre Battle Saga; versions tracked separately</t>
  </si>
  <si>
    <t xml:space="preserve">Job classes, race-restricted classes, alignment, tactical roles, political branching.</t>
  </si>
  <si>
    <t xml:space="preserve">Use Tactics Ogre: Reborn as a distinct mechanical version.</t>
  </si>
  <si>
    <t xml:space="preserve">https://www.square-enix-games.com/en_US/games/tactics-ogre-reborn</t>
  </si>
  <si>
    <t xml:space="preserve">SRC-128</t>
  </si>
  <si>
    <t xml:space="preserve">Tactics Ogre: Reborn</t>
  </si>
  <si>
    <t xml:space="preserve">Square Enix</t>
  </si>
  <si>
    <t xml:space="preserve">Remake based on 2010 version</t>
  </si>
  <si>
    <t xml:space="preserve">Human, demi-human, beast and undead units; classmarks; unique and generic classes.</t>
  </si>
  <si>
    <t xml:space="preserve">Keep mechanics distinct from PSP and original versions.</t>
  </si>
  <si>
    <t xml:space="preserve">https://www.square-enix-games.com/en_US/news/tactics-ogre-reborn-characters-classes</t>
  </si>
  <si>
    <t xml:space="preserve">SRC-129</t>
  </si>
  <si>
    <t xml:space="preserve">Final Fantasy</t>
  </si>
  <si>
    <t xml:space="preserve">Square / Square Enix</t>
  </si>
  <si>
    <t xml:space="preserve">Video Game / JRPG Franchise</t>
  </si>
  <si>
    <t xml:space="preserve">Separate worlds and continuities by title</t>
  </si>
  <si>
    <t xml:space="preserve">Job system, recurring class icons, summons, crystals, distinctive peoples and science fantasy.</t>
  </si>
  <si>
    <t xml:space="preserve">https://en.wikipedia.org/wiki/Final_Fantasy</t>
  </si>
  <si>
    <t xml:space="preserve">SRC-130</t>
  </si>
  <si>
    <t xml:space="preserve">Final Fantasy Tactics</t>
  </si>
  <si>
    <t xml:space="preserve">Square</t>
  </si>
  <si>
    <t xml:space="preserve">1997</t>
  </si>
  <si>
    <t xml:space="preserve">Ivalice continuity and related titles</t>
  </si>
  <si>
    <t xml:space="preserve">Deep job tree, zodiac mechanics, political church conflict, monster units, advanced classes.</t>
  </si>
  <si>
    <t xml:space="preserve">https://en.wikipedia.org/wiki/Final_Fantasy_Tactics</t>
  </si>
  <si>
    <t xml:space="preserve">SRC-131</t>
  </si>
  <si>
    <t xml:space="preserve">Final Fantasy XIV</t>
  </si>
  <si>
    <t xml:space="preserve">Video Game / MMORPG</t>
  </si>
  <si>
    <t xml:space="preserve">2010/2013 relaunch</t>
  </si>
  <si>
    <t xml:space="preserve">Etheirys setting and expansions</t>
  </si>
  <si>
    <t xml:space="preserve">Formal combat/crafting/gathering jobs, playable races and clans, role trinity, primals.</t>
  </si>
  <si>
    <t xml:space="preserve">Use current official job/race guides and record patch date.</t>
  </si>
  <si>
    <t xml:space="preserve">https://na.finalfantasyxiv.com/jobguide/battle/</t>
  </si>
  <si>
    <t xml:space="preserve">SRC-132</t>
  </si>
  <si>
    <t xml:space="preserve">Dragon Quest</t>
  </si>
  <si>
    <t xml:space="preserve">Enix / Square Enix</t>
  </si>
  <si>
    <t xml:space="preserve">Separate worlds and titles</t>
  </si>
  <si>
    <t xml:space="preserve">Hero, warrior, priest, mage, martial artist, monster recruitment, demon lord structure.</t>
  </si>
  <si>
    <t xml:space="preserve">https://en.wikipedia.org/wiki/Dragon_Quest</t>
  </si>
  <si>
    <t xml:space="preserve">SRC-133</t>
  </si>
  <si>
    <t xml:space="preserve">Fire Emblem</t>
  </si>
  <si>
    <t xml:space="preserve">Intelligent Systems / Nintendo</t>
  </si>
  <si>
    <t xml:space="preserve">Video Game / Tactical RPG Franchise</t>
  </si>
  <si>
    <t xml:space="preserve">Separate continuities by title</t>
  </si>
  <si>
    <t xml:space="preserve">Class promotion, weapon triangles, lords, dragon peoples, permadeath, political factions.</t>
  </si>
  <si>
    <t xml:space="preserve">https://en.wikipedia.org/wiki/Fire_Emblem</t>
  </si>
  <si>
    <t xml:space="preserve">SRC-134</t>
  </si>
  <si>
    <t xml:space="preserve">The Elder Scrolls</t>
  </si>
  <si>
    <t xml:space="preserve">Bethesda Game Studios</t>
  </si>
  <si>
    <t xml:space="preserve">Video Game / RPG Franchise</t>
  </si>
  <si>
    <t xml:space="preserve">Tamriel continuity; games separated mechanically</t>
  </si>
  <si>
    <t xml:space="preserve">Playable peoples, open skill systems, guilds, Daedra/Aedra, vampires, werewolves, dragonborn.</t>
  </si>
  <si>
    <t xml:space="preserve">https://en.wikipedia.org/wiki/The_Elder_Scrolls</t>
  </si>
  <si>
    <t xml:space="preserve">SRC-135</t>
  </si>
  <si>
    <t xml:space="preserve">Warcraft</t>
  </si>
  <si>
    <t xml:space="preserve">Blizzard Entertainment</t>
  </si>
  <si>
    <t xml:space="preserve">Video Game / Strategy and MMORPG Franchise</t>
  </si>
  <si>
    <t xml:space="preserve">Warcraft universe across games and media</t>
  </si>
  <si>
    <t xml:space="preserve">Playable races and classes, faction identity, corruption, undead nation, draconic and cosmic beings.</t>
  </si>
  <si>
    <t xml:space="preserve">Use current official class/race pages for live-game state.</t>
  </si>
  <si>
    <t xml:space="preserve">https://worldofwarcraft.blizzard.com/game/classes</t>
  </si>
  <si>
    <t xml:space="preserve">SRC-136</t>
  </si>
  <si>
    <t xml:space="preserve">World of Warcraft</t>
  </si>
  <si>
    <t xml:space="preserve">Live Warcraft continuity</t>
  </si>
  <si>
    <t xml:space="preserve">Modern MMO class specs, playable races, allied races, role trinity, faction evolution.</t>
  </si>
  <si>
    <t xml:space="preserve">Version-stamp entries because options change.</t>
  </si>
  <si>
    <t xml:space="preserve">https://worldofwarcraft.blizzard.com/game/races</t>
  </si>
  <si>
    <t xml:space="preserve">SRC-137</t>
  </si>
  <si>
    <t xml:space="preserve">Diablo</t>
  </si>
  <si>
    <t xml:space="preserve">Video Game / Action RPG Franchise</t>
  </si>
  <si>
    <t xml:space="preserve">Sanctuary continuity</t>
  </si>
  <si>
    <t xml:space="preserve">Class silhouettes, loot builds, angels/demons, nephalem, necromancers, corruption.</t>
  </si>
  <si>
    <t xml:space="preserve">https://en.wikipedia.org/wiki/Diablo</t>
  </si>
  <si>
    <t xml:space="preserve">SRC-138</t>
  </si>
  <si>
    <t xml:space="preserve">Dragon Age</t>
  </si>
  <si>
    <t xml:space="preserve">BioWare / Electronic Arts</t>
  </si>
  <si>
    <t xml:space="preserve">Thedas continuity</t>
  </si>
  <si>
    <t xml:space="preserve">Mages/templars, Qunari, elves/dwarves, Grey Wardens, classes and specializations.</t>
  </si>
  <si>
    <t xml:space="preserve">https://en.wikipedia.org/wiki/Dragon_Age</t>
  </si>
  <si>
    <t xml:space="preserve">SRC-139</t>
  </si>
  <si>
    <t xml:space="preserve">Baldur's Gate</t>
  </si>
  <si>
    <t xml:space="preserve">BioWare, Black Isle, Larian; D&amp;D license</t>
  </si>
  <si>
    <t xml:space="preserve">Video Game / CRPG Franchise</t>
  </si>
  <si>
    <t xml:space="preserve">Canada / Belgium</t>
  </si>
  <si>
    <t xml:space="preserve">1998</t>
  </si>
  <si>
    <t xml:space="preserve">Forgotten Realms games; editions differ</t>
  </si>
  <si>
    <t xml:space="preserve">D&amp;D classes and species in party-based narrative, companions, alignment and multiclass builds.</t>
  </si>
  <si>
    <t xml:space="preserve">https://en.wikipedia.org/wiki/Baldur's_Gate</t>
  </si>
  <si>
    <t xml:space="preserve">SRC-140</t>
  </si>
  <si>
    <t xml:space="preserve">Icewind Dale</t>
  </si>
  <si>
    <t xml:space="preserve">Black Isle Studios</t>
  </si>
  <si>
    <t xml:space="preserve">Video Game / CRPG</t>
  </si>
  <si>
    <t xml:space="preserve">Forgotten Realms games</t>
  </si>
  <si>
    <t xml:space="preserve">Party construction, D&amp;D classes, dungeon combat, northern monster ecology.</t>
  </si>
  <si>
    <t xml:space="preserve">https://en.wikipedia.org/wiki/Icewind_Dale</t>
  </si>
  <si>
    <t xml:space="preserve">SRC-141</t>
  </si>
  <si>
    <t xml:space="preserve">Planescape: Torment</t>
  </si>
  <si>
    <t xml:space="preserve">Planescape setting</t>
  </si>
  <si>
    <t xml:space="preserve">Immortal protagonist, factions, companions, identity, philosophical role systems.</t>
  </si>
  <si>
    <t xml:space="preserve">https://en.wikipedia.org/wiki/Planescape:_Torment</t>
  </si>
  <si>
    <t xml:space="preserve">SRC-142</t>
  </si>
  <si>
    <t xml:space="preserve">Neverwinter Nights</t>
  </si>
  <si>
    <t xml:space="preserve">BioWare and later studios</t>
  </si>
  <si>
    <t xml:space="preserve">D&amp;D adaptations and modules</t>
  </si>
  <si>
    <t xml:space="preserve">D&amp;D class implementation, prestige classes, toolset-created settings, multiplayer roles.</t>
  </si>
  <si>
    <t xml:space="preserve">https://en.wikipedia.org/wiki/Neverwinter_Nights</t>
  </si>
  <si>
    <t xml:space="preserve">SRC-143</t>
  </si>
  <si>
    <t xml:space="preserve">Divinity</t>
  </si>
  <si>
    <t xml:space="preserve">Larian Studios</t>
  </si>
  <si>
    <t xml:space="preserve">Belgium</t>
  </si>
  <si>
    <t xml:space="preserve">Rivellon continuity</t>
  </si>
  <si>
    <t xml:space="preserve">Classless builds, source magic, undead player options, elemental interactions, origin characters.</t>
  </si>
  <si>
    <t xml:space="preserve">https://en.wikipedia.org/wiki/Divinity</t>
  </si>
  <si>
    <t xml:space="preserve">SRC-144</t>
  </si>
  <si>
    <t xml:space="preserve">Pillars of Eternity</t>
  </si>
  <si>
    <t xml:space="preserve">Obsidian Entertainment</t>
  </si>
  <si>
    <t xml:space="preserve">Eora setting</t>
  </si>
  <si>
    <t xml:space="preserve">Original classes and peoples, soul cycles, godlike lineages, factions, multiclassing.</t>
  </si>
  <si>
    <t xml:space="preserve">https://en.wikipedia.org/wiki/Pillars_of_Eternity</t>
  </si>
  <si>
    <t xml:space="preserve">SRC-145</t>
  </si>
  <si>
    <t xml:space="preserve">Tyranny</t>
  </si>
  <si>
    <t xml:space="preserve">2016</t>
  </si>
  <si>
    <t xml:space="preserve">Terratus setting</t>
  </si>
  <si>
    <t xml:space="preserve">Villain-side protagonist, legal magic edicts, reputation/fear, companions, empire institutions.</t>
  </si>
  <si>
    <t xml:space="preserve">https://en.wikipedia.org/wiki/Tyranny</t>
  </si>
  <si>
    <t xml:space="preserve">SRC-146</t>
  </si>
  <si>
    <t xml:space="preserve">Pathfinder: Kingmaker</t>
  </si>
  <si>
    <t xml:space="preserve">Owlcat Games</t>
  </si>
  <si>
    <t xml:space="preserve">Russia / Cyprus</t>
  </si>
  <si>
    <t xml:space="preserve">Pathfinder Golarion adaptation</t>
  </si>
  <si>
    <t xml:space="preserve">Pathfinder classes, archetypes, kingdom building, companions, alignment.</t>
  </si>
  <si>
    <t xml:space="preserve">https://en.wikipedia.org/wiki/Pathfinder:_Kingmaker</t>
  </si>
  <si>
    <t xml:space="preserve">SRC-147</t>
  </si>
  <si>
    <t xml:space="preserve">Pathfinder: Wrath of the Righteous</t>
  </si>
  <si>
    <t xml:space="preserve">Mythic paths, demon war, extensive classes/archetypes, transformation and alignment.</t>
  </si>
  <si>
    <t xml:space="preserve">https://en.wikipedia.org/wiki/Pathfinder:_Wrath_of_the_Righteous</t>
  </si>
  <si>
    <t xml:space="preserve">SRC-148</t>
  </si>
  <si>
    <t xml:space="preserve">Dark Souls</t>
  </si>
  <si>
    <t xml:space="preserve">FromSoftware</t>
  </si>
  <si>
    <t xml:space="preserve">Separate linked worlds and cycles</t>
  </si>
  <si>
    <t xml:space="preserve">Undead curse, classes as starting templates, fading ages, bosses, covenants, transformation.</t>
  </si>
  <si>
    <t xml:space="preserve">https://en.wikipedia.org/wiki/Dark_Souls</t>
  </si>
  <si>
    <t xml:space="preserve">SRC-149</t>
  </si>
  <si>
    <t xml:space="preserve">Demon's Souls</t>
  </si>
  <si>
    <t xml:space="preserve">Video Game / Action RPG</t>
  </si>
  <si>
    <t xml:space="preserve">Boletaria setting</t>
  </si>
  <si>
    <t xml:space="preserve">Soul form, world tendency, starting classes, demon transformation, apocalyptic kingdom.</t>
  </si>
  <si>
    <t xml:space="preserve">https://en.wikipedia.org/wiki/Demon's_Souls</t>
  </si>
  <si>
    <t xml:space="preserve">SRC-150</t>
  </si>
  <si>
    <t xml:space="preserve">Bloodborne</t>
  </si>
  <si>
    <t xml:space="preserve">Yharnam setting</t>
  </si>
  <si>
    <t xml:space="preserve">Hunter profession, blood ministration, beast transformation, eldritch beings, trick weapons.</t>
  </si>
  <si>
    <t xml:space="preserve">https://en.wikipedia.org/wiki/Bloodborne</t>
  </si>
  <si>
    <t xml:space="preserve">SRC-151</t>
  </si>
  <si>
    <t xml:space="preserve">Elden Ring</t>
  </si>
  <si>
    <t xml:space="preserve">FromSoftware / Bandai Namco</t>
  </si>
  <si>
    <t xml:space="preserve">Lands Between setting</t>
  </si>
  <si>
    <t xml:space="preserve">Demigod lineages, Tarnished classes, outer gods, transformation, factions, open-world myth.</t>
  </si>
  <si>
    <t xml:space="preserve">https://en.wikipedia.org/wiki/Elden_Ring</t>
  </si>
  <si>
    <t xml:space="preserve">SRC-152</t>
  </si>
  <si>
    <t xml:space="preserve">The Legend of Zelda</t>
  </si>
  <si>
    <t xml:space="preserve">Nintendo</t>
  </si>
  <si>
    <t xml:space="preserve">Video Game / Action Adventure Franchise</t>
  </si>
  <si>
    <t xml:space="preserve">Multiple timelines and iterations</t>
  </si>
  <si>
    <t xml:space="preserve">Hero/princess/demon king triad, peoples, sages, artifacts, reincurring roles, transformations.</t>
  </si>
  <si>
    <t xml:space="preserve">https://en.wikipedia.org/wiki/The_Legend_of_Zelda</t>
  </si>
  <si>
    <t xml:space="preserve">SRC-153</t>
  </si>
  <si>
    <t xml:space="preserve">Ultima</t>
  </si>
  <si>
    <t xml:space="preserve">Richard Garriott / Origin Systems</t>
  </si>
  <si>
    <t xml:space="preserve">1981</t>
  </si>
  <si>
    <t xml:space="preserve">Britannia and related worlds</t>
  </si>
  <si>
    <t xml:space="preserve">Avatar virtues, early CRPG classes, companions, ethics, world simulation, gargoyles.</t>
  </si>
  <si>
    <t xml:space="preserve">https://en.wikipedia.org/wiki/Ultima</t>
  </si>
  <si>
    <t xml:space="preserve">SRC-154</t>
  </si>
  <si>
    <t xml:space="preserve">Wizardry</t>
  </si>
  <si>
    <t xml:space="preserve">Sir-Tech and later studios</t>
  </si>
  <si>
    <t xml:space="preserve">United States / Japan</t>
  </si>
  <si>
    <t xml:space="preserve">Multiple continuities</t>
  </si>
  <si>
    <t xml:space="preserve">Party class/race matrices, alignment, prestige classes, dungeon progression, JRPG influence.</t>
  </si>
  <si>
    <t xml:space="preserve">https://en.wikipedia.org/wiki/Wizardry</t>
  </si>
  <si>
    <t xml:space="preserve">SRC-155</t>
  </si>
  <si>
    <t xml:space="preserve">Might and Magic</t>
  </si>
  <si>
    <t xml:space="preserve">New World Computing and successors</t>
  </si>
  <si>
    <t xml:space="preserve">Multiple worlds and strategy spin-offs</t>
  </si>
  <si>
    <t xml:space="preserve">Class/race party systems, science-fantasy cosmology, promotion quests, monster taxonomy.</t>
  </si>
  <si>
    <t xml:space="preserve">https://en.wikipedia.org/wiki/Might_and_Magic</t>
  </si>
  <si>
    <t xml:space="preserve">SRC-156</t>
  </si>
  <si>
    <t xml:space="preserve">Heroes of Might and Magic</t>
  </si>
  <si>
    <t xml:space="preserve">Video Game / Strategy Franchise</t>
  </si>
  <si>
    <t xml:space="preserve">Faction-as-civilization taxonomy, hero classes, unit tiers, creature lineages.</t>
  </si>
  <si>
    <t xml:space="preserve">https://en.wikipedia.org/wiki/Heroes_of_Might_and_Magic</t>
  </si>
  <si>
    <t xml:space="preserve">SRC-157</t>
  </si>
  <si>
    <t xml:space="preserve">Dragon's Dogma</t>
  </si>
  <si>
    <t xml:space="preserve">Capcom</t>
  </si>
  <si>
    <t xml:space="preserve">Games and continuities</t>
  </si>
  <si>
    <t xml:space="preserve">Vocations, hybrid classes, pawns, dragon cycle, climbing combat, arisen identity.</t>
  </si>
  <si>
    <t xml:space="preserve">https://en.wikipedia.org/wiki/Dragon's_Dogma</t>
  </si>
  <si>
    <t xml:space="preserve">SRC-158</t>
  </si>
  <si>
    <t xml:space="preserve">Fable</t>
  </si>
  <si>
    <t xml:space="preserve">Lionhead Studios / Xbox Game Studios</t>
  </si>
  <si>
    <t xml:space="preserve">Albion continuity</t>
  </si>
  <si>
    <t xml:space="preserve">Hero morality and appearance, guild training, classless skill triad, fairy-tale society.</t>
  </si>
  <si>
    <t xml:space="preserve">https://en.wikipedia.org/wiki/Fable</t>
  </si>
  <si>
    <t xml:space="preserve">SRC-159</t>
  </si>
  <si>
    <t xml:space="preserve">Gothic</t>
  </si>
  <si>
    <t xml:space="preserve">Piranha Bytes</t>
  </si>
  <si>
    <t xml:space="preserve">Gothic continuity</t>
  </si>
  <si>
    <t xml:space="preserve">Faction-gated professions, low-fantasy social progression, magic circles, survival.</t>
  </si>
  <si>
    <t xml:space="preserve">https://en.wikipedia.org/wiki/Gothic</t>
  </si>
  <si>
    <t xml:space="preserve">SRC-160</t>
  </si>
  <si>
    <t xml:space="preserve">Risen</t>
  </si>
  <si>
    <t xml:space="preserve">Separate but related thematic games</t>
  </si>
  <si>
    <t xml:space="preserve">Faction classes, pirates, inquisitors, magic, island societies.</t>
  </si>
  <si>
    <t xml:space="preserve">https://en.wikipedia.org/wiki/Risen</t>
  </si>
  <si>
    <t xml:space="preserve">SRC-161</t>
  </si>
  <si>
    <t xml:space="preserve">The Witcher Games</t>
  </si>
  <si>
    <t xml:space="preserve">CD Projekt Red</t>
  </si>
  <si>
    <t xml:space="preserve">Poland</t>
  </si>
  <si>
    <t xml:space="preserve">Game continuity after Sapkowski novels</t>
  </si>
  <si>
    <t xml:space="preserve">Witcher combat/alchemy/sign build, monster bestiary, schools, political choices, mutations.</t>
  </si>
  <si>
    <t xml:space="preserve">Keep separate from book and television continuities.</t>
  </si>
  <si>
    <t xml:space="preserve">https://www.thewitcher.com/en/classics</t>
  </si>
  <si>
    <t xml:space="preserve">SRC-162</t>
  </si>
  <si>
    <t xml:space="preserve">Guild Wars</t>
  </si>
  <si>
    <t xml:space="preserve">ArenaNet</t>
  </si>
  <si>
    <t xml:space="preserve">Video Game / MMORPG Franchise</t>
  </si>
  <si>
    <t xml:space="preserve">Tyria continuity</t>
  </si>
  <si>
    <t xml:space="preserve">Distinct professions, playable peoples, elite specializations, dragons, gods, magitech.</t>
  </si>
  <si>
    <t xml:space="preserve">https://en.wikipedia.org/wiki/Guild_Wars</t>
  </si>
  <si>
    <t xml:space="preserve">SRC-163</t>
  </si>
  <si>
    <t xml:space="preserve">EverQuest</t>
  </si>
  <si>
    <t xml:space="preserve">Sony Online Entertainment / Daybreak</t>
  </si>
  <si>
    <t xml:space="preserve">Norrath continuity and sequels</t>
  </si>
  <si>
    <t xml:space="preserve">Influential MMO race/class combinations, factions, deities, raid roles.</t>
  </si>
  <si>
    <t xml:space="preserve">https://en.wikipedia.org/wiki/EverQuest</t>
  </si>
  <si>
    <t xml:space="preserve">SRC-164</t>
  </si>
  <si>
    <t xml:space="preserve">RuneScape</t>
  </si>
  <si>
    <t xml:space="preserve">Jagex</t>
  </si>
  <si>
    <t xml:space="preserve">Gielinor; RuneScape and Old School versions</t>
  </si>
  <si>
    <t xml:space="preserve">Classless skills, gods, quests, playable combat styles, extensive monster and faction catalogue.</t>
  </si>
  <si>
    <t xml:space="preserve">https://en.wikipedia.org/wiki/RuneScape</t>
  </si>
  <si>
    <t xml:space="preserve">SRC-165</t>
  </si>
  <si>
    <t xml:space="preserve">Lineage</t>
  </si>
  <si>
    <t xml:space="preserve">NCSoft</t>
  </si>
  <si>
    <t xml:space="preserve">Aden setting and sequels</t>
  </si>
  <si>
    <t xml:space="preserve">Korean MMO classes, elves/dark elves/orcs, castles, blood pledges, large-scale faction play.</t>
  </si>
  <si>
    <t xml:space="preserve">https://en.wikipedia.org/wiki/Lineage</t>
  </si>
  <si>
    <t xml:space="preserve">SRC-166</t>
  </si>
  <si>
    <t xml:space="preserve">Black Desert Online</t>
  </si>
  <si>
    <t xml:space="preserve">Pearl Abyss</t>
  </si>
  <si>
    <t xml:space="preserve">Live setting</t>
  </si>
  <si>
    <t xml:space="preserve">Class-specific characters, awakenings, life skills, regional cultures, dark spirits.</t>
  </si>
  <si>
    <t xml:space="preserve">https://en.wikipedia.org/wiki/Black_Desert_Online</t>
  </si>
  <si>
    <t xml:space="preserve">SRC-167</t>
  </si>
  <si>
    <t xml:space="preserve">Lost Ark</t>
  </si>
  <si>
    <t xml:space="preserve">Smilegate RPG</t>
  </si>
  <si>
    <t xml:space="preserve">Video Game / MMORPG / Action RPG</t>
  </si>
  <si>
    <t xml:space="preserve">Arkesia setting</t>
  </si>
  <si>
    <t xml:space="preserve">Base classes and advanced classes, transformation, demons, martial and gunner traditions.</t>
  </si>
  <si>
    <t xml:space="preserve">https://en.wikipedia.org/wiki/Lost_Ark</t>
  </si>
  <si>
    <t xml:space="preserve">SRC-168</t>
  </si>
  <si>
    <t xml:space="preserve">Suikoden</t>
  </si>
  <si>
    <t xml:space="preserve">Konami</t>
  </si>
  <si>
    <t xml:space="preserve">Connected world and titles</t>
  </si>
  <si>
    <t xml:space="preserve">108 recruits, rune magic, military and civic roles, nation-building, political factions.</t>
  </si>
  <si>
    <t xml:space="preserve">https://en.wikipedia.org/wiki/Suikoden</t>
  </si>
  <si>
    <t xml:space="preserve">SRC-169</t>
  </si>
  <si>
    <t xml:space="preserve">Disgaea</t>
  </si>
  <si>
    <t xml:space="preserve">Nippon Ichi Software</t>
  </si>
  <si>
    <t xml:space="preserve">Multiple Netherworld continuities</t>
  </si>
  <si>
    <t xml:space="preserve">Humanoid and monster classes, reincarnation, extreme leveling, demon society, item worlds.</t>
  </si>
  <si>
    <t xml:space="preserve">https://en.wikipedia.org/wiki/Disgaea</t>
  </si>
  <si>
    <t xml:space="preserve">SRC-170</t>
  </si>
  <si>
    <t xml:space="preserve">Chrono Trigger / Chrono</t>
  </si>
  <si>
    <t xml:space="preserve">Video Game / JRPG</t>
  </si>
  <si>
    <t xml:space="preserve">Chrono continuity</t>
  </si>
  <si>
    <t xml:space="preserve">Time-travel party, magic elements, prehistoric/medieval/future roles, alternate histories.</t>
  </si>
  <si>
    <t xml:space="preserve">https://en.wikipedia.org/wiki/Chrono_Trigger_%2F_Chrono</t>
  </si>
  <si>
    <t xml:space="preserve">SRC-171</t>
  </si>
  <si>
    <t xml:space="preserve">Xenoblade Chronicles</t>
  </si>
  <si>
    <t xml:space="preserve">Monolith Soft / Nintendo</t>
  </si>
  <si>
    <t xml:space="preserve">Separate but thematically linked continuities</t>
  </si>
  <si>
    <t xml:space="preserve">Science-fantasy peoples, class systems, living worlds, blades, cycles and creator gods.</t>
  </si>
  <si>
    <t xml:space="preserve">https://en.wikipedia.org/wiki/Xenoblade_Chronicles</t>
  </si>
  <si>
    <t xml:space="preserve">SRC-172</t>
  </si>
  <si>
    <t xml:space="preserve">Golden Sun</t>
  </si>
  <si>
    <t xml:space="preserve">Camelot Software Planning / Nintendo</t>
  </si>
  <si>
    <t xml:space="preserve">Weyard setting</t>
  </si>
  <si>
    <t xml:space="preserve">Elemental adepts, djinn as equipable spirits, class changes, alchemy, world restoration.</t>
  </si>
  <si>
    <t xml:space="preserve">https://en.wikipedia.org/wiki/Golden_Sun</t>
  </si>
  <si>
    <t xml:space="preserve">SRC-173</t>
  </si>
  <si>
    <t xml:space="preserve">Breath of Fire</t>
  </si>
  <si>
    <t xml:space="preserve">Separate continuities</t>
  </si>
  <si>
    <t xml:space="preserve">Dragon-transforming hero, animal peoples, shamans, fusions, recurring class roles.</t>
  </si>
  <si>
    <t xml:space="preserve">https://en.wikipedia.org/wiki/Breath_of_Fire</t>
  </si>
  <si>
    <t xml:space="preserve">SRC-174</t>
  </si>
  <si>
    <t xml:space="preserve">Tales Series</t>
  </si>
  <si>
    <t xml:space="preserve">Bandai Namco</t>
  </si>
  <si>
    <t xml:space="preserve">Video Game / Action JRPG Franchise</t>
  </si>
  <si>
    <t xml:space="preserve">Action combat roles, artes, spirits, mixed peoples, party archetypes, recurring summon lore.</t>
  </si>
  <si>
    <t xml:space="preserve">https://en.wikipedia.org/wiki/Tales_Series</t>
  </si>
  <si>
    <t xml:space="preserve">SRC-175</t>
  </si>
  <si>
    <t xml:space="preserve">Ys</t>
  </si>
  <si>
    <t xml:space="preserve">Nihon Falcom</t>
  </si>
  <si>
    <t xml:space="preserve">Adol's travel continuity</t>
  </si>
  <si>
    <t xml:space="preserve">Wandering adventurer, ancient civilizations, goddesses, local peoples, episodic regions.</t>
  </si>
  <si>
    <t xml:space="preserve">https://en.wikipedia.org/wiki/Ys</t>
  </si>
  <si>
    <t xml:space="preserve">SRC-176</t>
  </si>
  <si>
    <t xml:space="preserve">Shin Megami Tensei</t>
  </si>
  <si>
    <t xml:space="preserve">Atlus</t>
  </si>
  <si>
    <t xml:space="preserve">Recruitable demons from global myth, alignment, fusion, summoner role, apocalypse.</t>
  </si>
  <si>
    <t xml:space="preserve">https://en.wikipedia.org/wiki/Shin_Megami_Tensei</t>
  </si>
  <si>
    <t xml:space="preserve">SRC-177</t>
  </si>
  <si>
    <t xml:space="preserve">Etrian Odyssey</t>
  </si>
  <si>
    <t xml:space="preserve">Video Game / Dungeon RPG Franchise</t>
  </si>
  <si>
    <t xml:space="preserve">Separate settings</t>
  </si>
  <si>
    <t xml:space="preserve">Player-created class parties, mapping, advanced class synergies, dungeon ecology.</t>
  </si>
  <si>
    <t xml:space="preserve">https://en.wikipedia.org/wiki/Etrian_Odyssey</t>
  </si>
  <si>
    <t xml:space="preserve">SRC-178</t>
  </si>
  <si>
    <t xml:space="preserve">Bravely Default</t>
  </si>
  <si>
    <t xml:space="preserve">Luxendarc and related continuities</t>
  </si>
  <si>
    <t xml:space="preserve">Asterisk jobs, job combinations, turn economy, crystals, classic Final Fantasy class recombination.</t>
  </si>
  <si>
    <t xml:space="preserve">https://en.wikipedia.org/wiki/Bravely_Default</t>
  </si>
  <si>
    <t xml:space="preserve">SRC-179</t>
  </si>
  <si>
    <t xml:space="preserve">Octopath Traveler</t>
  </si>
  <si>
    <t xml:space="preserve">Square Enix / Acquire</t>
  </si>
  <si>
    <t xml:space="preserve">Eight profession protagonists, secondary jobs, path actions, regional narratives.</t>
  </si>
  <si>
    <t xml:space="preserve">https://en.wikipedia.org/wiki/Octopath_Traveler</t>
  </si>
  <si>
    <t xml:space="preserve">SRC-180</t>
  </si>
  <si>
    <t xml:space="preserve">Triangle Strategy</t>
  </si>
  <si>
    <t xml:space="preserve">Square Enix / Artdink</t>
  </si>
  <si>
    <t xml:space="preserve">Norzelia setting</t>
  </si>
  <si>
    <t xml:space="preserve">Character-specific classes, political branching, resource conflict, convictions.</t>
  </si>
  <si>
    <t xml:space="preserve">https://en.wikipedia.org/wiki/Triangle_Strategy</t>
  </si>
  <si>
    <t xml:space="preserve">SRC-181</t>
  </si>
  <si>
    <t xml:space="preserve">Unicorn Overlord</t>
  </si>
  <si>
    <t xml:space="preserve">Vanillaware / Atlus</t>
  </si>
  <si>
    <t xml:space="preserve">2024</t>
  </si>
  <si>
    <t xml:space="preserve">Fevrith setting</t>
  </si>
  <si>
    <t xml:space="preserve">Unit class synergies, recruitable peoples, liberation army, tactical formations.</t>
  </si>
  <si>
    <t xml:space="preserve">https://en.wikipedia.org/wiki/Unicorn_Overlord</t>
  </si>
  <si>
    <t xml:space="preserve">SRC-182</t>
  </si>
  <si>
    <t xml:space="preserve">Vagrant Story</t>
  </si>
  <si>
    <t xml:space="preserve">Ivalice-linked setting</t>
  </si>
  <si>
    <t xml:space="preserve">Risk system, weapon affinities, cults, dark city, classless agent protagonist.</t>
  </si>
  <si>
    <t xml:space="preserve">https://en.wikipedia.org/wiki/Vagrant_Story</t>
  </si>
  <si>
    <t xml:space="preserve">SRC-183</t>
  </si>
  <si>
    <t xml:space="preserve">SaGa</t>
  </si>
  <si>
    <t xml:space="preserve">Separate worlds and systems</t>
  </si>
  <si>
    <t xml:space="preserve">Flexible character growth, races with distinct mechanics, nonlinear parties, unusual classes.</t>
  </si>
  <si>
    <t xml:space="preserve">https://en.wikipedia.org/wiki/SaGa</t>
  </si>
  <si>
    <t xml:space="preserve">SRC-184</t>
  </si>
  <si>
    <t xml:space="preserve">Mana Series</t>
  </si>
  <si>
    <t xml:space="preserve">Multiple worlds</t>
  </si>
  <si>
    <t xml:space="preserve">Elemental spirits, job changes, world tree, beast and fairy peoples, action classes.</t>
  </si>
  <si>
    <t xml:space="preserve">https://en.wikipedia.org/wiki/Mana_Series</t>
  </si>
  <si>
    <t xml:space="preserve">SRC-185</t>
  </si>
  <si>
    <t xml:space="preserve">Ni no Kuni</t>
  </si>
  <si>
    <t xml:space="preserve">Level-5 / Studio Ghibli collaboration</t>
  </si>
  <si>
    <t xml:space="preserve">Separate linked worlds</t>
  </si>
  <si>
    <t xml:space="preserve">Wizard child, familiars, parallel worlds, fairy companions, kingdom building.</t>
  </si>
  <si>
    <t xml:space="preserve">https://en.wikipedia.org/wiki/Ni_no_Kuni</t>
  </si>
  <si>
    <t xml:space="preserve">SRC-186</t>
  </si>
  <si>
    <t xml:space="preserve">Multiple regions and titles</t>
  </si>
  <si>
    <t xml:space="preserve">Hunter profession, weapon-defined classes, monster ecology, crafting from parts, guild institutions.</t>
  </si>
  <si>
    <t xml:space="preserve">https://en.wikipedia.org/wiki/Monster_Hunter</t>
  </si>
  <si>
    <t xml:space="preserve">SRC-187</t>
  </si>
  <si>
    <t xml:space="preserve">Pokémon</t>
  </si>
  <si>
    <t xml:space="preserve">Game Freak / Nintendo / The Pokémon Company</t>
  </si>
  <si>
    <t xml:space="preserve">Video Game / Media Franchise</t>
  </si>
  <si>
    <t xml:space="preserve">Multiple regions and media</t>
  </si>
  <si>
    <t xml:space="preserve">Creature types, capture/taming roles, evolution, trainer identities, elemental taxonomy.</t>
  </si>
  <si>
    <t xml:space="preserve">https://en.wikipedia.org/wiki/Pok%C3%A9mon</t>
  </si>
  <si>
    <t xml:space="preserve">SRC-188</t>
  </si>
  <si>
    <t xml:space="preserve">The Banner Saga</t>
  </si>
  <si>
    <t xml:space="preserve">Stoic Studio</t>
  </si>
  <si>
    <t xml:space="preserve">Human and varl peoples, caravan society, class roles, irreversible choices, apocalypse.</t>
  </si>
  <si>
    <t xml:space="preserve">https://en.wikipedia.org/wiki/The_Banner_Saga</t>
  </si>
  <si>
    <t xml:space="preserve">SRC-189</t>
  </si>
  <si>
    <t xml:space="preserve">Red Hook Studios</t>
  </si>
  <si>
    <t xml:space="preserve">Video Game / Tactical RPG / Roguelike</t>
  </si>
  <si>
    <t xml:space="preserve">Canada / Anglophone game tradition</t>
  </si>
  <si>
    <t xml:space="preserve">Original game and dated downloadable-content snapshot; sequel treated separately</t>
  </si>
  <si>
    <t xml:space="preserve">Stress as a second health economy, affliction/virtue crises, persistent quirks and disease, position-dependent skills, light-risk tradeoffs, expedition attrition, roster management, treatment institutions, permadeath, and inherited ruin.</t>
  </si>
  <si>
    <t xml:space="preserve">Version 2.0 uses a selective innovation pass rather than repeating the game's conventional fantasy class roster. Base-game and DLC-specific states should be version-stamped; Darkest Dungeon II is a separate continuity and mechanical model.</t>
  </si>
  <si>
    <t xml:space="preserve">https://www.darkestdungeon.com/darkest-dungeon/about/</t>
  </si>
  <si>
    <t xml:space="preserve">SRC-190</t>
  </si>
  <si>
    <t xml:space="preserve">Battle Brothers</t>
  </si>
  <si>
    <t xml:space="preserve">Overhype Studios</t>
  </si>
  <si>
    <t xml:space="preserve">Low-fantasy sandbox</t>
  </si>
  <si>
    <t xml:space="preserve">Mercenary backgrounds, injuries, equipment-defined roles, monster contracts, company economy.</t>
  </si>
  <si>
    <t xml:space="preserve">https://en.wikipedia.org/wiki/Battle_Brothers</t>
  </si>
  <si>
    <t xml:space="preserve">SRC-191</t>
  </si>
  <si>
    <t xml:space="preserve">Arcanum: Of Steamworks and Magick Obscura</t>
  </si>
  <si>
    <t xml:space="preserve">Troika Games</t>
  </si>
  <si>
    <t xml:space="preserve">Arcanum setting</t>
  </si>
  <si>
    <t xml:space="preserve">Magic–technology opposition, fantasy peoples in industrial society, classless builds, social prejudice.</t>
  </si>
  <si>
    <t xml:space="preserve">https://en.wikipedia.org/wiki/Arcanum:_Of_Steamworks_and_Magick_Obscura</t>
  </si>
  <si>
    <t xml:space="preserve">SRC-192</t>
  </si>
  <si>
    <t xml:space="preserve">Shadowrun Returns Trilogy</t>
  </si>
  <si>
    <t xml:space="preserve">Harebrained Schemes</t>
  </si>
  <si>
    <t xml:space="preserve">Video Game / Tactical CRPG</t>
  </si>
  <si>
    <t xml:space="preserve">Shadowrun adaptations</t>
  </si>
  <si>
    <t xml:space="preserve">Cyberpunk fantasy peoples, shamans, deckers, street samurai, corporate factions.</t>
  </si>
  <si>
    <t xml:space="preserve">https://en.wikipedia.org/wiki/Shadowrun_Returns_Trilogy</t>
  </si>
  <si>
    <t xml:space="preserve">SRC-193</t>
  </si>
  <si>
    <t xml:space="preserve">Hades</t>
  </si>
  <si>
    <t xml:space="preserve">Supergiant Games</t>
  </si>
  <si>
    <t xml:space="preserve">Video Game / Action Roguelike</t>
  </si>
  <si>
    <t xml:space="preserve">2020</t>
  </si>
  <si>
    <t xml:space="preserve">Greek-myth adaptation</t>
  </si>
  <si>
    <t xml:space="preserve">God boons as build system, underworld offices, repeated escape, mythic relationships.</t>
  </si>
  <si>
    <t xml:space="preserve">https://en.wikipedia.org/wiki/Hades</t>
  </si>
  <si>
    <t xml:space="preserve">SRC-194</t>
  </si>
  <si>
    <t xml:space="preserve">Hollow Knight</t>
  </si>
  <si>
    <t xml:space="preserve">Team Cherry</t>
  </si>
  <si>
    <t xml:space="preserve">Video Game / Metroidvania</t>
  </si>
  <si>
    <t xml:space="preserve">Australia</t>
  </si>
  <si>
    <t xml:space="preserve">Hallownest setting</t>
  </si>
  <si>
    <t xml:space="preserve">Insect peoples, fallen kingdom, infection, vessels, warrior orders, environmental storytelling.</t>
  </si>
  <si>
    <t xml:space="preserve">https://en.wikipedia.org/wiki/Hollow_Knight</t>
  </si>
  <si>
    <t xml:space="preserve">SRC-195</t>
  </si>
  <si>
    <t xml:space="preserve">Berserk</t>
  </si>
  <si>
    <t xml:space="preserve">Kentaro Miura; Studio Gaga continuation</t>
  </si>
  <si>
    <t xml:space="preserve">Manga / Anime</t>
  </si>
  <si>
    <t xml:space="preserve">Manga primary; adaptations separate</t>
  </si>
  <si>
    <t xml:space="preserve">Mercenary warrior, apostles, God Hand, witchcraft, armor transformation, dark medieval institutions.</t>
  </si>
  <si>
    <t xml:space="preserve">https://en.wikipedia.org/wiki/Berserk</t>
  </si>
  <si>
    <t xml:space="preserve">SRC-196</t>
  </si>
  <si>
    <t xml:space="preserve">Frieren: Beyond Journey's End</t>
  </si>
  <si>
    <t xml:space="preserve">Kanehito Yamada and Tsukasa Abe</t>
  </si>
  <si>
    <t xml:space="preserve">Manga and anime adaptation</t>
  </si>
  <si>
    <t xml:space="preserve">Long-lived elf perspective, hero-party aftermath, mage certification, demons, memory and time.</t>
  </si>
  <si>
    <t xml:space="preserve">https://en.wikipedia.org/wiki/Frieren:_Beyond_Journey's_End</t>
  </si>
  <si>
    <t xml:space="preserve">SRC-197</t>
  </si>
  <si>
    <t xml:space="preserve">Delicious in Dungeon</t>
  </si>
  <si>
    <t xml:space="preserve">Ryoko Kui</t>
  </si>
  <si>
    <t xml:space="preserve">Dungeon ecology, cooking profession, tall-men/elves/dwarves/halffoots, adventuring roles.</t>
  </si>
  <si>
    <t xml:space="preserve">https://en.wikipedia.org/wiki/Delicious_in_Dungeon</t>
  </si>
  <si>
    <t xml:space="preserve">SRC-198</t>
  </si>
  <si>
    <t xml:space="preserve">Fullmetal Alchemist</t>
  </si>
  <si>
    <t xml:space="preserve">Hiromu Arakawa</t>
  </si>
  <si>
    <t xml:space="preserve">Manga; two anime continuities</t>
  </si>
  <si>
    <t xml:space="preserve">Alchemy as technical magic, homunculi, military state, equivalent exchange, artificial bodies.</t>
  </si>
  <si>
    <t xml:space="preserve">https://en.wikipedia.org/wiki/Fullmetal_Alchemist</t>
  </si>
  <si>
    <t xml:space="preserve">SRC-199</t>
  </si>
  <si>
    <t xml:space="preserve">Claymore</t>
  </si>
  <si>
    <t xml:space="preserve">Norihiro Yagi</t>
  </si>
  <si>
    <t xml:space="preserve">Hybrid monster hunters, ranked organization, awakening transformation, gendered warrior order.</t>
  </si>
  <si>
    <t xml:space="preserve">https://en.wikipedia.org/wiki/Claymore</t>
  </si>
  <si>
    <t xml:space="preserve">SRC-200</t>
  </si>
  <si>
    <t xml:space="preserve">Made in Abyss</t>
  </si>
  <si>
    <t xml:space="preserve">Akihito Tsukushi</t>
  </si>
  <si>
    <t xml:space="preserve">Manga and anime adaptations</t>
  </si>
  <si>
    <t xml:space="preserve">Delver ranks, relic economy, curse of depth, nonhuman beings, hostile ecology.</t>
  </si>
  <si>
    <t xml:space="preserve">https://en.wikipedia.org/wiki/Made_in_Abyss</t>
  </si>
  <si>
    <t xml:space="preserve">SRC-201</t>
  </si>
  <si>
    <t xml:space="preserve">Magi: The Labyrinth of Magic</t>
  </si>
  <si>
    <t xml:space="preserve">Shinobu Ohtaka</t>
  </si>
  <si>
    <t xml:space="preserve">Djinn vessels, dungeons, magi, kingdoms, rukh, globalized mythic borrowings.</t>
  </si>
  <si>
    <t xml:space="preserve">https://en.wikipedia.org/wiki/Magi:_The_Labyrinth_of_Magic</t>
  </si>
  <si>
    <t xml:space="preserve">SRC-202</t>
  </si>
  <si>
    <t xml:space="preserve">Inuyasha</t>
  </si>
  <si>
    <t xml:space="preserve">Rumiko Takahashi</t>
  </si>
  <si>
    <t xml:space="preserve">Yōkai, half-demon identity, sacred priestess, artifact shards, time travel, monster-of-week.</t>
  </si>
  <si>
    <t xml:space="preserve">https://en.wikipedia.org/wiki/Inuyasha</t>
  </si>
  <si>
    <t xml:space="preserve">SRC-203</t>
  </si>
  <si>
    <t xml:space="preserve">Demon Slayer: Kimetsu no Yaiba</t>
  </si>
  <si>
    <t xml:space="preserve">Koyoharu Gotouge</t>
  </si>
  <si>
    <t xml:space="preserve">Demon slayer corps, breathing styles, demon transformation, ranks, swords, family bonds.</t>
  </si>
  <si>
    <t xml:space="preserve">https://en.wikipedia.org/wiki/Demon_Slayer:_Kimetsu_no_Yaiba</t>
  </si>
  <si>
    <t xml:space="preserve">SRC-204</t>
  </si>
  <si>
    <t xml:space="preserve">Naruto</t>
  </si>
  <si>
    <t xml:space="preserve">Masashi Kishimoto</t>
  </si>
  <si>
    <t xml:space="preserve">Manga and anime continuities</t>
  </si>
  <si>
    <t xml:space="preserve">Ninja classes, clans, bloodline techniques, summoned beasts, tailed beings, village institutions.</t>
  </si>
  <si>
    <t xml:space="preserve">https://en.wikipedia.org/wiki/Naruto</t>
  </si>
  <si>
    <t xml:space="preserve">SRC-205</t>
  </si>
  <si>
    <t xml:space="preserve">Bleach</t>
  </si>
  <si>
    <t xml:space="preserve">Tite Kubo</t>
  </si>
  <si>
    <t xml:space="preserve">Soul reapers, hollows, zanpakutō, spirit realms, squads, transformations and ranks.</t>
  </si>
  <si>
    <t xml:space="preserve">https://en.wikipedia.org/wiki/Bleach</t>
  </si>
  <si>
    <t xml:space="preserve">SRC-206</t>
  </si>
  <si>
    <t xml:space="preserve">One Piece</t>
  </si>
  <si>
    <t xml:space="preserve">Eiichiro Oda</t>
  </si>
  <si>
    <t xml:space="preserve">Manga primary; anime adaptation</t>
  </si>
  <si>
    <t xml:space="preserve">Pirate crews, devil-fruit powers, diverse peoples, world government, martial roles, found family.</t>
  </si>
  <si>
    <t xml:space="preserve">https://en.wikipedia.org/wiki/One_Piece</t>
  </si>
  <si>
    <t xml:space="preserve">SRC-207</t>
  </si>
  <si>
    <t xml:space="preserve">Hunter × Hunter</t>
  </si>
  <si>
    <t xml:space="preserve">Yoshihiro Togashi</t>
  </si>
  <si>
    <t xml:space="preserve">Hunter profession, Nen categories, examinations, guild-like association, creature ecology.</t>
  </si>
  <si>
    <t xml:space="preserve">https://en.wikipedia.org/wiki/Hunter_%C3%97_Hunter</t>
  </si>
  <si>
    <t xml:space="preserve">SRC-208</t>
  </si>
  <si>
    <t xml:space="preserve">Yu Yu Hakusho</t>
  </si>
  <si>
    <t xml:space="preserve">Spirit detective, demons, tournaments, afterlife bureaucracy, inherited transformation.</t>
  </si>
  <si>
    <t xml:space="preserve">https://en.wikipedia.org/wiki/Yu_Yu_Hakusho</t>
  </si>
  <si>
    <t xml:space="preserve">SRC-209</t>
  </si>
  <si>
    <t xml:space="preserve">Fate Franchise</t>
  </si>
  <si>
    <t xml:space="preserve">Type-Moon</t>
  </si>
  <si>
    <t xml:space="preserve">Visual Novel / Anime / Games</t>
  </si>
  <si>
    <t xml:space="preserve">Servant classes, heroic spirits, magic lineages, summoning wars, myth adaptation.</t>
  </si>
  <si>
    <t xml:space="preserve">https://en.wikipedia.org/wiki/Fate_Franchise</t>
  </si>
  <si>
    <t xml:space="preserve">SRC-210</t>
  </si>
  <si>
    <t xml:space="preserve">Overlord</t>
  </si>
  <si>
    <t xml:space="preserve">Kugane Maruyama</t>
  </si>
  <si>
    <t xml:space="preserve">Light novel primary; anime adaptation</t>
  </si>
  <si>
    <t xml:space="preserve">Isekai undead ruler, MMO classes and races, dungeon polity, servants, overpowered protagonist.</t>
  </si>
  <si>
    <t xml:space="preserve">https://en.wikipedia.org/wiki/Overlord</t>
  </si>
  <si>
    <t xml:space="preserve">SRC-211</t>
  </si>
  <si>
    <t xml:space="preserve">Re:Zero − Starting Life in Another World</t>
  </si>
  <si>
    <t xml:space="preserve">Tappei Nagatsuki</t>
  </si>
  <si>
    <t xml:space="preserve">Web/Light Novel / Anime</t>
  </si>
  <si>
    <t xml:space="preserve">Novel and anime continuities</t>
  </si>
  <si>
    <t xml:space="preserve">Isekai protagonist, return-by-death loop, witches, spirit contracts, royal selection.</t>
  </si>
  <si>
    <t xml:space="preserve">https://en.wikipedia.org/wiki/Re:Zero_%E2%88%92_Starting_Life_in_Another_World</t>
  </si>
  <si>
    <t xml:space="preserve">SRC-212</t>
  </si>
  <si>
    <t xml:space="preserve">That Time I Got Reincarnated as a Slime</t>
  </si>
  <si>
    <t xml:space="preserve">Fuse</t>
  </si>
  <si>
    <t xml:space="preserve">Web/Light Novel / Manga / Anime</t>
  </si>
  <si>
    <t xml:space="preserve">Novel primary; adaptations</t>
  </si>
  <si>
    <t xml:space="preserve">Monster reincarnation, skill absorption, evolutions, monster nation, demon lords, system powers.</t>
  </si>
  <si>
    <t xml:space="preserve">https://en.wikipedia.org/wiki/That_Time_I_Got_Reincarnated_as_a_Slime</t>
  </si>
  <si>
    <t xml:space="preserve">SRC-213</t>
  </si>
  <si>
    <t xml:space="preserve">The Rising of the Shield Hero</t>
  </si>
  <si>
    <t xml:space="preserve">Aneko Yusagi</t>
  </si>
  <si>
    <t xml:space="preserve">Summoned cardinal heroes, weapon classes, levels, demi-humans, party/reputation conflict.</t>
  </si>
  <si>
    <t xml:space="preserve">https://en.wikipedia.org/wiki/The_Rising_of_the_Shield_Hero</t>
  </si>
  <si>
    <t xml:space="preserve">SRC-214</t>
  </si>
  <si>
    <t xml:space="preserve">Mushoku Tensei</t>
  </si>
  <si>
    <t xml:space="preserve">Rifujin na Magonote</t>
  </si>
  <si>
    <t xml:space="preserve">Reincarnation, magic ranks, sword schools, demon peoples, adventurer guilds, life-course progression.</t>
  </si>
  <si>
    <t xml:space="preserve">https://en.wikipedia.org/wiki/Mushoku_Tensei</t>
  </si>
  <si>
    <t xml:space="preserve">SRC-215</t>
  </si>
  <si>
    <t xml:space="preserve">Log Horizon</t>
  </si>
  <si>
    <t xml:space="preserve">Mamare Touno</t>
  </si>
  <si>
    <t xml:space="preserve">Novel and anime adaptation</t>
  </si>
  <si>
    <t xml:space="preserve">MMO class/subclass society, guild politics, raids, player/NPC ontology, city governance.</t>
  </si>
  <si>
    <t xml:space="preserve">https://en.wikipedia.org/wiki/Log_Horizon</t>
  </si>
  <si>
    <t xml:space="preserve">SRC-216</t>
  </si>
  <si>
    <t xml:space="preserve">Sword Art Online</t>
  </si>
  <si>
    <t xml:space="preserve">Reki Kawahara</t>
  </si>
  <si>
    <t xml:space="preserve">2002 web / 2009 print</t>
  </si>
  <si>
    <t xml:space="preserve">Multiple virtual worlds</t>
  </si>
  <si>
    <t xml:space="preserve">Game avatars, weapon builds, guilds, death game, virtual identity and progression.</t>
  </si>
  <si>
    <t xml:space="preserve">https://en.wikipedia.org/wiki/Sword_Art_Online</t>
  </si>
  <si>
    <t xml:space="preserve">SRC-217</t>
  </si>
  <si>
    <t xml:space="preserve">Grimgar of Fantasy and Ash</t>
  </si>
  <si>
    <t xml:space="preserve">Ao Jyumonji</t>
  </si>
  <si>
    <t xml:space="preserve">Isekai amnesia, guild-taught classes, low-level party roles, death and precarious labor.</t>
  </si>
  <si>
    <t xml:space="preserve">https://en.wikipedia.org/wiki/Grimgar_of_Fantasy_and_Ash</t>
  </si>
  <si>
    <t xml:space="preserve">SRC-218</t>
  </si>
  <si>
    <t xml:space="preserve">Goblin Slayer</t>
  </si>
  <si>
    <t xml:space="preserve">Kumo Kagyu</t>
  </si>
  <si>
    <t xml:space="preserve">Light Novel / Manga / Anime</t>
  </si>
  <si>
    <t xml:space="preserve">Adventurer guild ranks, specialist monster hunter, classic classes, tactical low-level combat.</t>
  </si>
  <si>
    <t xml:space="preserve">https://en.wikipedia.org/wiki/Goblin_Slayer</t>
  </si>
  <si>
    <t xml:space="preserve">SRC-219</t>
  </si>
  <si>
    <t xml:space="preserve">The Ancient Magus' Bride</t>
  </si>
  <si>
    <t xml:space="preserve">Kore Yamazaki</t>
  </si>
  <si>
    <t xml:space="preserve">Fae ontology, mage versus sorcerer traditions, familiar bond, folklore-rich British setting.</t>
  </si>
  <si>
    <t xml:space="preserve">https://en.wikipedia.org/wiki/The_Ancient_Magus'_Bride</t>
  </si>
  <si>
    <t xml:space="preserve">SRC-220</t>
  </si>
  <si>
    <t xml:space="preserve">Ranking of Kings</t>
  </si>
  <si>
    <t xml:space="preserve">Sōsuke Tōka</t>
  </si>
  <si>
    <t xml:space="preserve">Small prince hero, giant lineage, shadow people, kingship ranking, curses and loyalty.</t>
  </si>
  <si>
    <t xml:space="preserve">https://en.wikipedia.org/wiki/Ranking_of_Kings</t>
  </si>
  <si>
    <t xml:space="preserve">SRC-221</t>
  </si>
  <si>
    <t xml:space="preserve">Attack on Titan</t>
  </si>
  <si>
    <t xml:space="preserve">Hajime Isayama</t>
  </si>
  <si>
    <t xml:space="preserve">Human-to-titan transformation, military branches, walls, inherited powers, historical revelation.</t>
  </si>
  <si>
    <t xml:space="preserve">https://en.wikipedia.org/wiki/Attack_on_Titan</t>
  </si>
  <si>
    <t xml:space="preserve">SRC-222</t>
  </si>
  <si>
    <t xml:space="preserve">Dorohedoro</t>
  </si>
  <si>
    <t xml:space="preserve">Q Hayashida</t>
  </si>
  <si>
    <t xml:space="preserve">Sorcerer species/class, smoke-based powers, body transformation, devils, violent city ecology.</t>
  </si>
  <si>
    <t xml:space="preserve">https://en.wikipedia.org/wiki/Dorohedoro</t>
  </si>
  <si>
    <t xml:space="preserve">SRC-223</t>
  </si>
  <si>
    <t xml:space="preserve">Witch Hat Atelier</t>
  </si>
  <si>
    <t xml:space="preserve">Kamome Shirahama</t>
  </si>
  <si>
    <t xml:space="preserve">Manga; anime adaptation</t>
  </si>
  <si>
    <t xml:space="preserve">Drawn-circle magic, institutional secrecy, witch apprenticeship, ethics of access and disability.</t>
  </si>
  <si>
    <t xml:space="preserve">https://en.wikipedia.org/wiki/Witch_Hat_Atelier</t>
  </si>
  <si>
    <t xml:space="preserve">SRC-224</t>
  </si>
  <si>
    <t xml:space="preserve">The Faraway Paladin</t>
  </si>
  <si>
    <t xml:space="preserve">Kanata Yanagino</t>
  </si>
  <si>
    <t xml:space="preserve">Reincarnated paladin, undead foster family, divine oath, frontier restoration.</t>
  </si>
  <si>
    <t xml:space="preserve">https://en.wikipedia.org/wiki/The_Faraway_Paladin</t>
  </si>
  <si>
    <t xml:space="preserve">SRC-225</t>
  </si>
  <si>
    <t xml:space="preserve">The Seven Deadly Sins</t>
  </si>
  <si>
    <t xml:space="preserve">Nakaba Suzuki</t>
  </si>
  <si>
    <t xml:space="preserve">Knight orders, demon/goddess/fairy/giant peoples, sins as identities, transformations.</t>
  </si>
  <si>
    <t xml:space="preserve">https://en.wikipedia.org/wiki/The_Seven_Deadly_Sins</t>
  </si>
  <si>
    <t xml:space="preserve">SRC-226</t>
  </si>
  <si>
    <t xml:space="preserve">Black Clover</t>
  </si>
  <si>
    <t xml:space="preserve">Yūki Tabata</t>
  </si>
  <si>
    <t xml:space="preserve">Magic knight squads, grimoires, anti-magic, elves, devils, rank and rivalry.</t>
  </si>
  <si>
    <t xml:space="preserve">https://en.wikipedia.org/wiki/Black_Clover</t>
  </si>
  <si>
    <t xml:space="preserve">SRC-227</t>
  </si>
  <si>
    <t xml:space="preserve">Fairy Tail</t>
  </si>
  <si>
    <t xml:space="preserve">Hiro Mashima</t>
  </si>
  <si>
    <t xml:space="preserve">Wizard guilds, magic types, dragon slayers, team bonds, ranked jobs.</t>
  </si>
  <si>
    <t xml:space="preserve">https://en.wikipedia.org/wiki/Fairy_Tail</t>
  </si>
  <si>
    <t xml:space="preserve">SRC-228</t>
  </si>
  <si>
    <t xml:space="preserve">The Vision of Escaflowne</t>
  </si>
  <si>
    <t xml:space="preserve">Sunrise / Shoji Kawamori</t>
  </si>
  <si>
    <t xml:space="preserve">Anime / Manga</t>
  </si>
  <si>
    <t xml:space="preserve">Anime primary and adaptations</t>
  </si>
  <si>
    <t xml:space="preserve">Isekai, dragon-blooded warrior, mecha-fantasy knights, prophecy, kingdoms.</t>
  </si>
  <si>
    <t xml:space="preserve">https://en.wikipedia.org/wiki/The_Vision_of_Escaflowne</t>
  </si>
  <si>
    <t xml:space="preserve">SRC-229</t>
  </si>
  <si>
    <t xml:space="preserve">Princess Mononoke</t>
  </si>
  <si>
    <t xml:space="preserve">Hayao Miyazaki / Studio Ghibli</t>
  </si>
  <si>
    <t xml:space="preserve">Animated Film</t>
  </si>
  <si>
    <t xml:space="preserve">Film continuity</t>
  </si>
  <si>
    <t xml:space="preserve">Animal gods, forest spirit, cursed warrior, industrial settlement, ecological conflict.</t>
  </si>
  <si>
    <t xml:space="preserve">https://en.wikipedia.org/wiki/Princess_Mononoke</t>
  </si>
  <si>
    <t xml:space="preserve">SRC-230</t>
  </si>
  <si>
    <t xml:space="preserve">Nausicaä of the Valley of the Wind</t>
  </si>
  <si>
    <t xml:space="preserve">Hayao Miyazaki</t>
  </si>
  <si>
    <t xml:space="preserve">Manga / Animated Film</t>
  </si>
  <si>
    <t xml:space="preserve">1982 manga / 1984 film</t>
  </si>
  <si>
    <t xml:space="preserve">Manga and film continuities</t>
  </si>
  <si>
    <t xml:space="preserve">Post-apocalyptic ecology, princess mediator, giant warriors, insect world, toxic forest.</t>
  </si>
  <si>
    <t xml:space="preserve">https://en.wikipedia.org/wiki/Nausica%C3%A4_of_the_Valley_of_the_Wind</t>
  </si>
  <si>
    <t xml:space="preserve">SRC-231</t>
  </si>
  <si>
    <t xml:space="preserve">Spirited Away</t>
  </si>
  <si>
    <t xml:space="preserve">Spirit bathhouse institutions, name loss, transformation, kami/yōkai-inspired beings, labor.</t>
  </si>
  <si>
    <t xml:space="preserve">https://en.wikipedia.org/wiki/Spirited_Away</t>
  </si>
  <si>
    <t xml:space="preserve">SRC-232</t>
  </si>
  <si>
    <t xml:space="preserve">Dragon Ball</t>
  </si>
  <si>
    <t xml:space="preserve">Akira Toriyama</t>
  </si>
  <si>
    <t xml:space="preserve">Multiple series and continuities</t>
  </si>
  <si>
    <t xml:space="preserve">Martial ki, alien peoples, transformations, wish-granting dragons, tournament structure.</t>
  </si>
  <si>
    <t xml:space="preserve">https://en.wikipedia.org/wiki/Dragon_Ball</t>
  </si>
  <si>
    <t xml:space="preserve">SRC-233</t>
  </si>
  <si>
    <t xml:space="preserve">Jujutsu Kaisen</t>
  </si>
  <si>
    <t xml:space="preserve">Gege Akutami</t>
  </si>
  <si>
    <t xml:space="preserve">Cursed energy, sorcerer school, inherited techniques, spirits, domains, possession.</t>
  </si>
  <si>
    <t xml:space="preserve">https://en.wikipedia.org/wiki/Jujutsu_Kaisen</t>
  </si>
  <si>
    <t xml:space="preserve">SRC-234</t>
  </si>
  <si>
    <t xml:space="preserve">Chainsaw Man</t>
  </si>
  <si>
    <t xml:space="preserve">Tatsuki Fujimoto</t>
  </si>
  <si>
    <t xml:space="preserve">Devils as concepts, contracts, hybrid transformation, hunters, bureaucratic exploitation.</t>
  </si>
  <si>
    <t xml:space="preserve">https://en.wikipedia.org/wiki/Chainsaw_Man</t>
  </si>
  <si>
    <t xml:space="preserve">SRC-235</t>
  </si>
  <si>
    <t xml:space="preserve">Solo Leveling</t>
  </si>
  <si>
    <t xml:space="preserve">Chugong and DUBU adaptation</t>
  </si>
  <si>
    <t xml:space="preserve">Web Novel / Manhwa / Anime</t>
  </si>
  <si>
    <t xml:space="preserve">Novel, manhwa, anime adaptations</t>
  </si>
  <si>
    <t xml:space="preserve">Hunter ranks, gates, system user, hidden class, shadow army, power progression.</t>
  </si>
  <si>
    <t xml:space="preserve">https://en.wikipedia.org/wiki/Solo_Leveling</t>
  </si>
  <si>
    <t xml:space="preserve">SRC-236</t>
  </si>
  <si>
    <t xml:space="preserve">Omniscient Reader's Viewpoint</t>
  </si>
  <si>
    <t xml:space="preserve">singNsong</t>
  </si>
  <si>
    <t xml:space="preserve">Web Novel / Manhwa</t>
  </si>
  <si>
    <t xml:space="preserve">Scenario system, constellations, narrative knowledge, incarnations, sponsor powers, regressors.</t>
  </si>
  <si>
    <t xml:space="preserve">https://en.wikipedia.org/wiki/Omniscient_Reader's_Viewpoint</t>
  </si>
  <si>
    <t xml:space="preserve">SRC-237</t>
  </si>
  <si>
    <t xml:space="preserve">Tower of God</t>
  </si>
  <si>
    <t xml:space="preserve">S.I.U.</t>
  </si>
  <si>
    <t xml:space="preserve">Webtoon / Anime</t>
  </si>
  <si>
    <t xml:space="preserve">Webtoon and anime adaptation</t>
  </si>
  <si>
    <t xml:space="preserve">Tower tests, positions as classes, irregulars, species, families, rankers.</t>
  </si>
  <si>
    <t xml:space="preserve">https://en.wikipedia.org/wiki/Tower_of_God</t>
  </si>
  <si>
    <t xml:space="preserve">SRC-238</t>
  </si>
  <si>
    <t xml:space="preserve">The God of High School</t>
  </si>
  <si>
    <t xml:space="preserve">Yongje Park</t>
  </si>
  <si>
    <t xml:space="preserve">Tournament, borrowed divine power, martial arts, gods, myth fusion.</t>
  </si>
  <si>
    <t xml:space="preserve">https://en.wikipedia.org/wiki/The_God_of_High_School</t>
  </si>
  <si>
    <t xml:space="preserve">SRC-239</t>
  </si>
  <si>
    <t xml:space="preserve">The King's Avatar</t>
  </si>
  <si>
    <t xml:space="preserve">Hu Dielan</t>
  </si>
  <si>
    <t xml:space="preserve">Web Novel / Animation</t>
  </si>
  <si>
    <t xml:space="preserve">MMO classes, professional roles, guilds, esports rather than in-world fantasy ontology.</t>
  </si>
  <si>
    <t xml:space="preserve">https://en.wikipedia.org/wiki/The_King's_Avatar</t>
  </si>
  <si>
    <t xml:space="preserve">SRC-240</t>
  </si>
  <si>
    <t xml:space="preserve">Soul Land / Douluo Dalu</t>
  </si>
  <si>
    <t xml:space="preserve">Tang Jia San Shao</t>
  </si>
  <si>
    <t xml:space="preserve">Web Novel / Donghua / Manhua</t>
  </si>
  <si>
    <t xml:space="preserve">Spirit masters, spirit rings, martial souls, ranks, sects, beasts, cultivation progression.</t>
  </si>
  <si>
    <t xml:space="preserve">https://en.wikipedia.org/wiki/Soul_Land_%2F_Douluo_Dalu</t>
  </si>
  <si>
    <t xml:space="preserve">SRC-241</t>
  </si>
  <si>
    <t xml:space="preserve">Heaven Official's Blessing</t>
  </si>
  <si>
    <t xml:space="preserve">Web Novel / Donghua</t>
  </si>
  <si>
    <t xml:space="preserve">Ascended officials, ghosts, spiritual power, heavenly bureaucracy, devotion.</t>
  </si>
  <si>
    <t xml:space="preserve">https://en.wikipedia.org/wiki/Heaven_Official's_Blessing</t>
  </si>
  <si>
    <t xml:space="preserve">SRC-242</t>
  </si>
  <si>
    <t xml:space="preserve">The Legend of Hei</t>
  </si>
  <si>
    <t xml:space="preserve">MTJJ</t>
  </si>
  <si>
    <t xml:space="preserve">Animated Film / Web Animation</t>
  </si>
  <si>
    <t xml:space="preserve">2011 web / 2019 film</t>
  </si>
  <si>
    <t xml:space="preserve">Animation continuity</t>
  </si>
  <si>
    <t xml:space="preserve">Spirits, human-spirit coexistence, elemental domains, guild-like enforcement.</t>
  </si>
  <si>
    <t xml:space="preserve">https://en.wikipedia.org/wiki/The_Legend_of_Hei</t>
  </si>
  <si>
    <t xml:space="preserve">SRC-243</t>
  </si>
  <si>
    <t xml:space="preserve">The Apothecary Diaries</t>
  </si>
  <si>
    <t xml:space="preserve">Natsu Hyūga</t>
  </si>
  <si>
    <t xml:space="preserve">Apothecary role, court institutions, poison expertise, low-supernatural analytical framework.</t>
  </si>
  <si>
    <t xml:space="preserve">https://en.wikipedia.org/wiki/The_Apothecary_Diaries</t>
  </si>
  <si>
    <t xml:space="preserve">SRC-244</t>
  </si>
  <si>
    <t xml:space="preserve">Ascendance of a Bookworm</t>
  </si>
  <si>
    <t xml:space="preserve">Miya Kazuki</t>
  </si>
  <si>
    <t xml:space="preserve">Reincarnation, craft progression, temple/noble castes, mana, institution building.</t>
  </si>
  <si>
    <t xml:space="preserve">https://en.wikipedia.org/wiki/Ascendance_of_a_Bookworm</t>
  </si>
  <si>
    <t xml:space="preserve">SRC-245</t>
  </si>
  <si>
    <t xml:space="preserve">So I'm a Spider, So What?</t>
  </si>
  <si>
    <t xml:space="preserve">Okina Baba</t>
  </si>
  <si>
    <t xml:space="preserve">Novel and adaptation</t>
  </si>
  <si>
    <t xml:space="preserve">Monster reincarnation, evolution tree, system classes, parallel protagonists.</t>
  </si>
  <si>
    <t xml:space="preserve">https://en.wikipedia.org/wiki/So_I'm_a_Spider,_So_What%3F</t>
  </si>
  <si>
    <t xml:space="preserve">SRC-246</t>
  </si>
  <si>
    <t xml:space="preserve">The Eminence in Shadow</t>
  </si>
  <si>
    <t xml:space="preserve">Daisuke Aizawa</t>
  </si>
  <si>
    <t xml:space="preserve">Isekai role-play becoming reality, secret organization, overpowered protagonist, cult conspiracy.</t>
  </si>
  <si>
    <t xml:space="preserve">https://en.wikipedia.org/wiki/The_Eminence_in_Shadow</t>
  </si>
  <si>
    <t xml:space="preserve">SRC-247</t>
  </si>
  <si>
    <t xml:space="preserve">The Dark Crystal</t>
  </si>
  <si>
    <t xml:space="preserve">Jim Henson and Frank Oz</t>
  </si>
  <si>
    <t xml:space="preserve">Film / Television</t>
  </si>
  <si>
    <t xml:space="preserve">United States / Britain</t>
  </si>
  <si>
    <t xml:space="preserve">Film and Age of Resistance series</t>
  </si>
  <si>
    <t xml:space="preserve">Nonhuman-only world, Gelfling clans, Skeksis/Mystics, ecological cosmology, puppetry species design.</t>
  </si>
  <si>
    <t xml:space="preserve">https://en.wikipedia.org/wiki/The_Dark_Crystal</t>
  </si>
  <si>
    <t xml:space="preserve">SRC-248</t>
  </si>
  <si>
    <t xml:space="preserve">Labyrinth</t>
  </si>
  <si>
    <t xml:space="preserve">Jim Henson</t>
  </si>
  <si>
    <t xml:space="preserve">Film</t>
  </si>
  <si>
    <t xml:space="preserve">Goblin king, maze as antagonist, fairy-tale bargain, creature society, coming-of-age quest.</t>
  </si>
  <si>
    <t xml:space="preserve">https://en.wikipedia.org/wiki/Labyrinth</t>
  </si>
  <si>
    <t xml:space="preserve">SRC-249</t>
  </si>
  <si>
    <t xml:space="preserve">Willow</t>
  </si>
  <si>
    <t xml:space="preserve">George Lucas / Ron Howard and later Lucasfilm</t>
  </si>
  <si>
    <t xml:space="preserve">Film and sequel series</t>
  </si>
  <si>
    <t xml:space="preserve">Smallfolk hero, sorceress, warrior, prophecy, cursed transformation, quest party.</t>
  </si>
  <si>
    <t xml:space="preserve">https://en.wikipedia.org/wiki/Willow</t>
  </si>
  <si>
    <t xml:space="preserve">SRC-250</t>
  </si>
  <si>
    <t xml:space="preserve">Legend</t>
  </si>
  <si>
    <t xml:space="preserve">Ridley Scott</t>
  </si>
  <si>
    <t xml:space="preserve">1985</t>
  </si>
  <si>
    <t xml:space="preserve">Film versions</t>
  </si>
  <si>
    <t xml:space="preserve">Darkness sovereign, unicorns, forest beings, goblins, fairy-tale hero, light/dark symbolism.</t>
  </si>
  <si>
    <t xml:space="preserve">https://en.wikipedia.org/wiki/Legend</t>
  </si>
  <si>
    <t xml:space="preserve">SRC-251</t>
  </si>
  <si>
    <t xml:space="preserve">The NeverEnding Story</t>
  </si>
  <si>
    <t xml:space="preserve">Wolfgang Petersen; based on Michael Ende</t>
  </si>
  <si>
    <t xml:space="preserve">Germany / United States</t>
  </si>
  <si>
    <t xml:space="preserve">Film adaptation continuity</t>
  </si>
  <si>
    <t xml:space="preserve">Story world, child reader-hero, luckdragon, Nothing as threat, naming and imagination.</t>
  </si>
  <si>
    <t xml:space="preserve">https://en.wikipedia.org/wiki/The_NeverEnding_Story</t>
  </si>
  <si>
    <t xml:space="preserve">SRC-252</t>
  </si>
  <si>
    <t xml:space="preserve">The Princess Bride</t>
  </si>
  <si>
    <t xml:space="preserve">Rob Reiner; William Goldman</t>
  </si>
  <si>
    <t xml:space="preserve">Film / Literature</t>
  </si>
  <si>
    <t xml:space="preserve">1987 film</t>
  </si>
  <si>
    <t xml:space="preserve">Film adaptation and novel</t>
  </si>
  <si>
    <t xml:space="preserve">Swashbuckler, giant, mastermind, true love, fairy-tale parody, framed storytelling.</t>
  </si>
  <si>
    <t xml:space="preserve">https://en.wikipedia.org/wiki/The_Princess_Bride</t>
  </si>
  <si>
    <t xml:space="preserve">SRC-253</t>
  </si>
  <si>
    <t xml:space="preserve">Conan the Barbarian Films</t>
  </si>
  <si>
    <t xml:space="preserve">John Milius and others; based on Robert E. Howard</t>
  </si>
  <si>
    <t xml:space="preserve">1982 onward</t>
  </si>
  <si>
    <t xml:space="preserve">Film continuities separate from stories</t>
  </si>
  <si>
    <t xml:space="preserve">Barbarian iconography, cult, sorcerer, thief companions, sword-and-sorcery cinema.</t>
  </si>
  <si>
    <t xml:space="preserve">https://en.wikipedia.org/wiki/Conan_the_Barbarian_Films</t>
  </si>
  <si>
    <t xml:space="preserve">SRC-254</t>
  </si>
  <si>
    <t xml:space="preserve">Excalibur</t>
  </si>
  <si>
    <t xml:space="preserve">John Boorman</t>
  </si>
  <si>
    <t xml:space="preserve">Arthurian film continuity</t>
  </si>
  <si>
    <t xml:space="preserve">Arthurian roles, Merlin, sacred kingship, grail, knightly order, land and king.</t>
  </si>
  <si>
    <t xml:space="preserve">https://en.wikipedia.org/wiki/Excalibur</t>
  </si>
  <si>
    <t xml:space="preserve">SRC-255</t>
  </si>
  <si>
    <t xml:space="preserve">Dragonheart</t>
  </si>
  <si>
    <t xml:space="preserve">Rob Cohen and franchise creators</t>
  </si>
  <si>
    <t xml:space="preserve">Film Franchise</t>
  </si>
  <si>
    <t xml:space="preserve">Film series</t>
  </si>
  <si>
    <t xml:space="preserve">Dragon-human soul bond, knight redemption, last dragon, tyrant, draconic ethics.</t>
  </si>
  <si>
    <t xml:space="preserve">https://en.wikipedia.org/wiki/Dragonheart</t>
  </si>
  <si>
    <t xml:space="preserve">SRC-256</t>
  </si>
  <si>
    <t xml:space="preserve">Pan's Labyrinth</t>
  </si>
  <si>
    <t xml:space="preserve">Guillermo del Toro</t>
  </si>
  <si>
    <t xml:space="preserve">Spain / Mexico</t>
  </si>
  <si>
    <t xml:space="preserve">Faun guide, underworld princess, fairy-tale trials, political violence, ambiguous fantasy.</t>
  </si>
  <si>
    <t xml:space="preserve">https://en.wikipedia.org/wiki/Pan's_Labyrinth</t>
  </si>
  <si>
    <t xml:space="preserve">SRC-257</t>
  </si>
  <si>
    <t xml:space="preserve">Avatar: The Last Airbender</t>
  </si>
  <si>
    <t xml:space="preserve">Michael Dante DiMartino and Bryan Konietzko</t>
  </si>
  <si>
    <t xml:space="preserve">Animated Television</t>
  </si>
  <si>
    <t xml:space="preserve">Avatar universe and continuities</t>
  </si>
  <si>
    <t xml:space="preserve">Elemental martial traditions, reincarnating Avatar, nations, spirit world, hybrid animals.</t>
  </si>
  <si>
    <t xml:space="preserve">https://en.wikipedia.org/wiki/Avatar:_The_Last_Airbender</t>
  </si>
  <si>
    <t xml:space="preserve">SRC-258</t>
  </si>
  <si>
    <t xml:space="preserve">The Dragon Prince</t>
  </si>
  <si>
    <t xml:space="preserve">Aaron Ehasz and Justin Richmond</t>
  </si>
  <si>
    <t xml:space="preserve">United States / Canada</t>
  </si>
  <si>
    <t xml:space="preserve">Series continuity</t>
  </si>
  <si>
    <t xml:space="preserve">Elves by primal source, human dark magic, dragons, princes, mage roles, interspecies politics.</t>
  </si>
  <si>
    <t xml:space="preserve">https://en.wikipedia.org/wiki/The_Dragon_Prince</t>
  </si>
  <si>
    <t xml:space="preserve">SRC-259</t>
  </si>
  <si>
    <t xml:space="preserve">Adventure Time</t>
  </si>
  <si>
    <t xml:space="preserve">Pendleton Ward</t>
  </si>
  <si>
    <t xml:space="preserve">Land of Ooo continuity and spinoffs</t>
  </si>
  <si>
    <t xml:space="preserve">Post-apocalyptic fantasy, candy people, vampires, wizards, elemental beings, genre recombination.</t>
  </si>
  <si>
    <t xml:space="preserve">https://en.wikipedia.org/wiki/Adventure_Time</t>
  </si>
  <si>
    <t xml:space="preserve">SRC-260</t>
  </si>
  <si>
    <t xml:space="preserve">The Owl House</t>
  </si>
  <si>
    <t xml:space="preserve">Dana Terrace</t>
  </si>
  <si>
    <t xml:space="preserve">Witch society, coven system, glyph magic, demon realm, school and authoritarian control.</t>
  </si>
  <si>
    <t xml:space="preserve">https://en.wikipedia.org/wiki/The_Owl_House</t>
  </si>
  <si>
    <t xml:space="preserve">SRC-261</t>
  </si>
  <si>
    <t xml:space="preserve">She-Ra and the Princesses of Power</t>
  </si>
  <si>
    <t xml:space="preserve">Noelle Stevenson; DreamWorks</t>
  </si>
  <si>
    <t xml:space="preserve">Reboot continuity</t>
  </si>
  <si>
    <t xml:space="preserve">Transformation hero, princess power domains, rebellion, magical technology, chosen identity.</t>
  </si>
  <si>
    <t xml:space="preserve">https://en.wikipedia.org/wiki/She-Ra_and_the_Princesses_of_Power</t>
  </si>
  <si>
    <t xml:space="preserve">SRC-262</t>
  </si>
  <si>
    <t xml:space="preserve">Castlevania Animated Universe</t>
  </si>
  <si>
    <t xml:space="preserve">Powerhouse Animation / Netflix; based on Konami</t>
  </si>
  <si>
    <t xml:space="preserve">United States / Japan source</t>
  </si>
  <si>
    <t xml:space="preserve">Animated continuity</t>
  </si>
  <si>
    <t xml:space="preserve">Vampire courts, forgemasters, monster hunters, magic speakers, church and rebellion.</t>
  </si>
  <si>
    <t xml:space="preserve">https://en.wikipedia.org/wiki/Castlevania_Animated_Universe</t>
  </si>
  <si>
    <t xml:space="preserve">SRC-263</t>
  </si>
  <si>
    <t xml:space="preserve">Arcane</t>
  </si>
  <si>
    <t xml:space="preserve">Riot Games / Fortiche</t>
  </si>
  <si>
    <t xml:space="preserve">United States / France</t>
  </si>
  <si>
    <t xml:space="preserve">League of Legends screen continuity</t>
  </si>
  <si>
    <t xml:space="preserve">Magitech industrial cities, class conflict, inventors, enforcers, undercity factions, transformation.</t>
  </si>
  <si>
    <t xml:space="preserve">https://en.wikipedia.org/wiki/Arcane</t>
  </si>
  <si>
    <t xml:space="preserve">SRC-264</t>
  </si>
  <si>
    <t xml:space="preserve">Game of Thrones</t>
  </si>
  <si>
    <t xml:space="preserve">HBO; based on George R. R. Martin</t>
  </si>
  <si>
    <t xml:space="preserve">Television</t>
  </si>
  <si>
    <t xml:space="preserve">Television adaptation continuity</t>
  </si>
  <si>
    <t xml:space="preserve">Adapted Westerosi offices, cultures, magic, dragons, undead; significant divergences from books.</t>
  </si>
  <si>
    <t xml:space="preserve">https://en.wikipedia.org/wiki/Game_of_Thrones</t>
  </si>
  <si>
    <t xml:space="preserve">SRC-265</t>
  </si>
  <si>
    <t xml:space="preserve">House of the Dragon</t>
  </si>
  <si>
    <t xml:space="preserve">Dragon-rider dynasty, succession war, court offices, family factions, prophetic legitimacy.</t>
  </si>
  <si>
    <t xml:space="preserve">https://en.wikipedia.org/wiki/House_of_the_Dragon</t>
  </si>
  <si>
    <t xml:space="preserve">SRC-266</t>
  </si>
  <si>
    <t xml:space="preserve">The Lord of the Rings Film Trilogy</t>
  </si>
  <si>
    <t xml:space="preserve">Peter Jackson; New Line Cinema</t>
  </si>
  <si>
    <t xml:space="preserve">New Zealand / United States</t>
  </si>
  <si>
    <t xml:space="preserve">2001–2003</t>
  </si>
  <si>
    <t xml:space="preserve">Influential visual codification of Tolkien peoples, classes, monsters, and fellowship roles.</t>
  </si>
  <si>
    <t xml:space="preserve">https://en.wikipedia.org/wiki/The_Lord_of_the_Rings_Film_Trilogy</t>
  </si>
  <si>
    <t xml:space="preserve">SRC-267</t>
  </si>
  <si>
    <t xml:space="preserve">The Rings of Power</t>
  </si>
  <si>
    <t xml:space="preserve">Amazon MGM Studios</t>
  </si>
  <si>
    <t xml:space="preserve">United States / New Zealand</t>
  </si>
  <si>
    <t xml:space="preserve">Licensed television continuity</t>
  </si>
  <si>
    <t xml:space="preserve">Second Age adaptation, elves, dwarves, Númenor, proto-Harfoots, divine beings and forging.</t>
  </si>
  <si>
    <t xml:space="preserve">https://en.wikipedia.org/wiki/The_Rings_of_Power</t>
  </si>
  <si>
    <t xml:space="preserve">SRC-268</t>
  </si>
  <si>
    <t xml:space="preserve">The Witcher Television Series</t>
  </si>
  <si>
    <t xml:space="preserve">Netflix; based on Andrzej Sapkowski</t>
  </si>
  <si>
    <t xml:space="preserve">United States / Poland source</t>
  </si>
  <si>
    <t xml:space="preserve">Adapted witchers, sorcerers, elves, monsters, timelines and schools; track divergences.</t>
  </si>
  <si>
    <t xml:space="preserve">https://en.wikipedia.org/wiki/The_Witcher_Television_Series</t>
  </si>
  <si>
    <t xml:space="preserve">SRC-269</t>
  </si>
  <si>
    <t xml:space="preserve">The Wheel of Time Television Series</t>
  </si>
  <si>
    <t xml:space="preserve">Amazon MGM Studios; based on Robert Jordan</t>
  </si>
  <si>
    <t xml:space="preserve">Adapted channelers, Ajahs, Warders, ta'veren, cultures and Shadow forces; track divergences.</t>
  </si>
  <si>
    <t xml:space="preserve">https://en.wikipedia.org/wiki/The_Wheel_of_Time_Television_Series</t>
  </si>
  <si>
    <t xml:space="preserve">SRC-270</t>
  </si>
  <si>
    <t xml:space="preserve">Carnival Row</t>
  </si>
  <si>
    <t xml:space="preserve">René Echevarria and Travis Beacham</t>
  </si>
  <si>
    <t xml:space="preserve">Fae refugees, colonial war, urban prejudice, detective role, mixed ancestry, political factions.</t>
  </si>
  <si>
    <t xml:space="preserve">https://en.wikipedia.org/wiki/Carnival_Row</t>
  </si>
  <si>
    <t xml:space="preserve">SRC-271</t>
  </si>
  <si>
    <t xml:space="preserve">The Legend of Vox Machina</t>
  </si>
  <si>
    <t xml:space="preserve">Critical Role / Titmouse</t>
  </si>
  <si>
    <t xml:space="preserve">Animated adaptation of tabletop campaign</t>
  </si>
  <si>
    <t xml:space="preserve">D&amp;D-derived party roles, bard, gunslinger, cleric, gnome, half-elf, dragon arc.</t>
  </si>
  <si>
    <t xml:space="preserve">https://en.wikipedia.org/wiki/The_Legend_of_Vox_Machina</t>
  </si>
  <si>
    <t xml:space="preserve">SRC-272</t>
  </si>
  <si>
    <t xml:space="preserve">Dungeons &amp; Dragons: Honor Among Thieves</t>
  </si>
  <si>
    <t xml:space="preserve">Jonathan Goldstein and John Francis Daley</t>
  </si>
  <si>
    <t xml:space="preserve">Forgotten Realms film continuity</t>
  </si>
  <si>
    <t xml:space="preserve">Bard/rogue lead, paladin, sorcerer, druid, barbarian, monsters and game-spell adaptation.</t>
  </si>
  <si>
    <t xml:space="preserve">https://en.wikipedia.org/wiki/Dungeons_%26_Dragons:_Honor_Among_Thieves</t>
  </si>
  <si>
    <t xml:space="preserve">SRC-273</t>
  </si>
  <si>
    <t xml:space="preserve">Xena: Warrior Princess</t>
  </si>
  <si>
    <t xml:space="preserve">Robert Tapert and John Schulian</t>
  </si>
  <si>
    <t xml:space="preserve">Warrior heroine, companion bard, gods, Amazons, reincarnation, mythic syncretism.</t>
  </si>
  <si>
    <t xml:space="preserve">https://en.wikipedia.org/wiki/Xena:_Warrior_Princess</t>
  </si>
  <si>
    <t xml:space="preserve">SRC-274</t>
  </si>
  <si>
    <t xml:space="preserve">Hercules: The Legendary Journeys</t>
  </si>
  <si>
    <t xml:space="preserve">Christian Williams and others</t>
  </si>
  <si>
    <t xml:space="preserve">Demigod hero, companion, gods, monsters, episodic myth adaptation.</t>
  </si>
  <si>
    <t xml:space="preserve">https://en.wikipedia.org/wiki/Hercules:_The_Legendary_Journeys</t>
  </si>
  <si>
    <t xml:space="preserve">SRC-275</t>
  </si>
  <si>
    <t xml:space="preserve">The Shannara Chronicles</t>
  </si>
  <si>
    <t xml:space="preserve">MTV; based on Terry Brooks</t>
  </si>
  <si>
    <t xml:space="preserve">Post-apocalyptic elves, druids, chosen quest, demons, hybrid genre visual language.</t>
  </si>
  <si>
    <t xml:space="preserve">https://en.wikipedia.org/wiki/The_Shannara_Chronicles</t>
  </si>
  <si>
    <t xml:space="preserve">SRC-276</t>
  </si>
  <si>
    <t xml:space="preserve">The Dark Crystal: Age of Resistance</t>
  </si>
  <si>
    <t xml:space="preserve">Netflix / Jim Henson Company</t>
  </si>
  <si>
    <t xml:space="preserve">Prequel continuity</t>
  </si>
  <si>
    <t xml:space="preserve">Gelfling clans and vocations, Skeksis institutions, resistance, mystic ecology, puppetry.</t>
  </si>
  <si>
    <t xml:space="preserve">https://en.wikipedia.org/wiki/The_Dark_Crystal:_Age_of_Resistance</t>
  </si>
  <si>
    <t xml:space="preserve">SRC-277</t>
  </si>
  <si>
    <t xml:space="preserve">Mahābhārata — BORI Critical Edition</t>
  </si>
  <si>
    <t xml:space="preserve">Bhandarkar Oriental Research Institute, Critical Edition project</t>
  </si>
  <si>
    <t xml:space="preserve">Critical Edition / Epic Literature</t>
  </si>
  <si>
    <t xml:space="preserve">South Asia / Sanskrit</t>
  </si>
  <si>
    <t xml:space="preserve">Editorial project 1919–1966</t>
  </si>
  <si>
    <t xml:space="preserve">BORI Critical Edition: 18 parvans published in 19 volumes</t>
  </si>
  <si>
    <t xml:space="preserve">A critical-edition reference witness for source-faithful indexing of the Sanskrit epic's persons, beings, roles, vows, weapons, rituals, cosmology, and narrative structures.</t>
  </si>
  <si>
    <t xml:space="preserve">A scholarly reconstruction from many manuscript witnesses, not the sole, complete, or normatively superior form of the Mahābhārata in living, regional, vernacular, devotional, or performance traditions.</t>
  </si>
  <si>
    <t xml:space="preserve">SRC-278</t>
  </si>
  <si>
    <t xml:space="preserve">Bhagavad Gītā (Mahābhārata, Bhīṣma Parva)</t>
  </si>
  <si>
    <t xml:space="preserve">Embedded Sanskrit dialogue within the Mahābhārata; multiple commentarial traditions</t>
  </si>
  <si>
    <t xml:space="preserve">Epic-Philosophical Text / Sacred Narrative</t>
  </si>
  <si>
    <t xml:space="preserve">Part of the layered Mahābhārata tradition</t>
  </si>
  <si>
    <t xml:space="preserve">Embedded textual unit; editions, recensions, translations, and commentaries distinguished as needed</t>
  </si>
  <si>
    <t xml:space="preserve">Battlefield revelation, divine manifestation, action and renunciation, disciplined paths, cosmic order, devotion, knowledge, and the relation between mortal agency and divine counsel.</t>
  </si>
  <si>
    <t xml:space="preserve">Use as an embedded textual unit rather than a stand-alone fantasy source. Do not collapse its philosophical and religious vocabulary into alignment, class, or spell-system analogues.</t>
  </si>
  <si>
    <t xml:space="preserve">https://www.gitasupersite.iitk.ac.in/</t>
  </si>
  <si>
    <t xml:space="preserve">SRC-279</t>
  </si>
  <si>
    <t xml:space="preserve">Chinese Mythology and Religious Traditions</t>
  </si>
  <si>
    <t xml:space="preserve">Multiple regional, literary, ritual, philosophical, and religious traditions</t>
  </si>
  <si>
    <t xml:space="preserve">China and Sinosphere</t>
  </si>
  <si>
    <t xml:space="preserve">Ancient to present</t>
  </si>
  <si>
    <t xml:space="preserve">Culture- and text-specific corpus; sources and regional traditions must be separated</t>
  </si>
  <si>
    <t xml:space="preserve">Celestial bureaucracy, immortals, ancestors, dragon and fox traditions, underworld courts, talismans, registers, spirit officials, sacred mountains, transformations, and overlapping Daoist, Buddhist, popular, literary, and local systems.</t>
  </si>
  <si>
    <t xml:space="preserve">Research umbrella only. Do not collapse Chinese, Daoist, Buddhist, Confucian, local cultic, literary, regional, or diasporic materials into one mythology or treat later game taxonomies as primary evidence.</t>
  </si>
  <si>
    <t xml:space="preserve">https://ctext.org/</t>
  </si>
  <si>
    <t xml:space="preserve">SRC-280</t>
  </si>
  <si>
    <t xml:space="preserve">Mexica (Aztec) Mythology and Ritual Traditions</t>
  </si>
  <si>
    <t xml:space="preserve">Nahua authors, ritual specialists, communities, and colonial-period textual witnesses</t>
  </si>
  <si>
    <t xml:space="preserve">Mythology / Religion / Sacred History</t>
  </si>
  <si>
    <t xml:space="preserve">Mesoamerica / Central Mexico / Nahua</t>
  </si>
  <si>
    <t xml:space="preserve">Pre-contact traditions with colonial-period textual and material witnesses</t>
  </si>
  <si>
    <t xml:space="preserve">Source-specific corpus; distinguish Mexica from broader Nahua and other Mesoamerican traditions</t>
  </si>
  <si>
    <t xml:space="preserve">Layered heavens and underworlds, calendrical time, divine forces and embodiments, sacred warfare, offerings, cosmic maintenance, world ages, migration memory, place-based identity, and ritual-political authority.</t>
  </si>
  <si>
    <t xml:space="preserve">Use specialist, community-aware, archaeological, and primary textual sources. Avoid treating 'Aztec mythology' as a closed pantheon roster or merging it with Maya, generic Mesoamerican, or commercial adaptation categories.</t>
  </si>
  <si>
    <t xml:space="preserve">https://www.britishmuseum.org/collection/galleries/mexico</t>
  </si>
  <si>
    <t xml:space="preserve">SRC-281</t>
  </si>
  <si>
    <t xml:space="preserve">World's Edge, Forgotten Empires, and Xbox Game Studios</t>
  </si>
  <si>
    <t xml:space="preserve">Video Game / Real-Time Strategy</t>
  </si>
  <si>
    <t xml:space="preserve">United States / global commercial adaptation</t>
  </si>
  <si>
    <t xml:space="preserve">2024; Version 2.0 snapshot through August 2, 2026</t>
  </si>
  <si>
    <t xml:space="preserve">Retold base game plus dated official pantheon and god-pack expansions</t>
  </si>
  <si>
    <t xml:space="preserve">A major adaptation laboratory that converts deities into faction and technology choices, worship into favor economies, myths into units and counters, divine intervention into activated god powers, relics into map objectives, and cosmic ages into progression tiers.</t>
  </si>
  <si>
    <t xml:space="preserve">Commercial game adaptation, not evidence for the source traditions it represents. Version-stamp pantheon rosters, expansions, balance changes, and names; analyze Greek, Egyptian, Norse, Atlantean, Chinese, Japanese, and Mexica/Aztec adaptation layers separately.</t>
  </si>
  <si>
    <t xml:space="preserve">https://www.ageofempires.com/games/age-of-mythology-retold/</t>
  </si>
  <si>
    <t xml:space="preserve">Entry_ID</t>
  </si>
  <si>
    <t xml:space="preserve">Canonical_Name</t>
  </si>
  <si>
    <t xml:space="preserve">Source_Title</t>
  </si>
  <si>
    <t xml:space="preserve">Continuity</t>
  </si>
  <si>
    <t xml:space="preserve">Native_Record_Type</t>
  </si>
  <si>
    <t xml:space="preserve">Primary_Archetype_ID</t>
  </si>
  <si>
    <t xml:space="preserve">Primary_Archetype_Name</t>
  </si>
  <si>
    <t xml:space="preserve">Additional_Archetype_IDs</t>
  </si>
  <si>
    <t xml:space="preserve">Additional_Archetype_Names</t>
  </si>
  <si>
    <t xml:space="preserve">Ontology_or_Role_Summary</t>
  </si>
  <si>
    <t xml:space="preserve">Power_Basis</t>
  </si>
  <si>
    <t xml:space="preserve">Key_Distinction</t>
  </si>
  <si>
    <t xml:space="preserve">Comparative_Notes</t>
  </si>
  <si>
    <t xml:space="preserve">Canon_Status</t>
  </si>
  <si>
    <t xml:space="preserve">Evidence_Level</t>
  </si>
  <si>
    <t xml:space="preserve">Source_Reference</t>
  </si>
  <si>
    <t xml:space="preserve">Review_Status</t>
  </si>
  <si>
    <t xml:space="preserve">ENT-0001</t>
  </si>
  <si>
    <t xml:space="preserve">Quendi (Elves)</t>
  </si>
  <si>
    <t xml:space="preserve">Legendarium (literary corpus)</t>
  </si>
  <si>
    <t xml:space="preserve">People / metaphysical kind</t>
  </si>
  <si>
    <t xml:space="preserve">The awakened Firstborn Children of Ilúvatar, with multiple historical and cultural divisions.</t>
  </si>
  <si>
    <t xml:space="preserve">Created people; embodied immortal life bound to Arda.</t>
  </si>
  <si>
    <t xml:space="preserve">Their immortality, fate, and relation to Arda differ fundamentally from most game-elves.</t>
  </si>
  <si>
    <t xml:space="preserve">Primary reference point for the modern high-fantasy elf family.</t>
  </si>
  <si>
    <t xml:space="preserve">Primary canon</t>
  </si>
  <si>
    <t xml:space="preserve">Official reference reviewed</t>
  </si>
  <si>
    <t xml:space="preserve">Tolkien Estate setting overview and primary legendarium corpus.</t>
  </si>
  <si>
    <t xml:space="preserve">Seeded</t>
  </si>
  <si>
    <t xml:space="preserve">ENT-0002</t>
  </si>
  <si>
    <t xml:space="preserve">Vanyar</t>
  </si>
  <si>
    <t xml:space="preserve">Elven people</t>
  </si>
  <si>
    <t xml:space="preserve">One of the principal Eldarin peoples, associated with Aman and the Valar.</t>
  </si>
  <si>
    <t xml:space="preserve">Lineage, migration history, and culture.</t>
  </si>
  <si>
    <t xml:space="preserve">A canonical subgroup, not a separate biological species.</t>
  </si>
  <si>
    <t xml:space="preserve">High or celestial elf analogues are only partial.</t>
  </si>
  <si>
    <t xml:space="preserve">ENT-0003</t>
  </si>
  <si>
    <t xml:space="preserve">Noldor</t>
  </si>
  <si>
    <t xml:space="preserve">An Eldarin people renowned for craft, knowledge, political tragedy, and exile.</t>
  </si>
  <si>
    <t xml:space="preserve">Cultural learning, craft, and personal spiritual stature.</t>
  </si>
  <si>
    <t xml:space="preserve">Their defining traits are historical and cultural rather than a game-stat package.</t>
  </si>
  <si>
    <t xml:space="preserve">Influential on learned, tragic, and high-elven archetypes.</t>
  </si>
  <si>
    <t xml:space="preserve">ENT-0004</t>
  </si>
  <si>
    <t xml:space="preserve">Teleri and Sindar</t>
  </si>
  <si>
    <t xml:space="preserve">Elven peoples</t>
  </si>
  <si>
    <t xml:space="preserve">Related Eldarin peoples whose histories include maritime, forest, and Beleriandic cultures.</t>
  </si>
  <si>
    <t xml:space="preserve">Kinship, migration, geography, and cultural development.</t>
  </si>
  <si>
    <t xml:space="preserve">The umbrella conceals several distinct peoples and political histories.</t>
  </si>
  <si>
    <t xml:space="preserve">Partial source for sea-elf and woodland-elf developments.</t>
  </si>
  <si>
    <t xml:space="preserve">ENT-0005</t>
  </si>
  <si>
    <t xml:space="preserve">Avari</t>
  </si>
  <si>
    <t xml:space="preserve">Elves who refused the Great Journey, comprising multiple unenumerated peoples.</t>
  </si>
  <si>
    <t xml:space="preserve">Historical choice and later cultural divergence.</t>
  </si>
  <si>
    <t xml:space="preserve">Not synonymous with evil, dark, or subterranean elves.</t>
  </si>
  <si>
    <t xml:space="preserve">Useful corrective to moralized elf subrace taxonomies.</t>
  </si>
  <si>
    <t xml:space="preserve">ENT-0006</t>
  </si>
  <si>
    <t xml:space="preserve">Khazâd (Dwarves)</t>
  </si>
  <si>
    <t xml:space="preserve">Created people</t>
  </si>
  <si>
    <t xml:space="preserve">A people fashioned by Aulë and adopted into Ilúvatar's design, organized in kindreds and houses.</t>
  </si>
  <si>
    <t xml:space="preserve">Created ancestry, craft tradition, kinship, and long memory.</t>
  </si>
  <si>
    <t xml:space="preserve">Their origin and eschatology are specific to Tolkien's cosmology.</t>
  </si>
  <si>
    <t xml:space="preserve">Central modern template for dwarven peoples.</t>
  </si>
  <si>
    <t xml:space="preserve">ENT-0007</t>
  </si>
  <si>
    <t xml:space="preserve">Hobbits</t>
  </si>
  <si>
    <t xml:space="preserve">Human-related people</t>
  </si>
  <si>
    <t xml:space="preserve">A small-statured people associated with agrarian domesticity, resilience, and obscurity.</t>
  </si>
  <si>
    <t xml:space="preserve">Natural people with cultural and regional branches.</t>
  </si>
  <si>
    <t xml:space="preserve">They are a people and culture, not inherently an adventuring class.</t>
  </si>
  <si>
    <t xml:space="preserve">Primary model for halflings and domestic smallfolk.</t>
  </si>
  <si>
    <t xml:space="preserve">ENT-0008</t>
  </si>
  <si>
    <t xml:space="preserve">Men (Atani and later peoples)</t>
  </si>
  <si>
    <t xml:space="preserve">Mortal people</t>
  </si>
  <si>
    <t xml:space="preserve">The mortal Secondborn Children of Ilúvatar, divided across many nations and histories.</t>
  </si>
  <si>
    <t xml:space="preserve">Natural people; mortality is metaphysically significant.</t>
  </si>
  <si>
    <t xml:space="preserve">Human cultures must not be collapsed into one archetypal society.</t>
  </si>
  <si>
    <t xml:space="preserve">Baseline human plurality in epic fantasy.</t>
  </si>
  <si>
    <t xml:space="preserve">ENT-0009</t>
  </si>
  <si>
    <t xml:space="preserve">Dúnedain</t>
  </si>
  <si>
    <t xml:space="preserve">Human lineage and culture</t>
  </si>
  <si>
    <t xml:space="preserve">Long-lived Númenórean-descended human peoples, including northern and southern branches.</t>
  </si>
  <si>
    <t xml:space="preserve">Lineage, inherited longevity, culture, and historical institutions.</t>
  </si>
  <si>
    <t xml:space="preserve">Not a separate species; 'ranger' applies especially to a later northern role.</t>
  </si>
  <si>
    <t xml:space="preserve">Long-lived lost-kingdom human and ranger analogues.</t>
  </si>
  <si>
    <t xml:space="preserve">ENT-0010</t>
  </si>
  <si>
    <t xml:space="preserve">Ents</t>
  </si>
  <si>
    <t xml:space="preserve">Nonhuman people</t>
  </si>
  <si>
    <t xml:space="preserve">Ancient tree-shepherds with personhood, language, memory, and ecological vocation.</t>
  </si>
  <si>
    <t xml:space="preserve">Created or awakened nature-associated beings.</t>
  </si>
  <si>
    <t xml:space="preserve">Not simply animated trees or generic elementals.</t>
  </si>
  <si>
    <t xml:space="preserve">Major treefolk and ecological guardian archetype.</t>
  </si>
  <si>
    <t xml:space="preserve">ENT-0011</t>
  </si>
  <si>
    <t xml:space="preserve">Ainur</t>
  </si>
  <si>
    <t xml:space="preserve">Primordial spiritual beings</t>
  </si>
  <si>
    <t xml:space="preserve">Pre-cosmic spirits who participate in the shaping and governance of the created world.</t>
  </si>
  <si>
    <t xml:space="preserve">Created spiritual nature and delegated cosmic authority.</t>
  </si>
  <si>
    <t xml:space="preserve">They are neither a biological race nor a single moral faction.</t>
  </si>
  <si>
    <t xml:space="preserve">Comparable to angelic or demiurgic orders only with caution.</t>
  </si>
  <si>
    <t xml:space="preserve">ENT-0012</t>
  </si>
  <si>
    <t xml:space="preserve">Valar</t>
  </si>
  <si>
    <t xml:space="preserve">Divine governing order</t>
  </si>
  <si>
    <t xml:space="preserve">The greatest Ainur who enter Arda and exercise delegated guardianship over it.</t>
  </si>
  <si>
    <t xml:space="preserve">Spiritual nature and divinely delegated authority.</t>
  </si>
  <si>
    <t xml:space="preserve">Often called gods by inhabitants, but subordinate to Ilúvatar.</t>
  </si>
  <si>
    <t xml:space="preserve">Functional analogue to pantheons, not exact polytheistic deities.</t>
  </si>
  <si>
    <t xml:space="preserve">ENT-0013</t>
  </si>
  <si>
    <t xml:space="preserve">Maiar</t>
  </si>
  <si>
    <t xml:space="preserve">Lesser Ainur</t>
  </si>
  <si>
    <t xml:space="preserve">Ainur of lesser order who serve, teach, rule, tempt, or oppose within Arda.</t>
  </si>
  <si>
    <t xml:space="preserve">Spiritual nature; variable embodiment and allegiance.</t>
  </si>
  <si>
    <t xml:space="preserve">Includes radically different figures and cannot be treated as one profession.</t>
  </si>
  <si>
    <t xml:space="preserve">Angel, spirit-lord, and embodied emissary analogues.</t>
  </si>
  <si>
    <t xml:space="preserve">ENT-0014</t>
  </si>
  <si>
    <t xml:space="preserve">Istari (Wizards)</t>
  </si>
  <si>
    <t xml:space="preserve">Invested emissary order</t>
  </si>
  <si>
    <t xml:space="preserve">Maiar sent in constrained embodied form to counsel resistance against Sauron.</t>
  </si>
  <si>
    <t xml:space="preserve">Delegated mission, spiritual nature, knowledge, and limited embodied power.</t>
  </si>
  <si>
    <t xml:space="preserve">‘Wizard’ here denotes an order and identity, not merely a learned spellcaster class.</t>
  </si>
  <si>
    <t xml:space="preserve">A key example of one source term crossing role, being-type, and institution.</t>
  </si>
  <si>
    <t xml:space="preserve">ENT-0015</t>
  </si>
  <si>
    <t xml:space="preserve">Orcs</t>
  </si>
  <si>
    <t xml:space="preserve">Corrupted or bred people</t>
  </si>
  <si>
    <t xml:space="preserve">Hostile speaking peoples associated with the powers of Morgoth and Sauron.</t>
  </si>
  <si>
    <t xml:space="preserve">Corruption, breeding, domination, and disputed textual origins.</t>
  </si>
  <si>
    <t xml:space="preserve">Their ultimate origin varies across Tolkien's developing conceptions.</t>
  </si>
  <si>
    <t xml:space="preserve">Foundational but ethically contested model for fantasy orcs.</t>
  </si>
  <si>
    <t xml:space="preserve">ENT-0016</t>
  </si>
  <si>
    <t xml:space="preserve">Trolls</t>
  </si>
  <si>
    <t xml:space="preserve">Created or corrupted beings</t>
  </si>
  <si>
    <t xml:space="preserve">Large hostile beings appearing in several forms and periods.</t>
  </si>
  <si>
    <t xml:space="preserve">Corruptive making, imitation, and physical might.</t>
  </si>
  <si>
    <t xml:space="preserve">Different troll kinds have different intelligence and vulnerabilities.</t>
  </si>
  <si>
    <t xml:space="preserve">Influential giant-brute and troll archetype.</t>
  </si>
  <si>
    <t xml:space="preserve">ENT-0017</t>
  </si>
  <si>
    <t xml:space="preserve">Balrogs</t>
  </si>
  <si>
    <t xml:space="preserve">Fallen primordial spirits</t>
  </si>
  <si>
    <t xml:space="preserve">Corrupted Maiar of fire and shadow serving Morgoth.</t>
  </si>
  <si>
    <t xml:space="preserve">Spiritual nature, corruption, terror, and elemental manifestation.</t>
  </si>
  <si>
    <t xml:space="preserve">Not a biological demon species or generic fire monster.</t>
  </si>
  <si>
    <t xml:space="preserve">Major fallen-angelic demon and ancient lieutenant archetype.</t>
  </si>
  <si>
    <t xml:space="preserve">ENT-0018</t>
  </si>
  <si>
    <t xml:space="preserve">Dragons</t>
  </si>
  <si>
    <t xml:space="preserve">Created monster-kind</t>
  </si>
  <si>
    <t xml:space="preserve">Powerful intelligent draconic beings first bred by Morgoth, including winged and wingless forms.</t>
  </si>
  <si>
    <t xml:space="preserve">Created monstrous lineage, cunning, physical power, and often speech.</t>
  </si>
  <si>
    <t xml:space="preserve">The corpus distinguishes individuals and forms rather than a game taxonomy of colors.</t>
  </si>
  <si>
    <t xml:space="preserve">Central Western literary dragon lineage.</t>
  </si>
  <si>
    <t xml:space="preserve">ENT-0019</t>
  </si>
  <si>
    <t xml:space="preserve">Great Eagles</t>
  </si>
  <si>
    <t xml:space="preserve">Sapient great beasts</t>
  </si>
  <si>
    <t xml:space="preserve">Enormous intelligent eagles associated with Manwë and decisive interventions.</t>
  </si>
  <si>
    <t xml:space="preserve">Natural or spiritually elevated beasthood and divine association.</t>
  </si>
  <si>
    <t xml:space="preserve">They are agents with their own limits, not a routine transport mechanism.</t>
  </si>
  <si>
    <t xml:space="preserve">Divine messenger and rescue-beast analogue.</t>
  </si>
  <si>
    <t xml:space="preserve">ENT-0020</t>
  </si>
  <si>
    <t xml:space="preserve">Great Spiders</t>
  </si>
  <si>
    <t xml:space="preserve">Monstrous lineage</t>
  </si>
  <si>
    <t xml:space="preserve">Predatory giant spiders descending from or echoing Ungoliant's monstrous lineage.</t>
  </si>
  <si>
    <t xml:space="preserve">Monstrous descent, appetite, poison, webs, and dark ecology.</t>
  </si>
  <si>
    <t xml:space="preserve">Ungoliant's own ontology remains exceptional and obscure.</t>
  </si>
  <si>
    <t xml:space="preserve">Foundational giant-spider and devouring-darkness archetype.</t>
  </si>
  <si>
    <t xml:space="preserve">ENT-0021</t>
  </si>
  <si>
    <t xml:space="preserve">Nazgûl (Ringwraiths)</t>
  </si>
  <si>
    <t xml:space="preserve">Transformed undead-like servants</t>
  </si>
  <si>
    <t xml:space="preserve">Human kings and lords reduced to spectral servitude through Rings of Power.</t>
  </si>
  <si>
    <t xml:space="preserve">Artifact-mediated corruption, prolonged life, domination, and disembodiment.</t>
  </si>
  <si>
    <t xml:space="preserve">They are neither generic ghosts nor self-directed undead.</t>
  </si>
  <si>
    <t xml:space="preserve">Primary cursed-relic wraith and dark-lieutenant model.</t>
  </si>
  <si>
    <t xml:space="preserve">ENT-0022</t>
  </si>
  <si>
    <t xml:space="preserve">Barrow-wights</t>
  </si>
  <si>
    <t xml:space="preserve">Malignant undead spirits</t>
  </si>
  <si>
    <t xml:space="preserve">Hostile spirits inhabiting ancient burial places and remains.</t>
  </si>
  <si>
    <t xml:space="preserve">Necromantic occupation of tombs and corpse-associated haunting.</t>
  </si>
  <si>
    <t xml:space="preserve">Distinct from the Nazgûl despite the shared English term 'wight.'</t>
  </si>
  <si>
    <t xml:space="preserve">Barrow-dead and tomb guardian undead analogue.</t>
  </si>
  <si>
    <t xml:space="preserve">ENT-0023</t>
  </si>
  <si>
    <t xml:space="preserve">Beornings and skin-changers</t>
  </si>
  <si>
    <t xml:space="preserve">Human lineage / shapeshifters</t>
  </si>
  <si>
    <t xml:space="preserve">Human-associated people or lineage linked to voluntary bear transformation and wilderness guardianship.</t>
  </si>
  <si>
    <t xml:space="preserve">Innate or inherited shapeshifting.</t>
  </si>
  <si>
    <t xml:space="preserve">Not presented as a conventional contagious were-creature curse.</t>
  </si>
  <si>
    <t xml:space="preserve">Positive guardian-shapeshifter and werebear analogue.</t>
  </si>
  <si>
    <t xml:space="preserve">ENT-0024</t>
  </si>
  <si>
    <t xml:space="preserve">Rangers of the North</t>
  </si>
  <si>
    <t xml:space="preserve">Martial vocation and remnant institution</t>
  </si>
  <si>
    <t xml:space="preserve">Dúnedain guardians operating in dispersed secrecy across the former northern kingdom.</t>
  </si>
  <si>
    <t xml:space="preserve">Training, lineage, fieldcraft, and inherited political duty.</t>
  </si>
  <si>
    <t xml:space="preserve">Ranger is a historical vocation here, not a spellcasting class.</t>
  </si>
  <si>
    <t xml:space="preserve">Influential wilderness guardian and hidden-heir support archetype.</t>
  </si>
  <si>
    <t xml:space="preserve">ENT-0025</t>
  </si>
  <si>
    <t xml:space="preserve">Rohirrim</t>
  </si>
  <si>
    <t xml:space="preserve">Human culture and military tradition</t>
  </si>
  <si>
    <t xml:space="preserve">A settled human kingdom whose identity and warfare center strongly on horses and mounted retinues.</t>
  </si>
  <si>
    <t xml:space="preserve">Culture, horsemanship, fealty, and military organization.</t>
  </si>
  <si>
    <t xml:space="preserve">They are not strictly nomadic; the horse-culture tag is comparative, not exact.</t>
  </si>
  <si>
    <t xml:space="preserve">Mounted heroic culture and cavalry kingdom analogue.</t>
  </si>
  <si>
    <t xml:space="preserve">ENT-0026</t>
  </si>
  <si>
    <t xml:space="preserve">Children of the Forest</t>
  </si>
  <si>
    <t xml:space="preserve">Novel continuity</t>
  </si>
  <si>
    <t xml:space="preserve">An ancient nonhuman people associated with the forests, weirwoods, greenseeing, and deep history.</t>
  </si>
  <si>
    <t xml:space="preserve">Innate gifts, ritual knowledge, and ecological-cultural relationship.</t>
  </si>
  <si>
    <t xml:space="preserve">They are a distinct people, not simply fairies or Tolkien-style elves.</t>
  </si>
  <si>
    <t xml:space="preserve">Partial analogue to elder nature peoples and land-linked fae.</t>
  </si>
  <si>
    <t xml:space="preserve">Primary text reviewed</t>
  </si>
  <si>
    <t xml:space="preserve">George R. R. Martin's primary novel corpus and official world-book listings.</t>
  </si>
  <si>
    <t xml:space="preserve">ENT-0027</t>
  </si>
  <si>
    <t xml:space="preserve">Giants</t>
  </si>
  <si>
    <t xml:space="preserve">Large sapient beings of the far North with their own language and culture.</t>
  </si>
  <si>
    <t xml:space="preserve">Natural ancestry and northern ecology.</t>
  </si>
  <si>
    <t xml:space="preserve">They are a people rather than interchangeable giant monsters.</t>
  </si>
  <si>
    <t xml:space="preserve">Giantfolk and remnant elder-people analogue.</t>
  </si>
  <si>
    <t xml:space="preserve">ENT-0028</t>
  </si>
  <si>
    <t xml:space="preserve">The Others</t>
  </si>
  <si>
    <t xml:space="preserve">Mysterious nonhuman beings</t>
  </si>
  <si>
    <t xml:space="preserve">Elegant, deadly beings of supernatural cold whose origin and full nature remain unresolved in the novels.</t>
  </si>
  <si>
    <t xml:space="preserve">Unknown or disputed supernatural ontology; cold-associated power.</t>
  </si>
  <si>
    <t xml:space="preserve">They should not be classified as undead merely because they animate wights.</t>
  </si>
  <si>
    <t xml:space="preserve">Ice-fae, deathly outsider, and apocalyptic elder-being analogues.</t>
  </si>
  <si>
    <t xml:space="preserve">ENT-0029</t>
  </si>
  <si>
    <t xml:space="preserve">Wights</t>
  </si>
  <si>
    <t xml:space="preserve">Animated dead</t>
  </si>
  <si>
    <t xml:space="preserve">Corpses reanimated as servants or extensions of the Others' power.</t>
  </si>
  <si>
    <t xml:space="preserve">External supernatural animation.</t>
  </si>
  <si>
    <t xml:space="preserve">Their agency and mechanics differ from disease-based zombies.</t>
  </si>
  <si>
    <t xml:space="preserve">Puppet-undead and necromantic army analogue.</t>
  </si>
  <si>
    <t xml:space="preserve">ENT-0030</t>
  </si>
  <si>
    <t xml:space="preserve">Magical animal species</t>
  </si>
  <si>
    <t xml:space="preserve">Rare fire-breathing dragons linked to Valyrian power, conquest, and magical resurgence.</t>
  </si>
  <si>
    <t xml:space="preserve">Biology intertwined with magic, breeding, and uncertain ritual conditions.</t>
  </si>
  <si>
    <t xml:space="preserve">They are animal-like yet intelligent and symbolically dynastic, not conventional speaking sages.</t>
  </si>
  <si>
    <t xml:space="preserve">War-dragon, dynastic weapon, and returning-magic archetype.</t>
  </si>
  <si>
    <t xml:space="preserve">ENT-0031</t>
  </si>
  <si>
    <t xml:space="preserve">Direwolves</t>
  </si>
  <si>
    <t xml:space="preserve">Megafaunal species</t>
  </si>
  <si>
    <t xml:space="preserve">Oversized wolves of northern ecology and Stark symbolism.</t>
  </si>
  <si>
    <t xml:space="preserve">Natural species with possible magical bonds.</t>
  </si>
  <si>
    <t xml:space="preserve">Their narrative role combines animal companion, omen, and heraldic identity.</t>
  </si>
  <si>
    <t xml:space="preserve">Dire animal and soul-bonded companion analogue.</t>
  </si>
  <si>
    <t xml:space="preserve">ENT-0032</t>
  </si>
  <si>
    <t xml:space="preserve">Skinchangers</t>
  </si>
  <si>
    <t xml:space="preserve">Innate magical practitioners</t>
  </si>
  <si>
    <t xml:space="preserve">People able to enter and influence animal minds, sometimes called wargs when linked to wolves.</t>
  </si>
  <si>
    <t xml:space="preserve">Innate gift, psychic projection, and animal bond.</t>
  </si>
  <si>
    <t xml:space="preserve">This is mind-transference, not bodily transformation.</t>
  </si>
  <si>
    <t xml:space="preserve">Warg, beast-mind, and animal-possession archetype.</t>
  </si>
  <si>
    <t xml:space="preserve">ENT-0033</t>
  </si>
  <si>
    <t xml:space="preserve">Greenseers</t>
  </si>
  <si>
    <t xml:space="preserve">Visionary magical role</t>
  </si>
  <si>
    <t xml:space="preserve">Rare gifted figures associated with green dreams, weirwoods, memory, and remote perception.</t>
  </si>
  <si>
    <t xml:space="preserve">Innate vision mediated by living sacred networks.</t>
  </si>
  <si>
    <t xml:space="preserve">They are not generic druids; prophecy and memory are central.</t>
  </si>
  <si>
    <t xml:space="preserve">Ecological oracle and world-memory seer analogue.</t>
  </si>
  <si>
    <t xml:space="preserve">ENT-0034</t>
  </si>
  <si>
    <t xml:space="preserve">Maesters</t>
  </si>
  <si>
    <t xml:space="preserve">Scholarly professional order</t>
  </si>
  <si>
    <t xml:space="preserve">MEC-112; INS-108</t>
  </si>
  <si>
    <t xml:space="preserve">Healer; Scholarly Society</t>
  </si>
  <si>
    <t xml:space="preserve">A trained order serving noble households in medicine, letters, counsel, and specialized learning.</t>
  </si>
  <si>
    <t xml:space="preserve">Institutional education and chains denoting fields of study.</t>
  </si>
  <si>
    <t xml:space="preserve">Mostly nonmagical despite operating in a fantasy world.</t>
  </si>
  <si>
    <t xml:space="preserve">Scholar-bureaucrat, court physician, and learned order archetype.</t>
  </si>
  <si>
    <t xml:space="preserve">ENT-0035</t>
  </si>
  <si>
    <t xml:space="preserve">Faceless Men</t>
  </si>
  <si>
    <t xml:space="preserve">Religious assassin order</t>
  </si>
  <si>
    <t xml:space="preserve">An esoteric assassins' order combining disguise, death ritual, theology, and paid service.</t>
  </si>
  <si>
    <t xml:space="preserve">Training, identity effacement, poisons, disguise, and sacred ideology.</t>
  </si>
  <si>
    <t xml:space="preserve">They are not reducible to a thieves' guild or stealth class.</t>
  </si>
  <si>
    <t xml:space="preserve">Ritual assassin, death cult, and identity-erasure order analogue.</t>
  </si>
  <si>
    <t xml:space="preserve">ENT-0036</t>
  </si>
  <si>
    <t xml:space="preserve">Night's Watch</t>
  </si>
  <si>
    <t xml:space="preserve">Military-protective order</t>
  </si>
  <si>
    <t xml:space="preserve">A sworn frontier brotherhood tasked with guarding the Wall and realms of men.</t>
  </si>
  <si>
    <t xml:space="preserve">Oaths, institutional roles, fortifications, and fieldcraft.</t>
  </si>
  <si>
    <t xml:space="preserve">Its members include stewards and builders as well as rangers.</t>
  </si>
  <si>
    <t xml:space="preserve">Frontier order, penal brotherhood, and monster-border guard archetype.</t>
  </si>
  <si>
    <t xml:space="preserve">ENT-0037</t>
  </si>
  <si>
    <t xml:space="preserve">Kingsguard</t>
  </si>
  <si>
    <t xml:space="preserve">Royal knightly order</t>
  </si>
  <si>
    <t xml:space="preserve">Seven sworn knights charged with lifelong protection of the monarch and royal family.</t>
  </si>
  <si>
    <t xml:space="preserve">Oath, elite martial status, court office, and celibate service.</t>
  </si>
  <si>
    <t xml:space="preserve">The role is simultaneously honor ideal, political institution, and narrative test of vows.</t>
  </si>
  <si>
    <t xml:space="preserve">Elite royal bodyguard and oath-conflict archetype.</t>
  </si>
  <si>
    <t xml:space="preserve">ENT-0038</t>
  </si>
  <si>
    <t xml:space="preserve">Red Priests and Priestesses</t>
  </si>
  <si>
    <t xml:space="preserve">Religious magical vocation</t>
  </si>
  <si>
    <t xml:space="preserve">PWR-201; ROL-409</t>
  </si>
  <si>
    <t xml:space="preserve">Fire Magic; Prophet</t>
  </si>
  <si>
    <t xml:space="preserve">Clergy of R'hllor associated with fire ritual, visions, conversion, and occasional miracles.</t>
  </si>
  <si>
    <t xml:space="preserve">Faith, ritual fire, sacrifice, prophecy, and uncertain divine agency.</t>
  </si>
  <si>
    <t xml:space="preserve">Individual capabilities vary; theology and magic cannot be assumed identical.</t>
  </si>
  <si>
    <t xml:space="preserve">Fire priest, apocalyptic missionary, and miracle-worker analogue.</t>
  </si>
  <si>
    <t xml:space="preserve">ENT-0039</t>
  </si>
  <si>
    <t xml:space="preserve">Warlocks of Qarth</t>
  </si>
  <si>
    <t xml:space="preserve">Arcane fraternity</t>
  </si>
  <si>
    <t xml:space="preserve">A Qartheen magical fraternity associated with the House of the Undying and shade of the evening.</t>
  </si>
  <si>
    <t xml:space="preserve">Ritual initiation, altered perception, and institutional lore.</t>
  </si>
  <si>
    <t xml:space="preserve">Their title is source-specific and not equivalent to pact magic in every game.</t>
  </si>
  <si>
    <t xml:space="preserve">Esoteric mage guild and decadent occult order analogue.</t>
  </si>
  <si>
    <t xml:space="preserve">ENT-0040</t>
  </si>
  <si>
    <t xml:space="preserve">Shadowbinders</t>
  </si>
  <si>
    <t xml:space="preserve">Occult magical role</t>
  </si>
  <si>
    <t xml:space="preserve">Practitioners associated with Asshai, shadows, glamours, and dangerous ritual arts.</t>
  </si>
  <si>
    <t xml:space="preserve">Ritual knowledge, shadow manipulation, sacrifice, and obscure traditions.</t>
  </si>
  <si>
    <t xml:space="preserve">The novels intentionally leave mechanisms and limits uncertain.</t>
  </si>
  <si>
    <t xml:space="preserve">Shadow mage and forbidden ritualist analogue.</t>
  </si>
  <si>
    <t xml:space="preserve">ENT-0041</t>
  </si>
  <si>
    <t xml:space="preserve">Guild of Alchemists (Pyromancers)</t>
  </si>
  <si>
    <t xml:space="preserve">Artificer-alchemist guild</t>
  </si>
  <si>
    <t xml:space="preserve">ROL-321; INS-102</t>
  </si>
  <si>
    <t xml:space="preserve">Pyromancer; Mage Guild</t>
  </si>
  <si>
    <t xml:space="preserve">A King's Landing guild that manufactures and controls volatile wildfire.</t>
  </si>
  <si>
    <t xml:space="preserve">Specialized chemistry or magic, guarded formulae, and urban privilege.</t>
  </si>
  <si>
    <t xml:space="preserve">‘Pyromancer’ here is an institutional title, not merely a fire-spell caster.</t>
  </si>
  <si>
    <t xml:space="preserve">Explosives guild, state alchemist, and secretive artificer analogue.</t>
  </si>
  <si>
    <t xml:space="preserve">ENT-0042</t>
  </si>
  <si>
    <t xml:space="preserve">Dothraki bloodriders and mounted warriors</t>
  </si>
  <si>
    <t xml:space="preserve">Martial-cultural role</t>
  </si>
  <si>
    <t xml:space="preserve">Mounted warriors embedded in a mobile pastoral and raiding culture, with bloodriders bound personally to a khal.</t>
  </si>
  <si>
    <t xml:space="preserve">Horsemanship, bows, arakhs, kinship, and personal loyalty.</t>
  </si>
  <si>
    <t xml:space="preserve">A complex fictional culture should not be reduced to a generic barbarian class.</t>
  </si>
  <si>
    <t xml:space="preserve">Steppe-inspired cavalry and oath-companion analogue.</t>
  </si>
  <si>
    <t xml:space="preserve">ENT-0043</t>
  </si>
  <si>
    <t xml:space="preserve">Unsullied</t>
  </si>
  <si>
    <t xml:space="preserve">Engineered military caste</t>
  </si>
  <si>
    <t xml:space="preserve">Slave soldiers trained from childhood for formation discipline and obedience.</t>
  </si>
  <si>
    <t xml:space="preserve">Coercive institutional conditioning, drill, spear-and-shield tactics.</t>
  </si>
  <si>
    <t xml:space="preserve">Their identity is a produced social condition, not a biological people.</t>
  </si>
  <si>
    <t xml:space="preserve">Elite conditioned infantry and eunuch guard analogue.</t>
  </si>
  <si>
    <t xml:space="preserve">ENT-0044</t>
  </si>
  <si>
    <t xml:space="preserve">Ironborn reavers</t>
  </si>
  <si>
    <t xml:space="preserve">Maritime warrior tradition</t>
  </si>
  <si>
    <t xml:space="preserve">Seaborne raiders shaped by island ecology, hereditary lordship, and the Old Way ideology.</t>
  </si>
  <si>
    <t xml:space="preserve">Naval skill, raiding, religion, and status economy.</t>
  </si>
  <si>
    <t xml:space="preserve">Ironborn society includes farmers, thralls, priests, rulers, and reformers beyond reaving.</t>
  </si>
  <si>
    <t xml:space="preserve">Maritime raider culture and pirate aristocracy analogue.</t>
  </si>
  <si>
    <t xml:space="preserve">ENT-0045</t>
  </si>
  <si>
    <t xml:space="preserve">Brotherhood Without Banners</t>
  </si>
  <si>
    <t xml:space="preserve">Irregular armed company</t>
  </si>
  <si>
    <t xml:space="preserve">A mobile outlaw brotherhood fighting under a changing ideal of royal justice and popular protection.</t>
  </si>
  <si>
    <t xml:space="preserve">Small-unit warfare, charismatic authority, local support, and shifting legitimacy.</t>
  </si>
  <si>
    <t xml:space="preserve">Not a conventional mercenary company because its stated mission is political and protective.</t>
  </si>
  <si>
    <t xml:space="preserve">Robin-Hood band, resistance cell, and morally unstable adventuring company analogue.</t>
  </si>
  <si>
    <t xml:space="preserve">ENT-0046</t>
  </si>
  <si>
    <t xml:space="preserve">Melisandre-style glamours</t>
  </si>
  <si>
    <t xml:space="preserve">Magical technique</t>
  </si>
  <si>
    <t xml:space="preserve">Appearance-altering magic mediated by ritual, light, shadow, and possibly enchanted objects.</t>
  </si>
  <si>
    <t xml:space="preserve">Ritual practice and artifact support.</t>
  </si>
  <si>
    <t xml:space="preserve">The mechanism remains intentionally ambiguous and should not be over-systematized.</t>
  </si>
  <si>
    <t xml:space="preserve">Glamour magic and identity concealment technique.</t>
  </si>
  <si>
    <t xml:space="preserve">ENT-0047</t>
  </si>
  <si>
    <t xml:space="preserve">Valyrian dragonlords</t>
  </si>
  <si>
    <t xml:space="preserve">Ruling magical culture</t>
  </si>
  <si>
    <t xml:space="preserve">An aristocratic civilization whose military and political dominance depended heavily on dragons.</t>
  </si>
  <si>
    <t xml:space="preserve">Bloodline ideology, dragon mastery, sorcery, slavery, and imperial institutions.</t>
  </si>
  <si>
    <t xml:space="preserve">This is a civilizational formation, not a player class.</t>
  </si>
  <si>
    <t xml:space="preserve">Dragon-rider empire and magical imperial elite archetype.</t>
  </si>
  <si>
    <t xml:space="preserve">ENT-0048</t>
  </si>
  <si>
    <t xml:space="preserve">Humans</t>
  </si>
  <si>
    <t xml:space="preserve">Book continuity</t>
  </si>
  <si>
    <t xml:space="preserve">People</t>
  </si>
  <si>
    <t xml:space="preserve">The dominant mortal population across many Northern Kingdoms and Nilfgaardian territories.</t>
  </si>
  <si>
    <t xml:space="preserve">Natural ancestry and diverse cultures.</t>
  </si>
  <si>
    <t xml:space="preserve">Human political communities are not one culture or moral bloc.</t>
  </si>
  <si>
    <t xml:space="preserve">Baseline human plurality.</t>
  </si>
  <si>
    <t xml:space="preserve">Sapkowski's primary book continuity; official franchise material used for orientation.</t>
  </si>
  <si>
    <t xml:space="preserve">ENT-0049</t>
  </si>
  <si>
    <t xml:space="preserve">Aen Seidhe</t>
  </si>
  <si>
    <t xml:space="preserve">Elves of the Continent, marked by long life, dispossession, political division, and cultural memory.</t>
  </si>
  <si>
    <t xml:space="preserve">Natural or otherworldly ancestry, longevity, and historical culture.</t>
  </si>
  <si>
    <t xml:space="preserve">Not interchangeable with Tolkien's Elves or generic woodland elves.</t>
  </si>
  <si>
    <t xml:space="preserve">Dispossessed elder people and long-lived minority analogue.</t>
  </si>
  <si>
    <t xml:space="preserve">ENT-0050</t>
  </si>
  <si>
    <t xml:space="preserve">Aen Elle</t>
  </si>
  <si>
    <t xml:space="preserve">Otherworldly elven people</t>
  </si>
  <si>
    <t xml:space="preserve">An elven people inhabiting another world and linked to the riders known as the Wild Hunt.</t>
  </si>
  <si>
    <t xml:space="preserve">Otherworldly ancestry, interworld travel, and imperial power.</t>
  </si>
  <si>
    <t xml:space="preserve">Their social position and cosmology differ sharply from the Aen Seidhe.</t>
  </si>
  <si>
    <t xml:space="preserve">Otherworld elf, faerie host, and planar empire analogue.</t>
  </si>
  <si>
    <t xml:space="preserve">ENT-0051</t>
  </si>
  <si>
    <t xml:space="preserve">Dwarves</t>
  </si>
  <si>
    <t xml:space="preserve">Long-lived nonhuman people integrated unevenly into human realms and trades.</t>
  </si>
  <si>
    <t xml:space="preserve">Natural ancestry, community networks, craft, commerce, and military service.</t>
  </si>
  <si>
    <t xml:space="preserve">Their social history is shaped by racism and coexistence, not only mining stereotypes.</t>
  </si>
  <si>
    <t xml:space="preserve">Urbanized and diasporic dwarf analogue.</t>
  </si>
  <si>
    <t xml:space="preserve">ENT-0052</t>
  </si>
  <si>
    <t xml:space="preserve">Gnomes</t>
  </si>
  <si>
    <t xml:space="preserve">An old nonhuman people associated with craftsmanship and settlement before later arrivals.</t>
  </si>
  <si>
    <t xml:space="preserve">Natural ancestry and cultural history.</t>
  </si>
  <si>
    <t xml:space="preserve">They are distinct from dwarves despite overlapping craft associations.</t>
  </si>
  <si>
    <t xml:space="preserve">Small elder-craft people analogue.</t>
  </si>
  <si>
    <t xml:space="preserve">ENT-0053</t>
  </si>
  <si>
    <t xml:space="preserve">Halflings</t>
  </si>
  <si>
    <t xml:space="preserve">Small-statured nonhuman people living within the Continent's mixed societies.</t>
  </si>
  <si>
    <t xml:space="preserve">Natural ancestry and local culture.</t>
  </si>
  <si>
    <t xml:space="preserve">Not defined solely by pastoral domesticity or stealth mechanics.</t>
  </si>
  <si>
    <t xml:space="preserve">Halfling and integrated smallfolk analogue.</t>
  </si>
  <si>
    <t xml:space="preserve">ENT-0054</t>
  </si>
  <si>
    <t xml:space="preserve">Dryads of Brokilon</t>
  </si>
  <si>
    <t xml:space="preserve">Forest people / transformed community</t>
  </si>
  <si>
    <t xml:space="preserve">A female forest society defending Brokilon and incorporating outsiders through distinctive practices.</t>
  </si>
  <si>
    <t xml:space="preserve">Forest-linked identity, archery, ritual, and community reproduction.</t>
  </si>
  <si>
    <t xml:space="preserve">The source combines peoplehood, culture, and transformation rather than a simple plant species.</t>
  </si>
  <si>
    <t xml:space="preserve">Militant forest guardian and liminal dryad society analogue.</t>
  </si>
  <si>
    <t xml:space="preserve">ENT-0055</t>
  </si>
  <si>
    <t xml:space="preserve">Witchers</t>
  </si>
  <si>
    <t xml:space="preserve">Transformed professional order</t>
  </si>
  <si>
    <t xml:space="preserve">STA-206; INS-208</t>
  </si>
  <si>
    <t xml:space="preserve">Alchemical Enhancement; Monster-Hunter Order</t>
  </si>
  <si>
    <t xml:space="preserve">Professionally trained and alchemically mutated monster hunters using swords, potions, signs, and field knowledge.</t>
  </si>
  <si>
    <t xml:space="preserve">Training, mutation, alchemy, equipment, and school traditions.</t>
  </si>
  <si>
    <t xml:space="preserve">Witcher is simultaneously profession, transformed condition, and institutional lineage—not a species.</t>
  </si>
  <si>
    <t xml:space="preserve">Canonical alchemical monster-hunter archetype.</t>
  </si>
  <si>
    <t xml:space="preserve">ENT-0056</t>
  </si>
  <si>
    <t xml:space="preserve">Witcher schools</t>
  </si>
  <si>
    <t xml:space="preserve">Franchise-spanning institutional layer</t>
  </si>
  <si>
    <t xml:space="preserve">Training orders</t>
  </si>
  <si>
    <t xml:space="preserve">Distinct training lineages or institutions associated with witcher creation and practice.</t>
  </si>
  <si>
    <t xml:space="preserve">Institutional inheritance, techniques, symbols, and regional histories.</t>
  </si>
  <si>
    <t xml:space="preserve">The number, status, and detail of schools vary across books, games, and licensed adaptations.</t>
  </si>
  <si>
    <t xml:space="preserve">Monster-hunter school and prestige tradition analogue.</t>
  </si>
  <si>
    <t xml:space="preserve">ENT-0057</t>
  </si>
  <si>
    <t xml:space="preserve">Sorcerers and sorceresses</t>
  </si>
  <si>
    <t xml:space="preserve">Magical profession and elite</t>
  </si>
  <si>
    <t xml:space="preserve">Highly trained magic users who often combine scholarship, court service, politics, and personal ambition.</t>
  </si>
  <si>
    <t xml:space="preserve">Education, innate aptitude, magical theory, and institutions.</t>
  </si>
  <si>
    <t xml:space="preserve">Gendered titles do not imply different power systems.</t>
  </si>
  <si>
    <t xml:space="preserve">Court mage, academy wizard, and transnational magical elite analogue.</t>
  </si>
  <si>
    <t xml:space="preserve">ENT-0058</t>
  </si>
  <si>
    <t xml:space="preserve">Aretuza</t>
  </si>
  <si>
    <t xml:space="preserve">Mage academy</t>
  </si>
  <si>
    <t xml:space="preserve">An elite institution for training female magic users and socializing them into political networks.</t>
  </si>
  <si>
    <t xml:space="preserve">Formal education, discipline, patronage, and institutional authority.</t>
  </si>
  <si>
    <t xml:space="preserve">It is an institution rather than a class or spell tradition.</t>
  </si>
  <si>
    <t xml:space="preserve">Magical boarding academy and elite professional network analogue.</t>
  </si>
  <si>
    <t xml:space="preserve">ENT-0059</t>
  </si>
  <si>
    <t xml:space="preserve">Ban Ard</t>
  </si>
  <si>
    <t xml:space="preserve">A major institution associated with the education of male mages.</t>
  </si>
  <si>
    <t xml:space="preserve">Formal magical education and professional networking.</t>
  </si>
  <si>
    <t xml:space="preserve">Adaptations may change its prominence or details.</t>
  </si>
  <si>
    <t xml:space="preserve">Parallel mage-academy archetype.</t>
  </si>
  <si>
    <t xml:space="preserve">ENT-0060</t>
  </si>
  <si>
    <t xml:space="preserve">Druids</t>
  </si>
  <si>
    <t xml:space="preserve">Nature-spiritual vocation</t>
  </si>
  <si>
    <t xml:space="preserve">Practitioners organized in groves and circles, associated with nature, healing, wisdom, and local authority.</t>
  </si>
  <si>
    <t xml:space="preserve">Training, spiritual practice, herbal knowledge, and nature magic.</t>
  </si>
  <si>
    <t xml:space="preserve">They are not merely shapeshifting game druids.</t>
  </si>
  <si>
    <t xml:space="preserve">Druidic college, healer, and ecological mediator analogue.</t>
  </si>
  <si>
    <t xml:space="preserve">ENT-0061</t>
  </si>
  <si>
    <t xml:space="preserve">Higher vampires</t>
  </si>
  <si>
    <t xml:space="preserve">Book and game continuities distinguished</t>
  </si>
  <si>
    <t xml:space="preserve">Nonhuman people / monster kind</t>
  </si>
  <si>
    <t xml:space="preserve">Powerful intelligent beings called vampires whose origin and biology differ from conventional human undead.</t>
  </si>
  <si>
    <t xml:space="preserve">Post-Conjunction or otherworldly species, innate powers, and long life.</t>
  </si>
  <si>
    <t xml:space="preserve">They should not automatically be treated as reanimated corpses or contagious undead.</t>
  </si>
  <si>
    <t xml:space="preserve">Vampire-by-function but species-like in ontology.</t>
  </si>
  <si>
    <t xml:space="preserve">ENT-0062</t>
  </si>
  <si>
    <t xml:space="preserve">Bruxae and related vampire kinds</t>
  </si>
  <si>
    <t xml:space="preserve">Monster kind</t>
  </si>
  <si>
    <t xml:space="preserve">Predatory vampire forms combining humanoid intelligence, transformation, speed, and sonic or blood-associated traits.</t>
  </si>
  <si>
    <t xml:space="preserve">Innate monster physiology and predation.</t>
  </si>
  <si>
    <t xml:space="preserve">The setting's vampire taxonomy is plural rather than one universal template.</t>
  </si>
  <si>
    <t xml:space="preserve">Monstrous vampire subtype analogue.</t>
  </si>
  <si>
    <t xml:space="preserve">ENT-0063</t>
  </si>
  <si>
    <t xml:space="preserve">Dopplers</t>
  </si>
  <si>
    <t xml:space="preserve">Mutable people</t>
  </si>
  <si>
    <t xml:space="preserve">Intelligent shapeshifters able to imitate other persons with remarkable physical and behavioral precision.</t>
  </si>
  <si>
    <t xml:space="preserve">Innate transformation and mimicry.</t>
  </si>
  <si>
    <t xml:space="preserve">They possess personhood and moral agency; disguise does not define them as inherently villainous.</t>
  </si>
  <si>
    <t xml:space="preserve">Ethical doppelganger and identity-mimic analogue.</t>
  </si>
  <si>
    <t xml:space="preserve">ENT-0064</t>
  </si>
  <si>
    <t xml:space="preserve">Werewolves</t>
  </si>
  <si>
    <t xml:space="preserve">Cursed shapeshifters</t>
  </si>
  <si>
    <t xml:space="preserve">Humans or humanlike beings affected by lupine transformation through curse or condition.</t>
  </si>
  <si>
    <t xml:space="preserve">Curse, transformation, predatory impulse, and possible ritual cures.</t>
  </si>
  <si>
    <t xml:space="preserve">Cases vary and should not be forced into one infection model.</t>
  </si>
  <si>
    <t xml:space="preserve">Lycanthrope and curse-remediation archetype.</t>
  </si>
  <si>
    <t xml:space="preserve">ENT-0065</t>
  </si>
  <si>
    <t xml:space="preserve">Leshens</t>
  </si>
  <si>
    <t xml:space="preserve">Book/game franchise</t>
  </si>
  <si>
    <t xml:space="preserve">Forest monster or spirit</t>
  </si>
  <si>
    <t xml:space="preserve">Ancient forest-associated entities that command animals, roots, fear, and territorial power.</t>
  </si>
  <si>
    <t xml:space="preserve">Place-bound nature power and predatory guardianship.</t>
  </si>
  <si>
    <t xml:space="preserve">Game portrayals are more systematized than sparse literary references.</t>
  </si>
  <si>
    <t xml:space="preserve">Dark forest guardian and hostile genius-loci analogue.</t>
  </si>
  <si>
    <t xml:space="preserve">ENT-0066</t>
  </si>
  <si>
    <t xml:space="preserve">Noonwraiths and nightwraiths</t>
  </si>
  <si>
    <t xml:space="preserve">Game continuity</t>
  </si>
  <si>
    <t xml:space="preserve">Spectral cursed dead</t>
  </si>
  <si>
    <t xml:space="preserve">Spectral beings tied to traumatic death, place, time, and unresolved grievance.</t>
  </si>
  <si>
    <t xml:space="preserve">Curse, haunting, memory, and environmental conditions.</t>
  </si>
  <si>
    <t xml:space="preserve">These are game-system monster categories, not a universal book taxonomy.</t>
  </si>
  <si>
    <t xml:space="preserve">Time-bound revenant and tragic haunting analogue.</t>
  </si>
  <si>
    <t xml:space="preserve">ENT-0067</t>
  </si>
  <si>
    <t xml:space="preserve">Botchlings</t>
  </si>
  <si>
    <t xml:space="preserve">Cursed revenant-like monster</t>
  </si>
  <si>
    <t xml:space="preserve">Grotesque beings associated with improperly buried or rejected infants and potentially transformable ritual outcomes.</t>
  </si>
  <si>
    <t xml:space="preserve">Curse, burial failure, family trauma, and ritual response.</t>
  </si>
  <si>
    <t xml:space="preserve">Their classification blends folklore, tragedy, and monster mechanics.</t>
  </si>
  <si>
    <t xml:space="preserve">Domestic revenant and burial-taboo monster analogue.</t>
  </si>
  <si>
    <t xml:space="preserve">ENT-0068</t>
  </si>
  <si>
    <t xml:space="preserve">Djinn</t>
  </si>
  <si>
    <t xml:space="preserve">Elemental otherworldly being</t>
  </si>
  <si>
    <t xml:space="preserve">Extremely powerful air-associated beings subject to magical binding and wishes.</t>
  </si>
  <si>
    <t xml:space="preserve">Innate elemental power and coercive binding.</t>
  </si>
  <si>
    <t xml:space="preserve">Their wish function emerges through captivity rather than benevolent service.</t>
  </si>
  <si>
    <t xml:space="preserve">Dangerous bound-genie analogue.</t>
  </si>
  <si>
    <t xml:space="preserve">ENT-0069</t>
  </si>
  <si>
    <t xml:space="preserve">Rare intelligent creatures</t>
  </si>
  <si>
    <t xml:space="preserve">Rare draconic beings including differentiated kinds and exceptionally intelligent golden dragons.</t>
  </si>
  <si>
    <t xml:space="preserve">Natural or magical species, flight, breath, and intelligence.</t>
  </si>
  <si>
    <t xml:space="preserve">Witcher ethics distinguish sapient or rare creatures from indiscriminate monster targets.</t>
  </si>
  <si>
    <t xml:space="preserve">Protected dragon, monster-hunting dilemma, and polymorphic dragon analogue.</t>
  </si>
  <si>
    <t xml:space="preserve">ENT-0070</t>
  </si>
  <si>
    <t xml:space="preserve">The Wild Hunt</t>
  </si>
  <si>
    <t xml:space="preserve">Otherworldly host and military formation</t>
  </si>
  <si>
    <t xml:space="preserve">A terrifying spectral-seeming host linked to the Aen Elle and interworld raiding.</t>
  </si>
  <si>
    <t xml:space="preserve">Otherworldly technology or magic, cavalry, illusion, and organized power.</t>
  </si>
  <si>
    <t xml:space="preserve">Its apparent spectrality can conceal embodied political actors.</t>
  </si>
  <si>
    <t xml:space="preserve">Faerie host, death cavalry, and planar raider analogue.</t>
  </si>
  <si>
    <t xml:space="preserve">ENT-0071</t>
  </si>
  <si>
    <t xml:space="preserve">Signs</t>
  </si>
  <si>
    <t xml:space="preserve">Compact magical technique</t>
  </si>
  <si>
    <t xml:space="preserve">Simple or rapidly executed magical signs used by witchers for limited tactical effects.</t>
  </si>
  <si>
    <t xml:space="preserve">Training, gesture, concentration, and modest magical aptitude.</t>
  </si>
  <si>
    <t xml:space="preserve">They are not equivalent to full sorcerous spellcasting.</t>
  </si>
  <si>
    <t xml:space="preserve">Martial cantrip and utility-sign system analogue.</t>
  </si>
  <si>
    <t xml:space="preserve">ENT-0072</t>
  </si>
  <si>
    <t xml:space="preserve">Witcher potions and decoctions</t>
  </si>
  <si>
    <t xml:space="preserve">Alchemical power tradition</t>
  </si>
  <si>
    <t xml:space="preserve">Toxic preparations designed for witcher physiology, enhancing combat and sensory performance.</t>
  </si>
  <si>
    <t xml:space="preserve">Specialized ingredients, recipes, mutation tolerance, and toxicity management.</t>
  </si>
  <si>
    <t xml:space="preserve">Game inventories systematize a literary practice differently across titles.</t>
  </si>
  <si>
    <t xml:space="preserve">Restricted combat alchemy and risk-resource system analogue.</t>
  </si>
  <si>
    <t xml:space="preserve">ENT-0073</t>
  </si>
  <si>
    <t xml:space="preserve">2024 core rules</t>
  </si>
  <si>
    <t xml:space="preserve">Playable class</t>
  </si>
  <si>
    <t xml:space="preserve">A martial class centered on rage, toughness, and forceful combat.</t>
  </si>
  <si>
    <t xml:space="preserve">Class features, Rage resource, weapon use, and subclass specialization.</t>
  </si>
  <si>
    <t xml:space="preserve">A mechanical class, not a claim that any culture is 'barbaric.'</t>
  </si>
  <si>
    <t xml:space="preserve">Berserker-style durable striker class.</t>
  </si>
  <si>
    <t xml:space="preserve">Official D&amp;D 2024 Basic Rules and Player's Handbook reference pages.</t>
  </si>
  <si>
    <t xml:space="preserve">ENT-0074</t>
  </si>
  <si>
    <t xml:space="preserve">A versatile spellcasting and expertise class using inspiration, performance, lore, and social capability.</t>
  </si>
  <si>
    <t xml:space="preserve">Learned magic, Bardic Inspiration, skills, and subclass.</t>
  </si>
  <si>
    <t xml:space="preserve">Not every in-world musician is a Bard class member.</t>
  </si>
  <si>
    <t xml:space="preserve">Support-caster, trickster, and lorekeeper hybrid.</t>
  </si>
  <si>
    <t xml:space="preserve">ENT-0075</t>
  </si>
  <si>
    <t xml:space="preserve">A divine spellcasting class shaped mechanically by sacred power and domain choices.</t>
  </si>
  <si>
    <t xml:space="preserve">Divine magic, prepared spells, Channel Divinity, and subclass.</t>
  </si>
  <si>
    <t xml:space="preserve">Class membership is not identical to holding a priestly office.</t>
  </si>
  <si>
    <t xml:space="preserve">Armored divine caster and miracle-worker role.</t>
  </si>
  <si>
    <t xml:space="preserve">ENT-0076</t>
  </si>
  <si>
    <t xml:space="preserve">A nature-oriented spellcaster with Wild Shape and circle specialization.</t>
  </si>
  <si>
    <t xml:space="preserve">Primal magic, transformation, nature knowledge, and subclass.</t>
  </si>
  <si>
    <t xml:space="preserve">The class synthesizes multiple historical and fictional nature-mage traditions.</t>
  </si>
  <si>
    <t xml:space="preserve">Nature caster and shapeshifting controller.</t>
  </si>
  <si>
    <t xml:space="preserve">ENT-0077</t>
  </si>
  <si>
    <t xml:space="preserve">Fighter</t>
  </si>
  <si>
    <t xml:space="preserve">A highly customizable martial class defined by weapon mastery, tactical resilience, and subclass.</t>
  </si>
  <si>
    <t xml:space="preserve">Training, equipment, extra attacks, and fighting specialization.</t>
  </si>
  <si>
    <t xml:space="preserve">The mechanical class is narrower than every person who fights.</t>
  </si>
  <si>
    <t xml:space="preserve">Baseline martial class and build platform.</t>
  </si>
  <si>
    <t xml:space="preserve">ENT-0078</t>
  </si>
  <si>
    <t xml:space="preserve">Monk</t>
  </si>
  <si>
    <t xml:space="preserve">A mobile unarmed or specialized-weapon martial class using disciplined focus.</t>
  </si>
  <si>
    <t xml:space="preserve">Training, Focus Points, movement, strikes, and subclass.</t>
  </si>
  <si>
    <t xml:space="preserve">Combines monastic and martial-arts imagery that should be treated as a game synthesis.</t>
  </si>
  <si>
    <t xml:space="preserve">Mobile martial artist and resource-based skirmisher.</t>
  </si>
  <si>
    <t xml:space="preserve">ENT-0079</t>
  </si>
  <si>
    <t xml:space="preserve">Paladin</t>
  </si>
  <si>
    <t xml:space="preserve">An oath-defined armored class combining martial combat, healing, and divine magic.</t>
  </si>
  <si>
    <t xml:space="preserve">Sacred oath, Lay on Hands, smites, spells, and aura features.</t>
  </si>
  <si>
    <t xml:space="preserve">Faith, morality, and institutional membership vary by setting and subclass.</t>
  </si>
  <si>
    <t xml:space="preserve">Holy knight, oath warrior, and support tank.</t>
  </si>
  <si>
    <t xml:space="preserve">ENT-0080</t>
  </si>
  <si>
    <t xml:space="preserve">A wilderness-oriented martial-spellcasting class specializing in tracking, exploration, and chosen tactics.</t>
  </si>
  <si>
    <t xml:space="preserve">Training, nature magic, Hunter's Mark, skills, and subclass.</t>
  </si>
  <si>
    <t xml:space="preserve">It is a rules package rather than one universal social profession.</t>
  </si>
  <si>
    <t xml:space="preserve">Wilderness scout, hunter, and martial-primal hybrid.</t>
  </si>
  <si>
    <t xml:space="preserve">ENT-0081</t>
  </si>
  <si>
    <t xml:space="preserve">A skill-focused class using precision, mobility, expertise, and opportunistic attacks.</t>
  </si>
  <si>
    <t xml:space="preserve">Training, Expertise, Sneak Attack, cunning actions, and subclass.</t>
  </si>
  <si>
    <t xml:space="preserve">Rogue does not inherently mean criminal or thief.</t>
  </si>
  <si>
    <t xml:space="preserve">Skill specialist and precision striker.</t>
  </si>
  <si>
    <t xml:space="preserve">ENT-0082</t>
  </si>
  <si>
    <t xml:space="preserve">An arcane spellcaster whose magic is framed as inherent or internal and reshaped through metamagic.</t>
  </si>
  <si>
    <t xml:space="preserve">Innate power, Sorcery Points, metamagic, and subclass origin.</t>
  </si>
  <si>
    <t xml:space="preserve">The class's innate/learned contrast is system-specific.</t>
  </si>
  <si>
    <t xml:space="preserve">Innate flexible caster.</t>
  </si>
  <si>
    <t xml:space="preserve">ENT-0083</t>
  </si>
  <si>
    <t xml:space="preserve">An occult spellcaster defined by a pact or patron relationship, invocations, and distinctive spell recovery.</t>
  </si>
  <si>
    <t xml:space="preserve">Patron-granted power, pact choices, invocations, and spells.</t>
  </si>
  <si>
    <t xml:space="preserve">‘Warlock’ has very different meanings across fantasy works.</t>
  </si>
  <si>
    <t xml:space="preserve">Pact caster and customizable occult specialist.</t>
  </si>
  <si>
    <t xml:space="preserve">ENT-0084</t>
  </si>
  <si>
    <t xml:space="preserve">Wizard</t>
  </si>
  <si>
    <t xml:space="preserve">A learned arcane spellcaster using a spellbook, broad preparation, and school or tradition specialization.</t>
  </si>
  <si>
    <t xml:space="preserve">Study, notation, spell acquisition, preparation, and subclass.</t>
  </si>
  <si>
    <t xml:space="preserve">The learned wizard model is a game convention, not the only meaning of wizard.</t>
  </si>
  <si>
    <t xml:space="preserve">Scholarly generalist caster.</t>
  </si>
  <si>
    <t xml:space="preserve">ENT-0085</t>
  </si>
  <si>
    <t xml:space="preserve">Aasimar</t>
  </si>
  <si>
    <t xml:space="preserve">Playable species</t>
  </si>
  <si>
    <t xml:space="preserve">A playable people marked by celestial influence and supernatural manifestations.</t>
  </si>
  <si>
    <t xml:space="preserve">Ancestry or metaphysical heritage represented through species traits.</t>
  </si>
  <si>
    <t xml:space="preserve">They are not necessarily literal demigods; this is the closest normalized family.</t>
  </si>
  <si>
    <t xml:space="preserve">Celestial-touched or divine-blooded people.</t>
  </si>
  <si>
    <t xml:space="preserve">ENT-0086</t>
  </si>
  <si>
    <t xml:space="preserve">Dragonborn</t>
  </si>
  <si>
    <t xml:space="preserve">A playable draconic humanoid people with breath weapons and draconic traits.</t>
  </si>
  <si>
    <t xml:space="preserve">Ancestry, elemental breath, and lineage choice.</t>
  </si>
  <si>
    <t xml:space="preserve">They are distinct from dragons, half-dragons, and unrelated reptilian peoples.</t>
  </si>
  <si>
    <t xml:space="preserve">Draconic humanoid ancestry.</t>
  </si>
  <si>
    <t xml:space="preserve">ENT-0087</t>
  </si>
  <si>
    <t xml:space="preserve">Dwarf</t>
  </si>
  <si>
    <t xml:space="preserve">A playable dwarf people represented through resilience and culturally familiar fantasy traits.</t>
  </si>
  <si>
    <t xml:space="preserve">Species rules and setting-dependent culture.</t>
  </si>
  <si>
    <t xml:space="preserve">Rules traits should not be mistaken for universal dwarven culture.</t>
  </si>
  <si>
    <t xml:space="preserve">Game-mechanical dwarf ancestry.</t>
  </si>
  <si>
    <t xml:space="preserve">ENT-0088</t>
  </si>
  <si>
    <t xml:space="preserve">Elf</t>
  </si>
  <si>
    <t xml:space="preserve">A playable long-lived, fey-associated people with lineages and innate magical traits.</t>
  </si>
  <si>
    <t xml:space="preserve">Species rules, lineage, perception, and setting lore.</t>
  </si>
  <si>
    <t xml:space="preserve">D&amp;D elves are not canonically identical to Tolkien's Quendi.</t>
  </si>
  <si>
    <t xml:space="preserve">Game-mechanical elf ancestry.</t>
  </si>
  <si>
    <t xml:space="preserve">ENT-0089</t>
  </si>
  <si>
    <t xml:space="preserve">Gnome</t>
  </si>
  <si>
    <t xml:space="preserve">A playable small people with magical resilience and lineage-associated abilities.</t>
  </si>
  <si>
    <t xml:space="preserve">Species traits, lineage, and setting-dependent culture.</t>
  </si>
  <si>
    <t xml:space="preserve">The normalized label includes a tinkerfolk pattern that does not describe every D&amp;D gnome.</t>
  </si>
  <si>
    <t xml:space="preserve">Game-mechanical gnome ancestry.</t>
  </si>
  <si>
    <t xml:space="preserve">ENT-0090</t>
  </si>
  <si>
    <t xml:space="preserve">Goliath</t>
  </si>
  <si>
    <t xml:space="preserve">A playable giant-descended or giant-associated humanoid people with size and giant-ancestry traits.</t>
  </si>
  <si>
    <t xml:space="preserve">Species traits and giant lineage.</t>
  </si>
  <si>
    <t xml:space="preserve">They are not generic giants or necessarily one culture.</t>
  </si>
  <si>
    <t xml:space="preserve">Playable giantkin ancestry.</t>
  </si>
  <si>
    <t xml:space="preserve">ENT-0091</t>
  </si>
  <si>
    <t xml:space="preserve">Halfling</t>
  </si>
  <si>
    <t xml:space="preserve">A playable small people associated mechanically with luck, bravery, and nimbleness.</t>
  </si>
  <si>
    <t xml:space="preserve">Species traits and setting-dependent culture.</t>
  </si>
  <si>
    <t xml:space="preserve">D&amp;D halflings evolved from but are not identical to Tolkien's Hobbits.</t>
  </si>
  <si>
    <t xml:space="preserve">Game-mechanical halfling ancestry.</t>
  </si>
  <si>
    <t xml:space="preserve">ENT-0092</t>
  </si>
  <si>
    <t xml:space="preserve">Human</t>
  </si>
  <si>
    <t xml:space="preserve">A flexible playable human option represented through general adaptability.</t>
  </si>
  <si>
    <t xml:space="preserve">Species rules and player-selected capabilities.</t>
  </si>
  <si>
    <t xml:space="preserve">Mechanical flexibility is not an essential claim about real humans.</t>
  </si>
  <si>
    <t xml:space="preserve">Baseline adaptable ancestry.</t>
  </si>
  <si>
    <t xml:space="preserve">ENT-0093</t>
  </si>
  <si>
    <t xml:space="preserve">Orc</t>
  </si>
  <si>
    <t xml:space="preserve">A playable orc people represented with endurance, mobility, and powerful build.</t>
  </si>
  <si>
    <t xml:space="preserve">Modern playable orcs should not be collapsed into inherently evil monster populations.</t>
  </si>
  <si>
    <t xml:space="preserve">Playable orc ancestry.</t>
  </si>
  <si>
    <t xml:space="preserve">ENT-0094</t>
  </si>
  <si>
    <t xml:space="preserve">Tiefling</t>
  </si>
  <si>
    <t xml:space="preserve">A playable people marked by fiendish legacy, infernal options, and supernatural traits.</t>
  </si>
  <si>
    <t xml:space="preserve">Ancestral or metaphysical legacy represented through species traits.</t>
  </si>
  <si>
    <t xml:space="preserve">Tieflings are people, not fiends, and need not be corrupt or evil.</t>
  </si>
  <si>
    <t xml:space="preserve">Fiend-touched or infernal-descended people.</t>
  </si>
  <si>
    <t xml:space="preserve">ENT-0095</t>
  </si>
  <si>
    <t xml:space="preserve">Subclass</t>
  </si>
  <si>
    <t xml:space="preserve">Character-build mechanic</t>
  </si>
  <si>
    <t xml:space="preserve">A class specialization chosen within the core class framework.</t>
  </si>
  <si>
    <t xml:space="preserve">Rules progression and feature selection.</t>
  </si>
  <si>
    <t xml:space="preserve">Subclasses may represent schools, oaths, patrons, professions, bloodlines, or techniques depending on class.</t>
  </si>
  <si>
    <t xml:space="preserve">General specialization layer.</t>
  </si>
  <si>
    <t xml:space="preserve">ENT-0096</t>
  </si>
  <si>
    <t xml:space="preserve">Background</t>
  </si>
  <si>
    <t xml:space="preserve">A rules package representing prior life, aptitudes, proficiencies, and origin elements.</t>
  </si>
  <si>
    <t xml:space="preserve">Character creation choices and selected benefits.</t>
  </si>
  <si>
    <t xml:space="preserve">A background is not an ancestry or current class.</t>
  </si>
  <si>
    <t xml:space="preserve">Origin and prior-profession layer.</t>
  </si>
  <si>
    <t xml:space="preserve">ENT-0097</t>
  </si>
  <si>
    <t xml:space="preserve">A progression model in which a character combines levels from multiple classes.</t>
  </si>
  <si>
    <t xml:space="preserve">Level allocation and prerequisites.</t>
  </si>
  <si>
    <t xml:space="preserve">Mechanical combination does not automatically imply multiple social professions in the fiction.</t>
  </si>
  <si>
    <t xml:space="preserve">Hybrid build and cross-training model.</t>
  </si>
  <si>
    <t xml:space="preserve">ENT-0098</t>
  </si>
  <si>
    <t xml:space="preserve">Reborn game continuity</t>
  </si>
  <si>
    <t xml:space="preserve">Playable people</t>
  </si>
  <si>
    <t xml:space="preserve">The principal human peoples of the Valerian setting.</t>
  </si>
  <si>
    <t xml:space="preserve">Natural ancestry and regional culture.</t>
  </si>
  <si>
    <t xml:space="preserve">Human factions are politically and ethnically differentiated.</t>
  </si>
  <si>
    <t xml:space="preserve">Baseline human ancestry.</t>
  </si>
  <si>
    <t xml:space="preserve">Square Enix official character and class overview for Tactics Ogre: Reborn.</t>
  </si>
  <si>
    <t xml:space="preserve">ENT-0099</t>
  </si>
  <si>
    <t xml:space="preserve">Winged</t>
  </si>
  <si>
    <t xml:space="preserve">Humanoids with functional wings and aerial mobility.</t>
  </si>
  <si>
    <t xml:space="preserve">Natural ancestry and flight.</t>
  </si>
  <si>
    <t xml:space="preserve">A setting-specific people rather than a universal angelic category.</t>
  </si>
  <si>
    <t xml:space="preserve">Winged humanoid and aerial unit analogue.</t>
  </si>
  <si>
    <t xml:space="preserve">ENT-0100</t>
  </si>
  <si>
    <t xml:space="preserve">Lizardman</t>
  </si>
  <si>
    <t xml:space="preserve">Reptilian humanoids available in specialized martial roles.</t>
  </si>
  <si>
    <t xml:space="preserve">Natural ancestry and class access.</t>
  </si>
  <si>
    <t xml:space="preserve">Do not merge automatically with dragons or serpentfolk.</t>
  </si>
  <si>
    <t xml:space="preserve">Lizardfolk ancestry.</t>
  </si>
  <si>
    <t xml:space="preserve">ENT-0101</t>
  </si>
  <si>
    <t xml:space="preserve">Lamia</t>
  </si>
  <si>
    <t xml:space="preserve">Serpentine humanoids with setting-specific class options.</t>
  </si>
  <si>
    <t xml:space="preserve">The term has different meanings across myth and games.</t>
  </si>
  <si>
    <t xml:space="preserve">Lamia and serpentfolk ancestry.</t>
  </si>
  <si>
    <t xml:space="preserve">ENT-0102</t>
  </si>
  <si>
    <t xml:space="preserve">An orcish humanoid people participating in the setting's conflicts.</t>
  </si>
  <si>
    <t xml:space="preserve">Playable peoplehood should be distinguished from generic monster status.</t>
  </si>
  <si>
    <t xml:space="preserve">Orc ancestry.</t>
  </si>
  <si>
    <t xml:space="preserve">ENT-0103</t>
  </si>
  <si>
    <t xml:space="preserve">Faerie</t>
  </si>
  <si>
    <t xml:space="preserve">Playable small magical people</t>
  </si>
  <si>
    <t xml:space="preserve">Small winged magical beings with distinctive class access.</t>
  </si>
  <si>
    <t xml:space="preserve">Innate magical nature and flight.</t>
  </si>
  <si>
    <t xml:space="preserve">Not equivalent to every folklore fairy tradition.</t>
  </si>
  <si>
    <t xml:space="preserve">Playable faerie ancestry.</t>
  </si>
  <si>
    <t xml:space="preserve">ENT-0104</t>
  </si>
  <si>
    <t xml:space="preserve">Imp</t>
  </si>
  <si>
    <t xml:space="preserve">Playable fiendish being</t>
  </si>
  <si>
    <t xml:space="preserve">Small fiendish beings with magical and mobile combat functions.</t>
  </si>
  <si>
    <t xml:space="preserve">Innate supernatural nature.</t>
  </si>
  <si>
    <t xml:space="preserve">A tactical unit category rather than a complete demon cosmology.</t>
  </si>
  <si>
    <t xml:space="preserve">Imp and minor-fiend analogue.</t>
  </si>
  <si>
    <t xml:space="preserve">ENT-0105</t>
  </si>
  <si>
    <t xml:space="preserve">Skeleton</t>
  </si>
  <si>
    <t xml:space="preserve">Undead unit</t>
  </si>
  <si>
    <t xml:space="preserve">Animated skeletal units capable of class participation.</t>
  </si>
  <si>
    <t xml:space="preserve">Necromancy and undead state.</t>
  </si>
  <si>
    <t xml:space="preserve">Rules for recruitment and revival are game-specific.</t>
  </si>
  <si>
    <t xml:space="preserve">Playable skeletal undead.</t>
  </si>
  <si>
    <t xml:space="preserve">ENT-0106</t>
  </si>
  <si>
    <t xml:space="preserve">Ghost</t>
  </si>
  <si>
    <t xml:space="preserve">Incorporeal undead units with magical affinities.</t>
  </si>
  <si>
    <t xml:space="preserve">Postmortem spiritual state.</t>
  </si>
  <si>
    <t xml:space="preserve">A mechanical unit type with specific movement and revival rules.</t>
  </si>
  <si>
    <t xml:space="preserve">Playable spectral undead.</t>
  </si>
  <si>
    <t xml:space="preserve">ENT-0107</t>
  </si>
  <si>
    <t xml:space="preserve">Golem</t>
  </si>
  <si>
    <t xml:space="preserve">Construct unit</t>
  </si>
  <si>
    <t xml:space="preserve">Artificial heavy units built for durability and battlefield control.</t>
  </si>
  <si>
    <t xml:space="preserve">Construction, materials, and magical animation.</t>
  </si>
  <si>
    <t xml:space="preserve">Material variants are mechanical subtypes rather than separate universal peoples.</t>
  </si>
  <si>
    <t xml:space="preserve">Tank construct.</t>
  </si>
  <si>
    <t xml:space="preserve">ENT-0108</t>
  </si>
  <si>
    <t xml:space="preserve">Dragon</t>
  </si>
  <si>
    <t xml:space="preserve">Monster unit</t>
  </si>
  <si>
    <t xml:space="preserve">Recruitable draconic monsters with elemental and battlefield variants.</t>
  </si>
  <si>
    <t xml:space="preserve">Natural or magical monster lineage.</t>
  </si>
  <si>
    <t xml:space="preserve">The tactical taxonomy emphasizes combat element and unit role.</t>
  </si>
  <si>
    <t xml:space="preserve">Recruitable dragon unit.</t>
  </si>
  <si>
    <t xml:space="preserve">ENT-0109</t>
  </si>
  <si>
    <t xml:space="preserve">Hydra</t>
  </si>
  <si>
    <t xml:space="preserve">Multiheaded draconic monster units with specialized attacks.</t>
  </si>
  <si>
    <t xml:space="preserve">Monster physiology and elemental variants.</t>
  </si>
  <si>
    <t xml:space="preserve">Classified separately from ordinary dragons in the game.</t>
  </si>
  <si>
    <t xml:space="preserve">Hydra unit.</t>
  </si>
  <si>
    <t xml:space="preserve">ENT-0110</t>
  </si>
  <si>
    <t xml:space="preserve">Gryphon</t>
  </si>
  <si>
    <t xml:space="preserve">Flying leonine-avian monsters used as mobile combat units.</t>
  </si>
  <si>
    <t xml:space="preserve">Natural monster physiology and flight.</t>
  </si>
  <si>
    <t xml:space="preserve">The source spelling and mechanics are game-specific.</t>
  </si>
  <si>
    <t xml:space="preserve">Griffin aerial beast.</t>
  </si>
  <si>
    <t xml:space="preserve">ENT-0111</t>
  </si>
  <si>
    <t xml:space="preserve">Cockatrice</t>
  </si>
  <si>
    <t xml:space="preserve">Winged monster units associated with petrifying or disabling attacks.</t>
  </si>
  <si>
    <t xml:space="preserve">Monster physiology and status effects.</t>
  </si>
  <si>
    <t xml:space="preserve">Mechanical status role is central to its game identity.</t>
  </si>
  <si>
    <t xml:space="preserve">Petrifying beast analogue.</t>
  </si>
  <si>
    <t xml:space="preserve">ENT-0112</t>
  </si>
  <si>
    <t xml:space="preserve">Octopus</t>
  </si>
  <si>
    <t xml:space="preserve">Large aquatic cephalopod units especially effective in water terrain.</t>
  </si>
  <si>
    <t xml:space="preserve">Natural monster physiology and terrain affinity.</t>
  </si>
  <si>
    <t xml:space="preserve">Closest normalized family is kraken-like, though scale and intelligence vary.</t>
  </si>
  <si>
    <t xml:space="preserve">Aquatic control-beast analogue.</t>
  </si>
  <si>
    <t xml:space="preserve">ENT-0113</t>
  </si>
  <si>
    <t xml:space="preserve">Warrior</t>
  </si>
  <si>
    <t xml:space="preserve">General martial class with broad weapon access.</t>
  </si>
  <si>
    <t xml:space="preserve">Training, equipment, and statistics.</t>
  </si>
  <si>
    <t xml:space="preserve">A starting class rather than every armed person's profession.</t>
  </si>
  <si>
    <t xml:space="preserve">Baseline martial class.</t>
  </si>
  <si>
    <t xml:space="preserve">ENT-0114</t>
  </si>
  <si>
    <t xml:space="preserve">Ranged physical class specializing in bows and target selection.</t>
  </si>
  <si>
    <t xml:space="preserve">Training, ranged weapons, positioning.</t>
  </si>
  <si>
    <t xml:space="preserve">Its performance is tightly coupled to the game's armor and trajectory systems.</t>
  </si>
  <si>
    <t xml:space="preserve">Ranged striker.</t>
  </si>
  <si>
    <t xml:space="preserve">ENT-0115</t>
  </si>
  <si>
    <t xml:space="preserve">Wizard / Witch</t>
  </si>
  <si>
    <t xml:space="preserve">General offensive and utility spellcasting class.</t>
  </si>
  <si>
    <t xml:space="preserve">Learned spell use and elemental access.</t>
  </si>
  <si>
    <t xml:space="preserve">Wizard and Witch are paired mechanical labels rather than universal gendered ontologies.</t>
  </si>
  <si>
    <t xml:space="preserve">General arcane caster.</t>
  </si>
  <si>
    <t xml:space="preserve">ENT-0116</t>
  </si>
  <si>
    <t xml:space="preserve">Divine-support class emphasizing recovery and anti-undead functions.</t>
  </si>
  <si>
    <t xml:space="preserve">Sacred magic and support actions.</t>
  </si>
  <si>
    <t xml:space="preserve">Its exorcism function is unusually important in the game's undead rules.</t>
  </si>
  <si>
    <t xml:space="preserve">Healer and anti-undead support.</t>
  </si>
  <si>
    <t xml:space="preserve">ENT-0117</t>
  </si>
  <si>
    <t xml:space="preserve">Rune Fencer / Valkyrie</t>
  </si>
  <si>
    <t xml:space="preserve">Hybrid weapon-and-magic class with mobile elemental utility.</t>
  </si>
  <si>
    <t xml:space="preserve">Martial training, rune-like magic, and flexible equipment.</t>
  </si>
  <si>
    <t xml:space="preserve">The paired names vary by character presentation but share a rules role.</t>
  </si>
  <si>
    <t xml:space="preserve">Mobile spellblade.</t>
  </si>
  <si>
    <t xml:space="preserve">ENT-0118</t>
  </si>
  <si>
    <t xml:space="preserve">Armored defensive class with control and protection functions.</t>
  </si>
  <si>
    <t xml:space="preserve">Armor, shields, weapon skill, and defensive abilities.</t>
  </si>
  <si>
    <t xml:space="preserve">A mechanical defender, not only a hereditary social rank.</t>
  </si>
  <si>
    <t xml:space="preserve">Tank and protector.</t>
  </si>
  <si>
    <t xml:space="preserve">ENT-0119</t>
  </si>
  <si>
    <t xml:space="preserve">Terror Knight</t>
  </si>
  <si>
    <t xml:space="preserve">Dark armored class using fear and debilitation to control enemies.</t>
  </si>
  <si>
    <t xml:space="preserve">Martial training, dark affinity, and fear effects.</t>
  </si>
  <si>
    <t xml:space="preserve">Not simply an evil version of Knight; battlefield morale is central.</t>
  </si>
  <si>
    <t xml:space="preserve">Debuff tank and fear warrior.</t>
  </si>
  <si>
    <t xml:space="preserve">ENT-0120</t>
  </si>
  <si>
    <t xml:space="preserve">High-damage melee class trading precision and safety for sweeping force.</t>
  </si>
  <si>
    <t xml:space="preserve">Martial fury and area attacks.</t>
  </si>
  <si>
    <t xml:space="preserve">Game mechanics separate it from the broader literary berserker image.</t>
  </si>
  <si>
    <t xml:space="preserve">Area melee striker.</t>
  </si>
  <si>
    <t xml:space="preserve">ENT-0121</t>
  </si>
  <si>
    <t xml:space="preserve">Swordmaster</t>
  </si>
  <si>
    <t xml:space="preserve">Technique-focused sword class with support dances and counters.</t>
  </si>
  <si>
    <t xml:space="preserve">Weapon mastery, stance, and performance techniques.</t>
  </si>
  <si>
    <t xml:space="preserve">It combines dueling and party-support functions.</t>
  </si>
  <si>
    <t xml:space="preserve">Technical swordsman and support duelist.</t>
  </si>
  <si>
    <t xml:space="preserve">ENT-0122</t>
  </si>
  <si>
    <t xml:space="preserve">Dragoon</t>
  </si>
  <si>
    <t xml:space="preserve">Martial class specialized against dragons and beasts.</t>
  </si>
  <si>
    <t xml:space="preserve">Polearm training and anti-monster specialization.</t>
  </si>
  <si>
    <t xml:space="preserve">Unlike Final Fantasy dragoons, jumping is not the defining feature here.</t>
  </si>
  <si>
    <t xml:space="preserve">Monster-slayer lancer.</t>
  </si>
  <si>
    <t xml:space="preserve">ENT-0123</t>
  </si>
  <si>
    <t xml:space="preserve">Ninja / Kunoichi</t>
  </si>
  <si>
    <t xml:space="preserve">Fast skirmishing class using dual weapons, mobility, and ninjutsu.</t>
  </si>
  <si>
    <t xml:space="preserve">Training, agility, weapons, and specialized magic.</t>
  </si>
  <si>
    <t xml:space="preserve">A game-synthesized ninja role, not a historical taxonomy.</t>
  </si>
  <si>
    <t xml:space="preserve">Mobile assassin-spellblade.</t>
  </si>
  <si>
    <t xml:space="preserve">ENT-0124</t>
  </si>
  <si>
    <t xml:space="preserve">Playable or legacy class</t>
  </si>
  <si>
    <t xml:space="preserve">Stealth, traps, mobility, and opportunistic combat role.</t>
  </si>
  <si>
    <t xml:space="preserve">Skills, positioning, and underworld techniques.</t>
  </si>
  <si>
    <t xml:space="preserve">Availability differs across versions and recruitment contexts.</t>
  </si>
  <si>
    <t xml:space="preserve">Stealth specialist.</t>
  </si>
  <si>
    <t xml:space="preserve">ENT-0125</t>
  </si>
  <si>
    <t xml:space="preserve">Fusilier</t>
  </si>
  <si>
    <t xml:space="preserve">Firearm specialist with long-range physical attacks.</t>
  </si>
  <si>
    <t xml:space="preserve">Gun technology, ammunition abstraction, and marksmanship.</t>
  </si>
  <si>
    <t xml:space="preserve">Introduces early-modern weaponry into the fantasy tactical roster.</t>
  </si>
  <si>
    <t xml:space="preserve">Gun specialist.</t>
  </si>
  <si>
    <t xml:space="preserve">ENT-0126</t>
  </si>
  <si>
    <t xml:space="preserve">Beast Tamer</t>
  </si>
  <si>
    <t xml:space="preserve">Class specializing in recruiting and empowering beasts and dragons.</t>
  </si>
  <si>
    <t xml:space="preserve">Animal handling, battlefield adjacency, and monster synergy.</t>
  </si>
  <si>
    <t xml:space="preserve">Its core identity is party ecology rather than personal transformation.</t>
  </si>
  <si>
    <t xml:space="preserve">Pet and monster support role.</t>
  </si>
  <si>
    <t xml:space="preserve">ENT-0127</t>
  </si>
  <si>
    <t xml:space="preserve">Advanced magical class associated with golems, rituals, and broad spell access.</t>
  </si>
  <si>
    <t xml:space="preserve">Learned occult magic and specialized knowledge.</t>
  </si>
  <si>
    <t xml:space="preserve">The title is not necessarily pact-based as in D&amp;D.</t>
  </si>
  <si>
    <t xml:space="preserve">Advanced arcane specialist.</t>
  </si>
  <si>
    <t xml:space="preserve">ENT-0128</t>
  </si>
  <si>
    <t xml:space="preserve">Forbidden caster class manipulating the dead and necromantic magic.</t>
  </si>
  <si>
    <t xml:space="preserve">Learned death magic and undead systems.</t>
  </si>
  <si>
    <t xml:space="preserve">Class access and narrative status are continuity-specific.</t>
  </si>
  <si>
    <t xml:space="preserve">Undead controller.</t>
  </si>
  <si>
    <t xml:space="preserve">ENT-0129</t>
  </si>
  <si>
    <t xml:space="preserve">Lich</t>
  </si>
  <si>
    <t xml:space="preserve">Transformed class / being</t>
  </si>
  <si>
    <t xml:space="preserve">Powerful undead spellcaster state and class identity.</t>
  </si>
  <si>
    <t xml:space="preserve">Transformation into undead existence and advanced magic.</t>
  </si>
  <si>
    <t xml:space="preserve">It crosses being type, transformation, and mechanical class.</t>
  </si>
  <si>
    <t xml:space="preserve">Playable lich template.</t>
  </si>
  <si>
    <t xml:space="preserve">ENT-0130</t>
  </si>
  <si>
    <t xml:space="preserve">Familiar</t>
  </si>
  <si>
    <t xml:space="preserve">Species-limited class</t>
  </si>
  <si>
    <t xml:space="preserve">A magical class used by faeries and imps, with charm and support capabilities.</t>
  </si>
  <si>
    <t xml:space="preserve">Innate magical nature and class-specific spells.</t>
  </si>
  <si>
    <t xml:space="preserve">The class is not the same as a summoned animal familiar.</t>
  </si>
  <si>
    <t xml:space="preserve">Small magical support caster.</t>
  </si>
  <si>
    <t xml:space="preserve">ENT-0131</t>
  </si>
  <si>
    <t xml:space="preserve">Hoplite</t>
  </si>
  <si>
    <t xml:space="preserve">Defensive spear-and-shield class available to specific nonhuman peoples.</t>
  </si>
  <si>
    <t xml:space="preserve">Formation-oriented martial training and equipment.</t>
  </si>
  <si>
    <t xml:space="preserve">Its restricted availability ties class to ancestry in the rules.</t>
  </si>
  <si>
    <t xml:space="preserve">Defensive polearm infantry.</t>
  </si>
  <si>
    <t xml:space="preserve">ENT-0132</t>
  </si>
  <si>
    <t xml:space="preserve">Juggernaut</t>
  </si>
  <si>
    <t xml:space="preserve">Aggressive heavy class available to selected nonhuman peoples.</t>
  </si>
  <si>
    <t xml:space="preserve">Physical power, intimidation, and martial pressure.</t>
  </si>
  <si>
    <t xml:space="preserve">It is a class title rather than a construct or vehicle type.</t>
  </si>
  <si>
    <t xml:space="preserve">Heavy bruiser.</t>
  </si>
  <si>
    <t xml:space="preserve">ENT-0133</t>
  </si>
  <si>
    <t xml:space="preserve">Vartan</t>
  </si>
  <si>
    <t xml:space="preserve">Winged martial class exploiting aerial mobility and ranged or melee versatility.</t>
  </si>
  <si>
    <t xml:space="preserve">Ancestry-linked flight and martial training.</t>
  </si>
  <si>
    <t xml:space="preserve">It is simultaneously ancestry-restricted and role-defining.</t>
  </si>
  <si>
    <t xml:space="preserve">Aerial warrior.</t>
  </si>
  <si>
    <t xml:space="preserve">ENT-0134</t>
  </si>
  <si>
    <t xml:space="preserve">Patriarch / Matriarch</t>
  </si>
  <si>
    <t xml:space="preserve">Advanced magical leadership class for selected nonhuman peoples.</t>
  </si>
  <si>
    <t xml:space="preserve">Spellcasting, status, and ancestry restriction.</t>
  </si>
  <si>
    <t xml:space="preserve">The social titles are used as class names and should not be generalized.</t>
  </si>
  <si>
    <t xml:space="preserve">Elder caster and community leader.</t>
  </si>
  <si>
    <t xml:space="preserve">ENT-0135</t>
  </si>
  <si>
    <t xml:space="preserve">Lord</t>
  </si>
  <si>
    <t xml:space="preserve">Unique class</t>
  </si>
  <si>
    <t xml:space="preserve">Highly flexible unique class associated with sovereign leadership and inherited skill access.</t>
  </si>
  <si>
    <t xml:space="preserve">Narrative office plus broad mechanical customization.</t>
  </si>
  <si>
    <t xml:space="preserve">It is not merely any noble lord; it is a special character class.</t>
  </si>
  <si>
    <t xml:space="preserve">Heroic ruler-generalist.</t>
  </si>
  <si>
    <t xml:space="preserve">ENT-0136</t>
  </si>
  <si>
    <t xml:space="preserve">Princess</t>
  </si>
  <si>
    <t xml:space="preserve">Unique royal support class combining healing, magic, and leadership.</t>
  </si>
  <si>
    <t xml:space="preserve">Dynastic office and specialized magic.</t>
  </si>
  <si>
    <t xml:space="preserve">The class fuses narrative status with party-support mechanics.</t>
  </si>
  <si>
    <t xml:space="preserve">Royal support caster.</t>
  </si>
  <si>
    <t xml:space="preserve">ENT-0137</t>
  </si>
  <si>
    <t xml:space="preserve">Buccaneer</t>
  </si>
  <si>
    <t xml:space="preserve">Mobile unique class combining firearms, blades, and seafaring flair.</t>
  </si>
  <si>
    <t xml:space="preserve">Martial training, mobility, and mixed weapons.</t>
  </si>
  <si>
    <t xml:space="preserve">Not a generic pirate unit; tied to particular characters and story context.</t>
  </si>
  <si>
    <t xml:space="preserve">Swashbuckler hybrid.</t>
  </si>
  <si>
    <t xml:space="preserve">ENT-0138</t>
  </si>
  <si>
    <t xml:space="preserve">Powerful elemental caster associated with nature spirits and sacred lineages.</t>
  </si>
  <si>
    <t xml:space="preserve">Elemental magic, ritual status, and unique access.</t>
  </si>
  <si>
    <t xml:space="preserve">The term is a fantasy class label and should not flatten real shamanic traditions.</t>
  </si>
  <si>
    <t xml:space="preserve">Elemental specialist caster.</t>
  </si>
  <si>
    <t xml:space="preserve">ENT-0139</t>
  </si>
  <si>
    <t xml:space="preserve">Wicce</t>
  </si>
  <si>
    <t xml:space="preserve">Unique witch class with broad and unusual magical access.</t>
  </si>
  <si>
    <t xml:space="preserve">Innate talent, learned magic, and unique character identity.</t>
  </si>
  <si>
    <t xml:space="preserve">A source-specific title, not a universal witch category.</t>
  </si>
  <si>
    <t xml:space="preserve">Elite versatile witch.</t>
  </si>
  <si>
    <t xml:space="preserve">ENT-0140</t>
  </si>
  <si>
    <t xml:space="preserve">Unique hybrid class combining melee, ranged, and covert capabilities.</t>
  </si>
  <si>
    <t xml:space="preserve">Training, weapon flexibility, and narrative background.</t>
  </si>
  <si>
    <t xml:space="preserve">Differs from nature-spellcasting ranger traditions.</t>
  </si>
  <si>
    <t xml:space="preserve">Martial scout and operative.</t>
  </si>
  <si>
    <t xml:space="preserve">ENT-0141</t>
  </si>
  <si>
    <t xml:space="preserve">White Knight</t>
  </si>
  <si>
    <t xml:space="preserve">Elite knight class with speed, support, and defensive leadership.</t>
  </si>
  <si>
    <t xml:space="preserve">Martial training, chivalric identity, and unique abilities.</t>
  </si>
  <si>
    <t xml:space="preserve">‘White’ functions as an order/class designation rather than ethnicity.</t>
  </si>
  <si>
    <t xml:space="preserve">Elite holy or loyalist knight.</t>
  </si>
  <si>
    <t xml:space="preserve">ENT-0142</t>
  </si>
  <si>
    <t xml:space="preserve">Dark Priest</t>
  </si>
  <si>
    <t xml:space="preserve">Dark divine or occult caster associated with forbidden power and narrative antagonism.</t>
  </si>
  <si>
    <t xml:space="preserve">Ritual magic, dark affinity, and unique status.</t>
  </si>
  <si>
    <t xml:space="preserve">It is a source-specific class and not every morally compromised priest.</t>
  </si>
  <si>
    <t xml:space="preserve">Dark support caster.</t>
  </si>
  <si>
    <t xml:space="preserve">ENT-0143</t>
  </si>
  <si>
    <t xml:space="preserve">Recurring cross-title pattern</t>
  </si>
  <si>
    <t xml:space="preserve">Recurring job family</t>
  </si>
  <si>
    <t xml:space="preserve">Weapon-focused frontline job.</t>
  </si>
  <si>
    <t xml:space="preserve">Job-system rules, equipment, abilities, and title-specific lore.</t>
  </si>
  <si>
    <t xml:space="preserve">Its abilities and advancement differ by title.</t>
  </si>
  <si>
    <t xml:space="preserve">Baseline JRPG martial job.</t>
  </si>
  <si>
    <t xml:space="preserve">Multiple primary continuities</t>
  </si>
  <si>
    <t xml:space="preserve">Secondary reference reviewed</t>
  </si>
  <si>
    <t xml:space="preserve">Recurring job terminology across independent Final Fantasy continuities; source-level verification required per title.</t>
  </si>
  <si>
    <t xml:space="preserve">ENT-0144</t>
  </si>
  <si>
    <t xml:space="preserve">Knight / Paladin</t>
  </si>
  <si>
    <t xml:space="preserve">Armored protector often combining defense with sacred techniques.</t>
  </si>
  <si>
    <t xml:space="preserve">Some titles distinguish Knight and Paladin; others merge or rename them.</t>
  </si>
  <si>
    <t xml:space="preserve">Holy defender job.</t>
  </si>
  <si>
    <t xml:space="preserve">ENT-0145</t>
  </si>
  <si>
    <t xml:space="preserve">Unarmed or fist-weapon martial job emphasizing speed, counters, or inner discipline.</t>
  </si>
  <si>
    <t xml:space="preserve">Mechanical resource systems vary widely.</t>
  </si>
  <si>
    <t xml:space="preserve">Martial artist striker.</t>
  </si>
  <si>
    <t xml:space="preserve">ENT-0146</t>
  </si>
  <si>
    <t xml:space="preserve">Fast utility job associated with stealing, agility, and item acquisition.</t>
  </si>
  <si>
    <t xml:space="preserve">Narrative morality is not determined by the job label.</t>
  </si>
  <si>
    <t xml:space="preserve">Agile loot and utility specialist.</t>
  </si>
  <si>
    <t xml:space="preserve">ENT-0147</t>
  </si>
  <si>
    <t xml:space="preserve">Ninja</t>
  </si>
  <si>
    <t xml:space="preserve">Fast dual-wielding or throwing-weapon job with ninjutsu or evasive tools.</t>
  </si>
  <si>
    <t xml:space="preserve">The series uses a stylized fantasy synthesis rather than historical taxonomy.</t>
  </si>
  <si>
    <t xml:space="preserve">Evasive hybrid striker.</t>
  </si>
  <si>
    <t xml:space="preserve">ENT-0148</t>
  </si>
  <si>
    <t xml:space="preserve">Samurai</t>
  </si>
  <si>
    <t xml:space="preserve">Blade specialist using techniques, counters, resource expenditure, or draw attacks.</t>
  </si>
  <si>
    <t xml:space="preserve">Each title emphasizes different elements of the image.</t>
  </si>
  <si>
    <t xml:space="preserve">Technical sword job.</t>
  </si>
  <si>
    <t xml:space="preserve">ENT-0149</t>
  </si>
  <si>
    <t xml:space="preserve">Lance-wielding job strongly associated with Jump and draconic imagery.</t>
  </si>
  <si>
    <t xml:space="preserve">This differs from early-modern mounted infantry and from Tactics Ogre's anti-dragon class.</t>
  </si>
  <si>
    <t xml:space="preserve">Iconic aerial lancer.</t>
  </si>
  <si>
    <t xml:space="preserve">ENT-0150</t>
  </si>
  <si>
    <t xml:space="preserve">Dark Knight</t>
  </si>
  <si>
    <t xml:space="preserve">Heavy martial job using darkness, sacrifice, or life-for-damage exchanges.</t>
  </si>
  <si>
    <t xml:space="preserve">Moral alignment and narrative role vary by title.</t>
  </si>
  <si>
    <t xml:space="preserve">Sacrificial dark warrior.</t>
  </si>
  <si>
    <t xml:space="preserve">ENT-0151</t>
  </si>
  <si>
    <t xml:space="preserve">White Mage</t>
  </si>
  <si>
    <t xml:space="preserve">Restorative spellcaster using healing, cleansing, and holy magic.</t>
  </si>
  <si>
    <t xml:space="preserve">The robe-and-color visual code is franchise-specific.</t>
  </si>
  <si>
    <t xml:space="preserve">Dedicated healer caster.</t>
  </si>
  <si>
    <t xml:space="preserve">ENT-0152</t>
  </si>
  <si>
    <t xml:space="preserve">Black Mage</t>
  </si>
  <si>
    <t xml:space="preserve">Offensive spellcaster specializing in elemental destruction.</t>
  </si>
  <si>
    <t xml:space="preserve">Not a moral category; 'black' denotes a franchise magic school.</t>
  </si>
  <si>
    <t xml:space="preserve">Dedicated damage caster.</t>
  </si>
  <si>
    <t xml:space="preserve">ENT-0153</t>
  </si>
  <si>
    <t xml:space="preserve">Red Mage</t>
  </si>
  <si>
    <t xml:space="preserve">Versatile hybrid combining white and black magic with sword use.</t>
  </si>
  <si>
    <t xml:space="preserve">Breadth, dual-casting, and equipment access vary by title.</t>
  </si>
  <si>
    <t xml:space="preserve">Jack-of-all-trades battlemage.</t>
  </si>
  <si>
    <t xml:space="preserve">ENT-0154</t>
  </si>
  <si>
    <t xml:space="preserve">Blue Mage</t>
  </si>
  <si>
    <t xml:space="preserve">Caster who learns or copies enemy and monster abilities.</t>
  </si>
  <si>
    <t xml:space="preserve">Learning conditions and usable skills vary radically.</t>
  </si>
  <si>
    <t xml:space="preserve">Enemy-skill mimic archetype.</t>
  </si>
  <si>
    <t xml:space="preserve">ENT-0155</t>
  </si>
  <si>
    <t xml:space="preserve">Green Mage</t>
  </si>
  <si>
    <t xml:space="preserve">Support-oriented caster associated with buffs, debuffs, and status control.</t>
  </si>
  <si>
    <t xml:space="preserve">Appears in fewer titles and lacks one universal spell list.</t>
  </si>
  <si>
    <t xml:space="preserve">Status support caster.</t>
  </si>
  <si>
    <t xml:space="preserve">ENT-0156</t>
  </si>
  <si>
    <t xml:space="preserve">Caster manipulating haste, slow, gravity, time, and spatial effects.</t>
  </si>
  <si>
    <t xml:space="preserve">The exact boundary between time and space magic varies.</t>
  </si>
  <si>
    <t xml:space="preserve">Tempo-control caster.</t>
  </si>
  <si>
    <t xml:space="preserve">ENT-0157</t>
  </si>
  <si>
    <t xml:space="preserve">Caster who calls powerful named beings, avatars, or creatures.</t>
  </si>
  <si>
    <t xml:space="preserve">Summons may be deities, spirits, monsters, contracts, pets, or cinematic attacks by title.</t>
  </si>
  <si>
    <t xml:space="preserve">Invocation and pet-caster archetype.</t>
  </si>
  <si>
    <t xml:space="preserve">ENT-0158</t>
  </si>
  <si>
    <t xml:space="preserve">Caster or hybrid drawing effects from terrain, weather, bells, or local elements.</t>
  </si>
  <si>
    <t xml:space="preserve">Reliance on battlefield environment varies.</t>
  </si>
  <si>
    <t xml:space="preserve">Terrain-dependent nature caster.</t>
  </si>
  <si>
    <t xml:space="preserve">ENT-0159</t>
  </si>
  <si>
    <t xml:space="preserve">Beastmaster</t>
  </si>
  <si>
    <t xml:space="preserve">Job that controls, captures, learns from, or fights alongside monsters.</t>
  </si>
  <si>
    <t xml:space="preserve">The relationship ranges from coercive control to companionship.</t>
  </si>
  <si>
    <t xml:space="preserve">Monster-party specialist.</t>
  </si>
  <si>
    <t xml:space="preserve">ENT-0160</t>
  </si>
  <si>
    <t xml:space="preserve">Performance support job using songs for party-wide effects.</t>
  </si>
  <si>
    <t xml:space="preserve">Some incarnations are archers or lorekeepers; others are pure support.</t>
  </si>
  <si>
    <t xml:space="preserve">Musical buffer.</t>
  </si>
  <si>
    <t xml:space="preserve">ENT-0161</t>
  </si>
  <si>
    <t xml:space="preserve">Performance-based job using dances for buffs, debuffs, healing, or attacks.</t>
  </si>
  <si>
    <t xml:space="preserve">Gender coding and combat style vary by title.</t>
  </si>
  <si>
    <t xml:space="preserve">Rhythmic support or hybrid.</t>
  </si>
  <si>
    <t xml:space="preserve">ENT-0162</t>
  </si>
  <si>
    <t xml:space="preserve">Machinist</t>
  </si>
  <si>
    <t xml:space="preserve">ROL-615; PWR-516</t>
  </si>
  <si>
    <t xml:space="preserve">Engineer; Magitech</t>
  </si>
  <si>
    <t xml:space="preserve">Technology-oriented ranged job using firearms, devices, or automata.</t>
  </si>
  <si>
    <t xml:space="preserve">Its technological level and role differ sharply across settings.</t>
  </si>
  <si>
    <t xml:space="preserve">Magitech gunner-engineer.</t>
  </si>
  <si>
    <t xml:space="preserve">ENT-0163</t>
  </si>
  <si>
    <t xml:space="preserve">Book-using learned job combining analysis, support, healing, or enemy knowledge.</t>
  </si>
  <si>
    <t xml:space="preserve">Not every Scholar incarnation is a healer.</t>
  </si>
  <si>
    <t xml:space="preserve">Analytical support caster.</t>
  </si>
  <si>
    <t xml:space="preserve">ENT-0164</t>
  </si>
  <si>
    <t xml:space="preserve">Advanced caster with broad or high-level magical access.</t>
  </si>
  <si>
    <t xml:space="preserve">Sometimes a master of multiple schools; sometimes a distinct healer.</t>
  </si>
  <si>
    <t xml:space="preserve">Elite generalist caster.</t>
  </si>
  <si>
    <t xml:space="preserve">ENT-0165</t>
  </si>
  <si>
    <t xml:space="preserve">Astrologian</t>
  </si>
  <si>
    <t xml:space="preserve">Fate- and star-themed support or healing job.</t>
  </si>
  <si>
    <t xml:space="preserve">Most strongly systematized in Final Fantasy XIV.</t>
  </si>
  <si>
    <t xml:space="preserve">Card-and-fate healer.</t>
  </si>
  <si>
    <t xml:space="preserve">ENT-0166</t>
  </si>
  <si>
    <t xml:space="preserve">Scythe-wielding dark martial job often linked to spirits or void power.</t>
  </si>
  <si>
    <t xml:space="preserve">Meaning and mechanics are title-specific.</t>
  </si>
  <si>
    <t xml:space="preserve">Dark avatar melee role.</t>
  </si>
  <si>
    <t xml:space="preserve">ENT-0167</t>
  </si>
  <si>
    <t xml:space="preserve">Pictomancer</t>
  </si>
  <si>
    <t xml:space="preserve">Caster whose paintings or visual creations produce magical effects.</t>
  </si>
  <si>
    <t xml:space="preserve">The term appears in specific continuities rather than as a universal series job.</t>
  </si>
  <si>
    <t xml:space="preserve">Art-magic caster.</t>
  </si>
  <si>
    <t xml:space="preserve">ENT-0168</t>
  </si>
  <si>
    <t xml:space="preserve">Calculator / Arithmetician</t>
  </si>
  <si>
    <t xml:space="preserve">Technical caster applying spells through numerical targeting rules.</t>
  </si>
  <si>
    <t xml:space="preserve">This is especially tied to tactical game mechanics.</t>
  </si>
  <si>
    <t xml:space="preserve">Mathematical meta-caster.</t>
  </si>
  <si>
    <t xml:space="preserve">ENT-0169</t>
  </si>
  <si>
    <t xml:space="preserve">Job that reproduces actions taken by other party members.</t>
  </si>
  <si>
    <t xml:space="preserve">Its power depends on party composition and turn systems.</t>
  </si>
  <si>
    <t xml:space="preserve">Action-copy specialist.</t>
  </si>
  <si>
    <t xml:space="preserve">ENT-0170</t>
  </si>
  <si>
    <t xml:space="preserve">Freelancer / Onion Knight</t>
  </si>
  <si>
    <t xml:space="preserve">Generalist or base job able to inherit abilities from other jobs.</t>
  </si>
  <si>
    <t xml:space="preserve">Names and progression logic vary by title.</t>
  </si>
  <si>
    <t xml:space="preserve">Job-system meta-generalist.</t>
  </si>
  <si>
    <t xml:space="preserve">ENT-0171</t>
  </si>
  <si>
    <t xml:space="preserve">Gunbreaker</t>
  </si>
  <si>
    <t xml:space="preserve">Blade-and-cartridge martial role using explosive or aetheric weapon techniques.</t>
  </si>
  <si>
    <t xml:space="preserve">The name does not imply a person who breaks guns.</t>
  </si>
  <si>
    <t xml:space="preserve">Magitech tank or explosive spellblade.</t>
  </si>
  <si>
    <t xml:space="preserve">ENT-0172</t>
  </si>
  <si>
    <t xml:space="preserve">Hyur</t>
  </si>
  <si>
    <t xml:space="preserve">Current game continuity</t>
  </si>
  <si>
    <t xml:space="preserve">Playable race</t>
  </si>
  <si>
    <t xml:space="preserve">A widespread human people divided into clans and many cultures.</t>
  </si>
  <si>
    <t xml:space="preserve">Natural ancestry and clan/cultural variation.</t>
  </si>
  <si>
    <t xml:space="preserve">Race and clan are separate from nationality and job.</t>
  </si>
  <si>
    <t xml:space="preserve">Playable human ancestry.</t>
  </si>
  <si>
    <t xml:space="preserve">Official Final Fantasy XIV race/clan pages and battle job guide.</t>
  </si>
  <si>
    <t xml:space="preserve">ENT-0173</t>
  </si>
  <si>
    <t xml:space="preserve">Elezen</t>
  </si>
  <si>
    <t xml:space="preserve">A tall, long-lived humanoid people with multiple clans.</t>
  </si>
  <si>
    <t xml:space="preserve">Natural ancestry, long life, and clan history.</t>
  </si>
  <si>
    <t xml:space="preserve">Elf-derived visually and functionally, but with setting-specific history.</t>
  </si>
  <si>
    <t xml:space="preserve">Playable elf-like ancestry.</t>
  </si>
  <si>
    <t xml:space="preserve">ENT-0174</t>
  </si>
  <si>
    <t xml:space="preserve">Lalafell</t>
  </si>
  <si>
    <t xml:space="preserve">A small-statured people with distinct clans and wide social roles.</t>
  </si>
  <si>
    <t xml:space="preserve">Natural ancestry and clan cultures.</t>
  </si>
  <si>
    <t xml:space="preserve">Small stature does not define profession or morality.</t>
  </si>
  <si>
    <t xml:space="preserve">Playable smallfolk ancestry.</t>
  </si>
  <si>
    <t xml:space="preserve">ENT-0175</t>
  </si>
  <si>
    <t xml:space="preserve">Miqo'te</t>
  </si>
  <si>
    <t xml:space="preserve">Feline-featured humanoid people divided into culturally distinct clans.</t>
  </si>
  <si>
    <t xml:space="preserve">Natural ancestry and clan histories.</t>
  </si>
  <si>
    <t xml:space="preserve">Not a single catfolk culture.</t>
  </si>
  <si>
    <t xml:space="preserve">Playable feline humanoid ancestry.</t>
  </si>
  <si>
    <t xml:space="preserve">ENT-0176</t>
  </si>
  <si>
    <t xml:space="preserve">Roegadyn</t>
  </si>
  <si>
    <t xml:space="preserve">Large, robust humanoid people with distinct clan histories.</t>
  </si>
  <si>
    <t xml:space="preserve">Giantkin is a comparative body-plan label, not a claim that they are giants.</t>
  </si>
  <si>
    <t xml:space="preserve">Large humanoid ancestry.</t>
  </si>
  <si>
    <t xml:space="preserve">ENT-0177</t>
  </si>
  <si>
    <t xml:space="preserve">Au Ra</t>
  </si>
  <si>
    <t xml:space="preserve">Scaled and horned humanoid people divided into clans.</t>
  </si>
  <si>
    <t xml:space="preserve">Natural ancestry, sensory horns, scales, and clan culture.</t>
  </si>
  <si>
    <t xml:space="preserve">Draconic appearance does not make them dragons or dragon descendants by default.</t>
  </si>
  <si>
    <t xml:space="preserve">Scaled humanoid ancestry.</t>
  </si>
  <si>
    <t xml:space="preserve">ENT-0178</t>
  </si>
  <si>
    <t xml:space="preserve">Hrothgar</t>
  </si>
  <si>
    <t xml:space="preserve">Large feline-featured humanoid people with regional and clan identities.</t>
  </si>
  <si>
    <t xml:space="preserve">Natural ancestry and culture.</t>
  </si>
  <si>
    <t xml:space="preserve">Distinct from Miqo'te despite a shared broad feline family.</t>
  </si>
  <si>
    <t xml:space="preserve">Large feline humanoid ancestry.</t>
  </si>
  <si>
    <t xml:space="preserve">ENT-0179</t>
  </si>
  <si>
    <t xml:space="preserve">Viera</t>
  </si>
  <si>
    <t xml:space="preserve">Long-lived rabbit-featured humanoid people with strong homeland traditions.</t>
  </si>
  <si>
    <t xml:space="preserve">Natural ancestry, longevity, senses, and culture.</t>
  </si>
  <si>
    <t xml:space="preserve">Lagomorph is morphological shorthand; their culture is source-specific.</t>
  </si>
  <si>
    <t xml:space="preserve">Rabbit-featured long-lived people.</t>
  </si>
  <si>
    <t xml:space="preserve">ENT-0180</t>
  </si>
  <si>
    <t xml:space="preserve">Class-to-job progression</t>
  </si>
  <si>
    <t xml:space="preserve">Mechanical progression structure</t>
  </si>
  <si>
    <t xml:space="preserve">A system in which early combat classes lead into specialized jobs, while later jobs begin directly.</t>
  </si>
  <si>
    <t xml:space="preserve">Level progression, quests, soul crystals, and role design.</t>
  </si>
  <si>
    <t xml:space="preserve">The fiction and mechanics of jobs are not identical across all Final Fantasy titles.</t>
  </si>
  <si>
    <t xml:space="preserve">Formal job-unlock progression.</t>
  </si>
  <si>
    <t xml:space="preserve">ENT-0181</t>
  </si>
  <si>
    <t xml:space="preserve">Tank role</t>
  </si>
  <si>
    <t xml:space="preserve">Combat role</t>
  </si>
  <si>
    <t xml:space="preserve">One of the game's formal party roles, responsible for enemy attention and mitigation.</t>
  </si>
  <si>
    <t xml:space="preserve">Enmity, defensive cooldowns, positioning, and encounter design.</t>
  </si>
  <si>
    <t xml:space="preserve">A role category spanning several different job fantasies.</t>
  </si>
  <si>
    <t xml:space="preserve">MMO defender role.</t>
  </si>
  <si>
    <t xml:space="preserve">ENT-0182</t>
  </si>
  <si>
    <t xml:space="preserve">Healer role</t>
  </si>
  <si>
    <t xml:space="preserve">MEC-115; MEC-114</t>
  </si>
  <si>
    <t xml:space="preserve">Barrier or Shield Healer; Sustain Healer</t>
  </si>
  <si>
    <t xml:space="preserve">Formal party role responsible for restoration, prevention, and damage contribution.</t>
  </si>
  <si>
    <t xml:space="preserve">Healing kits, barriers, resources, and encounter design.</t>
  </si>
  <si>
    <t xml:space="preserve">Individual healer jobs divide into mechanical subfamilies.</t>
  </si>
  <si>
    <t xml:space="preserve">MMO recovery/support role.</t>
  </si>
  <si>
    <t xml:space="preserve">ENT-0183</t>
  </si>
  <si>
    <t xml:space="preserve">Melee DPS role</t>
  </si>
  <si>
    <t xml:space="preserve">Formal damage role emphasizing close-range rotations and positional or uptime management.</t>
  </si>
  <si>
    <t xml:space="preserve">Weapon rotations, resources, mobility, and encounter positioning.</t>
  </si>
  <si>
    <t xml:space="preserve">Role identity is mechanical and cuts across distinct in-world traditions.</t>
  </si>
  <si>
    <t xml:space="preserve">MMO melee damage role.</t>
  </si>
  <si>
    <t xml:space="preserve">ENT-0184</t>
  </si>
  <si>
    <t xml:space="preserve">Physical ranged DPS role</t>
  </si>
  <si>
    <t xml:space="preserve">Formal damage role combining mobility, ranged attacks, and party utility.</t>
  </si>
  <si>
    <t xml:space="preserve">Ranged weapons, songs, dances, devices, and support effects.</t>
  </si>
  <si>
    <t xml:space="preserve">Bard, Machinist, and Dancer share a role but not a fictional profession.</t>
  </si>
  <si>
    <t xml:space="preserve">Mobile ranged support-damage role.</t>
  </si>
  <si>
    <t xml:space="preserve">ENT-0185</t>
  </si>
  <si>
    <t xml:space="preserve">Magical ranged DPS role</t>
  </si>
  <si>
    <t xml:space="preserve">Formal damage role for spell-focused jobs with varied mobility and resource patterns.</t>
  </si>
  <si>
    <t xml:space="preserve">Casting, elemental or summon systems, and encounter timing.</t>
  </si>
  <si>
    <t xml:space="preserve">Black Mage, Summoner, Red Mage, and Pictomancer are mechanically and fictionally distinct.</t>
  </si>
  <si>
    <t xml:space="preserve">MMO caster-damage role.</t>
  </si>
  <si>
    <t xml:space="preserve">ENT-0186</t>
  </si>
  <si>
    <t xml:space="preserve">Blue Mage limited job</t>
  </si>
  <si>
    <t xml:space="preserve">Limited job</t>
  </si>
  <si>
    <t xml:space="preserve">A special job that learns monster actions and operates outside standard duty-role progression.</t>
  </si>
  <si>
    <t xml:space="preserve">Enemy-skill acquisition and separate content rules.</t>
  </si>
  <si>
    <t xml:space="preserve">Its limited-job status is as important as its spell theme.</t>
  </si>
  <si>
    <t xml:space="preserve">Collection-based mimic class.</t>
  </si>
  <si>
    <t xml:space="preserve">ENT-0187</t>
  </si>
  <si>
    <t xml:space="preserve">Soul crystal job identity</t>
  </si>
  <si>
    <t xml:space="preserve">Artifact-mediated vocation</t>
  </si>
  <si>
    <t xml:space="preserve">Many jobs are accessed or embodied through soul crystals carrying accumulated techniques and memory.</t>
  </si>
  <si>
    <t xml:space="preserve">Artifact inheritance, training quests, and institutional lineage.</t>
  </si>
  <si>
    <t xml:space="preserve">The crystal does not replace personal training; lore varies by job.</t>
  </si>
  <si>
    <t xml:space="preserve">Artifact-mediated class inheritance.</t>
  </si>
  <si>
    <t xml:space="preserve">ENT-0188</t>
  </si>
  <si>
    <t xml:space="preserve">Altmer</t>
  </si>
  <si>
    <t xml:space="preserve">Franchise setting</t>
  </si>
  <si>
    <t xml:space="preserve">High Elven people of Summerset with distinctive religious, political, and magical traditions.</t>
  </si>
  <si>
    <t xml:space="preserve">Natural ancestry, long life, culture, and history.</t>
  </si>
  <si>
    <t xml:space="preserve">‘High elf’ is a comparative label; Altmer identity is setting-specific.</t>
  </si>
  <si>
    <t xml:space="preserve">High-elven polity analogue.</t>
  </si>
  <si>
    <t xml:space="preserve">Franchise-spanning orientation; individual games and eras require continuity-specific verification.</t>
  </si>
  <si>
    <t xml:space="preserve">ENT-0189</t>
  </si>
  <si>
    <t xml:space="preserve">Bosmer</t>
  </si>
  <si>
    <t xml:space="preserve">Wood Elven people associated with Valenwood and the Green Pact.</t>
  </si>
  <si>
    <t xml:space="preserve">Natural ancestry, ecological covenant, and culture.</t>
  </si>
  <si>
    <t xml:space="preserve">Not simply generic forest elves; dietary and religious obligations are central.</t>
  </si>
  <si>
    <t xml:space="preserve">Covenant-bound woodland elf analogue.</t>
  </si>
  <si>
    <t xml:space="preserve">ENT-0190</t>
  </si>
  <si>
    <t xml:space="preserve">Dunmer</t>
  </si>
  <si>
    <t xml:space="preserve">Dark Elven people of Morrowind shaped by ancestor religion, Great Houses, and historical transformations.</t>
  </si>
  <si>
    <t xml:space="preserve">Natural ancestry, divine history, culture, and politics.</t>
  </si>
  <si>
    <t xml:space="preserve">‘Dark elf’ here is not a moral category.</t>
  </si>
  <si>
    <t xml:space="preserve">Volcanic, ancestor-centered elf civilization.</t>
  </si>
  <si>
    <t xml:space="preserve">ENT-0191</t>
  </si>
  <si>
    <t xml:space="preserve">Orsimer</t>
  </si>
  <si>
    <t xml:space="preserve">Elven-derived people</t>
  </si>
  <si>
    <t xml:space="preserve">The Orc people, metaphysically connected to elven history and organized in varied stronghold and urban cultures.</t>
  </si>
  <si>
    <t xml:space="preserve">Ancestry, transformation myth, religion, and culture.</t>
  </si>
  <si>
    <t xml:space="preserve">Their orc identity coexists with an elven-derived cosmological genealogy.</t>
  </si>
  <si>
    <t xml:space="preserve">Orc people with transformed-elf metaphysics.</t>
  </si>
  <si>
    <t xml:space="preserve">ENT-0192</t>
  </si>
  <si>
    <t xml:space="preserve">Dwemer</t>
  </si>
  <si>
    <t xml:space="preserve">Lost elven people</t>
  </si>
  <si>
    <t xml:space="preserve">PPL-102; CIV-312</t>
  </si>
  <si>
    <t xml:space="preserve">Elf-Derived Peoples; Magitech Industrial Society</t>
  </si>
  <si>
    <t xml:space="preserve">The vanished Deep Elves, conventionally called dwarves, renowned for tonal architecture and advanced constructs.</t>
  </si>
  <si>
    <t xml:space="preserve">Elven ancestry, subterranean civilization, technology, and disappearance.</t>
  </si>
  <si>
    <t xml:space="preserve">They are not short Tolkien-style dwarves; the English nickname is historical.</t>
  </si>
  <si>
    <t xml:space="preserve">Lost technomagical elder civilization.</t>
  </si>
  <si>
    <t xml:space="preserve">ENT-0193</t>
  </si>
  <si>
    <t xml:space="preserve">Nords</t>
  </si>
  <si>
    <t xml:space="preserve">Human people and culture</t>
  </si>
  <si>
    <t xml:space="preserve">Northern human people of Skyrim with diverse religious and political histories.</t>
  </si>
  <si>
    <t xml:space="preserve">Natural ancestry, regional culture, and mythic migration.</t>
  </si>
  <si>
    <t xml:space="preserve">Not every Nord is a barbarian, warrior, or traditionalist.</t>
  </si>
  <si>
    <t xml:space="preserve">Northern heroic human culture.</t>
  </si>
  <si>
    <t xml:space="preserve">ENT-0194</t>
  </si>
  <si>
    <t xml:space="preserve">Imperials</t>
  </si>
  <si>
    <t xml:space="preserve">Human people and cultures</t>
  </si>
  <si>
    <t xml:space="preserve">Human peoples associated with Cyrodiil, imperial institutions, and multiple historical identities.</t>
  </si>
  <si>
    <t xml:space="preserve">Natural ancestry, state traditions, law, and cosmopolitan culture.</t>
  </si>
  <si>
    <t xml:space="preserve">Imperial is partly political-cultural, not just biological.</t>
  </si>
  <si>
    <t xml:space="preserve">Cosmopolitan imperial human analogue.</t>
  </si>
  <si>
    <t xml:space="preserve">ENT-0195</t>
  </si>
  <si>
    <t xml:space="preserve">Bretons</t>
  </si>
  <si>
    <t xml:space="preserve">Human people with mixed ancestry</t>
  </si>
  <si>
    <t xml:space="preserve">Human people of High Rock with historical elven admixture and strong magical traditions.</t>
  </si>
  <si>
    <t xml:space="preserve">Ancestry, regional culture, and political fragmentation.</t>
  </si>
  <si>
    <t xml:space="preserve">Their identity cannot be reduced to a stat bonus for magic resistance.</t>
  </si>
  <si>
    <t xml:space="preserve">Human–elder ancestry and feudal mage culture.</t>
  </si>
  <si>
    <t xml:space="preserve">ENT-0196</t>
  </si>
  <si>
    <t xml:space="preserve">Redguards</t>
  </si>
  <si>
    <t xml:space="preserve">Human peoples of Hammerfell with Yokudan heritage and famed martial traditions.</t>
  </si>
  <si>
    <t xml:space="preserve">Natural ancestry, migration, religion, and regional cultures.</t>
  </si>
  <si>
    <t xml:space="preserve">The sword tradition is only one aspect; samurai-derived is a loose functional comparison.</t>
  </si>
  <si>
    <t xml:space="preserve">Diasporic warrior and desert-kingdom human analogue.</t>
  </si>
  <si>
    <t xml:space="preserve">ENT-0197</t>
  </si>
  <si>
    <t xml:space="preserve">Khajiit</t>
  </si>
  <si>
    <t xml:space="preserve">Feline people</t>
  </si>
  <si>
    <t xml:space="preserve">A people whose many furstocks and body forms are linked to lunar conditions and culture.</t>
  </si>
  <si>
    <t xml:space="preserve">Natural ancestry, lunar metaphysics, and multiple morphologies.</t>
  </si>
  <si>
    <t xml:space="preserve">Khajiit are not one catlike body plan or culture.</t>
  </si>
  <si>
    <t xml:space="preserve">Lunar polymorphic feline people.</t>
  </si>
  <si>
    <t xml:space="preserve">ENT-0198</t>
  </si>
  <si>
    <t xml:space="preserve">Argonians</t>
  </si>
  <si>
    <t xml:space="preserve">Reptilian people</t>
  </si>
  <si>
    <t xml:space="preserve">Reptilian people of Black Marsh with deep relationships to the Hist.</t>
  </si>
  <si>
    <t xml:space="preserve">Natural ancestry, communal culture, and symbiosis with sacred trees.</t>
  </si>
  <si>
    <t xml:space="preserve">Their identity is not reducible to generic lizardfolk traits.</t>
  </si>
  <si>
    <t xml:space="preserve">Symbiotic marsh people and tree-linked ancestry.</t>
  </si>
  <si>
    <t xml:space="preserve">ENT-0199</t>
  </si>
  <si>
    <t xml:space="preserve">Aedra</t>
  </si>
  <si>
    <t xml:space="preserve">Franchise cosmology</t>
  </si>
  <si>
    <t xml:space="preserve">Divine beings</t>
  </si>
  <si>
    <t xml:space="preserve">Divine powers associated with creation and the structure of the mortal world.</t>
  </si>
  <si>
    <t xml:space="preserve">Cosmological participation, worship, and mythic interpretation.</t>
  </si>
  <si>
    <t xml:space="preserve">Aedra is a relational theological category, not a biological species.</t>
  </si>
  <si>
    <t xml:space="preserve">World-forming divine order.</t>
  </si>
  <si>
    <t xml:space="preserve">ENT-0200</t>
  </si>
  <si>
    <t xml:space="preserve">Daedric Princes</t>
  </si>
  <si>
    <t xml:space="preserve">Otherworldly divine rulers</t>
  </si>
  <si>
    <t xml:space="preserve">Powerful rulers of Oblivion realms embodying or governing distinct spheres.</t>
  </si>
  <si>
    <t xml:space="preserve">Otherworldly existence, realm sovereignty, cults, and artifacts.</t>
  </si>
  <si>
    <t xml:space="preserve">They are not simply demons or uniformly evil.</t>
  </si>
  <si>
    <t xml:space="preserve">Planar sovereign and patron-deity analogue.</t>
  </si>
  <si>
    <t xml:space="preserve">ENT-0201</t>
  </si>
  <si>
    <t xml:space="preserve">Lesser Daedra</t>
  </si>
  <si>
    <t xml:space="preserve">Otherworldly beings</t>
  </si>
  <si>
    <t xml:space="preserve">Varied beings native or tied to realms of Oblivion.</t>
  </si>
  <si>
    <t xml:space="preserve">Otherworldly origin, summoning, contracts, and realm affiliations.</t>
  </si>
  <si>
    <t xml:space="preserve">The category contains peoples, creatures, servants, and independent actors.</t>
  </si>
  <si>
    <t xml:space="preserve">Extraplanar being family.</t>
  </si>
  <si>
    <t xml:space="preserve">ENT-0202</t>
  </si>
  <si>
    <t xml:space="preserve">Divine or primordial dragon beings</t>
  </si>
  <si>
    <t xml:space="preserve">Ancient, intelligent dragons associated with time, domination, and the Thu'um.</t>
  </si>
  <si>
    <t xml:space="preserve">Draconic nature, language, immortality-like persistence, and divine origin.</t>
  </si>
  <si>
    <t xml:space="preserve">They are not ordinary animals and their speech is itself power.</t>
  </si>
  <si>
    <t xml:space="preserve">Primordial speaking dragon analogue.</t>
  </si>
  <si>
    <t xml:space="preserve">ENT-0203</t>
  </si>
  <si>
    <t xml:space="preserve">Divinely marked mortal state</t>
  </si>
  <si>
    <t xml:space="preserve">STA-409; STA-402</t>
  </si>
  <si>
    <t xml:space="preserve">Dragon Bond; Relic Bearer</t>
  </si>
  <si>
    <t xml:space="preserve">Mortals with a dragon soul or divinely significant draconic capacity, especially central to specific eras.</t>
  </si>
  <si>
    <t xml:space="preserve">Divine blessing, soul nature, prophecy, and learned shouts.</t>
  </si>
  <si>
    <t xml:space="preserve">Not a species, and not the same concept as D&amp;D dragonborn.</t>
  </si>
  <si>
    <t xml:space="preserve">Draconic chosen champion.</t>
  </si>
  <si>
    <t xml:space="preserve">ENT-0204</t>
  </si>
  <si>
    <t xml:space="preserve">Thu'um / Voice</t>
  </si>
  <si>
    <t xml:space="preserve">Power tradition</t>
  </si>
  <si>
    <t xml:space="preserve">Reality-affecting power expressed through the dragon language and disciplined Shouts.</t>
  </si>
  <si>
    <t xml:space="preserve">Language, breath, understanding, and spiritual mastery.</t>
  </si>
  <si>
    <t xml:space="preserve">More than sonic force; words carry ontological significance.</t>
  </si>
  <si>
    <t xml:space="preserve">Word-of-power and voice magic.</t>
  </si>
  <si>
    <t xml:space="preserve">ENT-0205</t>
  </si>
  <si>
    <t xml:space="preserve">Greybeards</t>
  </si>
  <si>
    <t xml:space="preserve">Skyrim-era continuity</t>
  </si>
  <si>
    <t xml:space="preserve">Monastic order</t>
  </si>
  <si>
    <t xml:space="preserve">An ascetic order devoted to studying and regulating the Voice.</t>
  </si>
  <si>
    <t xml:space="preserve">Discipline, seclusion, oral teaching, and philosophical restraint.</t>
  </si>
  <si>
    <t xml:space="preserve">They are an institution, not a class shared by all Voice users.</t>
  </si>
  <si>
    <t xml:space="preserve">Mystical martial-language monastery.</t>
  </si>
  <si>
    <t xml:space="preserve">ENT-0206</t>
  </si>
  <si>
    <t xml:space="preserve">Psijic Order</t>
  </si>
  <si>
    <t xml:space="preserve">Secret magical order</t>
  </si>
  <si>
    <t xml:space="preserve">Ancient esoteric order devoted to metaphysical study and selective intervention.</t>
  </si>
  <si>
    <t xml:space="preserve">Training, secrecy, ritual, and philosophical tradition.</t>
  </si>
  <si>
    <t xml:space="preserve">Its goals and methods vary by era and source.</t>
  </si>
  <si>
    <t xml:space="preserve">Hidden mage order and time-lore society.</t>
  </si>
  <si>
    <t xml:space="preserve">ENT-0207</t>
  </si>
  <si>
    <t xml:space="preserve">Mages Guild</t>
  </si>
  <si>
    <t xml:space="preserve">Professional magical institution</t>
  </si>
  <si>
    <t xml:space="preserve">An institution historically providing magical services, training, and regulation.</t>
  </si>
  <si>
    <t xml:space="preserve">Professional organization, education, commerce, and politics.</t>
  </si>
  <si>
    <t xml:space="preserve">Its structure changes across eras and provinces.</t>
  </si>
  <si>
    <t xml:space="preserve">Public magical guild analogue.</t>
  </si>
  <si>
    <t xml:space="preserve">ENT-0208</t>
  </si>
  <si>
    <t xml:space="preserve">Dark Brotherhood</t>
  </si>
  <si>
    <t xml:space="preserve">Religious assassin institution</t>
  </si>
  <si>
    <t xml:space="preserve">A secretive assassination organization with a death-centered theology and contracts.</t>
  </si>
  <si>
    <t xml:space="preserve">Initiation, ritual, patronage, secrecy, and murder-for-hire.</t>
  </si>
  <si>
    <t xml:space="preserve">Its religious claims and organizational continuity are contested within the setting.</t>
  </si>
  <si>
    <t xml:space="preserve">Assassin cult and contract guild.</t>
  </si>
  <si>
    <t xml:space="preserve">ENT-0209</t>
  </si>
  <si>
    <t xml:space="preserve">Thieves Guild</t>
  </si>
  <si>
    <t xml:space="preserve">Criminal guild</t>
  </si>
  <si>
    <t xml:space="preserve">Organized networks of thieves with codes, fences, patrons, and local politics.</t>
  </si>
  <si>
    <t xml:space="preserve">Criminal craft, mutual protection, and urban organization.</t>
  </si>
  <si>
    <t xml:space="preserve">Different games depict different chapters and institutional strengths.</t>
  </si>
  <si>
    <t xml:space="preserve">Professional underworld guild.</t>
  </si>
  <si>
    <t xml:space="preserve">ENT-0210</t>
  </si>
  <si>
    <t xml:space="preserve">Transformed beings</t>
  </si>
  <si>
    <t xml:space="preserve">Multiple vampiric bloodlines and diseases granting powers alongside weaknesses.</t>
  </si>
  <si>
    <t xml:space="preserve">Infection or curse, bloodline, patronage, and transformation.</t>
  </si>
  <si>
    <t xml:space="preserve">There is no single Elder Scrolls vampire template across eras and strains.</t>
  </si>
  <si>
    <t xml:space="preserve">Plural vampiric condition and lineage system.</t>
  </si>
  <si>
    <t xml:space="preserve">ENT-0211</t>
  </si>
  <si>
    <t xml:space="preserve">Werewolves and other werebeasts</t>
  </si>
  <si>
    <t xml:space="preserve">Therianthropic transformation</t>
  </si>
  <si>
    <t xml:space="preserve">Mortals transformed into predatory beast forms through disease, curse, or divine association.</t>
  </si>
  <si>
    <t xml:space="preserve">Transformation, infection, patronage, and beast-form abilities.</t>
  </si>
  <si>
    <t xml:space="preserve">Multiple were-creature types exist beyond wolves.</t>
  </si>
  <si>
    <t xml:space="preserve">Contagious and patron-linked therianthropy.</t>
  </si>
  <si>
    <t xml:space="preserve">ENT-0212</t>
  </si>
  <si>
    <t xml:space="preserve">Warcraft setting / WoW playable taxonomy</t>
  </si>
  <si>
    <t xml:space="preserve">Playable race / people</t>
  </si>
  <si>
    <t xml:space="preserve">One of several human civilizations and kingdoms in Azeroth.</t>
  </si>
  <si>
    <t xml:space="preserve">Natural ancestry, culture, state, and faction history.</t>
  </si>
  <si>
    <t xml:space="preserve">Warcraft humans are culturally plural despite a single playable label.</t>
  </si>
  <si>
    <t xml:space="preserve">Baseline human fantasy people.</t>
  </si>
  <si>
    <t xml:space="preserve">Official World of Warcraft race and class reference pages, version-stamped 2026-08-01.</t>
  </si>
  <si>
    <t xml:space="preserve">ENT-0213</t>
  </si>
  <si>
    <t xml:space="preserve">Night Elves</t>
  </si>
  <si>
    <t xml:space="preserve">Long-lived kaldorei people associated with ancient magic, forests, druidism, and lunar religion.</t>
  </si>
  <si>
    <t xml:space="preserve">Ancestry, historical transformation, culture, and divine ties.</t>
  </si>
  <si>
    <t xml:space="preserve">They are not simply generic dark or wood elves.</t>
  </si>
  <si>
    <t xml:space="preserve">Ancient nocturnal forest-elf civilization.</t>
  </si>
  <si>
    <t xml:space="preserve">ENT-0214</t>
  </si>
  <si>
    <t xml:space="preserve">Blood Elves</t>
  </si>
  <si>
    <t xml:space="preserve">Sin'dorei descended from high elves, shaped by magical catastrophe, addiction, and reconstruction.</t>
  </si>
  <si>
    <t xml:space="preserve">Ancestry, magical dependence, politics, and urban culture.</t>
  </si>
  <si>
    <t xml:space="preserve">Their name records history and identity, not moral alignment.</t>
  </si>
  <si>
    <t xml:space="preserve">Post-catastrophe arcane elf polity.</t>
  </si>
  <si>
    <t xml:space="preserve">ENT-0215</t>
  </si>
  <si>
    <t xml:space="preserve">Void Elves</t>
  </si>
  <si>
    <t xml:space="preserve">Playable race / transformed people</t>
  </si>
  <si>
    <t xml:space="preserve">Elves transformed or empowered through disciplined exposure to the Void.</t>
  </si>
  <si>
    <t xml:space="preserve">Ancestry plus hazardous metaphysical transformation.</t>
  </si>
  <si>
    <t xml:space="preserve">They are not a wholly separate original species.</t>
  </si>
  <si>
    <t xml:space="preserve">Void-touched elven lineage.</t>
  </si>
  <si>
    <t xml:space="preserve">ENT-0216</t>
  </si>
  <si>
    <t xml:space="preserve">Titan-forged-descended peoples with multiple clans and archaeological traditions.</t>
  </si>
  <si>
    <t xml:space="preserve">Construct ancestry transformed into flesh, clan culture, craft, and history.</t>
  </si>
  <si>
    <t xml:space="preserve">Their origin differs sharply from naturally evolved or Tolkienian dwarves.</t>
  </si>
  <si>
    <t xml:space="preserve">Clan-based titan-descended dwarves.</t>
  </si>
  <si>
    <t xml:space="preserve">ENT-0217</t>
  </si>
  <si>
    <t xml:space="preserve">Small titan-forged-descended people strongly associated with engineering and invention.</t>
  </si>
  <si>
    <t xml:space="preserve">Construct ancestry transformed into flesh, technology, and culture.</t>
  </si>
  <si>
    <t xml:space="preserve">Engineering is culturally prominent but not an innate profession of every gnome.</t>
  </si>
  <si>
    <t xml:space="preserve">Technological gnome civilization.</t>
  </si>
  <si>
    <t xml:space="preserve">ENT-0218</t>
  </si>
  <si>
    <t xml:space="preserve">A people from Draenor whose history includes clans, shamanism, demonic corruption, invasion, and renewal.</t>
  </si>
  <si>
    <t xml:space="preserve">Natural ancestry, clan culture, and historical magical corruption.</t>
  </si>
  <si>
    <t xml:space="preserve">Their violent periods are historical and political, not proof of inherent evil.</t>
  </si>
  <si>
    <t xml:space="preserve">Clan-based orc civilization.</t>
  </si>
  <si>
    <t xml:space="preserve">ENT-0219</t>
  </si>
  <si>
    <t xml:space="preserve">Ancient and highly diverse peoples with many tribes, empires, religions, and adaptations.</t>
  </si>
  <si>
    <t xml:space="preserve">Natural ancestry, regional forms, loa traditions, and political history.</t>
  </si>
  <si>
    <t xml:space="preserve">The playable label represents only some troll communities.</t>
  </si>
  <si>
    <t xml:space="preserve">Ancient tribal and imperial troll peoples.</t>
  </si>
  <si>
    <t xml:space="preserve">ENT-0220</t>
  </si>
  <si>
    <t xml:space="preserve">Tauren</t>
  </si>
  <si>
    <t xml:space="preserve">Large bovine-featured people with spiritual, clan, and plains-based traditions.</t>
  </si>
  <si>
    <t xml:space="preserve">Natural ancestry, kinship, shamanic and druidic culture.</t>
  </si>
  <si>
    <t xml:space="preserve">The horse-culture tag is only a loose mobility comparison; tauren are not horse peoples.</t>
  </si>
  <si>
    <t xml:space="preserve">Bovine pastoral-spiritual people.</t>
  </si>
  <si>
    <t xml:space="preserve">ENT-0221</t>
  </si>
  <si>
    <t xml:space="preserve">Forsaken</t>
  </si>
  <si>
    <t xml:space="preserve">Playable undead people</t>
  </si>
  <si>
    <t xml:space="preserve">Self-aware undead communities freed from or resisting prior domination.</t>
  </si>
  <si>
    <t xml:space="preserve">Undeath, retained identity, political community, and contested autonomy.</t>
  </si>
  <si>
    <t xml:space="preserve">They are a people and faction, not generic mindless zombies.</t>
  </si>
  <si>
    <t xml:space="preserve">Post-servitude undead nation.</t>
  </si>
  <si>
    <t xml:space="preserve">ENT-0222</t>
  </si>
  <si>
    <t xml:space="preserve">Draenei</t>
  </si>
  <si>
    <t xml:space="preserve">Playable otherworldly people</t>
  </si>
  <si>
    <t xml:space="preserve">Long-lived eredar exiles associated with the Light, interworld travel, and technological relics.</t>
  </si>
  <si>
    <t xml:space="preserve">Otherworldly ancestry, faith, exile, and advanced artifice.</t>
  </si>
  <si>
    <t xml:space="preserve">They are not angels despite visual and religious associations.</t>
  </si>
  <si>
    <t xml:space="preserve">Exiled celestial-coded alien people.</t>
  </si>
  <si>
    <t xml:space="preserve">ENT-0223</t>
  </si>
  <si>
    <t xml:space="preserve">Pandaren</t>
  </si>
  <si>
    <t xml:space="preserve">Playable beastfolk people</t>
  </si>
  <si>
    <t xml:space="preserve">Panda-featured people with multiple philosophical, martial, and regional traditions.</t>
  </si>
  <si>
    <t xml:space="preserve">Natural ancestry, culture, and history.</t>
  </si>
  <si>
    <t xml:space="preserve">Their presentation mixes comedy, martial philosophy, and serious political history.</t>
  </si>
  <si>
    <t xml:space="preserve">Ursine martial-agrarian people.</t>
  </si>
  <si>
    <t xml:space="preserve">ENT-0224</t>
  </si>
  <si>
    <t xml:space="preserve">Goblins</t>
  </si>
  <si>
    <t xml:space="preserve">Inventive goblin societies shaped by commerce, cartels, engineering, and risk-taking.</t>
  </si>
  <si>
    <t xml:space="preserve">Natural ancestry, economics, technology, and corporate institutions.</t>
  </si>
  <si>
    <t xml:space="preserve">The profit-seeking stereotype is culturally specific and satirical, not biological essence.</t>
  </si>
  <si>
    <t xml:space="preserve">Mercantile industrial goblinoids.</t>
  </si>
  <si>
    <t xml:space="preserve">ENT-0225</t>
  </si>
  <si>
    <t xml:space="preserve">Worgen</t>
  </si>
  <si>
    <t xml:space="preserve">Playable cursed people</t>
  </si>
  <si>
    <t xml:space="preserve">Humans and related sufferers transformed by a controlled or inherited worgen curse.</t>
  </si>
  <si>
    <t xml:space="preserve">Curse, bodily transformation, social identity, and partial control.</t>
  </si>
  <si>
    <t xml:space="preserve">A transformed population rather than an original wolf species.</t>
  </si>
  <si>
    <t xml:space="preserve">Playable werewolf people.</t>
  </si>
  <si>
    <t xml:space="preserve">ENT-0226</t>
  </si>
  <si>
    <t xml:space="preserve">Dracthyr</t>
  </si>
  <si>
    <t xml:space="preserve">Playable engineered draconic people</t>
  </si>
  <si>
    <t xml:space="preserve">Draconic humanoids created with multiple dragonflight powers and a humanoid visage.</t>
  </si>
  <si>
    <t xml:space="preserve">Engineered ancestry, draconic magic, training, and awakening.</t>
  </si>
  <si>
    <t xml:space="preserve">They are distinct from dragonspawn, dragons, and ordinary humanoids.</t>
  </si>
  <si>
    <t xml:space="preserve">Designed draconic caster people.</t>
  </si>
  <si>
    <t xml:space="preserve">ENT-0227</t>
  </si>
  <si>
    <t xml:space="preserve">World of Warcraft class system</t>
  </si>
  <si>
    <t xml:space="preserve">Weapon-and-armor martial class spanning protection and damage specializations.</t>
  </si>
  <si>
    <t xml:space="preserve">Training, rage, equipment, and specialization.</t>
  </si>
  <si>
    <t xml:space="preserve">The class is a rules family, not every soldier in the setting.</t>
  </si>
  <si>
    <t xml:space="preserve">Martial tank/striker class.</t>
  </si>
  <si>
    <t xml:space="preserve">ENT-0228</t>
  </si>
  <si>
    <t xml:space="preserve">Ranged or beast-linked class using weapons, traps, tracking, and animal companions.</t>
  </si>
  <si>
    <t xml:space="preserve">Training, ranged weapons, pets, and specialization.</t>
  </si>
  <si>
    <t xml:space="preserve">The mechanical Hunter includes multiple fictional vocations.</t>
  </si>
  <si>
    <t xml:space="preserve">Ranged striker and pet specialist.</t>
  </si>
  <si>
    <t xml:space="preserve">ENT-0229</t>
  </si>
  <si>
    <t xml:space="preserve">Light- or shadow-oriented spellcasting class with healing and damage specializations.</t>
  </si>
  <si>
    <t xml:space="preserve">Faith, psychic or sacred magic, and specialization.</t>
  </si>
  <si>
    <t xml:space="preserve">The class joins multiple religions under one mechanical framework.</t>
  </si>
  <si>
    <t xml:space="preserve">Sacred healer and shadow caster.</t>
  </si>
  <si>
    <t xml:space="preserve">ENT-0230</t>
  </si>
  <si>
    <t xml:space="preserve">Mage</t>
  </si>
  <si>
    <t xml:space="preserve">Learned arcane class specializing in fire, frost, or arcane magic.</t>
  </si>
  <si>
    <t xml:space="preserve">Study, arcane power, elemental schools, and specialization.</t>
  </si>
  <si>
    <t xml:space="preserve">Not every setting mage uses this three-school structure.</t>
  </si>
  <si>
    <t xml:space="preserve">Elemental/arcane damage caster.</t>
  </si>
  <si>
    <t xml:space="preserve">ENT-0231</t>
  </si>
  <si>
    <t xml:space="preserve">Martial class using chi, brews, mobility, and healing or tank specializations.</t>
  </si>
  <si>
    <t xml:space="preserve">Training, chi traditions, martial technique, and specialization.</t>
  </si>
  <si>
    <t xml:space="preserve">The class is strongly shaped by pandaren institutions but is learnable by many peoples.</t>
  </si>
  <si>
    <t xml:space="preserve">Martial tank/healer/striker hybrid.</t>
  </si>
  <si>
    <t xml:space="preserve">ENT-0232</t>
  </si>
  <si>
    <t xml:space="preserve">Nature-magic class using animal forms, healing, ranged magic, or tanking.</t>
  </si>
  <si>
    <t xml:space="preserve">Nature power, shapeshifting, celestial cycles, and specialization.</t>
  </si>
  <si>
    <t xml:space="preserve">Different playable peoples possess different druidic traditions and forms.</t>
  </si>
  <si>
    <t xml:space="preserve">Multi-role shapeshifting nature caster.</t>
  </si>
  <si>
    <t xml:space="preserve">ENT-0233</t>
  </si>
  <si>
    <t xml:space="preserve">Spirit- and element-mediated class using totems, weapons, healing, and elemental attacks.</t>
  </si>
  <si>
    <t xml:space="preserve">Relationships with elements and spirits, totems, and specialization.</t>
  </si>
  <si>
    <t xml:space="preserve">The class groups culturally distinct traditions under one game label.</t>
  </si>
  <si>
    <t xml:space="preserve">Elemental mediator and hybrid caster.</t>
  </si>
  <si>
    <t xml:space="preserve">ENT-0234</t>
  </si>
  <si>
    <t xml:space="preserve">Fel- and shadow-using class that summons demons and practices dangerous magic.</t>
  </si>
  <si>
    <t xml:space="preserve">Learned forbidden magic, summoned servants, soul resources, and specialization.</t>
  </si>
  <si>
    <t xml:space="preserve">Unlike D&amp;D warlocks, patron contracts are not the defining universal mechanic.</t>
  </si>
  <si>
    <t xml:space="preserve">Demonic summoner and corruption caster.</t>
  </si>
  <si>
    <t xml:space="preserve">ENT-0235</t>
  </si>
  <si>
    <t xml:space="preserve">MEC-112; MEC-101</t>
  </si>
  <si>
    <t xml:space="preserve">Healer; Tank</t>
  </si>
  <si>
    <t xml:space="preserve">Light-using armored class with healing, protection, and damage specializations.</t>
  </si>
  <si>
    <t xml:space="preserve">Faith or Light discipline, armor, weapons, and orders.</t>
  </si>
  <si>
    <t xml:space="preserve">Distinct cultures have different paladin institutions and theologies.</t>
  </si>
  <si>
    <t xml:space="preserve">Multi-role holy knight.</t>
  </si>
  <si>
    <t xml:space="preserve">ENT-0236</t>
  </si>
  <si>
    <t xml:space="preserve">Stealth and precision class using poisons, subterfuge, blades, or outlaw techniques.</t>
  </si>
  <si>
    <t xml:space="preserve">Training, stealth, combo resources, and specialization.</t>
  </si>
  <si>
    <t xml:space="preserve">It includes assassins and swashbucklers without making all rogues criminals.</t>
  </si>
  <si>
    <t xml:space="preserve">Stealth melee specialist.</t>
  </si>
  <si>
    <t xml:space="preserve">ENT-0237</t>
  </si>
  <si>
    <t xml:space="preserve">Death Knight</t>
  </si>
  <si>
    <t xml:space="preserve">Hero class / transformed warrior</t>
  </si>
  <si>
    <t xml:space="preserve">STA-110; ROL-118</t>
  </si>
  <si>
    <t xml:space="preserve">Death-Knight Transformation; Dark Knight and Blackguard</t>
  </si>
  <si>
    <t xml:space="preserve">Runeblade-using undead or death-empowered warrior class originating in coercive necromantic service.</t>
  </si>
  <si>
    <t xml:space="preserve">Undeath or death power, rune weapons, training, and liberation.</t>
  </si>
  <si>
    <t xml:space="preserve">It crosses class, transformed state, and historical military order.</t>
  </si>
  <si>
    <t xml:space="preserve">Playable undead rune knight.</t>
  </si>
  <si>
    <t xml:space="preserve">ENT-0238</t>
  </si>
  <si>
    <t xml:space="preserve">Hero class / transformed hunter</t>
  </si>
  <si>
    <t xml:space="preserve">Martial occult class that internalizes demonic power to fight demons.</t>
  </si>
  <si>
    <t xml:space="preserve">Training, ritual mutation, fel power, mobility, and sacrifice.</t>
  </si>
  <si>
    <t xml:space="preserve">The class embraces controlled corruption rather than remaining metaphysically untouched.</t>
  </si>
  <si>
    <t xml:space="preserve">Self-mutating anti-demon hunter.</t>
  </si>
  <si>
    <t xml:space="preserve">ENT-0239</t>
  </si>
  <si>
    <t xml:space="preserve">Evoker</t>
  </si>
  <si>
    <t xml:space="preserve">Race-linked playable class</t>
  </si>
  <si>
    <t xml:space="preserve">Dracthyr class using combined dragonflight magic for damage, augmentation, or healing.</t>
  </si>
  <si>
    <t xml:space="preserve">Engineered draconic nature, empowered spells, and specialization.</t>
  </si>
  <si>
    <t xml:space="preserve">Initially race-linked and inseparable from dracthyr creation history.</t>
  </si>
  <si>
    <t xml:space="preserve">Draconic multi-school caster.</t>
  </si>
  <si>
    <t xml:space="preserve">ENT-0240</t>
  </si>
  <si>
    <t xml:space="preserve">Humans of the Empire and neighboring realms</t>
  </si>
  <si>
    <t xml:space="preserve">Old World setting</t>
  </si>
  <si>
    <t xml:space="preserve">Human peoples and states</t>
  </si>
  <si>
    <t xml:space="preserve">Multiple human cultures organized into kingdoms, city-states, empires, and religious institutions.</t>
  </si>
  <si>
    <t xml:space="preserve">Natural ancestry, state, religion, and region.</t>
  </si>
  <si>
    <t xml:space="preserve">Warhammer humans are not one class or moral faction.</t>
  </si>
  <si>
    <t xml:space="preserve">Plural late-medieval/early-modern fantasy humanity.</t>
  </si>
  <si>
    <t xml:space="preserve">Games Workshop official Warhammer: The Old World setting and faction pages; detailed unit verification remains edition-specific.</t>
  </si>
  <si>
    <t xml:space="preserve">ENT-0241</t>
  </si>
  <si>
    <t xml:space="preserve">Dwarfs</t>
  </si>
  <si>
    <t xml:space="preserve">Long-lived mountain and hold peoples defined by craft, memory, oaths, and ancestral grievances.</t>
  </si>
  <si>
    <t xml:space="preserve">Natural ancestry, clan/hold culture, engineering, and runes.</t>
  </si>
  <si>
    <t xml:space="preserve">Spelling, metaphysics, and social codes are setting-specific.</t>
  </si>
  <si>
    <t xml:space="preserve">Runic hold-dwarf civilization.</t>
  </si>
  <si>
    <t xml:space="preserve">ENT-0242</t>
  </si>
  <si>
    <t xml:space="preserve">High Elves</t>
  </si>
  <si>
    <t xml:space="preserve">Ulthuan-centered elven civilization with powerful magic, maritime influence, and internal politics.</t>
  </si>
  <si>
    <t xml:space="preserve">Natural ancestry, long life, magic, and state tradition.</t>
  </si>
  <si>
    <t xml:space="preserve">‘High’ denotes a historical-political identity, not objective superiority.</t>
  </si>
  <si>
    <t xml:space="preserve">Arcane maritime high-elf empire.</t>
  </si>
  <si>
    <t xml:space="preserve">ENT-0243</t>
  </si>
  <si>
    <t xml:space="preserve">Wood Elves</t>
  </si>
  <si>
    <t xml:space="preserve">Forest-bound elven societies entangled with Athel Loren's spirits and dangers.</t>
  </si>
  <si>
    <t xml:space="preserve">Ancestry, forest pact, spirit relations, and isolation.</t>
  </si>
  <si>
    <t xml:space="preserve">Not merely benevolent nature guardians.</t>
  </si>
  <si>
    <t xml:space="preserve">Dangerous liminal forest-elf realm.</t>
  </si>
  <si>
    <t xml:space="preserve">ENT-0244</t>
  </si>
  <si>
    <t xml:space="preserve">Dark Elves</t>
  </si>
  <si>
    <t xml:space="preserve">Naggaroth-centered elven civilization shaped by schism, militarism, slavery, and sorcery.</t>
  </si>
  <si>
    <t xml:space="preserve">Shared elven ancestry plus historical and political divergence.</t>
  </si>
  <si>
    <t xml:space="preserve">The label is cultural-political rather than a separate moral biology.</t>
  </si>
  <si>
    <t xml:space="preserve">Cruel exiled elf empire.</t>
  </si>
  <si>
    <t xml:space="preserve">ENT-0245</t>
  </si>
  <si>
    <t xml:space="preserve">Greenskin people</t>
  </si>
  <si>
    <t xml:space="preserve">Large martial greenskins organized through warbands and dominance hierarchies.</t>
  </si>
  <si>
    <t xml:space="preserve">Distinct biology, collective energy, and war culture.</t>
  </si>
  <si>
    <t xml:space="preserve">They are setting-specific fungal-like greenskins, not Tolkien orcs.</t>
  </si>
  <si>
    <t xml:space="preserve">Warband orc people.</t>
  </si>
  <si>
    <t xml:space="preserve">ENT-0246</t>
  </si>
  <si>
    <t xml:space="preserve">Smaller greenskins with varied subterranean, forest, and nomadic societies.</t>
  </si>
  <si>
    <t xml:space="preserve">Distinct biology, cunning, tribes, and ecology.</t>
  </si>
  <si>
    <t xml:space="preserve">They are more varied than a single cowardly minion role.</t>
  </si>
  <si>
    <t xml:space="preserve">Tribal and undercity goblinoids.</t>
  </si>
  <si>
    <t xml:space="preserve">ENT-0247</t>
  </si>
  <si>
    <t xml:space="preserve">Skaven</t>
  </si>
  <si>
    <t xml:space="preserve">Ratlike people</t>
  </si>
  <si>
    <t xml:space="preserve">Numerous ratmen organized through clans, subterranean cities, plague, sorcery, and unstable technology.</t>
  </si>
  <si>
    <t xml:space="preserve">Natural or corruptive ancestry, clan institutions, and warpstone.</t>
  </si>
  <si>
    <t xml:space="preserve">They are a full civilization and apocalyptic threat, not generic beastfolk.</t>
  </si>
  <si>
    <t xml:space="preserve">Paranoid subterranean rat empire.</t>
  </si>
  <si>
    <t xml:space="preserve">ENT-0248</t>
  </si>
  <si>
    <t xml:space="preserve">Lizardmen</t>
  </si>
  <si>
    <t xml:space="preserve">Engineered reptilian peoples</t>
  </si>
  <si>
    <t xml:space="preserve">Multiple reptilian castes created or directed within the Great Plan of the Old Ones.</t>
  </si>
  <si>
    <t xml:space="preserve">Engineered spawning, caste, sacred mission, and ancient cities.</t>
  </si>
  <si>
    <t xml:space="preserve">The umbrella includes distinct kinds such as Slann, Saurus, Skinks, and Kroxigor.</t>
  </si>
  <si>
    <t xml:space="preserve">Designed reptilian temple civilization.</t>
  </si>
  <si>
    <t xml:space="preserve">ENT-0249</t>
  </si>
  <si>
    <t xml:space="preserve">Beastmen</t>
  </si>
  <si>
    <t xml:space="preserve">Mutated beastfolk</t>
  </si>
  <si>
    <t xml:space="preserve">Chaos-tainted humanoid beast peoples organized in herds and hostile to ordered civilization.</t>
  </si>
  <si>
    <t xml:space="preserve">Mutation, birth, Chaos influence, and herd culture.</t>
  </si>
  <si>
    <t xml:space="preserve">They are not equivalent to neutral animal-featured peoples in other settings.</t>
  </si>
  <si>
    <t xml:space="preserve">Corrupted beastfolk warbands.</t>
  </si>
  <si>
    <t xml:space="preserve">ENT-0250</t>
  </si>
  <si>
    <t xml:space="preserve">Daemons of Chaos</t>
  </si>
  <si>
    <t xml:space="preserve">Metaphysical beings</t>
  </si>
  <si>
    <t xml:space="preserve">Manifestations or entities of Chaos associated with distinct gods and emotional-metaphysical forces.</t>
  </si>
  <si>
    <t xml:space="preserve">Warp/Chaos substance, summoning, and patron alignment.</t>
  </si>
  <si>
    <t xml:space="preserve">They are not necessarily biological species or Christian demons.</t>
  </si>
  <si>
    <t xml:space="preserve">Emotion-fed chaos entities.</t>
  </si>
  <si>
    <t xml:space="preserve">ENT-0251</t>
  </si>
  <si>
    <t xml:space="preserve">Chaos Warriors</t>
  </si>
  <si>
    <t xml:space="preserve">Transformed martial elite</t>
  </si>
  <si>
    <t xml:space="preserve">Mortals empowered, mutated, and armored through devotion to Chaos.</t>
  </si>
  <si>
    <t xml:space="preserve">Patronage, corruption, mutation, martial training, and gifts.</t>
  </si>
  <si>
    <t xml:space="preserve">They cross profession, religious allegiance, and transformed state.</t>
  </si>
  <si>
    <t xml:space="preserve">Patron-corrupted dark champions.</t>
  </si>
  <si>
    <t xml:space="preserve">ENT-0252</t>
  </si>
  <si>
    <t xml:space="preserve">Vampire Counts</t>
  </si>
  <si>
    <t xml:space="preserve">Undead aristocracy and polity</t>
  </si>
  <si>
    <t xml:space="preserve">Vampiric lords ruling or commanding undead hosts through bloodline and necromancy.</t>
  </si>
  <si>
    <t xml:space="preserve">Vampirism, aristocratic lineage, necromancy, and state power.</t>
  </si>
  <si>
    <t xml:space="preserve">Different bloodlines have different cultures and capabilities.</t>
  </si>
  <si>
    <t xml:space="preserve">Vampire aristocracy and undead realm.</t>
  </si>
  <si>
    <t xml:space="preserve">ENT-0253</t>
  </si>
  <si>
    <t xml:space="preserve">Tomb Kings</t>
  </si>
  <si>
    <t xml:space="preserve">Undead civilization</t>
  </si>
  <si>
    <t xml:space="preserve">Ancient Nehekharan rulers, soldiers, and subjects returned in preserved undead forms.</t>
  </si>
  <si>
    <t xml:space="preserve">Necromantic catastrophe, funerary ritual, dynastic identity, and tomb cult.</t>
  </si>
  <si>
    <t xml:space="preserve">They retain civilizational identity rather than functioning as generic necromancer puppets.</t>
  </si>
  <si>
    <t xml:space="preserve">Self-aware funerary undead kingdom.</t>
  </si>
  <si>
    <t xml:space="preserve">ENT-0254</t>
  </si>
  <si>
    <t xml:space="preserve">Ogre Kingdoms</t>
  </si>
  <si>
    <t xml:space="preserve">Ogre people and polity</t>
  </si>
  <si>
    <t xml:space="preserve">Large, hunger-centered peoples organized in tribes, kingdoms, mercenary bands, and trade networks.</t>
  </si>
  <si>
    <t xml:space="preserve">Natural ancestry, appetite, kinship, ecology, and migration.</t>
  </si>
  <si>
    <t xml:space="preserve">The setting satirizes appetite and violence but still depicts a society.</t>
  </si>
  <si>
    <t xml:space="preserve">Mobile ogre civilization.</t>
  </si>
  <si>
    <t xml:space="preserve">ENT-0255</t>
  </si>
  <si>
    <t xml:space="preserve">Witch Hunter</t>
  </si>
  <si>
    <t xml:space="preserve">Religious-legal martial role</t>
  </si>
  <si>
    <t xml:space="preserve">Investigators and executioners combating heresy, cults, undead, and forbidden magic.</t>
  </si>
  <si>
    <t xml:space="preserve">Institutional authority, faith, weapons, investigation, and fear.</t>
  </si>
  <si>
    <t xml:space="preserve">The archetype is morally ambiguous and prone to persecution.</t>
  </si>
  <si>
    <t xml:space="preserve">Occult investigator and inquisitorial hunter.</t>
  </si>
  <si>
    <t xml:space="preserve">ENT-0256</t>
  </si>
  <si>
    <t xml:space="preserve">Dwarf Slayer</t>
  </si>
  <si>
    <t xml:space="preserve">Oath-bound martial state</t>
  </si>
  <si>
    <t xml:space="preserve">Dwarfs who take a death-seeking oath to redeem perceived dishonor through impossible combat.</t>
  </si>
  <si>
    <t xml:space="preserve">Oath, shame, martial specialization, and social transformation.</t>
  </si>
  <si>
    <t xml:space="preserve">‘Slayer’ is an identity and condition, not only a monster-killing skill.</t>
  </si>
  <si>
    <t xml:space="preserve">Oath-bound doomed berserker.</t>
  </si>
  <si>
    <t xml:space="preserve">ENT-0257</t>
  </si>
  <si>
    <t xml:space="preserve">Grail Knight</t>
  </si>
  <si>
    <t xml:space="preserve">Sacred knightly elite</t>
  </si>
  <si>
    <t xml:space="preserve">Bretonnian knights transformed or blessed through attainment of the Grail quest.</t>
  </si>
  <si>
    <t xml:space="preserve">Chivalric quest, divine favor, lineage, and martial training.</t>
  </si>
  <si>
    <t xml:space="preserve">The role is embedded in a specific feudal and religious ideology.</t>
  </si>
  <si>
    <t xml:space="preserve">Quest-completed holy knight.</t>
  </si>
  <si>
    <t xml:space="preserve">ENT-0258</t>
  </si>
  <si>
    <t xml:space="preserve">Battle Wizard</t>
  </si>
  <si>
    <t xml:space="preserve">Licensed combat mage</t>
  </si>
  <si>
    <t xml:space="preserve">Formally trained human magic user associated with a particular magical wind and imperial college.</t>
  </si>
  <si>
    <t xml:space="preserve">Education, licensing, magical wind, and military service.</t>
  </si>
  <si>
    <t xml:space="preserve">Institutional control and specialized schools are central.</t>
  </si>
  <si>
    <t xml:space="preserve">State-regulated elemental battlemage.</t>
  </si>
  <si>
    <t xml:space="preserve">ENT-0259</t>
  </si>
  <si>
    <t xml:space="preserve">Warrior Priest</t>
  </si>
  <si>
    <t xml:space="preserve">Martial religious role</t>
  </si>
  <si>
    <t xml:space="preserve">Armored clergy who combine preaching, combat, and divine battle prayers.</t>
  </si>
  <si>
    <t xml:space="preserve">Faith, ordination, weapon training, and miracles.</t>
  </si>
  <si>
    <t xml:space="preserve">Unlike a generic paladin, the priestly office is explicit.</t>
  </si>
  <si>
    <t xml:space="preserve">Militant cleric and morale leader.</t>
  </si>
  <si>
    <t xml:space="preserve">ENT-0260</t>
  </si>
  <si>
    <t xml:space="preserve">Forbidden caster</t>
  </si>
  <si>
    <t xml:space="preserve">Mortal or undead-associated practitioners who animate and command the dead.</t>
  </si>
  <si>
    <t xml:space="preserve">Learned forbidden magic, corpses, souls, and corruption.</t>
  </si>
  <si>
    <t xml:space="preserve">Necromancy's cosmological source and legal status are setting-specific.</t>
  </si>
  <si>
    <t xml:space="preserve">Army-raising death mage.</t>
  </si>
  <si>
    <t xml:space="preserve">ENT-0261</t>
  </si>
  <si>
    <t xml:space="preserve">Manga/anime continuity</t>
  </si>
  <si>
    <t xml:space="preserve">Short-lived mortal people whose generational change is central to the story's time scale.</t>
  </si>
  <si>
    <t xml:space="preserve">Natural ancestry and mortality.</t>
  </si>
  <si>
    <t xml:space="preserve">Their brevity relative to elves shapes memory and relationships more than a mechanical race trait.</t>
  </si>
  <si>
    <t xml:space="preserve">Mortality-contrast human archetype.</t>
  </si>
  <si>
    <t xml:space="preserve">Primary manga/anime continuity; secondary orientation source.</t>
  </si>
  <si>
    <t xml:space="preserve">ENT-0262</t>
  </si>
  <si>
    <t xml:space="preserve">Elves</t>
  </si>
  <si>
    <t xml:space="preserve">Extremely long-lived and rare people with different experiences of time, memory, and reproduction.</t>
  </si>
  <si>
    <t xml:space="preserve">Natural ancestry and longevity.</t>
  </si>
  <si>
    <t xml:space="preserve">The work uses longevity for emotional and historical analysis rather than generic superiority.</t>
  </si>
  <si>
    <t xml:space="preserve">Post-adventure immortal elf archetype.</t>
  </si>
  <si>
    <t xml:space="preserve">ENT-0263</t>
  </si>
  <si>
    <t xml:space="preserve">Long-lived nonhuman people associated with martial endurance and enduring memory.</t>
  </si>
  <si>
    <t xml:space="preserve">They are less central as a monocultural craft stereotype.</t>
  </si>
  <si>
    <t xml:space="preserve">Long-lived warrior dwarf analogue.</t>
  </si>
  <si>
    <t xml:space="preserve">ENT-0264</t>
  </si>
  <si>
    <t xml:space="preserve">Nonhuman predatory people</t>
  </si>
  <si>
    <t xml:space="preserve">Language-using beings whose communication can function as predatory mimicry rather than shared human morality.</t>
  </si>
  <si>
    <t xml:space="preserve">Innate magical nature, predation, and learned speech.</t>
  </si>
  <si>
    <t xml:space="preserve">Their ontology is species-like and differs from fallen spirits or corrupted humans.</t>
  </si>
  <si>
    <t xml:space="preserve">Predatory language-mimic demon archetype.</t>
  </si>
  <si>
    <t xml:space="preserve">ENT-0265</t>
  </si>
  <si>
    <t xml:space="preserve">Magical profession</t>
  </si>
  <si>
    <t xml:space="preserve">Trained spell users whose careers involve study, collecting spells, combat, and certification.</t>
  </si>
  <si>
    <t xml:space="preserve">Aptitude, study, mana control, spell acquisition, and institutions.</t>
  </si>
  <si>
    <t xml:space="preserve">Everyday utility spells matter alongside combat magic.</t>
  </si>
  <si>
    <t xml:space="preserve">Scholar-adventurer mage.</t>
  </si>
  <si>
    <t xml:space="preserve">ENT-0266</t>
  </si>
  <si>
    <t xml:space="preserve">First-class mage</t>
  </si>
  <si>
    <t xml:space="preserve">Professional rank</t>
  </si>
  <si>
    <t xml:space="preserve">A high certification rank granted through institutional examination and judgment.</t>
  </si>
  <si>
    <t xml:space="preserve">Exams, reputation, skill, and organizational authority.</t>
  </si>
  <si>
    <t xml:space="preserve">It is a rank layered onto the mage vocation, not a separate species or power source.</t>
  </si>
  <si>
    <t xml:space="preserve">Elite professional mage certification.</t>
  </si>
  <si>
    <t xml:space="preserve">ENT-0267</t>
  </si>
  <si>
    <t xml:space="preserve">Religious adventuring role</t>
  </si>
  <si>
    <t xml:space="preserve">Clerical spell users providing healing, purification, support, and religious knowledge.</t>
  </si>
  <si>
    <t xml:space="preserve">Faith, training, sacred magic, and party role.</t>
  </si>
  <si>
    <t xml:space="preserve">The title combines social vocation and mechanical-style adventuring function.</t>
  </si>
  <si>
    <t xml:space="preserve">Healer-exorcist party role.</t>
  </si>
  <si>
    <t xml:space="preserve">ENT-0268</t>
  </si>
  <si>
    <t xml:space="preserve">Martial adventuring role</t>
  </si>
  <si>
    <t xml:space="preserve">Frontline weapon specialists valued for physical capability, courage, and monster combat.</t>
  </si>
  <si>
    <t xml:space="preserve">Training, physique, equipment, and experience.</t>
  </si>
  <si>
    <t xml:space="preserve">The role is socially legible but not a formal universal class system.</t>
  </si>
  <si>
    <t xml:space="preserve">Frontline adventurer.</t>
  </si>
  <si>
    <t xml:space="preserve">ENT-0269</t>
  </si>
  <si>
    <t xml:space="preserve">Hero party</t>
  </si>
  <si>
    <t xml:space="preserve">Adventuring institution / narrative formation</t>
  </si>
  <si>
    <t xml:space="preserve">A small mixed-role fellowship remembered for defeating the Demon King.</t>
  </si>
  <si>
    <t xml:space="preserve">Complementary roles, shared quest, reputation, and memory.</t>
  </si>
  <si>
    <t xml:space="preserve">The party's afterlife and remembrance are as important as its combat composition.</t>
  </si>
  <si>
    <t xml:space="preserve">Post-quest legendary party archetype.</t>
  </si>
  <si>
    <t xml:space="preserve">ENT-0270</t>
  </si>
  <si>
    <t xml:space="preserve">Tall-men</t>
  </si>
  <si>
    <t xml:space="preserve">The setting's ordinary humanlike people, named comparatively among multiple humanoid peoples.</t>
  </si>
  <si>
    <t xml:space="preserve">The label is relational and setting-specific rather than a universal human category.</t>
  </si>
  <si>
    <t xml:space="preserve">Human baseline in a multi-people setting.</t>
  </si>
  <si>
    <t xml:space="preserve">ENT-0271</t>
  </si>
  <si>
    <t xml:space="preserve">Long-lived people with powerful states, magic, and varied social positions.</t>
  </si>
  <si>
    <t xml:space="preserve">Natural ancestry, longevity, culture, and institutions.</t>
  </si>
  <si>
    <t xml:space="preserve">The series foregrounds biological and political differences without treating all elves as one personality.</t>
  </si>
  <si>
    <t xml:space="preserve">Long-lived imperial elf analogue.</t>
  </si>
  <si>
    <t xml:space="preserve">ENT-0272</t>
  </si>
  <si>
    <t xml:space="preserve">Robust long-lived people with distinct physiology, history, and cultural variation.</t>
  </si>
  <si>
    <t xml:space="preserve">Diet, sensory assumptions, and individual backgrounds complicate stock dwarf traits.</t>
  </si>
  <si>
    <t xml:space="preserve">Physiologically distinct dwarf people.</t>
  </si>
  <si>
    <t xml:space="preserve">ENT-0273</t>
  </si>
  <si>
    <t xml:space="preserve">Halffoots</t>
  </si>
  <si>
    <t xml:space="preserve">Small-statured people with shorter life spans and social stereotypes around traps and theft.</t>
  </si>
  <si>
    <t xml:space="preserve">Natural ancestry and social history.</t>
  </si>
  <si>
    <t xml:space="preserve">Occupational stereotyping is explicitly separable from ancestry.</t>
  </si>
  <si>
    <t xml:space="preserve">Smallfolk labor-specialization critique.</t>
  </si>
  <si>
    <t xml:space="preserve">ENT-0274</t>
  </si>
  <si>
    <t xml:space="preserve">A distinct small people with their own magical and cultural tendencies.</t>
  </si>
  <si>
    <t xml:space="preserve">Natural ancestry, culture, and magic.</t>
  </si>
  <si>
    <t xml:space="preserve">They are not interchangeable with halffoots or dwarves.</t>
  </si>
  <si>
    <t xml:space="preserve">Small magical people.</t>
  </si>
  <si>
    <t xml:space="preserve">ENT-0275</t>
  </si>
  <si>
    <t xml:space="preserve">Displaced or marginalized people with communities and political grievances around dungeon territories.</t>
  </si>
  <si>
    <t xml:space="preserve">Natural ancestry, culture, and historical conflict.</t>
  </si>
  <si>
    <t xml:space="preserve">The work resists treating orcs as faceless monster mobs.</t>
  </si>
  <si>
    <t xml:space="preserve">Marginalized orc society.</t>
  </si>
  <si>
    <t xml:space="preserve">ENT-0276</t>
  </si>
  <si>
    <t xml:space="preserve">Kobolds</t>
  </si>
  <si>
    <t xml:space="preserve">Canine-featured people</t>
  </si>
  <si>
    <t xml:space="preserve">Doglike humanoid people with distinct physiology and culture.</t>
  </si>
  <si>
    <t xml:space="preserve">The name differs from reptilian kobolds in some games and folklore mine spirits.</t>
  </si>
  <si>
    <t xml:space="preserve">Canine kobold people.</t>
  </si>
  <si>
    <t xml:space="preserve">ENT-0277</t>
  </si>
  <si>
    <t xml:space="preserve">Ogres</t>
  </si>
  <si>
    <t xml:space="preserve">Large humanoid people with their own social identities.</t>
  </si>
  <si>
    <t xml:space="preserve">Size does not make them mindless monsters.</t>
  </si>
  <si>
    <t xml:space="preserve">Playable-style ogre people.</t>
  </si>
  <si>
    <t xml:space="preserve">ENT-0278</t>
  </si>
  <si>
    <t xml:space="preserve">Dungeon adventuring parties</t>
  </si>
  <si>
    <t xml:space="preserve">Social and occupational formation</t>
  </si>
  <si>
    <t xml:space="preserve">Small teams combining combat, magic, traps, logistics, cooking, and rescue skills.</t>
  </si>
  <si>
    <t xml:space="preserve">Complementary expertise, contracts, supplies, and trust.</t>
  </si>
  <si>
    <t xml:space="preserve">Food, ecology, and logistics are treated as core competencies rather than background flavor.</t>
  </si>
  <si>
    <t xml:space="preserve">Ecological dungeon expedition team.</t>
  </si>
  <si>
    <t xml:space="preserve">ENT-0279</t>
  </si>
  <si>
    <t xml:space="preserve">Dungeon ecosystem</t>
  </si>
  <si>
    <t xml:space="preserve">Environmental-civilizational system</t>
  </si>
  <si>
    <t xml:space="preserve">A magical dungeon functioning as habitat, economy, food web, ruin, and political object.</t>
  </si>
  <si>
    <t xml:space="preserve">Magic, ecology, resource cycles, monsters, and governance.</t>
  </si>
  <si>
    <t xml:space="preserve">The dungeon is not merely a sequence of combat rooms.</t>
  </si>
  <si>
    <t xml:space="preserve">Integrated dungeon ecology archetype.</t>
  </si>
  <si>
    <t xml:space="preserve">ENT-0280</t>
  </si>
  <si>
    <t xml:space="preserve">Human mercenaries</t>
  </si>
  <si>
    <t xml:space="preserve">Manga continuity</t>
  </si>
  <si>
    <t xml:space="preserve">Martial profession</t>
  </si>
  <si>
    <t xml:space="preserve">Professional soldiers organized into bands amid chronic warfare.</t>
  </si>
  <si>
    <t xml:space="preserve">Training, contracts, reputation, equipment, and loyalty.</t>
  </si>
  <si>
    <t xml:space="preserve">Mercenary life is a social economy, not only a combat class.</t>
  </si>
  <si>
    <t xml:space="preserve">Wandering warband archetype.</t>
  </si>
  <si>
    <t xml:space="preserve">Primary manga continuity; secondary orientation source.</t>
  </si>
  <si>
    <t xml:space="preserve">ENT-0281</t>
  </si>
  <si>
    <t xml:space="preserve">Apostles</t>
  </si>
  <si>
    <t xml:space="preserve">Transformed monsters</t>
  </si>
  <si>
    <t xml:space="preserve">Humans transformed through sacrificial supernatural bargains into monstrous forms.</t>
  </si>
  <si>
    <t xml:space="preserve">Artifact-mediated pact, sacrifice, desire, and transformation.</t>
  </si>
  <si>
    <t xml:space="preserve">They retain individual identity and history despite monstrous ontology.</t>
  </si>
  <si>
    <t xml:space="preserve">Pact-transformed elite monster.</t>
  </si>
  <si>
    <t xml:space="preserve">ENT-0282</t>
  </si>
  <si>
    <t xml:space="preserve">God Hand</t>
  </si>
  <si>
    <t xml:space="preserve">Metaphysical ruling beings</t>
  </si>
  <si>
    <t xml:space="preserve">A small group of transcendent beings connected to causality, sacrifice, and the astral world.</t>
  </si>
  <si>
    <t xml:space="preserve">Transformation, metaphysical office, causality, and ritual.</t>
  </si>
  <si>
    <t xml:space="preserve">Their exact ontology should not be equated automatically with conventional devils.</t>
  </si>
  <si>
    <t xml:space="preserve">Cosmic archfiend council.</t>
  </si>
  <si>
    <t xml:space="preserve">ENT-0283</t>
  </si>
  <si>
    <t xml:space="preserve">Witches</t>
  </si>
  <si>
    <t xml:space="preserve">Magical vocation</t>
  </si>
  <si>
    <t xml:space="preserve">Practitioners who interact with astral beings and natural spiritual domains.</t>
  </si>
  <si>
    <t xml:space="preserve">Training, spirit mediation, ritual, and elemental relationships.</t>
  </si>
  <si>
    <t xml:space="preserve">The tradition differs from persecuted diabolical-witch stereotypes.</t>
  </si>
  <si>
    <t xml:space="preserve">Astral spirit witch.</t>
  </si>
  <si>
    <t xml:space="preserve">ENT-0284</t>
  </si>
  <si>
    <t xml:space="preserve">Berserker Armor</t>
  </si>
  <si>
    <t xml:space="preserve">Cursed artifact bond</t>
  </si>
  <si>
    <t xml:space="preserve">An armor that suppresses bodily limits while intensifying destructive combat and self-harm.</t>
  </si>
  <si>
    <t xml:space="preserve">Artifact bond, pain suppression, rage, and bodily cost.</t>
  </si>
  <si>
    <t xml:space="preserve">The power is inseparable from injury, loss of control, and psychological danger.</t>
  </si>
  <si>
    <t xml:space="preserve">Costly berserk artifact.</t>
  </si>
  <si>
    <t xml:space="preserve">ENT-0285</t>
  </si>
  <si>
    <t xml:space="preserve">Brand of Sacrifice</t>
  </si>
  <si>
    <t xml:space="preserve">Cursed mark</t>
  </si>
  <si>
    <t xml:space="preserve">A supernatural brand marking victims of sacrificial ritual and drawing hostile entities.</t>
  </si>
  <si>
    <t xml:space="preserve">Ritual sacrifice, metaphysical designation, and curse.</t>
  </si>
  <si>
    <t xml:space="preserve">It is not a voluntary power-up or ordinary heraldic mark.</t>
  </si>
  <si>
    <t xml:space="preserve">Predatory sacrificial curse.</t>
  </si>
  <si>
    <t xml:space="preserve">ENT-0286</t>
  </si>
  <si>
    <t xml:space="preserve">Astral beings</t>
  </si>
  <si>
    <t xml:space="preserve">Spirits and otherworldly beings</t>
  </si>
  <si>
    <t xml:space="preserve">A broad range of entities inhabiting interpenetrating layers of reality.</t>
  </si>
  <si>
    <t xml:space="preserve">Metaphysical ecology, belief, place, and manifestation.</t>
  </si>
  <si>
    <t xml:space="preserve">The category contains benign, neutral, and hostile beings rather than one race.</t>
  </si>
  <si>
    <t xml:space="preserve">Layered spirit-world ecology.</t>
  </si>
  <si>
    <t xml:space="preserve">ENT-0287</t>
  </si>
  <si>
    <t xml:space="preserve">Manga/anime core continuity</t>
  </si>
  <si>
    <t xml:space="preserve">Technical magical profession</t>
  </si>
  <si>
    <t xml:space="preserve">A practitioner who analyzes and rearranges matter through transmutation arrays and learned principles.</t>
  </si>
  <si>
    <t xml:space="preserve">Study, symbolic technique, material understanding, and equivalent exchange.</t>
  </si>
  <si>
    <t xml:space="preserve">Alchemy is a disciplined technical system rather than potion-making alone.</t>
  </si>
  <si>
    <t xml:space="preserve">Rule-bound transmutation mage.</t>
  </si>
  <si>
    <t xml:space="preserve">Primary manga/anime continuities; adaptation differences require separate verification.</t>
  </si>
  <si>
    <t xml:space="preserve">ENT-0288</t>
  </si>
  <si>
    <t xml:space="preserve">State Alchemist</t>
  </si>
  <si>
    <t xml:space="preserve">State-certified combat scholar</t>
  </si>
  <si>
    <t xml:space="preserve">An alchemist licensed and employed by the military state, often with a specialized research identity.</t>
  </si>
  <si>
    <t xml:space="preserve">Certification, state patronage, research, and combat service.</t>
  </si>
  <si>
    <t xml:space="preserve">It is an office layered onto alchemical vocation, not a separate ancestry.</t>
  </si>
  <si>
    <t xml:space="preserve">State mage and military researcher.</t>
  </si>
  <si>
    <t xml:space="preserve">ENT-0289</t>
  </si>
  <si>
    <t xml:space="preserve">Artificial beings</t>
  </si>
  <si>
    <t xml:space="preserve">Artificial or transformed humanoid beings tied to philosopher's-stone power and named identities.</t>
  </si>
  <si>
    <t xml:space="preserve">Artificial creation, stored souls, regeneration, and symbolic design.</t>
  </si>
  <si>
    <t xml:space="preserve">Their origin differs between adaptations and must be continuity-stamped.</t>
  </si>
  <si>
    <t xml:space="preserve">Soul-powered artificial person.</t>
  </si>
  <si>
    <t xml:space="preserve">ENT-0290</t>
  </si>
  <si>
    <t xml:space="preserve">Engineered hybrids</t>
  </si>
  <si>
    <t xml:space="preserve">Organisms created by alchemically combining species, sometimes including humans.</t>
  </si>
  <si>
    <t xml:space="preserve">Alchemy, biological fusion, coercion, and experimentation.</t>
  </si>
  <si>
    <t xml:space="preserve">The category raises personhood and consent issues rather than serving only as a monster type.</t>
  </si>
  <si>
    <t xml:space="preserve">Engineered hybrid-being archetype.</t>
  </si>
  <si>
    <t xml:space="preserve">ENT-0291</t>
  </si>
  <si>
    <t xml:space="preserve">Automail users</t>
  </si>
  <si>
    <t xml:space="preserve">Technological augmentation state</t>
  </si>
  <si>
    <t xml:space="preserve">People using sophisticated prosthetic limbs integrated with the body.</t>
  </si>
  <si>
    <t xml:space="preserve">Engineering, surgery, maintenance, and personal adaptation.</t>
  </si>
  <si>
    <t xml:space="preserve">Automail is technology and disability accommodation, not magic ancestry.</t>
  </si>
  <si>
    <t xml:space="preserve">Fantasy-industrial cyborg augmentation.</t>
  </si>
  <si>
    <t xml:space="preserve">ENT-0292</t>
  </si>
  <si>
    <t xml:space="preserve">Philosopher's Stone</t>
  </si>
  <si>
    <t xml:space="preserve">Artifact and power resource</t>
  </si>
  <si>
    <t xml:space="preserve">A power-amplifying alchemical object whose production is tied to profound moral cost.</t>
  </si>
  <si>
    <t xml:space="preserve">Stored lives or souls, ritual production, and transmutation amplification.</t>
  </si>
  <si>
    <t xml:space="preserve">Its ethical mechanism matters more than generic 'ultimate item' status.</t>
  </si>
  <si>
    <t xml:space="preserve">Sacrificial power battery.</t>
  </si>
  <si>
    <t xml:space="preserve">ENT-0293</t>
  </si>
  <si>
    <t xml:space="preserve">Equivalent exchange</t>
  </si>
  <si>
    <t xml:space="preserve">Power-system principle</t>
  </si>
  <si>
    <t xml:space="preserve">A stated alchemical principle that transformations require material or energetic cost, later complicated by hidden inputs.</t>
  </si>
  <si>
    <t xml:space="preserve">System law, material balance, and concealed sacrifice.</t>
  </si>
  <si>
    <t xml:space="preserve">It is both a rule and an ideological proposition tested by the narrative.</t>
  </si>
  <si>
    <t xml:space="preserve">Cost-governed magic law.</t>
  </si>
  <si>
    <t xml:space="preserve">ENT-0294</t>
  </si>
  <si>
    <t xml:space="preserve">Humanoid races</t>
  </si>
  <si>
    <t xml:space="preserve">Light-novel/anime continuity</t>
  </si>
  <si>
    <t xml:space="preserve">Game-derived people category</t>
  </si>
  <si>
    <t xml:space="preserve">A broad in-world and inherited game category covering humans and similar peoples.</t>
  </si>
  <si>
    <t xml:space="preserve">Natural ancestry plus imported game taxonomy.</t>
  </si>
  <si>
    <t xml:space="preserve">It is a supercategory, not one species or culture.</t>
  </si>
  <si>
    <t xml:space="preserve">Game-ontology humanoid category.</t>
  </si>
  <si>
    <t xml:space="preserve">Primary light-novel/anime continuity; secondary orientation source.</t>
  </si>
  <si>
    <t xml:space="preserve">ENT-0295</t>
  </si>
  <si>
    <t xml:space="preserve">Heteromorphic races</t>
  </si>
  <si>
    <t xml:space="preserve">Game-derived being category</t>
  </si>
  <si>
    <t xml:space="preserve">A broad category for nonhuman forms such as undead, demons, slimes, and other monster-like player races.</t>
  </si>
  <si>
    <t xml:space="preserve">Race-level progression and imported game ontology.</t>
  </si>
  <si>
    <t xml:space="preserve">The category groups radically different ontologies for rules purposes.</t>
  </si>
  <si>
    <t xml:space="preserve">Monster-race supercategory.</t>
  </si>
  <si>
    <t xml:space="preserve">ENT-0296</t>
  </si>
  <si>
    <t xml:space="preserve">Ainz Ooal Gown / Momonga</t>
  </si>
  <si>
    <t xml:space="preserve">Undead ruler and build</t>
  </si>
  <si>
    <t xml:space="preserve">ROL-722; NAR-130</t>
  </si>
  <si>
    <t xml:space="preserve">Dungeon Lord; Overpowered Protagonist</t>
  </si>
  <si>
    <t xml:space="preserve">An undead magic-caster character whose identity combines racial levels, job levels, guild history, and rulership.</t>
  </si>
  <si>
    <t xml:space="preserve">Game build, transported embodiment, artifacts, and institutional authority.</t>
  </si>
  <si>
    <t xml:space="preserve">The entry demonstrates why character, race, class, and narrative role must remain separate axes.</t>
  </si>
  <si>
    <t xml:space="preserve">Isekai lich-overlord composite.</t>
  </si>
  <si>
    <t xml:space="preserve">ENT-0297</t>
  </si>
  <si>
    <t xml:space="preserve">Great Tomb of Nazarick</t>
  </si>
  <si>
    <t xml:space="preserve">Dungeon polity</t>
  </si>
  <si>
    <t xml:space="preserve">A fortified dungeon complex functioning as home, state, military organization, and sacred legacy.</t>
  </si>
  <si>
    <t xml:space="preserve">Constructed environment, NPC communities, guild inheritance, and hierarchy.</t>
  </si>
  <si>
    <t xml:space="preserve">It is more than an adventuring site; it is a sovereign society.</t>
  </si>
  <si>
    <t xml:space="preserve">Dungeon-state archetype.</t>
  </si>
  <si>
    <t xml:space="preserve">ENT-0298</t>
  </si>
  <si>
    <t xml:space="preserve">Floor Guardians</t>
  </si>
  <si>
    <t xml:space="preserve">Institutional office and created beings</t>
  </si>
  <si>
    <t xml:space="preserve">Powerful created residents assigned command and protection of dungeon floors.</t>
  </si>
  <si>
    <t xml:space="preserve">Created identity, office, loyalty programming, and personal development.</t>
  </si>
  <si>
    <t xml:space="preserve">The title is an office shared by beings of very different races and classes.</t>
  </si>
  <si>
    <t xml:space="preserve">Created elite guardian caste.</t>
  </si>
  <si>
    <t xml:space="preserve">ENT-0299</t>
  </si>
  <si>
    <t xml:space="preserve">Racial levels</t>
  </si>
  <si>
    <t xml:space="preserve">Progression levels attached to being type or evolutionary race branches.</t>
  </si>
  <si>
    <t xml:space="preserve">Imported game rules, prerequisites, and transformations.</t>
  </si>
  <si>
    <t xml:space="preserve">Being ontology is mechanically leveled rather than fixed only at birth.</t>
  </si>
  <si>
    <t xml:space="preserve">Race-as-progression system.</t>
  </si>
  <si>
    <t xml:space="preserve">ENT-0300</t>
  </si>
  <si>
    <t xml:space="preserve">Job levels</t>
  </si>
  <si>
    <t xml:space="preserve">Stacked occupational or power classes composing a character build.</t>
  </si>
  <si>
    <t xml:space="preserve">Level allocation, prerequisites, synergies, and imported rules.</t>
  </si>
  <si>
    <t xml:space="preserve">A build can contain many classes that do not map neatly to daily professions.</t>
  </si>
  <si>
    <t xml:space="preserve">Layered multiclass job build.</t>
  </si>
  <si>
    <t xml:space="preserve">ENT-0301</t>
  </si>
  <si>
    <t xml:space="preserve">Hunters</t>
  </si>
  <si>
    <t xml:space="preserve">Web-novel/manhwa/anime continuity</t>
  </si>
  <si>
    <t xml:space="preserve">Awakened profession</t>
  </si>
  <si>
    <t xml:space="preserve">People with supernatural abilities licensed and ranked to confront gates and dungeons.</t>
  </si>
  <si>
    <t xml:space="preserve">Awakening, innate capacity, certification, teams, and economy.</t>
  </si>
  <si>
    <t xml:space="preserve">Hunter is a regulated social profession and power category, not simply someone who hunts animals.</t>
  </si>
  <si>
    <t xml:space="preserve">Ranked supernatural responder.</t>
  </si>
  <si>
    <t xml:space="preserve">Primary web-novel/manhwa/anime continuities; adaptation differences require verification.</t>
  </si>
  <si>
    <t xml:space="preserve">ENT-0302</t>
  </si>
  <si>
    <t xml:space="preserve">Hunter associations</t>
  </si>
  <si>
    <t xml:space="preserve">Regulatory institution</t>
  </si>
  <si>
    <t xml:space="preserve">Organizations that register, rank, deploy, and regulate hunters.</t>
  </si>
  <si>
    <t xml:space="preserve">Bureaucracy, testing, law, and gate management.</t>
  </si>
  <si>
    <t xml:space="preserve">National institutions vary and interact with private guilds.</t>
  </si>
  <si>
    <t xml:space="preserve">Superhuman professional regulator.</t>
  </si>
  <si>
    <t xml:space="preserve">ENT-0303</t>
  </si>
  <si>
    <t xml:space="preserve">Hunter guilds</t>
  </si>
  <si>
    <t xml:space="preserve">Professional combat guild</t>
  </si>
  <si>
    <t xml:space="preserve">Private organizations assembling ranked hunters for raids and economic competition.</t>
  </si>
  <si>
    <t xml:space="preserve">Contracts, teams, capital, reputation, and resource extraction.</t>
  </si>
  <si>
    <t xml:space="preserve">They resemble corporations and raid organizations more than medieval craft guilds.</t>
  </si>
  <si>
    <t xml:space="preserve">Commercial raid guild.</t>
  </si>
  <si>
    <t xml:space="preserve">ENT-0304</t>
  </si>
  <si>
    <t xml:space="preserve">Gates and dungeon economy</t>
  </si>
  <si>
    <t xml:space="preserve">Resource and crisis system</t>
  </si>
  <si>
    <t xml:space="preserve">Portals create dangerous raid spaces whose monsters and resources reshape economies and security.</t>
  </si>
  <si>
    <t xml:space="preserve">Portal events, timed crises, loot, licensing, and teams.</t>
  </si>
  <si>
    <t xml:space="preserve">Dungeons are external incursions and economic sites, not ordinary ruins.</t>
  </si>
  <si>
    <t xml:space="preserve">Portal-crisis extraction economy.</t>
  </si>
  <si>
    <t xml:space="preserve">ENT-0305</t>
  </si>
  <si>
    <t xml:space="preserve">System user</t>
  </si>
  <si>
    <t xml:space="preserve">Exclusive progression role</t>
  </si>
  <si>
    <t xml:space="preserve">A character granted explicit game-like quests, levels, statistics, inventory, and growth.</t>
  </si>
  <si>
    <t xml:space="preserve">External interface, quests, rewards, and exceptional progression.</t>
  </si>
  <si>
    <t xml:space="preserve">The system creates an asymmetry with normally fixed hunter ranks.</t>
  </si>
  <si>
    <t xml:space="preserve">Diegetic player-progression protagonist.</t>
  </si>
  <si>
    <t xml:space="preserve">ENT-0306</t>
  </si>
  <si>
    <t xml:space="preserve">Shadow soldiers</t>
  </si>
  <si>
    <t xml:space="preserve">Summoned undead-like army</t>
  </si>
  <si>
    <t xml:space="preserve">Defeated beings converted into loyal shadow troops under a command hierarchy.</t>
  </si>
  <si>
    <t xml:space="preserve">Postmortem conversion, summoning, stored army, and sovereign command.</t>
  </si>
  <si>
    <t xml:space="preserve">They are not conventional corpses and retain variable traces of prior ability.</t>
  </si>
  <si>
    <t xml:space="preserve">Portable necromantic summon army.</t>
  </si>
  <si>
    <t xml:space="preserve">ENT-0307</t>
  </si>
  <si>
    <t xml:space="preserve">Monarchs and Rulers</t>
  </si>
  <si>
    <t xml:space="preserve">Cosmic factions</t>
  </si>
  <si>
    <t xml:space="preserve">Opposed groups of immensely powerful otherworldly beings acting through cosmic conflict and vessels.</t>
  </si>
  <si>
    <t xml:space="preserve">Otherworldly origin, embodiment, inherited power, and cosmic war.</t>
  </si>
  <si>
    <t xml:space="preserve">‘Monarch’ is a metaphysical faction-title, not merely political kingship.</t>
  </si>
  <si>
    <t xml:space="preserve">Cosmic sovereign-warrior order.</t>
  </si>
  <si>
    <t xml:space="preserve">ENT-0308</t>
  </si>
  <si>
    <t xml:space="preserve">Web-novel continuity</t>
  </si>
  <si>
    <t xml:space="preserve">Progression vocation</t>
  </si>
  <si>
    <t xml:space="preserve">A practitioner who refines body, energy, spirit, and resources across ranked realms.</t>
  </si>
  <si>
    <t xml:space="preserve">Training, qi, techniques, treasures, pills, and breakthroughs.</t>
  </si>
  <si>
    <t xml:space="preserve">Cultivation is a life-path and cosmology, not merely a spellcasting class.</t>
  </si>
  <si>
    <t xml:space="preserve">Core xianxia progression archetype.</t>
  </si>
  <si>
    <t xml:space="preserve">Primary web-novel continuity; secondary orientation source.</t>
  </si>
  <si>
    <t xml:space="preserve">ENT-0309</t>
  </si>
  <si>
    <t xml:space="preserve">Sect disciple</t>
  </si>
  <si>
    <t xml:space="preserve">Institutional rank and vocation</t>
  </si>
  <si>
    <t xml:space="preserve">A cultivator embedded in a sect hierarchy of teaching, resources, duties, and rivalries.</t>
  </si>
  <si>
    <t xml:space="preserve">Initiation, master-disciple ties, rank, contribution, and technique access.</t>
  </si>
  <si>
    <t xml:space="preserve">Sect membership is institutional and may change over a character's life.</t>
  </si>
  <si>
    <t xml:space="preserve">Cultivation-school member.</t>
  </si>
  <si>
    <t xml:space="preserve">ENT-0310</t>
  </si>
  <si>
    <t xml:space="preserve">Martial cultivator</t>
  </si>
  <si>
    <t xml:space="preserve">Cultivation specialization</t>
  </si>
  <si>
    <t xml:space="preserve">A practitioner emphasizing combat techniques and internally refined power.</t>
  </si>
  <si>
    <t xml:space="preserve">Qi, bodily training, techniques, and weapons.</t>
  </si>
  <si>
    <t xml:space="preserve">The boundary between martial and magical cultivation is setting-specific.</t>
  </si>
  <si>
    <t xml:space="preserve">Progression martial artist.</t>
  </si>
  <si>
    <t xml:space="preserve">ENT-0311</t>
  </si>
  <si>
    <t xml:space="preserve">Sword cultivator</t>
  </si>
  <si>
    <t xml:space="preserve">A cultivator whose path centers on sword techniques, intent, artifacts, and combat insight.</t>
  </si>
  <si>
    <t xml:space="preserve">Weapon bond, qi, technique, and comprehension.</t>
  </si>
  <si>
    <t xml:space="preserve">Not simply any swordsman; the sword is a metaphysical path.</t>
  </si>
  <si>
    <t xml:space="preserve">Transcendent sword specialist.</t>
  </si>
  <si>
    <t xml:space="preserve">ENT-0312</t>
  </si>
  <si>
    <t xml:space="preserve">Pill alchemist</t>
  </si>
  <si>
    <t xml:space="preserve">Craft specialization</t>
  </si>
  <si>
    <t xml:space="preserve">A specialist refining medicinal and cultivation-enhancing pills from rare materials.</t>
  </si>
  <si>
    <t xml:space="preserve">Recipes, furnaces, spiritual materials, and technical skill.</t>
  </si>
  <si>
    <t xml:space="preserve">Pill alchemy is tied to progression economy and bodily transformation.</t>
  </si>
  <si>
    <t xml:space="preserve">Cultivation pharmacist-artificer.</t>
  </si>
  <si>
    <t xml:space="preserve">ENT-0313</t>
  </si>
  <si>
    <t xml:space="preserve">Talisman master</t>
  </si>
  <si>
    <t xml:space="preserve">Technical magic specialization</t>
  </si>
  <si>
    <t xml:space="preserve">A specialist creating inscribed talismans for attacks, defenses, sealing, or utility.</t>
  </si>
  <si>
    <t xml:space="preserve">Symbolic inscription, materials, qi, and stored effects.</t>
  </si>
  <si>
    <t xml:space="preserve">Talismans function as technical consumables and ritual media.</t>
  </si>
  <si>
    <t xml:space="preserve">Inscribed spell-item specialist.</t>
  </si>
  <si>
    <t xml:space="preserve">ENT-0314</t>
  </si>
  <si>
    <t xml:space="preserve">Spirit beasts</t>
  </si>
  <si>
    <t xml:space="preserve">Magical creatures</t>
  </si>
  <si>
    <t xml:space="preserve">Beasts capable of cultivation, supernatural growth, contracts, or transformation.</t>
  </si>
  <si>
    <t xml:space="preserve">Innate lineage, cultivation, resources, and bonds.</t>
  </si>
  <si>
    <t xml:space="preserve">They may be persons, partners, resources, or threats depending on stage and context.</t>
  </si>
  <si>
    <t xml:space="preserve">Progressing magical beast archetype.</t>
  </si>
  <si>
    <t xml:space="preserve">ENT-0315</t>
  </si>
  <si>
    <t xml:space="preserve">Cultivation breakthrough</t>
  </si>
  <si>
    <t xml:space="preserve">Transformation/progression state</t>
  </si>
  <si>
    <t xml:space="preserve">A threshold transition into a higher realm of capability and lifespan.</t>
  </si>
  <si>
    <t xml:space="preserve">Accumulated refinement, insight, resources, risk, and tribulation.</t>
  </si>
  <si>
    <t xml:space="preserve">Breakthroughs are qualitative ontological changes, not only numeric level-ups.</t>
  </si>
  <si>
    <t xml:space="preserve">Realm-transition progression beat.</t>
  </si>
  <si>
    <t xml:space="preserve">ENT-0316</t>
  </si>
  <si>
    <t xml:space="preserve">Immortal / ascendant</t>
  </si>
  <si>
    <t xml:space="preserve">Advanced progression state</t>
  </si>
  <si>
    <t xml:space="preserve">A practitioner who attains radically extended life or higher-realm existence.</t>
  </si>
  <si>
    <t xml:space="preserve">Cultivation, transformation, cosmic law, and realm travel.</t>
  </si>
  <si>
    <t xml:space="preserve">Immortality is often conditional, graded, and still vulnerable.</t>
  </si>
  <si>
    <t xml:space="preserve">Post-mortal cultivation endpoint.</t>
  </si>
  <si>
    <t xml:space="preserve">ENT-0317</t>
  </si>
  <si>
    <t xml:space="preserve">Deva (deva)</t>
  </si>
  <si>
    <t xml:space="preserve">Critical-edition-oriented source pass; Ganguli English translation reviewed at parva level</t>
  </si>
  <si>
    <t xml:space="preserve">Divine/metaphysical kind</t>
  </si>
  <si>
    <t xml:space="preserve">COS-202;LAW-211</t>
  </si>
  <si>
    <t xml:space="preserve">Divine Court; Divine Patronage or Favor</t>
  </si>
  <si>
    <t xml:space="preserve">A broad class of divine beings active in cosmology, lineage narratives, boons, weapons, conflict, and patronage.</t>
  </si>
  <si>
    <t xml:space="preserve">Divine status, cosmic function, worship, lineage, and relationships with mortals.</t>
  </si>
  <si>
    <t xml:space="preserve">Deva is not simply a generic fantasy 'god species'; the term's range and status vary across passages and wider South Asian traditions.</t>
  </si>
  <si>
    <t xml:space="preserve">Maps partly to deities and celestial powers while retaining source-specific divine plurality.</t>
  </si>
  <si>
    <t xml:space="preserve">Ādi Parva and throughout the epic; BORI Critical Edition structure consulted.</t>
  </si>
  <si>
    <t xml:space="preserve">https://www.gutenberg.org/ebooks/15474</t>
  </si>
  <si>
    <t xml:space="preserve">ENT-0318</t>
  </si>
  <si>
    <t xml:space="preserve">Asura (asura)</t>
  </si>
  <si>
    <t xml:space="preserve">COS-214;LAW-505</t>
  </si>
  <si>
    <t xml:space="preserve">Realm of Chaos or Flux; Cosmic or Social Order</t>
  </si>
  <si>
    <t xml:space="preserve">Powerful beings frequently positioned in rivalry or conflict with devas, yet embedded in shared genealogies, powers, boons, and cosmic history.</t>
  </si>
  <si>
    <t xml:space="preserve">Lineage, austerity, boons, sovereignty, conflict, and cosmological opposition.</t>
  </si>
  <si>
    <t xml:space="preserve">Asura is not safely equivalent to demon, devil, evil species, or infernal outsider; its semantic and theological history is source-specific.</t>
  </si>
  <si>
    <t xml:space="preserve">A corrective case showing why adversarial divine beings must not be collapsed into the generic demon family.</t>
  </si>
  <si>
    <t xml:space="preserve">Ādi Parva and mythological recapitulations across the epic.</t>
  </si>
  <si>
    <t xml:space="preserve">ENT-0319</t>
  </si>
  <si>
    <t xml:space="preserve">Rākṣasa (rākṣasa)</t>
  </si>
  <si>
    <t xml:space="preserve">Metaphysical kind / people / antagonist category</t>
  </si>
  <si>
    <t xml:space="preserve">PPL-1001;PWR-404</t>
  </si>
  <si>
    <t xml:space="preserve">General Shapeshifters; Illusion and Glamour</t>
  </si>
  <si>
    <t xml:space="preserve">A varied class of powerful beings associated in different episodes with wilderness, appetite, conflict, lineage, rulership, disguise, and shape-changing.</t>
  </si>
  <si>
    <t xml:space="preserve">Innate nature, lineage, illusion, shape-change, strength, and local or dynastic identity.</t>
  </si>
  <si>
    <t xml:space="preserve">Rākṣasas are not a single morally uniform monster race and should not be translated automatically as demons.</t>
  </si>
  <si>
    <t xml:space="preserve">Partially analogous to shape-changing predatory otherworld peoples, with substantial source-specific variation.</t>
  </si>
  <si>
    <t xml:space="preserve">Ādi Parva and Vana Parva episodes; parva-level review.</t>
  </si>
  <si>
    <t xml:space="preserve">ENT-0320</t>
  </si>
  <si>
    <t xml:space="preserve">Yakṣa (yakṣa)</t>
  </si>
  <si>
    <t xml:space="preserve">Metaphysical kind / place-associated being</t>
  </si>
  <si>
    <t xml:space="preserve">PPL-304;COS-517</t>
  </si>
  <si>
    <t xml:space="preserve">Guardian Spirits; Borderland Between Worlds</t>
  </si>
  <si>
    <t xml:space="preserve">A class of nonhuman beings associated with places, wealth, guardianship, questions, danger, and encounters between mortal and otherworld orders.</t>
  </si>
  <si>
    <t xml:space="preserve">Place, treasure, guardianship, divine association, and exceptional knowledge.</t>
  </si>
  <si>
    <t xml:space="preserve">Yakṣa should not be reduced to nature spirit, fairy, demon, or treasure monster; individual status and function vary.</t>
  </si>
  <si>
    <t xml:space="preserve">Expands the liminal guardian and place-being families beyond familiar European fae models.</t>
  </si>
  <si>
    <t xml:space="preserve">Vana Parva, including the Yakṣa-prashna episode; parva-level review.</t>
  </si>
  <si>
    <t xml:space="preserve">ENT-0321</t>
  </si>
  <si>
    <t xml:space="preserve">Gandharva (gandharva)</t>
  </si>
  <si>
    <t xml:space="preserve">Celestial/metaphysical people</t>
  </si>
  <si>
    <t xml:space="preserve">ROL-606;ART-217</t>
  </si>
  <si>
    <t xml:space="preserve">Bard; Musical Instrument of Power</t>
  </si>
  <si>
    <t xml:space="preserve">Celestial beings associated with music, knowledge, courts, beauty, martial encounters, and relations with apsarases and mortals.</t>
  </si>
  <si>
    <t xml:space="preserve">Innate celestial status, artistic mastery, lineage, and access to divine or liminal realms.</t>
  </si>
  <si>
    <t xml:space="preserve">Gandharvas are not merely bards, angels, or fae musicians; their social and cosmological roles are broader.</t>
  </si>
  <si>
    <t xml:space="preserve">Adds a celestial people whose art, knowledge, sexuality, and warfare coexist without becoming a game class.</t>
  </si>
  <si>
    <t xml:space="preserve">Ādi, Vana, and Virāṭa Parvas; parva-level review.</t>
  </si>
  <si>
    <t xml:space="preserve">ENT-0322</t>
  </si>
  <si>
    <t xml:space="preserve">Apsaras (apsaras / apsarā)</t>
  </si>
  <si>
    <t xml:space="preserve">ROL-604;COS-201</t>
  </si>
  <si>
    <t xml:space="preserve">Apothecary; Celestial Realm or Heaven</t>
  </si>
  <si>
    <t xml:space="preserve">Celestial women associated with divine courts, performance, beauty, desire, lineage narratives, testing, blessing, and disruption.</t>
  </si>
  <si>
    <t xml:space="preserve">Celestial status, artistic skill, divine commission, and personal agency.</t>
  </si>
  <si>
    <t xml:space="preserve">Apsarases are not a generic seductress species or decorative court dancers; episodes differ in agency, purpose, and consequence.</t>
  </si>
  <si>
    <t xml:space="preserve">Complicates the celestial performer and enchantress archetypes through institutional and genealogical roles.</t>
  </si>
  <si>
    <t xml:space="preserve">Ādi Parva and narratives throughout the epic.</t>
  </si>
  <si>
    <t xml:space="preserve">ENT-0323</t>
  </si>
  <si>
    <t xml:space="preserve">Nāga (nāga)</t>
  </si>
  <si>
    <t xml:space="preserve">Serpentine people / metaphysical lineage</t>
  </si>
  <si>
    <t xml:space="preserve">COS-518;LAW-205</t>
  </si>
  <si>
    <t xml:space="preserve">Undersea Realm; Generational Curse</t>
  </si>
  <si>
    <t xml:space="preserve">Serpentine beings and lineages with rulers, realms, kinship, conflict, curses, alliances, and relations to waters and subterranean or otherworld geography.</t>
  </si>
  <si>
    <t xml:space="preserve">Lineage, embodied serpentine or mixed form, sovereignty, place, and inherited relationships.</t>
  </si>
  <si>
    <t xml:space="preserve">Nāga is not a synonym for dragon, snake monster, or reptilian player race; source ontology and cultural context must be preserved.</t>
  </si>
  <si>
    <t xml:space="preserve">Broadens serpent-person and undersea/underworld polity archetypes while resisting dragon-race flattening.</t>
  </si>
  <si>
    <t xml:space="preserve">Ādi Parva, including Āstīka-related narratives; parva-level review.</t>
  </si>
  <si>
    <t xml:space="preserve">ENT-0324</t>
  </si>
  <si>
    <t xml:space="preserve">Pitṛ (ancestor beings)</t>
  </si>
  <si>
    <t xml:space="preserve">Ancestral/metaphysical beings</t>
  </si>
  <si>
    <t xml:space="preserve">COS-204;LAW-306</t>
  </si>
  <si>
    <t xml:space="preserve">Ancestor Realm; Ancestor Offering</t>
  </si>
  <si>
    <t xml:space="preserve">Ancestors understood as continuing recipients of rites and participants in kinship, postmortem order, and obligations linking living and dead.</t>
  </si>
  <si>
    <t xml:space="preserve">Ancestral status, funerary and offering relationships, lineage memory, and afterlife order.</t>
  </si>
  <si>
    <t xml:space="preserve">Pitṛs are not simply ghosts, undead, or summonable ancestor units.</t>
  </si>
  <si>
    <t xml:space="preserve">Provides a source-specific ancestor ontology connecting people, realm, rite, and kinship law.</t>
  </si>
  <si>
    <t xml:space="preserve">Anuśāsana and related parvas on duties and rites; parva-level review.</t>
  </si>
  <si>
    <t xml:space="preserve">https://www.gutenberg.org/ebooks/15477</t>
  </si>
  <si>
    <t xml:space="preserve">ENT-0325</t>
  </si>
  <si>
    <t xml:space="preserve">Divine-born and semi-divine heroes</t>
  </si>
  <si>
    <t xml:space="preserve">Lineage / divine-human embodiment</t>
  </si>
  <si>
    <t xml:space="preserve">LAW-211;NAR-101</t>
  </si>
  <si>
    <t xml:space="preserve">Divine Patronage or Favor; Chosen One</t>
  </si>
  <si>
    <t xml:space="preserve">Mortal heroes whose births, parentage, empowerments, or identities involve gods or divine portions while they remain embedded in human kinship and mortality.</t>
  </si>
  <si>
    <t xml:space="preserve">Divine parentage or portion, mortal birth, lineage, fate, and patronage.</t>
  </si>
  <si>
    <t xml:space="preserve">This is not a single demigod species or uniform power tier; each birth narrative has different ontology and purpose.</t>
  </si>
  <si>
    <t xml:space="preserve">A major model for divine-human heroic lineage without erasing mortality and social identity.</t>
  </si>
  <si>
    <t xml:space="preserve">Ādi Parva birth and lineage narratives.</t>
  </si>
  <si>
    <t xml:space="preserve">ENT-0326</t>
  </si>
  <si>
    <t xml:space="preserve">Avatāra and divine incarnation</t>
  </si>
  <si>
    <t xml:space="preserve">Embedded textual unit; Sanskrit and translated text reviewed through Gītā Supersite</t>
  </si>
  <si>
    <t xml:space="preserve">Divine manifestation / incarnation</t>
  </si>
  <si>
    <t xml:space="preserve">LAW-211;COS-710</t>
  </si>
  <si>
    <t xml:space="preserve">Divine Patronage or Favor; Return of the Gods</t>
  </si>
  <si>
    <t xml:space="preserve">Divine presence embodied in the world through incarnation, manifestation, or descent, especially in relation to restoring order and guiding events.</t>
  </si>
  <si>
    <t xml:space="preserve">Divine agency, embodiment, cosmic purpose, and source-specific theology.</t>
  </si>
  <si>
    <t xml:space="preserve">Avatāra is not equivalent to a player avatar, possession template, polymorph, or generic demigod.</t>
  </si>
  <si>
    <t xml:space="preserve">Requires a dedicated incarnation model rather than treating divine embodiment as a race or character class.</t>
  </si>
  <si>
    <t xml:space="preserve">Epic-wide theological framing; Bhagavad Gītā passages reviewed separately.</t>
  </si>
  <si>
    <t xml:space="preserve">ENT-0327</t>
  </si>
  <si>
    <t xml:space="preserve">Aṃśa or partial divine embodiment</t>
  </si>
  <si>
    <t xml:space="preserve">Divine portion / lineage relation</t>
  </si>
  <si>
    <t xml:space="preserve">A source-specific model in which a being embodies or descends from a portion or aspect of a divine power without simply being identical to that deity.</t>
  </si>
  <si>
    <t xml:space="preserve">Divine portion, birth, lineage, and distributed identity.</t>
  </si>
  <si>
    <t xml:space="preserve">Aṃśa should not be translated as subclass, clone, shard-person, or fractional hit-point share.</t>
  </si>
  <si>
    <t xml:space="preserve">Adds a graded divine-embodiment relation between ordinary lineage and full incarnation.</t>
  </si>
  <si>
    <t xml:space="preserve">Ādi Parva genealogical and birth narratives; critical-edition-oriented review.</t>
  </si>
  <si>
    <t xml:space="preserve">ENT-0328</t>
  </si>
  <si>
    <t xml:space="preserve">Mortal human peoples and dynastic lineages</t>
  </si>
  <si>
    <t xml:space="preserve">Human peoples / kinship lineages</t>
  </si>
  <si>
    <t xml:space="preserve">INS-404;LAW-803</t>
  </si>
  <si>
    <t xml:space="preserve">Dynasty; Kinship Blessing or Curse</t>
  </si>
  <si>
    <t xml:space="preserve">Human communities and dynasties whose identities are constituted by descent, marriage, territory, ritual, office, and political memory.</t>
  </si>
  <si>
    <t xml:space="preserve">Mortality, kinship, social order, historical lineage, and political institutions.</t>
  </si>
  <si>
    <t xml:space="preserve">The epic's humans are not one undifferentiated baseline race; lineage and social location materially shape identity.</t>
  </si>
  <si>
    <t xml:space="preserve">A reminder that human diversity requires the same source-faithful granularity as nonhuman peoples.</t>
  </si>
  <si>
    <t xml:space="preserve">Ādi and Sabhā Parvas; genealogical and dynastic material.</t>
  </si>
  <si>
    <t xml:space="preserve">ENT-0329</t>
  </si>
  <si>
    <t xml:space="preserve">Ṛṣi (ṛṣi)</t>
  </si>
  <si>
    <t xml:space="preserve">Sacred role / sage / seer</t>
  </si>
  <si>
    <t xml:space="preserve">ROL-933;PWR-407;INS-424</t>
  </si>
  <si>
    <t xml:space="preserve">Ascetic or Renunciant; Prophecy; Hermitage or Ascetic Community</t>
  </si>
  <si>
    <t xml:space="preserve">A broad sacred and learned role encompassing seers, teachers, ascetics, ritual authorities, advisers, and transmitters of knowledge.</t>
  </si>
  <si>
    <t xml:space="preserve">Discipline, insight, lineage, revelation, ritual knowledge, learning, and social recognition.</t>
  </si>
  <si>
    <t xml:space="preserve">Ṛṣi is not simply wizard, cleric, druid, or hermit; individual figures combine different functions.</t>
  </si>
  <si>
    <t xml:space="preserve">A multi-axis sacred-intellectual role that exposes the limits of single-class comparison.</t>
  </si>
  <si>
    <t xml:space="preserve">Ādi, Vana, Śānti, and Anuśāsana Parvas; parva-level review.</t>
  </si>
  <si>
    <t xml:space="preserve">ENT-0330</t>
  </si>
  <si>
    <t xml:space="preserve">Brahmarṣi (brahmarṣi)</t>
  </si>
  <si>
    <t xml:space="preserve">Honorific sacred rank / sage</t>
  </si>
  <si>
    <t xml:space="preserve">ROL-933;INS-425</t>
  </si>
  <si>
    <t xml:space="preserve">Ascetic or Renunciant; Teacher–Disciple Lineage</t>
  </si>
  <si>
    <t xml:space="preserve">An elevated designation for a sage associated with profound sacred knowledge, austerity, authority, and lineage.</t>
  </si>
  <si>
    <t xml:space="preserve">Recognition, realization, learning, ascetic discipline, and sacred status.</t>
  </si>
  <si>
    <t xml:space="preserve">It is not a prestige class tier mechanically equivalent across texts or traditions.</t>
  </si>
  <si>
    <t xml:space="preserve">Illustrates how sacred ranks combine attainment, reputation, lineage, and textual context.</t>
  </si>
  <si>
    <t xml:space="preserve">Epic-wide sage traditions; terminology retained with source caution.</t>
  </si>
  <si>
    <t xml:space="preserve">ENT-0331</t>
  </si>
  <si>
    <t xml:space="preserve">Brāhmaṇa (brāhmaṇa)</t>
  </si>
  <si>
    <t xml:space="preserve">Social-religious order / learned and ritual identity</t>
  </si>
  <si>
    <t xml:space="preserve">ROL-401;ROL-307;LAW-401</t>
  </si>
  <si>
    <t xml:space="preserve">Priest; Sage; Ritual Purity</t>
  </si>
  <si>
    <t xml:space="preserve">A socially and ritually constituted order associated in varied passages with learning, teaching, sacrifice, counsel, livelihood rules, and sacred authority.</t>
  </si>
  <si>
    <t xml:space="preserve">Birth, education, conduct, ritual status, social recognition, and textual debate.</t>
  </si>
  <si>
    <t xml:space="preserve">Brāhmaṇa is not a cleric class, priest species, or uniform profession; the epic discusses duties, conduct, exceptions, and tensions.</t>
  </si>
  <si>
    <t xml:space="preserve">Requires separating social order, religious office, scholarly role, and individual practice.</t>
  </si>
  <si>
    <t xml:space="preserve">Śānti and Anuśāsana Parvas on social and religious duties; parva-level review.</t>
  </si>
  <si>
    <t xml:space="preserve">https://www.gutenberg.org/ebooks/15476</t>
  </si>
  <si>
    <t xml:space="preserve">ENT-0332</t>
  </si>
  <si>
    <t xml:space="preserve">Kṣatriya (kṣatriya)</t>
  </si>
  <si>
    <t xml:space="preserve">Social-political order / warrior-ruler identity</t>
  </si>
  <si>
    <t xml:space="preserve">ROL-101;ROL-701;LAW-509</t>
  </si>
  <si>
    <t xml:space="preserve">Warrior or Fighter; Monarch; Sacred Kingship</t>
  </si>
  <si>
    <t xml:space="preserve">A socially constituted order associated with protection, warfare, rulership, governance, honor, and distinctive duties.</t>
  </si>
  <si>
    <t xml:space="preserve">Birth, political office, training, conduct, sovereignty, and recognized duty.</t>
  </si>
  <si>
    <t xml:space="preserve">Kṣatriya is not a fighter class or biological warrior race; social order and ethical-political duties are essential.</t>
  </si>
  <si>
    <t xml:space="preserve">Separates martial mechanics from political, kinship, and duty-based identity.</t>
  </si>
  <si>
    <t xml:space="preserve">Ādi, Udyoga, Śānti, and Anuśāsana Parvas; parva-level review.</t>
  </si>
  <si>
    <t xml:space="preserve">https://www.gutenberg.org/ebooks/15475</t>
  </si>
  <si>
    <t xml:space="preserve">ENT-0333</t>
  </si>
  <si>
    <t xml:space="preserve">Rājarṣi (rājarṣi)</t>
  </si>
  <si>
    <t xml:space="preserve">Royal sage / sacred-political role</t>
  </si>
  <si>
    <t xml:space="preserve">ROL-701;ROL-307;LAW-509</t>
  </si>
  <si>
    <t xml:space="preserve">Monarch; Sage; Sacred Kingship</t>
  </si>
  <si>
    <t xml:space="preserve">A ruler or royal figure recognized for sage-like knowledge, discipline, or sacred authority.</t>
  </si>
  <si>
    <t xml:space="preserve">Kingship, ethical insight, learning, discipline, and social recognition.</t>
  </si>
  <si>
    <t xml:space="preserve">The role is not a mage-king archetype and does not imply institutional priesthood.</t>
  </si>
  <si>
    <t xml:space="preserve">Joins rulership and wisdom as an integrated vocation rather than a multiclass package.</t>
  </si>
  <si>
    <t xml:space="preserve">Śānti Parva discussions of rulers and sages; parva-level review.</t>
  </si>
  <si>
    <t xml:space="preserve">ENT-0334</t>
  </si>
  <si>
    <t xml:space="preserve">Ācārya or guru</t>
  </si>
  <si>
    <t xml:space="preserve">Teacher / lineage authority</t>
  </si>
  <si>
    <t xml:space="preserve">INS-425;LAW-806</t>
  </si>
  <si>
    <t xml:space="preserve">Teacher–Disciple Lineage; Teacher–Disciple Debt</t>
  </si>
  <si>
    <t xml:space="preserve">A recognized teacher whose instruction transmits weapons, sacred knowledge, discipline, identity, or authorized practice and creates durable obligations.</t>
  </si>
  <si>
    <t xml:space="preserve">Learning, initiation, lineage, service, recognition, and teacher–student reciprocity.</t>
  </si>
  <si>
    <t xml:space="preserve">Guru and ācārya are not generic quest-giver or mentor labels; terminology and authority vary by context.</t>
  </si>
  <si>
    <t xml:space="preserve">Expands the mentor archetype into an institutional and debt-bearing relationship.</t>
  </si>
  <si>
    <t xml:space="preserve">Ādi and Droṇa Parvas; teaching and lineage episodes.</t>
  </si>
  <si>
    <t xml:space="preserve">ENT-0335</t>
  </si>
  <si>
    <t xml:space="preserve">Martial preceptor</t>
  </si>
  <si>
    <t xml:space="preserve">Formal weapons teacher / court instructor</t>
  </si>
  <si>
    <t xml:space="preserve">A teacher entrusted with elite martial education, weapons lore, discipline, and the formation of warrior cohorts.</t>
  </si>
  <si>
    <t xml:space="preserve">Technical mastery, royal patronage, lineage transmission, and student obligation.</t>
  </si>
  <si>
    <t xml:space="preserve">The role includes political and relational consequences beyond combat training.</t>
  </si>
  <si>
    <t xml:space="preserve">A reusable model for the weapons master whose students later divide across rival loyalties.</t>
  </si>
  <si>
    <t xml:space="preserve">Ādi and Droṇa Parvas; martial education narratives.</t>
  </si>
  <si>
    <t xml:space="preserve">ENT-0336</t>
  </si>
  <si>
    <t xml:space="preserve">Sārathi (charioteer)</t>
  </si>
  <si>
    <t xml:space="preserve">Military profession / counselor role</t>
  </si>
  <si>
    <t xml:space="preserve">ROL-712;ART-507</t>
  </si>
  <si>
    <t xml:space="preserve">Adviser and Counselor; War Chariot</t>
  </si>
  <si>
    <t xml:space="preserve">A chariot driver responsible for movement, battlefield judgment, horse management, communication, and often counsel to the warrior.</t>
  </si>
  <si>
    <t xml:space="preserve">Professional training, trust, tactical awareness, social position, and partnership.</t>
  </si>
  <si>
    <t xml:space="preserve">The charioteer is not merely a mount operator or vehicle slot; the role can carry intimate counsel, strategy, and identity.</t>
  </si>
  <si>
    <t xml:space="preserve">Adds a paired-warrior profession in which mobility, advice, and social relation are inseparable.</t>
  </si>
  <si>
    <t xml:space="preserve">Bhīṣma, Droṇa, Karṇa, and other battle parvas; parva-level review.</t>
  </si>
  <si>
    <t xml:space="preserve">ENT-0337</t>
  </si>
  <si>
    <t xml:space="preserve">Dūta (envoy or messenger)</t>
  </si>
  <si>
    <t xml:space="preserve">Diplomatic office / protected messenger</t>
  </si>
  <si>
    <t xml:space="preserve">ROL-637;LAW-817</t>
  </si>
  <si>
    <t xml:space="preserve">Herald and Messenger; Messenger or Envoy Immunity</t>
  </si>
  <si>
    <t xml:space="preserve">A recognized envoy who carries proposals, warnings, demands, negotiations, or peace missions between courts and armies.</t>
  </si>
  <si>
    <t xml:space="preserve">Authorization, rhetoric, safe conduct, political standing, and personal courage.</t>
  </si>
  <si>
    <t xml:space="preserve">The dūta is not simply a courier; speech, immunity, court procedure, and representation are central.</t>
  </si>
  <si>
    <t xml:space="preserve">A strong model for diplomacy as a formal fantasy vocation with protected status and high stakes.</t>
  </si>
  <si>
    <t xml:space="preserve">Udyoga Parva diplomatic missions and court exchanges.</t>
  </si>
  <si>
    <t xml:space="preserve">ENT-0338</t>
  </si>
  <si>
    <t xml:space="preserve">Rājā (king)</t>
  </si>
  <si>
    <t xml:space="preserve">Monarch / political-sacred office</t>
  </si>
  <si>
    <t xml:space="preserve">LAW-509;INS-426</t>
  </si>
  <si>
    <t xml:space="preserve">Sacred Kingship; Royal Assembly or Council Hall</t>
  </si>
  <si>
    <t xml:space="preserve">A ruler whose obligations encompass protection, justice, alliance, war, ritual, revenue, counsel, kinship, and maintenance of order.</t>
  </si>
  <si>
    <t xml:space="preserve">Succession, recognition, governance, duty, force, counsel, and ritual legitimacy.</t>
  </si>
  <si>
    <t xml:space="preserve">Kingship is not reducible to class level, combat strength, or hereditary title alone.</t>
  </si>
  <si>
    <t xml:space="preserve">Provides a dense kingship model linking role, institution, law, land, and aftermath.</t>
  </si>
  <si>
    <t xml:space="preserve">Sabhā, Udyoga, Śānti, and Anuśāsana Parvas.</t>
  </si>
  <si>
    <t xml:space="preserve">ENT-0339</t>
  </si>
  <si>
    <t xml:space="preserve">Royal counselor</t>
  </si>
  <si>
    <t xml:space="preserve">Court office / adviser</t>
  </si>
  <si>
    <t xml:space="preserve">INS-405;INS-426</t>
  </si>
  <si>
    <t xml:space="preserve">Royal Court; Royal Assembly or Council Hall</t>
  </si>
  <si>
    <t xml:space="preserve">An adviser who interprets law, strategy, kinship, omens, policy, diplomacy, and ethical consequence for rulers.</t>
  </si>
  <si>
    <t xml:space="preserve">Knowledge, access, trust, rhetoric, office, and personal judgment.</t>
  </si>
  <si>
    <t xml:space="preserve">Counselors may disagree with rulers or be ignored; the role is not automatic control over policy.</t>
  </si>
  <si>
    <t xml:space="preserve">Supports comparative study of counsel as a distinct political vocation rather than background exposition.</t>
  </si>
  <si>
    <t xml:space="preserve">Sabhā and Udyoga Parvas; court deliberations.</t>
  </si>
  <si>
    <t xml:space="preserve">ENT-0340</t>
  </si>
  <si>
    <t xml:space="preserve">Sacrificial priest and ritual officiant</t>
  </si>
  <si>
    <t xml:space="preserve">Religious office / ritual specialist</t>
  </si>
  <si>
    <t xml:space="preserve">LAW-301;LAW-309</t>
  </si>
  <si>
    <t xml:space="preserve">Sacrifice or Offering; Fire Sacrifice</t>
  </si>
  <si>
    <t xml:space="preserve">A specialist who performs, directs, or authorizes complex rites and offerings on behalf of patrons, rulers, lineages, or communities.</t>
  </si>
  <si>
    <t xml:space="preserve">Training, textual knowledge, ritual sequence, materials, patronage, and recognized eligibility.</t>
  </si>
  <si>
    <t xml:space="preserve">This is not simply a divine caster class; efficacy depends on rite, office, patron, and social-religious context.</t>
  </si>
  <si>
    <t xml:space="preserve">Clarifies ritual specialists whose power is procedural and institutional rather than spontaneous spellcasting.</t>
  </si>
  <si>
    <t xml:space="preserve">Ādi, Sabhā, and Anuśāsana Parvas; sacrificial narratives and duties.</t>
  </si>
  <si>
    <t xml:space="preserve">ENT-0341</t>
  </si>
  <si>
    <t xml:space="preserve">Tapasvin or ascetic practitioner</t>
  </si>
  <si>
    <t xml:space="preserve">Ascetic / renunciant role</t>
  </si>
  <si>
    <t xml:space="preserve">PWR-529;LAW-102;LAW-107</t>
  </si>
  <si>
    <t xml:space="preserve">Meditation and Breath Practice; Renunciation Vow; Vow-Powered Ability</t>
  </si>
  <si>
    <t xml:space="preserve">A practitioner whose austerity, discipline, meditation, seclusion, or vows produce authority, insight, transformation, or formidable potency.</t>
  </si>
  <si>
    <t xml:space="preserve">Tapas, restraint, time, bodily discipline, attention, and recognized spiritual attainment.</t>
  </si>
  <si>
    <t xml:space="preserve">The role is not a mana-based caster class, and ascetic heat/power cannot be detached from ethical and religious context.</t>
  </si>
  <si>
    <t xml:space="preserve">Adds a power-bearing renunciant whose capability emerges through disciplined practice rather than profession alone.</t>
  </si>
  <si>
    <t xml:space="preserve">Vana, Śānti, and Anuśāsana Parvas; ascetic narratives and instruction.</t>
  </si>
  <si>
    <t xml:space="preserve">ENT-0342</t>
  </si>
  <si>
    <t xml:space="preserve">Warrior champion</t>
  </si>
  <si>
    <t xml:space="preserve">Martial-social role</t>
  </si>
  <si>
    <t xml:space="preserve">INS-409;LAW-103;ART-208</t>
  </si>
  <si>
    <t xml:space="preserve">Estate or Social Order; Quest Vow; Named Heroic Weapon</t>
  </si>
  <si>
    <t xml:space="preserve">An elite combatant whose identity combines training, lineage, vows, weapons, chariot partnership, reputation, and political duty.</t>
  </si>
  <si>
    <t xml:space="preserve">Martial education, social order, equipment, personal vows, patronage, and battlefield skill.</t>
  </si>
  <si>
    <t xml:space="preserve">The epic champion is not a generic fighter class; status and obligations are constitutive.</t>
  </si>
  <si>
    <t xml:space="preserve">A high-resolution martial archetype organized by relationships and vows rather than build alone.</t>
  </si>
  <si>
    <t xml:space="preserve">Ādi through Śalya Parvas; combat and lineage narratives.</t>
  </si>
  <si>
    <t xml:space="preserve">ENT-0343</t>
  </si>
  <si>
    <t xml:space="preserve">Commander of a war host</t>
  </si>
  <si>
    <t xml:space="preserve">Military command office</t>
  </si>
  <si>
    <t xml:space="preserve">INS-201;LAW-105</t>
  </si>
  <si>
    <t xml:space="preserve">Army or Legion; Fealty Oath</t>
  </si>
  <si>
    <t xml:space="preserve">A leader responsible for formations, large forces, strategic deployment, morale, alliances, and obligations to ruler and kin.</t>
  </si>
  <si>
    <t xml:space="preserve">Appointment, reputation, tactical knowledge, social rank, and command structure.</t>
  </si>
  <si>
    <t xml:space="preserve">Command is not equivalent to personal combat power or a battlefield aura.</t>
  </si>
  <si>
    <t xml:space="preserve">Strengthens the distinction between heroic duelist, chariot warrior, and army commander.</t>
  </si>
  <si>
    <t xml:space="preserve">Udyoga through Śalya Parvas; command appointments and battle organization.</t>
  </si>
  <si>
    <t xml:space="preserve">ENT-0344</t>
  </si>
  <si>
    <t xml:space="preserve">Pilgrim or tīrtha traveler</t>
  </si>
  <si>
    <t xml:space="preserve">Religious traveler / life-path role</t>
  </si>
  <si>
    <t xml:space="preserve">NAR-411;COS-506;LAW-814</t>
  </si>
  <si>
    <t xml:space="preserve">Pilgrimage; Pilgrimage Network; Pilgrimage Merit or Transformation</t>
  </si>
  <si>
    <t xml:space="preserve">A traveler who undertakes sacred journeys to crossings, rivers, hermitages, mountains, and remembered sites for teaching, purification, merit, encounter, or transformation.</t>
  </si>
  <si>
    <t xml:space="preserve">Travel, ritual practice, listening, place memory, hospitality, and discipline.</t>
  </si>
  <si>
    <t xml:space="preserve">Pilgrimage is not a side-quest checklist or simple fast-travel network.</t>
  </si>
  <si>
    <t xml:space="preserve">Connects sacred geography to narrative sequence and transformed social or spiritual status.</t>
  </si>
  <si>
    <t xml:space="preserve">Vana Parva tīrtha-yātrā material; parva-level review.</t>
  </si>
  <si>
    <t xml:space="preserve">ENT-0345</t>
  </si>
  <si>
    <t xml:space="preserve">Tapas (ascetic potency)</t>
  </si>
  <si>
    <t xml:space="preserve">Power practice / sacred discipline</t>
  </si>
  <si>
    <t xml:space="preserve">LAW-102;LAW-107;LAW-513</t>
  </si>
  <si>
    <t xml:space="preserve">Renunciation Vow; Vow-Powered Ability; Price of Power</t>
  </si>
  <si>
    <t xml:space="preserve">Potency and authority cultivated through austerity, concentration, restraint, meditation, and disciplined practice.</t>
  </si>
  <si>
    <t xml:space="preserve">Sustained discipline, renunciation, attention, bodily practice, and time.</t>
  </si>
  <si>
    <t xml:space="preserve">Tapas is not a generic fire spell, mana pool, or experience grind, even when described through heat or formidable power.</t>
  </si>
  <si>
    <t xml:space="preserve">A power model where capability emerges through self-discipline and ethical-religious practice.</t>
  </si>
  <si>
    <t xml:space="preserve">Vana, Śānti, and Anuśāsana Parvas; ascetic narratives.</t>
  </si>
  <si>
    <t xml:space="preserve">ENT-0346</t>
  </si>
  <si>
    <t xml:space="preserve">Mantra (mantra)</t>
  </si>
  <si>
    <t xml:space="preserve">Sacred utterance / operative formula</t>
  </si>
  <si>
    <t xml:space="preserve">PWR-500;ART-219</t>
  </si>
  <si>
    <t xml:space="preserve">Symbolic, Performative, and Technical Methods; Summoned or Invoked Weapon</t>
  </si>
  <si>
    <t xml:space="preserve">An authorized sacred or operative utterance used in ritual, invocation, protection, weapon activation, contemplation, and divine relation.</t>
  </si>
  <si>
    <t xml:space="preserve">Sound, transmission, understanding, authority, exact recitation, and ritual context.</t>
  </si>
  <si>
    <t xml:space="preserve">Mantra is not safely synonymous with spell, command word, or magic syllable.</t>
  </si>
  <si>
    <t xml:space="preserve">Adds a language-based power method whose efficacy depends on lineage and sacred context.</t>
  </si>
  <si>
    <t xml:space="preserve">Epic-wide invocations and ritual speech; terminology review.</t>
  </si>
  <si>
    <t xml:space="preserve">ENT-0347</t>
  </si>
  <si>
    <t xml:space="preserve">Astra-vidyā and divine-weapon lore</t>
  </si>
  <si>
    <t xml:space="preserve">Martial-sacred knowledge tradition</t>
  </si>
  <si>
    <t xml:space="preserve">ART-219;ROL-935;LAW-604</t>
  </si>
  <si>
    <t xml:space="preserve">Summoned or Invoked Weapon; Martial Preceptor; Mantra or Invocatory Formula</t>
  </si>
  <si>
    <t xml:space="preserve">Knowledge required to receive, invoke, control, counter, and withdraw exceptional weapons associated with deities and cosmic powers.</t>
  </si>
  <si>
    <t xml:space="preserve">Teacher transmission, eligibility, mantra, discipline, divine grant, and tactical judgment.</t>
  </si>
  <si>
    <t xml:space="preserve">This is not merely an inventory of high-level spells or enchanted ammunition; authorization and withdrawal are central.</t>
  </si>
  <si>
    <t xml:space="preserve">A reusable hybrid of weapon, ritual formula, lineage knowledge, and ethical restriction.</t>
  </si>
  <si>
    <t xml:space="preserve">Ādi, Vana, Udyoga, and battle parvas; weapon instruction and use.</t>
  </si>
  <si>
    <t xml:space="preserve">ENT-0348</t>
  </si>
  <si>
    <t xml:space="preserve">Vara (boon)</t>
  </si>
  <si>
    <t xml:space="preserve">Divine or sacred grant</t>
  </si>
  <si>
    <t xml:space="preserve">LAW-202;LAW-215</t>
  </si>
  <si>
    <t xml:space="preserve">Conditional Boon; Boon Loophole</t>
  </si>
  <si>
    <t xml:space="preserve">A granted benefit, protection, capacity, birth, weapon, knowledge, or exception conferred by a deity, sage, or other powerful being.</t>
  </si>
  <si>
    <t xml:space="preserve">Relationship, austerity, petition, recognition, conditions, wording, and recipient eligibility.</t>
  </si>
  <si>
    <t xml:space="preserve">Vara is not simply a passive buff or wish reward; grants can have exact limits and major narrative consequences.</t>
  </si>
  <si>
    <t xml:space="preserve">A source-specific boon logic that helps explain conditional invulnerability and birth narratives.</t>
  </si>
  <si>
    <t xml:space="preserve">Ādi, Vana, and later parvas; boon narratives throughout.</t>
  </si>
  <si>
    <t xml:space="preserve">ENT-0349</t>
  </si>
  <si>
    <t xml:space="preserve">Śāpa (curse)</t>
  </si>
  <si>
    <t xml:space="preserve">Spoken or ritually effective curse</t>
  </si>
  <si>
    <t xml:space="preserve">LAW-206;LAW-207;STA-311</t>
  </si>
  <si>
    <t xml:space="preserve">Transformative Curse; Prophetic Curse or Doom; Cursed State</t>
  </si>
  <si>
    <t xml:space="preserve">A potent pronouncement imposing transformation, loss, destiny, prohibition, or future consequence, often within relationships of authority, injury, or violated norm.</t>
  </si>
  <si>
    <t xml:space="preserve">Speech, sacred authority, emotion, offense, fate, and sometimes counter-boons or mitigation.</t>
  </si>
  <si>
    <t xml:space="preserve">Śāpa should not be reduced to a damage-over-time spell or arbitrary evil magic.</t>
  </si>
  <si>
    <t xml:space="preserve">Shows curse as relational speech-act, narrative causation, and transformed state.</t>
  </si>
  <si>
    <t xml:space="preserve">Ādi, Vana, and later parvas; curse narratives throughout.</t>
  </si>
  <si>
    <t xml:space="preserve">ENT-0350</t>
  </si>
  <si>
    <t xml:space="preserve">Māyā (illusion, artifice, or extraordinary manifestation)</t>
  </si>
  <si>
    <t xml:space="preserve">Power concept / source-specific semantic field</t>
  </si>
  <si>
    <t xml:space="preserve">COS-410;LAW-611</t>
  </si>
  <si>
    <t xml:space="preserve">Simulated or Constructed Reality; Story or Belief Makes Real</t>
  </si>
  <si>
    <t xml:space="preserve">A source-specific term used in varied contexts involving appearance, extraordinary creation, deception, artifice, power, and the instability of perception.</t>
  </si>
  <si>
    <t xml:space="preserve">Knowledge, divine or nonhuman capability, craft, perception, and context.</t>
  </si>
  <si>
    <t xml:space="preserve">Māyā is not a single illusion-school spell list and its philosophical meanings cannot be inferred from every narrative use.</t>
  </si>
  <si>
    <t xml:space="preserve">A cautionary case where one translated term spans several normalized families.</t>
  </si>
  <si>
    <t xml:space="preserve">Sabhā, Vana, and other parvas; context-dependent uses.</t>
  </si>
  <si>
    <t xml:space="preserve">ENT-0351</t>
  </si>
  <si>
    <t xml:space="preserve">Divine favor and patronage</t>
  </si>
  <si>
    <t xml:space="preserve">Empowerment / relational state</t>
  </si>
  <si>
    <t xml:space="preserve">STA-406;PWR-103</t>
  </si>
  <si>
    <t xml:space="preserve">Divine Favor; Divine Miracle</t>
  </si>
  <si>
    <t xml:space="preserve">Ongoing support, recognition, protection, counsel, weapon access, or mission authorization arising from relation with a deity.</t>
  </si>
  <si>
    <t xml:space="preserve">Devotion, kinship, conduct, cosmic purpose, petition, and divine choice.</t>
  </si>
  <si>
    <t xml:space="preserve">Favor is relational and situational rather than a permanent character statistic.</t>
  </si>
  <si>
    <t xml:space="preserve">Connects divine power to patronage, legitimacy, and narrative mission.</t>
  </si>
  <si>
    <t xml:space="preserve">Epic-wide; divine aid and patronage episodes.</t>
  </si>
  <si>
    <t xml:space="preserve">ENT-0352</t>
  </si>
  <si>
    <t xml:space="preserve">Prophecy, omen, and foreknown outcome</t>
  </si>
  <si>
    <t xml:space="preserve">Divination / narrative law</t>
  </si>
  <si>
    <t xml:space="preserve">LAW-501;LAW-502;LAW-520</t>
  </si>
  <si>
    <t xml:space="preserve">Fate or Destiny; Prophecy Fulfillment Rule; Prophecy Loophole</t>
  </si>
  <si>
    <t xml:space="preserve">Foreknowledge or pronouncement concerning births, deaths, wars, destinies, conditions, and the consequences of action.</t>
  </si>
  <si>
    <t xml:space="preserve">Divine insight, sage knowledge, dreams, omens, speech, and fate.</t>
  </si>
  <si>
    <t xml:space="preserve">Prophecy may constrain without eliminating agency and often turns on interpretation rather than simple prediction accuracy.</t>
  </si>
  <si>
    <t xml:space="preserve">Supports a layered model of fate, warning, and action within known limits.</t>
  </si>
  <si>
    <t xml:space="preserve">Ādi, Udyoga, and battle parvas; omens and predictions.</t>
  </si>
  <si>
    <t xml:space="preserve">ENT-0353</t>
  </si>
  <si>
    <t xml:space="preserve">Vrata (vow or observance)</t>
  </si>
  <si>
    <t xml:space="preserve">Sacred observance / binding practice</t>
  </si>
  <si>
    <t xml:space="preserve">LAW-101;STA-309</t>
  </si>
  <si>
    <t xml:space="preserve">Sacred Oath; Oathbound State</t>
  </si>
  <si>
    <t xml:space="preserve">A vowed observance involving conduct, restraint, timing, ritual, fasting, service, or identity that creates sacred and social force.</t>
  </si>
  <si>
    <t xml:space="preserve">Commitment, discipline, witness, ritual rule, time, and personal purpose.</t>
  </si>
  <si>
    <t xml:space="preserve">Vrata is broader than a knightly oath and cannot be reduced to a self-imposed game restriction.</t>
  </si>
  <si>
    <t xml:space="preserve">Links vow, practice, state, and power without flattening them into a class feature.</t>
  </si>
  <si>
    <t xml:space="preserve">Epic-wide vow and observance narratives.</t>
  </si>
  <si>
    <t xml:space="preserve">ENT-0354</t>
  </si>
  <si>
    <t xml:space="preserve">Oathbound state</t>
  </si>
  <si>
    <t xml:space="preserve">Acquired social-metaphysical condition</t>
  </si>
  <si>
    <t xml:space="preserve">LAW-101;LAW-108;NAR-444</t>
  </si>
  <si>
    <t xml:space="preserve">Sacred Oath; Oath-Breaking Curse; Vow-Bound Elder</t>
  </si>
  <si>
    <t xml:space="preserve">A person becomes durably defined and constrained by a vow whose fulfillment or violation shapes status, relationships, and fate.</t>
  </si>
  <si>
    <t xml:space="preserve">Spoken commitment, public recognition, sacred consequence, and identity.</t>
  </si>
  <si>
    <t xml:space="preserve">The state is not just loyalty or a role-play preference; it reorganizes future choices.</t>
  </si>
  <si>
    <t xml:space="preserve">A source-grounded template for characters whose power and tragedy come from the same vow.</t>
  </si>
  <si>
    <t xml:space="preserve">Ādi and Udyoga Parvas; major vow narratives.</t>
  </si>
  <si>
    <t xml:space="preserve">ENT-0355</t>
  </si>
  <si>
    <t xml:space="preserve">Forest exile (vana-vāsa)</t>
  </si>
  <si>
    <t xml:space="preserve">Social-ritual state / imposed journey</t>
  </si>
  <si>
    <t xml:space="preserve">NAR-107;COS-503</t>
  </si>
  <si>
    <t xml:space="preserve">Exiled Heir; Sacred Forest or Grove</t>
  </si>
  <si>
    <t xml:space="preserve">A period of removal from court, kingship, property, and ordinary status into forest life, pilgrimage, hardship, teaching, and encounter.</t>
  </si>
  <si>
    <t xml:space="preserve">Political dispossession, vowed duration, social law, landscape, and endurance.</t>
  </si>
  <si>
    <t xml:space="preserve">It is not generic wilderness travel; exile changes rights, identity, and succession.</t>
  </si>
  <si>
    <t xml:space="preserve">A major reusable state linking politics, sacred geography, and character transformation.</t>
  </si>
  <si>
    <t xml:space="preserve">Vana Parva; exile narratives.</t>
  </si>
  <si>
    <t xml:space="preserve">ENT-0356</t>
  </si>
  <si>
    <t xml:space="preserve">Incognito year (ajñātavāsa)</t>
  </si>
  <si>
    <t xml:space="preserve">Concealed-identity exile state</t>
  </si>
  <si>
    <t xml:space="preserve">LAW-112;LAW-813;STA-300</t>
  </si>
  <si>
    <t xml:space="preserve">Time-Limited Vow; Exile as Ritual or Social State; Spiritual and Identity States</t>
  </si>
  <si>
    <t xml:space="preserve">A required period of concealed identity and service under threat that discovery will renew or invalidate the exile.</t>
  </si>
  <si>
    <t xml:space="preserve">Disguise, skill reassignment, restraint, timing, and social performance.</t>
  </si>
  <si>
    <t xml:space="preserve">The condition is legally and narratively structured, not a casual disguise episode.</t>
  </si>
  <si>
    <t xml:space="preserve">A distinctive exile subtype combining countdown, hidden identity, and altered vocation.</t>
  </si>
  <si>
    <t xml:space="preserve">Virāṭa Parva.</t>
  </si>
  <si>
    <t xml:space="preserve">ENT-0357</t>
  </si>
  <si>
    <t xml:space="preserve">Curse-driven transformation</t>
  </si>
  <si>
    <t xml:space="preserve">Acquired transformed state</t>
  </si>
  <si>
    <t xml:space="preserve">STA-311;PWR-309</t>
  </si>
  <si>
    <t xml:space="preserve">Cursed State; Transformation Magic</t>
  </si>
  <si>
    <t xml:space="preserve">A bodily, social, or existential change imposed by a curse and governed by stated conditions, duration, mitigation, or release.</t>
  </si>
  <si>
    <t xml:space="preserve">Speech-act curse, divine or sage authority, fate, and condition.</t>
  </si>
  <si>
    <t xml:space="preserve">Transformation is not always moral degradation and may produce complex identity rather than monster status.</t>
  </si>
  <si>
    <t xml:space="preserve">Maps curse and transformed embodiment without treating either as species.</t>
  </si>
  <si>
    <t xml:space="preserve">Ādi and Vana Parvas; multiple transformation narratives.</t>
  </si>
  <si>
    <t xml:space="preserve">ENT-0358</t>
  </si>
  <si>
    <t xml:space="preserve">Sex or gendered embodiment change</t>
  </si>
  <si>
    <t xml:space="preserve">Embodiment transformation</t>
  </si>
  <si>
    <t xml:space="preserve">LAW-206;NAR-448</t>
  </si>
  <si>
    <t xml:space="preserve">Transformative Curse; Incognito Exile</t>
  </si>
  <si>
    <t xml:space="preserve">Source-specific episodes in which bodily sex, gendered social role, presentation, memory, or identity changes through birth history, curse, boon, disguise, or transformation.</t>
  </si>
  <si>
    <t xml:space="preserve">Source-specific divine, social, bodily, and narrative mechanisms.</t>
  </si>
  <si>
    <t xml:space="preserve">Distinct episodes should not be merged, pathologized, or treated as one modern identity category; translation and context require care.</t>
  </si>
  <si>
    <t xml:space="preserve">A necessary transformation family that resists both erasure and simplistic fantasy-gender mechanics.</t>
  </si>
  <si>
    <t xml:space="preserve">Virāṭa and battle-related narratives including Śikhaṇḍin and Bṛhannalā contexts; specialist review still required.</t>
  </si>
  <si>
    <t xml:space="preserve">ENT-0359</t>
  </si>
  <si>
    <t xml:space="preserve">Divine manifestation and theophany</t>
  </si>
  <si>
    <t xml:space="preserve">Revelatory divine manifestation</t>
  </si>
  <si>
    <t xml:space="preserve">COS-710;NAR-449</t>
  </si>
  <si>
    <t xml:space="preserve">Return of the Gods; Battlefield Revelation</t>
  </si>
  <si>
    <t xml:space="preserve">A deity or divine being reveals a form, identity, scope, or presence that exceeds ordinary embodied perception.</t>
  </si>
  <si>
    <t xml:space="preserve">Divine agency, grace, altered perception, revelation, and eligibility to witness.</t>
  </si>
  <si>
    <t xml:space="preserve">A theophany is not simply a transformation sequence or boss phase.</t>
  </si>
  <si>
    <t xml:space="preserve">Adds revelatory manifestation as a distinct event linking ontology, perception, and ethical instruction.</t>
  </si>
  <si>
    <t xml:space="preserve">Bhagavad Gītā, Viśvarūpa-darśana context.</t>
  </si>
  <si>
    <t xml:space="preserve">ENT-0360</t>
  </si>
  <si>
    <t xml:space="preserve">Astra (divine or invoked weapon)</t>
  </si>
  <si>
    <t xml:space="preserve">Weapon class / invoked artifact</t>
  </si>
  <si>
    <t xml:space="preserve">ART-219;LAW-604;LAW-202</t>
  </si>
  <si>
    <t xml:space="preserve">Summoned or Invoked Weapon; Mantra or Invocatory Formula; Conditional Boon</t>
  </si>
  <si>
    <t xml:space="preserve">An exceptional weapon or weapon-power associated with divine authority, instruction, invocation, targeting rules, and often the need for restraint or withdrawal.</t>
  </si>
  <si>
    <t xml:space="preserve">Divine grant, teacher transmission, mantra, discipline, eligibility, and tactical context.</t>
  </si>
  <si>
    <t xml:space="preserve">Astra is not simply a magic item, missile, or spell; sources distinguish possession, knowledge, invocation, countering, and withdrawal.</t>
  </si>
  <si>
    <t xml:space="preserve">A core hybrid archetype uniting artifact, ritual speech, martial role, and conditional law.</t>
  </si>
  <si>
    <t xml:space="preserve">Ādi, Vana, Udyoga, and battle parvas; weapon narratives.</t>
  </si>
  <si>
    <t xml:space="preserve">ENT-0361</t>
  </si>
  <si>
    <t xml:space="preserve">Gāṇḍīva</t>
  </si>
  <si>
    <t xml:space="preserve">Named heroic weapon / bow</t>
  </si>
  <si>
    <t xml:space="preserve">ART-207;ART-102</t>
  </si>
  <si>
    <t xml:space="preserve">Bloodline Weapon; Divine Gift Artifact</t>
  </si>
  <si>
    <t xml:space="preserve">Arjuna's exceptional named bow, embedded in divine provenance, heroic identity, warfare, and the history of its acquisition and use.</t>
  </si>
  <si>
    <t xml:space="preserve">Provenance, divine association, bearer capability, martial practice, and narrative continuity.</t>
  </si>
  <si>
    <t xml:space="preserve">It is not merely a high-stat bow; its identity derives from name, history, bearer, and epic action.</t>
  </si>
  <si>
    <t xml:space="preserve">A strong named-weapon case where object biography and hero biography become mutually reinforcing.</t>
  </si>
  <si>
    <t xml:space="preserve">Ādi, Vana, and battle parvas.</t>
  </si>
  <si>
    <t xml:space="preserve">ENT-0362</t>
  </si>
  <si>
    <t xml:space="preserve">Brahmāstra</t>
  </si>
  <si>
    <t xml:space="preserve">Divine/catastrophic weapon</t>
  </si>
  <si>
    <t xml:space="preserve">ART-213;LAW-202;LAW-513</t>
  </si>
  <si>
    <t xml:space="preserve">World-Ending Weapon; Conditional Boon; Price of Power</t>
  </si>
  <si>
    <t xml:space="preserve">A supremely dangerous invoked weapon associated with Brahmā and governed by knowledge, authorization, countering, and grave consequences.</t>
  </si>
  <si>
    <t xml:space="preserve">Divine or teacher-granted knowledge, mantra, discipline, and exceptional use conditions.</t>
  </si>
  <si>
    <t xml:space="preserve">It should not be treated as a standard ultimate spell or interchangeable nuclear metaphor; textual uses and variants require exact citation.</t>
  </si>
  <si>
    <t xml:space="preserve">Illustrates catastrophic weaponry whose control rules matter as much as destructive scale.</t>
  </si>
  <si>
    <t xml:space="preserve">Battle parvas and weapon instruction episodes; parva-level review.</t>
  </si>
  <si>
    <t xml:space="preserve">ENT-0363</t>
  </si>
  <si>
    <t xml:space="preserve">Pāśupatāstra</t>
  </si>
  <si>
    <t xml:space="preserve">Divine gift weapon</t>
  </si>
  <si>
    <t xml:space="preserve">ART-102;ART-213;LAW-214</t>
  </si>
  <si>
    <t xml:space="preserve">Divine Gift Artifact; World-Ending Weapon; Trial for a Gift</t>
  </si>
  <si>
    <t xml:space="preserve">A weapon associated with Śiva and obtained through encounter, testing, austerity, recognition, and grant.</t>
  </si>
  <si>
    <t xml:space="preserve">Ascetic practice, divine trial, eligibility, instruction, and controlled invocation.</t>
  </si>
  <si>
    <t xml:space="preserve">The acquisition story is inseparable from the weapon; it is not ordinary loot or a spell learned at level-up.</t>
  </si>
  <si>
    <t xml:space="preserve">A model of artifact power authorized through ordeal and divine relationship.</t>
  </si>
  <si>
    <t xml:space="preserve">Vana Parva, Arjuna's quest for divine weapons.</t>
  </si>
  <si>
    <t xml:space="preserve">ENT-0364</t>
  </si>
  <si>
    <t xml:space="preserve">Nārāyaṇāstra</t>
  </si>
  <si>
    <t xml:space="preserve">Divine/counter-conditioned weapon</t>
  </si>
  <si>
    <t xml:space="preserve">ART-213;LAW-517;LAW-202</t>
  </si>
  <si>
    <t xml:space="preserve">World-Ending Weapon; Elemental Opposition or Counter Law; Conditional Boon</t>
  </si>
  <si>
    <t xml:space="preserve">A formidable weapon associated with Nārāyaṇa whose encounter is shaped by specific behavioral and tactical conditions.</t>
  </si>
  <si>
    <t xml:space="preserve">Divine provenance, invocation, battlefield condition, and knowledge of response.</t>
  </si>
  <si>
    <t xml:space="preserve">Its logic cannot be reduced to raw damage; counter-knowledge and conduct are central.</t>
  </si>
  <si>
    <t xml:space="preserve">Shows how mythic weapons can encode tactical law rather than only greater scale.</t>
  </si>
  <si>
    <t xml:space="preserve">Droṇa Parva; battle narrative.</t>
  </si>
  <si>
    <t xml:space="preserve">ENT-0365</t>
  </si>
  <si>
    <t xml:space="preserve">Kavaca and kuṇḍala (armor and earrings)</t>
  </si>
  <si>
    <t xml:space="preserve">Innate/divine protective regalia</t>
  </si>
  <si>
    <t xml:space="preserve">ART-102;ART-309;LAW-212</t>
  </si>
  <si>
    <t xml:space="preserve">Divine Gift Artifact; Ring, Amulet, or Talisman; Otherworld Gift Exchange</t>
  </si>
  <si>
    <t xml:space="preserve">Karna's protective armor and earrings, bound to birth, identity, invulnerability, gift exchange, and sacrificial loss.</t>
  </si>
  <si>
    <t xml:space="preserve">Divine birth, embodied protection, lineage, generosity, and exchange.</t>
  </si>
  <si>
    <t xml:space="preserve">They are not a generic armor set; their removal is a relational and ethical event with irreversible consequences.</t>
  </si>
  <si>
    <t xml:space="preserve">A major case joining innate armor, divine gift, identity, generosity, and vulnerability.</t>
  </si>
  <si>
    <t xml:space="preserve">Ādi and Udyoga/Karṇa-related narratives.</t>
  </si>
  <si>
    <t xml:space="preserve">ENT-0366</t>
  </si>
  <si>
    <t xml:space="preserve">Ratha (heroic war chariot)</t>
  </si>
  <si>
    <t xml:space="preserve">Vehicle / battle platform</t>
  </si>
  <si>
    <t xml:space="preserve">ROL-133;ART-501</t>
  </si>
  <si>
    <t xml:space="preserve">Charioteer; Divine Chariot</t>
  </si>
  <si>
    <t xml:space="preserve">A chariot functioning as a mobile battle system joining warrior, charioteer, horses, banners, weapons, status, and tactical position.</t>
  </si>
  <si>
    <t xml:space="preserve">Craft, horses, driver skill, warrior skill, social prestige, and battlefield coordination.</t>
  </si>
  <si>
    <t xml:space="preserve">The chariot is not an interchangeable mount; it creates paired roles and a specific elite warfare ecology.</t>
  </si>
  <si>
    <t xml:space="preserve">A vehicle archetype that reshapes class, party, and battlefield analysis.</t>
  </si>
  <si>
    <t xml:space="preserve">Battle parvas; chariot combat throughout.</t>
  </si>
  <si>
    <t xml:space="preserve">ENT-0367</t>
  </si>
  <si>
    <t xml:space="preserve">Śaṅkha (named conch)</t>
  </si>
  <si>
    <t xml:space="preserve">Signal relic / named instrument</t>
  </si>
  <si>
    <t xml:space="preserve">ART-208;LAW-612</t>
  </si>
  <si>
    <t xml:space="preserve">Named Heroic Weapon; Music or Song as Operative Law</t>
  </si>
  <si>
    <t xml:space="preserve">Named conches announce identity, battle readiness, authority, morale, and the transition into conflict through sound.</t>
  </si>
  <si>
    <t xml:space="preserve">Named possession, ritual and martial sound, recognition, and public signaling.</t>
  </si>
  <si>
    <t xml:space="preserve">The conch is not decorative equipment or a generic horn buff; naming and sonic declaration matter.</t>
  </si>
  <si>
    <t xml:space="preserve">Expands the signal-relic family through public identity and sacred-martial sound.</t>
  </si>
  <si>
    <t xml:space="preserve">Bhīṣma Parva and Bhagavad Gītā opening battlefield scene.</t>
  </si>
  <si>
    <t xml:space="preserve">ENT-0368</t>
  </si>
  <si>
    <t xml:space="preserve">Gadā (mace) as heroic weapon tradition</t>
  </si>
  <si>
    <t xml:space="preserve">Martial weapon tradition / named weapon</t>
  </si>
  <si>
    <t xml:space="preserve">ROL-101;ROL-935</t>
  </si>
  <si>
    <t xml:space="preserve">Warrior or Fighter; Martial Preceptor</t>
  </si>
  <si>
    <t xml:space="preserve">The mace functions as a specialized heroic weapon tied to training lineages, duels, strength, rules of combat, and individual reputation.</t>
  </si>
  <si>
    <t xml:space="preserve">Martial instruction, bodily skill, lineage, named weapons, and duel conventions.</t>
  </si>
  <si>
    <t xml:space="preserve">It is not simply a blunt damage category; pedagogy and duel law shape its meaning.</t>
  </si>
  <si>
    <t xml:space="preserve">Connects weapon type to martial vocation, lineage teaching, and rule-bound climax.</t>
  </si>
  <si>
    <t xml:space="preserve">Ādi, Udyoga, and Śalya Parvas; mace instruction and duel.</t>
  </si>
  <si>
    <t xml:space="preserve">ENT-0369</t>
  </si>
  <si>
    <t xml:space="preserve">Dice of dispossession</t>
  </si>
  <si>
    <t xml:space="preserve">Fate/political object</t>
  </si>
  <si>
    <t xml:space="preserve">NAR-447;LAW-216</t>
  </si>
  <si>
    <t xml:space="preserve">Dice-Game Dispossession; Exact-Wording Contract</t>
  </si>
  <si>
    <t xml:space="preserve">Dice and the gaming procedure become instruments through which sovereignty, wealth, freedom, kin, and honor are wagered and dispossessed.</t>
  </si>
  <si>
    <t xml:space="preserve">Chance, manipulation, social recognition of stakes, court procedure, and exact terms.</t>
  </si>
  <si>
    <t xml:space="preserve">The object is not magical loot; its power is institutional, legalistic, psychological, and fate-laden.</t>
  </si>
  <si>
    <t xml:space="preserve">A strong example of an ordinary object becoming an artifact-level narrative mechanism through law and public authority.</t>
  </si>
  <si>
    <t xml:space="preserve">Sabhā Parva dice game.</t>
  </si>
  <si>
    <t xml:space="preserve">ENT-0370</t>
  </si>
  <si>
    <t xml:space="preserve">Svarga</t>
  </si>
  <si>
    <t xml:space="preserve">Celestial realm / postmortem destination</t>
  </si>
  <si>
    <t xml:space="preserve">COS-303;COS-314</t>
  </si>
  <si>
    <t xml:space="preserve">Paradise or Reward Realm; Multiple Afterlives</t>
  </si>
  <si>
    <t xml:space="preserve">A celestial or heavenly domain associated with gods, reward, elevated experience, and postmortem or exceptional access.</t>
  </si>
  <si>
    <t xml:space="preserve">Merit, divine order, death, ascent, and source-specific cosmic hierarchy.</t>
  </si>
  <si>
    <t xml:space="preserve">Svarga is not simply the one final heaven or a generic good-alignment plane; duration, access, and relation to rebirth matter.</t>
  </si>
  <si>
    <t xml:space="preserve">Adds a reward realm embedded in plural worlds and cyclical existence rather than a single terminal afterlife.</t>
  </si>
  <si>
    <t xml:space="preserve">Svargārohaṇa and related parvas; parva-level review.</t>
  </si>
  <si>
    <t xml:space="preserve">ENT-0371</t>
  </si>
  <si>
    <t xml:space="preserve">Naraka</t>
  </si>
  <si>
    <t xml:space="preserve">Punishment realm / postmortem condition</t>
  </si>
  <si>
    <t xml:space="preserve">COS-302;COS-314</t>
  </si>
  <si>
    <t xml:space="preserve">Judgment Realm; Multiple Afterlives</t>
  </si>
  <si>
    <t xml:space="preserve">A realm or condition of suffering and consequence encountered within the epic's postmortem and moral-causal order.</t>
  </si>
  <si>
    <t xml:space="preserve">Deeds, judgment, divine arrangement, perception, and postmortem process.</t>
  </si>
  <si>
    <t xml:space="preserve">Naraka is not a generic eternal hell populated by a fantasy demon faction; duration and function require source-specific reading.</t>
  </si>
  <si>
    <t xml:space="preserve">Supports multiple afterlives and moral-causal consequence without importing one theological hell model.</t>
  </si>
  <si>
    <t xml:space="preserve">Svargārohaṇa and Anuśāsana-related afterlife discussions.</t>
  </si>
  <si>
    <t xml:space="preserve">ENT-0372</t>
  </si>
  <si>
    <t xml:space="preserve">Loka (plural worlds or realms)</t>
  </si>
  <si>
    <t xml:space="preserve">Cosmological world category</t>
  </si>
  <si>
    <t xml:space="preserve">COS-101;COS-314</t>
  </si>
  <si>
    <t xml:space="preserve">Layered Cosmos; Multiple Afterlives</t>
  </si>
  <si>
    <t xml:space="preserve">A flexible category for worlds, realms, or spheres inhabited or governed by different beings and conditions.</t>
  </si>
  <si>
    <t xml:space="preserve">Cosmic order, beings, merit, divine authority, and layered existence.</t>
  </si>
  <si>
    <t xml:space="preserve">Loka is not automatically equivalent to a tabletop plane, planet, level, or dimension.</t>
  </si>
  <si>
    <t xml:space="preserve">A source-specific plural-world vocabulary useful for testing game-plane assumptions.</t>
  </si>
  <si>
    <t xml:space="preserve">Cosmological passages across the epic; terminology review.</t>
  </si>
  <si>
    <t xml:space="preserve">ENT-0373</t>
  </si>
  <si>
    <t xml:space="preserve">Yuga and cosmic ages</t>
  </si>
  <si>
    <t xml:space="preserve">Cyclical time / world-age system</t>
  </si>
  <si>
    <t xml:space="preserve">LAW-510;COS-705</t>
  </si>
  <si>
    <t xml:space="preserve">Cyclical-Age Law; Age of Decline</t>
  </si>
  <si>
    <t xml:space="preserve">A temporal framework in which ages differ in duration, conduct, order, capability, and relation to decline and renewal.</t>
  </si>
  <si>
    <t xml:space="preserve">Cosmic time, social and ethical condition, recurring sequence, and divine history.</t>
  </si>
  <si>
    <t xml:space="preserve">Yuga is not a technology age, level bracket, or generic four-season metaphor.</t>
  </si>
  <si>
    <t xml:space="preserve">Provides a deep source model for age-based cosmology that later games often convert into progression tiers.</t>
  </si>
  <si>
    <t xml:space="preserve">Vana and Śānti Parvas; discussions of ages and decline.</t>
  </si>
  <si>
    <t xml:space="preserve">ENT-0374</t>
  </si>
  <si>
    <t xml:space="preserve">Saṃsāra and rebirth cycle</t>
  </si>
  <si>
    <t xml:space="preserve">Cosmological process / repeated embodiment</t>
  </si>
  <si>
    <t xml:space="preserve">LAW-701;LAW-506;LAW-715</t>
  </si>
  <si>
    <t xml:space="preserve">Reincarnation Rule; Moral Causation or Karma-Like Rule; Escape from the Cycle or Liberation</t>
  </si>
  <si>
    <t xml:space="preserve">Repeated birth and death understood through action, consequence, attachment, knowledge, and the possibility of release.</t>
  </si>
  <si>
    <t xml:space="preserve">Karma, embodiment, desire, knowledge, conduct, and liberation.</t>
  </si>
  <si>
    <t xml:space="preserve">Saṃsāra is not a new-game-plus loop or automatic memory-preserving reincarnation mechanic.</t>
  </si>
  <si>
    <t xml:space="preserve">A corrective to progression systems that borrow rebirth while omitting moral, philosophical, and soteriological dimensions.</t>
  </si>
  <si>
    <t xml:space="preserve">Śānti, Anuśāsana, and Bhagavad Gītā contexts.</t>
  </si>
  <si>
    <t xml:space="preserve">ENT-0375</t>
  </si>
  <si>
    <t xml:space="preserve">Mount Meru</t>
  </si>
  <si>
    <t xml:space="preserve">World mountain / sacred cosmic geography</t>
  </si>
  <si>
    <t xml:space="preserve">COS-501;COS-102</t>
  </si>
  <si>
    <t xml:space="preserve">Sacred Mountain; Axis Mundi or World Axis</t>
  </si>
  <si>
    <t xml:space="preserve">A central or cosmic mountain situated within a wider sacred geography and plural-world cosmology.</t>
  </si>
  <si>
    <t xml:space="preserve">Cosmic orientation, divine association, sacred geography, and world structure.</t>
  </si>
  <si>
    <t xml:space="preserve">Meru is not a generic tall mountain or interchangeable world-tree substitute.</t>
  </si>
  <si>
    <t xml:space="preserve">Adds a world-mountain axis whose meaning must remain distinct from other cosmic centers.</t>
  </si>
  <si>
    <t xml:space="preserve">Cosmological and pilgrimage passages across the epic.</t>
  </si>
  <si>
    <t xml:space="preserve">ENT-0376</t>
  </si>
  <si>
    <t xml:space="preserve">Tīrtha and sacred crossing network</t>
  </si>
  <si>
    <t xml:space="preserve">Sacred site / pilgrimage geography</t>
  </si>
  <si>
    <t xml:space="preserve">COS-506;LAW-814</t>
  </si>
  <si>
    <t xml:space="preserve">Pilgrimage Network; Pilgrimage Merit or Transformation</t>
  </si>
  <si>
    <t xml:space="preserve">Sacred crossings, waters, hermitages, and sites linked through pilgrimage, remembered narratives, rites, and transformative travel.</t>
  </si>
  <si>
    <t xml:space="preserve">Place, narrative memory, ritual action, hospitality, purification, and journey.</t>
  </si>
  <si>
    <t xml:space="preserve">Tīrtha is not adequately translated as checkpoint, shrine collectible, or fast-travel node.</t>
  </si>
  <si>
    <t xml:space="preserve">A place-system where crossing, story, rite, and geography mutually constitute sacred power.</t>
  </si>
  <si>
    <t xml:space="preserve">Vana Parva tīrtha-yātrā sections.</t>
  </si>
  <si>
    <t xml:space="preserve">ENT-0377</t>
  </si>
  <si>
    <t xml:space="preserve">Kurukṣetra as sacred battlefield</t>
  </si>
  <si>
    <t xml:space="preserve">Sacred battlefield / place of duty and revelation</t>
  </si>
  <si>
    <t xml:space="preserve">COS-515;NAR-449;LAW-505</t>
  </si>
  <si>
    <t xml:space="preserve">Cosmic Battlefield; Battlefield Revelation; Cosmic or Social Order</t>
  </si>
  <si>
    <t xml:space="preserve">The battlefield is simultaneously political territory, ancestral and dynastic space, field of duty, site of mass death, and setting for divine-philosophical revelation.</t>
  </si>
  <si>
    <t xml:space="preserve">Sacred geography, kinship, war, duty, memory, and divine presence.</t>
  </si>
  <si>
    <t xml:space="preserve">It is not merely a combat map or generic final-battle arena.</t>
  </si>
  <si>
    <t xml:space="preserve">A high-value example of place carrying legal, ritual, narrative, and cosmological significance at once.</t>
  </si>
  <si>
    <t xml:space="preserve">Bhīṣma Parva and Bhagavad Gītā setting.</t>
  </si>
  <si>
    <t xml:space="preserve">ENT-0378</t>
  </si>
  <si>
    <t xml:space="preserve">Pitṛ-loka or ancestor realm</t>
  </si>
  <si>
    <t xml:space="preserve">Ancestor realm / postmortem kinship domain</t>
  </si>
  <si>
    <t xml:space="preserve">PPL-303;LAW-306;LAW-812</t>
  </si>
  <si>
    <t xml:space="preserve">Ancestral Spirits; Ancestor Offering; Ancestor Obligation</t>
  </si>
  <si>
    <t xml:space="preserve">A realm or postmortem order associated with ancestors and sustained relations between living lineages and the dead.</t>
  </si>
  <si>
    <t xml:space="preserve">Kinship, funerary duty, offerings, memory, and cosmic order.</t>
  </si>
  <si>
    <t xml:space="preserve">It is not a summonable ghost plane or undead faction homeland.</t>
  </si>
  <si>
    <t xml:space="preserve">Links afterlife geography to continuing family obligation and ritual exchange.</t>
  </si>
  <si>
    <t xml:space="preserve">Anuśāsana and related discussions of ancestors and rites.</t>
  </si>
  <si>
    <t xml:space="preserve">ENT-0379</t>
  </si>
  <si>
    <t xml:space="preserve">Final ascent to heaven</t>
  </si>
  <si>
    <t xml:space="preserve">Divine ascent / postmortem journey</t>
  </si>
  <si>
    <t xml:space="preserve">NAR-451;COS-313</t>
  </si>
  <si>
    <t xml:space="preserve">Final Ascent and Recognition Test; Postmortem Trial</t>
  </si>
  <si>
    <t xml:space="preserve">The epic's concluding ascent subjects the surviving hero to loss, recognition, apparent contradiction, and final testing before the cosmic order is disclosed.</t>
  </si>
  <si>
    <t xml:space="preserve">Merit, death, loyalty, judgment, divine guidance, and altered perception.</t>
  </si>
  <si>
    <t xml:space="preserve">It is not a simple victory-screen apotheosis or linear reward ladder.</t>
  </si>
  <si>
    <t xml:space="preserve">A concluding cosmological journey that makes ethical testing and recognition part of afterlife access.</t>
  </si>
  <si>
    <t xml:space="preserve">Mahāprasthānika and Svargārohaṇa Parvas.</t>
  </si>
  <si>
    <t xml:space="preserve">ENT-0380</t>
  </si>
  <si>
    <t xml:space="preserve">Dharma (dharma)</t>
  </si>
  <si>
    <t xml:space="preserve">Embedded textual unit and epic-wide context; Sanskrit and translated text reviewed</t>
  </si>
  <si>
    <t xml:space="preserve">Source-specific ethical, social, ritual, and cosmic order concept</t>
  </si>
  <si>
    <t xml:space="preserve">NAR-452;LAW-509</t>
  </si>
  <si>
    <t xml:space="preserve">Conflict of Duties; Sacred Kingship</t>
  </si>
  <si>
    <t xml:space="preserve">A multivalent concept organizing duty, conduct, law, relationship, role, justice, order, and the difficult evaluation of action in changing circumstances.</t>
  </si>
  <si>
    <t xml:space="preserve">Situation, role, relationship, knowledge, intention, consequence, tradition, counsel, and cosmic-social order.</t>
  </si>
  <si>
    <t xml:space="preserve">Dharma is not an alignment score, obedience stat, fixed caste behavior, or one unambiguous rulebook.</t>
  </si>
  <si>
    <t xml:space="preserve">A foundational corrective: fantasy ethics often require conflict among legitimate duties rather than good/evil bins.</t>
  </si>
  <si>
    <t xml:space="preserve">Epic-wide; especially Udyoga, Śānti, Anuśāsana, and Bhagavad Gītā contexts.</t>
  </si>
  <si>
    <t xml:space="preserve">ENT-0381</t>
  </si>
  <si>
    <t xml:space="preserve">Karma (karma)</t>
  </si>
  <si>
    <t xml:space="preserve">Moral-causal principle / action and consequence</t>
  </si>
  <si>
    <t xml:space="preserve">COS-308;LAW-701</t>
  </si>
  <si>
    <t xml:space="preserve">Reincarnation Cycle; Reincarnation Rule</t>
  </si>
  <si>
    <t xml:space="preserve">Action and its consequences are discussed across life, death, rebirth, character, responsibility, and the conditions of embodied existence.</t>
  </si>
  <si>
    <t xml:space="preserve">Action, intention, consequence, conduct, time, embodiment, and knowledge.</t>
  </si>
  <si>
    <t xml:space="preserve">Karma is not cosmic revenge, instant poetic justice, luck points, or a visible morality meter.</t>
  </si>
  <si>
    <t xml:space="preserve">A source-specific causal framework that challenges simplified game karma systems.</t>
  </si>
  <si>
    <t xml:space="preserve">ENT-0382</t>
  </si>
  <si>
    <t xml:space="preserve">Yajña (sacrifice or offering rite)</t>
  </si>
  <si>
    <t xml:space="preserve">Ritual system / offering</t>
  </si>
  <si>
    <t xml:space="preserve">LAW-309;LAW-315;ROL-422</t>
  </si>
  <si>
    <t xml:space="preserve">Fire Sacrifice; Ritual Economy; Sacrificial Priest</t>
  </si>
  <si>
    <t xml:space="preserve">Structured rites of offering that connect patron, officiants, materials, fire, deities, authority, prosperity, lineage, and political order.</t>
  </si>
  <si>
    <t xml:space="preserve">Ritual expertise, patronage, offerings, sacred speech, fire, timing, and social institution.</t>
  </si>
  <si>
    <t xml:space="preserve">Yajña is not a generic blood-sacrifice mechanic or spend-resource button; forms, meanings, and participants vary.</t>
  </si>
  <si>
    <t xml:space="preserve">Links ritual economy, office, kingship, and cosmology more fully than a spell-cost model.</t>
  </si>
  <si>
    <t xml:space="preserve">ENT-0383</t>
  </si>
  <si>
    <t xml:space="preserve">Guru-dakṣiṇā</t>
  </si>
  <si>
    <t xml:space="preserve">Teacher–disciple obligation / return gift</t>
  </si>
  <si>
    <t xml:space="preserve">LAW-213;LAW-214</t>
  </si>
  <si>
    <t xml:space="preserve">Reciprocity and Debt; Trial for a Gift</t>
  </si>
  <si>
    <t xml:space="preserve">A return, fee, service, task, or gift owed to a teacher within a relationship of instruction and authorized transmission.</t>
  </si>
  <si>
    <t xml:space="preserve">Learning, gratitude, debt, request, service, social status, and lineage.</t>
  </si>
  <si>
    <t xml:space="preserve">It is not simply tuition, a quest reward, or proof that a teacher owns the student; episodes can expose unequal or tragic demands.</t>
  </si>
  <si>
    <t xml:space="preserve">Adds an education-debt structure capable of shaping factions, vengeance, and political history.</t>
  </si>
  <si>
    <t xml:space="preserve">Ādi Parva teaching and martial-lineage narratives.</t>
  </si>
  <si>
    <t xml:space="preserve">ENT-0384</t>
  </si>
  <si>
    <t xml:space="preserve">Atithi-dharma and guest obligation</t>
  </si>
  <si>
    <t xml:space="preserve">Sacred hospitality law</t>
  </si>
  <si>
    <t xml:space="preserve">LAW-802;LAW-816</t>
  </si>
  <si>
    <t xml:space="preserve">Guest–Host Reciprocity; Sanctuary Violation</t>
  </si>
  <si>
    <t xml:space="preserve">Duties toward an arriving guest involve welcome, food, protection, attention, restraint, and the moral or sacred consequences of treatment.</t>
  </si>
  <si>
    <t xml:space="preserve">Host status, guest status, timing, food, shelter, recognition, and social-religious order.</t>
  </si>
  <si>
    <t xml:space="preserve">It is not interchangeable with Greek xenia or a generic hospitality buff; the term and duties are source-specific.</t>
  </si>
  <si>
    <t xml:space="preserve">A source-grounded hospitality model linking household ethics to cosmic and narrative consequence.</t>
  </si>
  <si>
    <t xml:space="preserve">Vana, Śānti, and Anuśāsana Parvas; hospitality narratives and instruction.</t>
  </si>
  <si>
    <t xml:space="preserve">ENT-0385</t>
  </si>
  <si>
    <t xml:space="preserve">Rāja-dharma (duties of rulership)</t>
  </si>
  <si>
    <t xml:space="preserve">Kingship law / political ethics</t>
  </si>
  <si>
    <t xml:space="preserve">LAW-505;ROL-701</t>
  </si>
  <si>
    <t xml:space="preserve">Cosmic or Social Order; Monarch</t>
  </si>
  <si>
    <t xml:space="preserve">A body of questions and teachings concerning protection, justice, taxation, force, counsel, emergency, punishment, welfare, and the ruler's relation to order.</t>
  </si>
  <si>
    <t xml:space="preserve">Office, circumstance, counsel, law, coercion, protection, and accountability.</t>
  </si>
  <si>
    <t xml:space="preserve">It is not a monarch class feature or proof that kingship is automatically sacred and just.</t>
  </si>
  <si>
    <t xml:space="preserve">Provides a reusable political-ethical framework for fantasy rulers facing postwar governance.</t>
  </si>
  <si>
    <t xml:space="preserve">Śānti Parva, Rāja-dharma material.</t>
  </si>
  <si>
    <t xml:space="preserve">ENT-0386</t>
  </si>
  <si>
    <t xml:space="preserve">Mokṣa-dharma and liberation discourse</t>
  </si>
  <si>
    <t xml:space="preserve">Liberation-oriented teaching / metaphysical law</t>
  </si>
  <si>
    <t xml:space="preserve">LAW-505;COS-308;ROL-933</t>
  </si>
  <si>
    <t xml:space="preserve">Cosmic or Social Order; Reincarnation Cycle; Ascetic or Renunciant</t>
  </si>
  <si>
    <t xml:space="preserve">Teachings examine action, knowledge, renunciation, self, death, rebirth, discipline, and possible release from repeated embodied existence.</t>
  </si>
  <si>
    <t xml:space="preserve">Knowledge, practice, detachment, conduct, contemplation, and source-specific philosophical positions.</t>
  </si>
  <si>
    <t xml:space="preserve">Mokṣa is not level-cap ascension, immortality, heaven access, or a single doctrine uniformly stated across the epic.</t>
  </si>
  <si>
    <t xml:space="preserve">Adds a soteriological goal distinct from power accumulation and postmortem reward.</t>
  </si>
  <si>
    <t xml:space="preserve">Śānti Parva, Mokṣa-dharma material.</t>
  </si>
  <si>
    <t xml:space="preserve">ENT-0387</t>
  </si>
  <si>
    <t xml:space="preserve">Kinship duty and divided obligation</t>
  </si>
  <si>
    <t xml:space="preserve">Social-metaphysical obligation</t>
  </si>
  <si>
    <t xml:space="preserve">LAW-812;NAR-452</t>
  </si>
  <si>
    <t xml:space="preserve">Ancestor Obligation; Conflict of Duties</t>
  </si>
  <si>
    <t xml:space="preserve">Parents, children, siblings, spouses, teachers, allies, dependents, and dynastic kin generate overlapping duties that can become mutually impossible.</t>
  </si>
  <si>
    <t xml:space="preserve">Relationship, lineage, care, succession, oath, memory, and social order.</t>
  </si>
  <si>
    <t xml:space="preserve">Kinship is not a passive background tag; it structures moral conflict and political legitimacy.</t>
  </si>
  <si>
    <t xml:space="preserve">A major framework for stories where every available action violates some real duty.</t>
  </si>
  <si>
    <t xml:space="preserve">Epic-wide; dynastic, marital, and battlefield dilemmas.</t>
  </si>
  <si>
    <t xml:space="preserve">ENT-0388</t>
  </si>
  <si>
    <t xml:space="preserve">Funerary and ancestor rites</t>
  </si>
  <si>
    <t xml:space="preserve">Death rite / kinship obligation</t>
  </si>
  <si>
    <t xml:space="preserve">LAW-306;LAW-812;COS-204</t>
  </si>
  <si>
    <t xml:space="preserve">Ancestor Offering; Ancestor Obligation; Ancestor Realm</t>
  </si>
  <si>
    <t xml:space="preserve">Rites for the dead connect grief, body, name, lineage, offerings, postmortem welfare, social continuity, and the duties of survivors.</t>
  </si>
  <si>
    <t xml:space="preserve">Kinship, ritual expertise, offerings, memory, place, and afterlife order.</t>
  </si>
  <si>
    <t xml:space="preserve">They are not corpse-disposal mechanics or necromantic summoning procedures.</t>
  </si>
  <si>
    <t xml:space="preserve">Strengthens the database's treatment of death as social and ritual process, not only monster state.</t>
  </si>
  <si>
    <t xml:space="preserve">Strī, Śānti, and Anuśāsana Parvas; mourning and duty material.</t>
  </si>
  <si>
    <t xml:space="preserve">ENT-0389</t>
  </si>
  <si>
    <t xml:space="preserve">Boon, curse, and loophole logic</t>
  </si>
  <si>
    <t xml:space="preserve">Conditional metaphysical rule</t>
  </si>
  <si>
    <t xml:space="preserve">LAW-202;LAW-204;LAW-216</t>
  </si>
  <si>
    <t xml:space="preserve">Conditional Boon; Curse; Exact-Wording Contract</t>
  </si>
  <si>
    <t xml:space="preserve">Grants and curses often depend on exact conditions, exclusions, timing, identities, interpretation, mitigation, and interactions with later promises or actions.</t>
  </si>
  <si>
    <t xml:space="preserve">Sacred speech, authority, wording, fate, relationship, and counter-condition.</t>
  </si>
  <si>
    <t xml:space="preserve">This is not one universal legal code; each episode must be read on its own terms.</t>
  </si>
  <si>
    <t xml:space="preserve">A reusable law family for conditional invulnerability, transformed identity, and apparently paradoxical outcomes.</t>
  </si>
  <si>
    <t xml:space="preserve">Epic-wide boon and curse narratives; parva-level review.</t>
  </si>
  <si>
    <t xml:space="preserve">ENT-0390</t>
  </si>
  <si>
    <t xml:space="preserve">Kuru dynasty</t>
  </si>
  <si>
    <t xml:space="preserve">Dynasty / kinship polity</t>
  </si>
  <si>
    <t xml:space="preserve">LAW-803;ROL-701</t>
  </si>
  <si>
    <t xml:space="preserve">Kinship Blessing or Curse; Monarch</t>
  </si>
  <si>
    <t xml:space="preserve">A royal lineage whose descent, succession, marriage, inheritance, territory, memory, and internal divisions organize the epic's central conflict.</t>
  </si>
  <si>
    <t xml:space="preserve">Kinship, legitimacy, office, marriage alliance, inheritance, and political recognition.</t>
  </si>
  <si>
    <t xml:space="preserve">The dynasty is not a faction selected at character creation; competing branches remain bound by shared ancestry and institutions.</t>
  </si>
  <si>
    <t xml:space="preserve">A model for dynastic worldbuilding where family and polity cannot be cleanly separated.</t>
  </si>
  <si>
    <t xml:space="preserve">Ādi and Sabhā Parvas; genealogical and court material.</t>
  </si>
  <si>
    <t xml:space="preserve">ENT-0391</t>
  </si>
  <si>
    <t xml:space="preserve">Pāṇḍava sibling coalition</t>
  </si>
  <si>
    <t xml:space="preserve">Dynastic branch / oath-kin political coalition</t>
  </si>
  <si>
    <t xml:space="preserve">LAW-810;INS-404;NAR-200</t>
  </si>
  <si>
    <t xml:space="preserve">Oath Brotherhood or Chosen Kinship; Dynasty; Companion, Mentor, and Party Archetypes</t>
  </si>
  <si>
    <t xml:space="preserve">A sibling-centered political and heroic coalition shaped by shared exile, marriage, vows, differentiated skills, kinship, and claims to rule.</t>
  </si>
  <si>
    <t xml:space="preserve">Birth, sibling relation, alliance, marriage, common ordeal, and dynastic claim.</t>
  </si>
  <si>
    <t xml:space="preserve">It is not merely an adventuring party or five character classes; kinship and sovereignty organize the group.</t>
  </si>
  <si>
    <t xml:space="preserve">A party-like ensemble whose cohesion is political, familial, ritual, and narrative at once.</t>
  </si>
  <si>
    <t xml:space="preserve">Ādi through Svargārohaṇa Parvas; epic-wide.</t>
  </si>
  <si>
    <t xml:space="preserve">ENT-0392</t>
  </si>
  <si>
    <t xml:space="preserve">Kaurava court faction</t>
  </si>
  <si>
    <t xml:space="preserve">Dynastic branch / court coalition</t>
  </si>
  <si>
    <t xml:space="preserve">INS-404;INS-405;LAW-803</t>
  </si>
  <si>
    <t xml:space="preserve">Dynasty; Royal Court; Kinship Blessing or Curse</t>
  </si>
  <si>
    <t xml:space="preserve">A dynastic and court-centered coalition whose identity emerges through sibling relations, succession politics, advisers, allies, debts, and institutional control.</t>
  </si>
  <si>
    <t xml:space="preserve">Kinship, court office, succession claim, patronage, alliance, and loyalty.</t>
  </si>
  <si>
    <t xml:space="preserve">It is not a biologically distinct enemy race or morally homogeneous evil faction.</t>
  </si>
  <si>
    <t xml:space="preserve">A corrective to faction taxonomies that turn dynastic opponents into different peoples.</t>
  </si>
  <si>
    <t xml:space="preserve">Ādi, Sabhā, and Udyoga Parvas.</t>
  </si>
  <si>
    <t xml:space="preserve">ENT-0393</t>
  </si>
  <si>
    <t xml:space="preserve">Guru–disciple lineage</t>
  </si>
  <si>
    <t xml:space="preserve">Teaching and transmission institution</t>
  </si>
  <si>
    <t xml:space="preserve">LAW-806;ROL-935</t>
  </si>
  <si>
    <t xml:space="preserve">Teacher–Disciple Debt; Martial Preceptor</t>
  </si>
  <si>
    <t xml:space="preserve">A durable network of teachers and students through which martial and sacred knowledge, status, obligation, rivalry, and succession are transmitted.</t>
  </si>
  <si>
    <t xml:space="preserve">Instruction, initiation, service, debt, recognition, and lineage memory.</t>
  </si>
  <si>
    <t xml:space="preserve">It is not equivalent to a modern school, class trainer, or purely voluntary guild.</t>
  </si>
  <si>
    <t xml:space="preserve">A high-value institutional archetype linking ability acquisition to social debt and political history.</t>
  </si>
  <si>
    <t xml:space="preserve">Ādi and Droṇa Parvas; education and lineage narratives.</t>
  </si>
  <si>
    <t xml:space="preserve">ENT-0394</t>
  </si>
  <si>
    <t xml:space="preserve">Āśrama or hermitage</t>
  </si>
  <si>
    <t xml:space="preserve">Sacred residence / learning and hospitality institution</t>
  </si>
  <si>
    <t xml:space="preserve">COS-503;LAW-801;ROL-933</t>
  </si>
  <si>
    <t xml:space="preserve">Sacred Forest or Grove; Sacred Hospitality; Ascetic or Renunciant</t>
  </si>
  <si>
    <t xml:space="preserve">A retreat or residence associated with sages, students, ritual, hospitality, teaching, forest life, visitation, and political mediation.</t>
  </si>
  <si>
    <t xml:space="preserve">Place, teacher community, sacred practice, hospitality, ecology, and patronage.</t>
  </si>
  <si>
    <t xml:space="preserve">It should not be flattened into a monastery, wizard academy, or neutral safe zone.</t>
  </si>
  <si>
    <t xml:space="preserve">An institution where sacred geography, learning, household, and renunciation overlap.</t>
  </si>
  <si>
    <t xml:space="preserve">Ādi and Vana Parvas; hermitage episodes.</t>
  </si>
  <si>
    <t xml:space="preserve">ENT-0395</t>
  </si>
  <si>
    <t xml:space="preserve">Sabhā or royal assembly</t>
  </si>
  <si>
    <t xml:space="preserve">Court assembly / political institution</t>
  </si>
  <si>
    <t xml:space="preserve">INS-405;LAW-616</t>
  </si>
  <si>
    <t xml:space="preserve">Royal Court; Witness and Public Recognition</t>
  </si>
  <si>
    <t xml:space="preserve">A formal hall and gathering where rulership, diplomacy, spectacle, gifts, judgment, debate, games, and public recognition are enacted.</t>
  </si>
  <si>
    <t xml:space="preserve">Architecture, office, witness, rank, rhetoric, hospitality, and procedure.</t>
  </si>
  <si>
    <t xml:space="preserve">It is not merely a throne room backdrop; public assembly gives acts political and legal force.</t>
  </si>
  <si>
    <t xml:space="preserve">Adds a court institution in which performance and witnessed procedure reshape sovereignty.</t>
  </si>
  <si>
    <t xml:space="preserve">Sabhā Parva.</t>
  </si>
  <si>
    <t xml:space="preserve">ENT-0396</t>
  </si>
  <si>
    <t xml:space="preserve">Akṣauhiṇī war host</t>
  </si>
  <si>
    <t xml:space="preserve">Army-scale formation / enumerated military institution</t>
  </si>
  <si>
    <t xml:space="preserve">ROL-710;ART-507</t>
  </si>
  <si>
    <t xml:space="preserve">General and Marshal; War Chariot</t>
  </si>
  <si>
    <t xml:space="preserve">A large, formally enumerated composite force of chariots, elephants, cavalry, and infantry used to describe army scale and organization.</t>
  </si>
  <si>
    <t xml:space="preserve">Military enumeration, command, unit composition, alliance, logistics, and prestige.</t>
  </si>
  <si>
    <t xml:space="preserve">It is not a character level or species category, and exact enumeration belongs to the source's military imagination.</t>
  </si>
  <si>
    <t xml:space="preserve">A useful bridge between epic army description and strategy-game unit taxonomy.</t>
  </si>
  <si>
    <t xml:space="preserve">Ādi and Udyoga/Bhīṣma Parvas; army enumeration and deployment.</t>
  </si>
  <si>
    <t xml:space="preserve">ENT-0397</t>
  </si>
  <si>
    <t xml:space="preserve">Svayaṃvara or marriage-selection assembly</t>
  </si>
  <si>
    <t xml:space="preserve">Marriage and alliance institution</t>
  </si>
  <si>
    <t xml:space="preserve">LAW-808;LAW-616</t>
  </si>
  <si>
    <t xml:space="preserve">Marriage Trial or Bridegroom/Bride Test; Witness and Public Recognition</t>
  </si>
  <si>
    <t xml:space="preserve">A public process in which marriage selection is structured through choice, lineage, assembly, political alliance, and sometimes contest or test.</t>
  </si>
  <si>
    <t xml:space="preserve">Kinship politics, public recognition, agency, qualification, competition, and alliance.</t>
  </si>
  <si>
    <t xml:space="preserve">It is not simply a tournament where a woman is a prize; specific episodes require close attention to agency and political context.</t>
  </si>
  <si>
    <t xml:space="preserve">A reusable institution linking marriage, succession, public trial, and interstate politics.</t>
  </si>
  <si>
    <t xml:space="preserve">Ādi Parva marriage narratives.</t>
  </si>
  <si>
    <t xml:space="preserve">ENT-0398</t>
  </si>
  <si>
    <t xml:space="preserve">Conflict among dharmic duties</t>
  </si>
  <si>
    <t xml:space="preserve">Ethical narrative structure</t>
  </si>
  <si>
    <t xml:space="preserve">LAW-505;LAW-803</t>
  </si>
  <si>
    <t xml:space="preserve">Cosmic or Social Order; Kinship Blessing or Curse</t>
  </si>
  <si>
    <t xml:space="preserve">Major figures face incompatible claims from kinship, rulership, teacher debt, friendship, oath, justice, compassion, and social order.</t>
  </si>
  <si>
    <t xml:space="preserve">Relationship, office, knowledge, intention, consequence, and circumstance.</t>
  </si>
  <si>
    <t xml:space="preserve">The conflict cannot be represented faithfully as a simple alignment choice with one obviously correct answer.</t>
  </si>
  <si>
    <t xml:space="preserve">A central reusable archetype for morally dense fantasy that preserves legitimate competing obligations.</t>
  </si>
  <si>
    <t xml:space="preserve">Epic-wide; especially Udyoga, Bhīṣma, Droṇa, Karṇa, and Śānti Parvas.</t>
  </si>
  <si>
    <t xml:space="preserve">ENT-0399</t>
  </si>
  <si>
    <t xml:space="preserve">Bhīṣma as vow-bound elder pattern</t>
  </si>
  <si>
    <t xml:space="preserve">Character/narrative archetype</t>
  </si>
  <si>
    <t xml:space="preserve">STA-309;LAW-101;ROL-712</t>
  </si>
  <si>
    <t xml:space="preserve">Oathbound State; Sacred Oath; Adviser and Counselor</t>
  </si>
  <si>
    <t xml:space="preserve">An elder guardian whose extraordinary vow enables dynastic continuity and moral authority while binding him to institutions and outcomes he cannot fully endorse.</t>
  </si>
  <si>
    <t xml:space="preserve">Vow, lineage duty, martial power, counsel, public recognition, and longevity.</t>
  </si>
  <si>
    <t xml:space="preserve">This is a source-specific character pattern, not a claim that Bhīṣma is reducible to the normalized archetype.</t>
  </si>
  <si>
    <t xml:space="preserve">A major reference point for the elder whose virtue and tragedy arise from the same binding promise.</t>
  </si>
  <si>
    <t xml:space="preserve">Ādi, Udyoga, and Bhīṣma Parvas.</t>
  </si>
  <si>
    <t xml:space="preserve">ENT-0400</t>
  </si>
  <si>
    <t xml:space="preserve">Karna as tragic loyalist pattern</t>
  </si>
  <si>
    <t xml:space="preserve">NAR-106;LAW-213;LAW-803</t>
  </si>
  <si>
    <t xml:space="preserve">Hidden Royal or Secret Heir; Reciprocity and Debt; Kinship Blessing or Curse</t>
  </si>
  <si>
    <t xml:space="preserve">A heroic rival whose hidden birth, gratitude, friendship, status wounds, generosity, and loyalty bind him to a doomed side despite conflicting knowledge and kinship.</t>
  </si>
  <si>
    <t xml:space="preserve">Gift-debt, friendship, honor, hidden lineage, social recognition, and personal choice.</t>
  </si>
  <si>
    <t xml:space="preserve">This pattern must not erase Karna's individual contradictions or turn loyalty into simple moral virtue.</t>
  </si>
  <si>
    <t xml:space="preserve">A powerful comparative case for the noble adversary and indebted champion.</t>
  </si>
  <si>
    <t xml:space="preserve">Ādi, Udyoga, and Karṇa Parvas.</t>
  </si>
  <si>
    <t xml:space="preserve">ENT-0401</t>
  </si>
  <si>
    <t xml:space="preserve">Kṛṣṇa as divine charioteer-counselor pattern</t>
  </si>
  <si>
    <t xml:space="preserve">Embedded textual unit and epic context; Sanskrit and translated text reviewed</t>
  </si>
  <si>
    <t xml:space="preserve">ROL-133;ROL-712;PPL-403</t>
  </si>
  <si>
    <t xml:space="preserve">Charioteer; Adviser and Counselor; Avatars and Incarnations</t>
  </si>
  <si>
    <t xml:space="preserve">A divine figure serves as charioteer, envoy, strategist, friend, and revelatory counselor while declining a conventional combatant role in the central battle.</t>
  </si>
  <si>
    <t xml:space="preserve">Divine incarnation, friendship, counsel, political action, charioteer role, and revelation.</t>
  </si>
  <si>
    <t xml:space="preserve">The pattern is not equivalent to a support class, passive deity, or mentor NPC.</t>
  </si>
  <si>
    <t xml:space="preserve">A distinctive union of service position, strategic agency, divine embodiment, and ethical instruction.</t>
  </si>
  <si>
    <t xml:space="preserve">Udyoga and Bhīṣma Parvas; Bhagavad Gītā context.</t>
  </si>
  <si>
    <t xml:space="preserve">ENT-0402</t>
  </si>
  <si>
    <t xml:space="preserve">Hidden royal and unrecognized heir</t>
  </si>
  <si>
    <t xml:space="preserve">Identity and lineage archetype</t>
  </si>
  <si>
    <t xml:space="preserve">ROL-702;LAW-608</t>
  </si>
  <si>
    <t xml:space="preserve">Prince, Princess, and Royal Heir; Recognition or Identity Test</t>
  </si>
  <si>
    <t xml:space="preserve">A person of royal or divine lineage grows outside full recognition, with concealed parentage shaping status, loyalty, rivalry, and later revelation.</t>
  </si>
  <si>
    <t xml:space="preserve">Birth secrecy, tokens or testimony, social recognition, fosterage, lineage, and political consequence.</t>
  </si>
  <si>
    <t xml:space="preserve">Recognition does not automatically repair a lifetime of social relations or determine moral allegiance.</t>
  </si>
  <si>
    <t xml:space="preserve">Deepens the hidden-heir archetype by emphasizing recognition as social and ethical, not only genealogical.</t>
  </si>
  <si>
    <t xml:space="preserve">Ādi and Udyoga Parvas; Karna-related lineage revelation.</t>
  </si>
  <si>
    <t xml:space="preserve">ENT-0403</t>
  </si>
  <si>
    <t xml:space="preserve">Dice-game dispossession and exile</t>
  </si>
  <si>
    <t xml:space="preserve">Political catastrophe / plot structure</t>
  </si>
  <si>
    <t xml:space="preserve">ART-416;LAW-216;LAW-813</t>
  </si>
  <si>
    <t xml:space="preserve">Lots, Dice, Cards, or Fate Objects; Exact-Wording Contract; Exile as Ritual or Social State</t>
  </si>
  <si>
    <t xml:space="preserve">A court-recognized game expands into the loss of wealth, sovereignty, freedom, kinship security, and status, producing exile and an unresolved legitimacy crisis.</t>
  </si>
  <si>
    <t xml:space="preserve">Manipulation, chance, legalistic terms, witness, honor, compulsion, and court power.</t>
  </si>
  <si>
    <t xml:space="preserve">It is not merely a hero's gambling flaw or random inciting incident.</t>
  </si>
  <si>
    <t xml:space="preserve">A distinctive mechanism for dispossession through procedure rather than battlefield conquest.</t>
  </si>
  <si>
    <t xml:space="preserve">ENT-0404</t>
  </si>
  <si>
    <t xml:space="preserve">Dynastic kin war</t>
  </si>
  <si>
    <t xml:space="preserve">War-of-succession narrative</t>
  </si>
  <si>
    <t xml:space="preserve">INS-404;LAW-803;NAR-452</t>
  </si>
  <si>
    <t xml:space="preserve">Dynasty; Kinship Blessing or Curse; Conflict of Duties</t>
  </si>
  <si>
    <t xml:space="preserve">A vast war grows from succession, humiliation, dispossession, alliance, oath, teacher debt, kinship, and repeated failures of settlement.</t>
  </si>
  <si>
    <t xml:space="preserve">Dynastic claim, diplomacy, alliance, military mobilization, obligation, and accumulated grievance.</t>
  </si>
  <si>
    <t xml:space="preserve">It is not reducible to good kingdom versus evil horde; most combatants are linked through kinship, teaching, or hospitality.</t>
  </si>
  <si>
    <t xml:space="preserve">A foundational model for civil war where relational density intensifies every battle.</t>
  </si>
  <si>
    <t xml:space="preserve">Udyoga through Śalya Parvas.</t>
  </si>
  <si>
    <t xml:space="preserve">ENT-0405</t>
  </si>
  <si>
    <t xml:space="preserve">Battlefield revelation before action</t>
  </si>
  <si>
    <t xml:space="preserve">Revelatory narrative structure</t>
  </si>
  <si>
    <t xml:space="preserve">LAW-505;PPL-403</t>
  </si>
  <si>
    <t xml:space="preserve">Cosmic or Social Order; Avatars and Incarnations</t>
  </si>
  <si>
    <t xml:space="preserve">At the threshold of battle, a warrior's collapse opens into instruction about action, self, duty, death, discipline, devotion, knowledge, and divine reality.</t>
  </si>
  <si>
    <t xml:space="preserve">Dialogue, divine counsel, crisis, revelation, disciplined seeing, and choice.</t>
  </si>
  <si>
    <t xml:space="preserve">It is not a pre-fight tutorial, morale buff, or simple command to obey.</t>
  </si>
  <si>
    <t xml:space="preserve">A major archetype for philosophical revelation embedded at the point of irreversible action.</t>
  </si>
  <si>
    <t xml:space="preserve">Bhagavad Gītā.</t>
  </si>
  <si>
    <t xml:space="preserve">ENT-0406</t>
  </si>
  <si>
    <t xml:space="preserve">Postwar moral and political reckoning</t>
  </si>
  <si>
    <t xml:space="preserve">Aftermath narrative structure</t>
  </si>
  <si>
    <t xml:space="preserve">LAW-509;LAW-706;COS-522</t>
  </si>
  <si>
    <t xml:space="preserve">Sacred Kingship; Burial or Funeral Requirement; Sacred Battlefield</t>
  </si>
  <si>
    <t xml:space="preserve">After victory, survivors confront mass death, mourning, funerary duty, guilt, justice, kingship, punishment, policy, and the burden of ruling what remains.</t>
  </si>
  <si>
    <t xml:space="preserve">Grief, counsel, law, ritual, memory, political office, and survivor responsibility.</t>
  </si>
  <si>
    <t xml:space="preserve">Victory does not close the story or prove the war morally uncomplicated.</t>
  </si>
  <si>
    <t xml:space="preserve">A major corrective to fantasy narratives that omit aftermath, governance, and mourning.</t>
  </si>
  <si>
    <t xml:space="preserve">Strī, Śānti, and Anuśāsana Parvas.</t>
  </si>
  <si>
    <t xml:space="preserve">ENT-0407</t>
  </si>
  <si>
    <t xml:space="preserve">Pantheon as playable faction framework</t>
  </si>
  <si>
    <t xml:space="preserve">Official content snapshot through August 2, 2026</t>
  </si>
  <si>
    <t xml:space="preserve">Faction/progression system</t>
  </si>
  <si>
    <t xml:space="preserve">PPL-401;MEC-428</t>
  </si>
  <si>
    <t xml:space="preserve">Deities; Faction Unit</t>
  </si>
  <si>
    <t xml:space="preserve">The player selects a major god within a pantheon, establishing a civilization's initial divine identity, bonuses, god power, technologies, and later branching choices.</t>
  </si>
  <si>
    <t xml:space="preserve">Faction selection, deity portfolio, asymmetrical bonuses, technologies, and age-up branches.</t>
  </si>
  <si>
    <t xml:space="preserve">This is a game system that factionalizes complex traditions; it is not a neutral map of historical religion.</t>
  </si>
  <si>
    <t xml:space="preserve">A key adaptation operation: pantheon becomes strategy faction and technology tree.</t>
  </si>
  <si>
    <t xml:space="preserve">Official adaptation</t>
  </si>
  <si>
    <t xml:space="preserve">Official Age of Mythology: Retold game and expansion reference pages.</t>
  </si>
  <si>
    <t xml:space="preserve">ENT-0408</t>
  </si>
  <si>
    <t xml:space="preserve">Major god choice</t>
  </si>
  <si>
    <t xml:space="preserve">Foundational faction choice</t>
  </si>
  <si>
    <t xml:space="preserve">MEC-300;LAW-211</t>
  </si>
  <si>
    <t xml:space="preserve">Progression and Build Models; Divine Patronage or Favor</t>
  </si>
  <si>
    <t xml:space="preserve">A top-level deity choice defines strategic bonuses, starting divine power, roster access, and the set of later minor-god branches.</t>
  </si>
  <si>
    <t xml:space="preserve">Player selection and game-defined divine portfolio.</t>
  </si>
  <si>
    <t xml:space="preserve">The deity is represented as a rule package rather than a full mythological person or cultic tradition.</t>
  </si>
  <si>
    <t xml:space="preserve">Shows how divine patronage becomes a build-defining initial choice.</t>
  </si>
  <si>
    <t xml:space="preserve">ENT-0409</t>
  </si>
  <si>
    <t xml:space="preserve">Minor god age-up choice</t>
  </si>
  <si>
    <t xml:space="preserve">Branching progression choice</t>
  </si>
  <si>
    <t xml:space="preserve">MEC-440;LAW-510</t>
  </si>
  <si>
    <t xml:space="preserve">Pantheon or Patron Choice; Cyclical-Age Law</t>
  </si>
  <si>
    <t xml:space="preserve">Advancing to a new age requires choosing between minor gods that unlock technologies, myth units, and a god power.</t>
  </si>
  <si>
    <t xml:space="preserve">Age progression, patron branch, technology unlocks, and faction-specific roster.</t>
  </si>
  <si>
    <t xml:space="preserve">Cosmic ages and divine plurality are converted into a permanent tech-tree branch.</t>
  </si>
  <si>
    <t xml:space="preserve">A clear case of progression abstraction and pantheon standardization.</t>
  </si>
  <si>
    <t xml:space="preserve">ENT-0410</t>
  </si>
  <si>
    <t xml:space="preserve">Favor resource</t>
  </si>
  <si>
    <t xml:space="preserve">Religious/divine resource model</t>
  </si>
  <si>
    <t xml:space="preserve">MEC-444;MEC-200</t>
  </si>
  <si>
    <t xml:space="preserve">Favor Generation Model; Resource and Casting Models</t>
  </si>
  <si>
    <t xml:space="preserve">Favor is accumulated through civilization-specific behaviors and spent principally on mythic units, divine technologies, and related content.</t>
  </si>
  <si>
    <t xml:space="preserve">Mechanized worship, combat, monuments, heroes, or other faction-specific generation methods.</t>
  </si>
  <si>
    <t xml:space="preserve">Quantified favor is a game economy, not a faithful measure of devotion, ritual, or divine reciprocity.</t>
  </si>
  <si>
    <t xml:space="preserve">Demonstrates resource abstraction of religious relation.</t>
  </si>
  <si>
    <t xml:space="preserve">ENT-0411</t>
  </si>
  <si>
    <t xml:space="preserve">God power</t>
  </si>
  <si>
    <t xml:space="preserve">Activated strategic ability</t>
  </si>
  <si>
    <t xml:space="preserve">PWR-103;LAW-211</t>
  </si>
  <si>
    <t xml:space="preserve">Divine Miracle; Divine Patronage or Favor</t>
  </si>
  <si>
    <t xml:space="preserve">Divine intervention is represented as a targeted or global activated power with defined availability, effects, and strategic timing.</t>
  </si>
  <si>
    <t xml:space="preserve">Major/minor god selection, age progression, charges or recast rules, and player targeting.</t>
  </si>
  <si>
    <t xml:space="preserve">The mechanic standardizes diverse divine actions into comparable abilities.</t>
  </si>
  <si>
    <t xml:space="preserve">A major example of mechanization and quantification of divine agency.</t>
  </si>
  <si>
    <t xml:space="preserve">ENT-0412</t>
  </si>
  <si>
    <t xml:space="preserve">Recastable god power</t>
  </si>
  <si>
    <t xml:space="preserve">Renewable strategic ability</t>
  </si>
  <si>
    <t xml:space="preserve">MEC-200;MEC-445</t>
  </si>
  <si>
    <t xml:space="preserve">Resource and Casting Models; Wonder Age or Overflow Phase</t>
  </si>
  <si>
    <t xml:space="preserve">Some divine powers can be used again according to cooldown, resource, Wonder Age, or expansion-specific rules.</t>
  </si>
  <si>
    <t xml:space="preserve">Cooldown, game state, favor or age mechanics, and official balance design.</t>
  </si>
  <si>
    <t xml:space="preserve">Recast rules are live-service mechanics, not mythological claims.</t>
  </si>
  <si>
    <t xml:space="preserve">Shows how divine intervention becomes part of a repeatable ability economy.</t>
  </si>
  <si>
    <t xml:space="preserve">ENT-0413</t>
  </si>
  <si>
    <t xml:space="preserve">Myth unit</t>
  </si>
  <si>
    <t xml:space="preserve">Specialized faction unit</t>
  </si>
  <si>
    <t xml:space="preserve">PPL-800;MEC-443</t>
  </si>
  <si>
    <t xml:space="preserve">Dragons and Legendary Beasts; Myth-Unit and Hero Counter Triangle</t>
  </si>
  <si>
    <t xml:space="preserve">A mythological being is converted into a trainable combat unit with cost, population, counters, upgrades, and a defined place in the faction roster.</t>
  </si>
  <si>
    <t xml:space="preserve">Temple production, favor and resource costs, technology, age, and game balance.</t>
  </si>
  <si>
    <t xml:space="preserve">Unitization can erase personhood, ambivalence, locality, or narrative uniqueness.</t>
  </si>
  <si>
    <t xml:space="preserve">The central bridge from mythological being to strategy-game unit taxonomy.</t>
  </si>
  <si>
    <t xml:space="preserve">ENT-0414</t>
  </si>
  <si>
    <t xml:space="preserve">Hero unit</t>
  </si>
  <si>
    <t xml:space="preserve">Anti-myth specialist unit</t>
  </si>
  <si>
    <t xml:space="preserve">ROL-101;MEC-443</t>
  </si>
  <si>
    <t xml:space="preserve">Warrior or Fighter; Myth-Unit and Hero Counter Triangle</t>
  </si>
  <si>
    <t xml:space="preserve">Heroes receive a distinct mechanical role, especially enhanced effectiveness against myth units and resistance to some mythic effects.</t>
  </si>
  <si>
    <t xml:space="preserve">Hero status, faction roster, counter design, and named or generic unit rules.</t>
  </si>
  <si>
    <t xml:space="preserve">Heroism becomes a counter category rather than a full narrative biography.</t>
  </si>
  <si>
    <t xml:space="preserve">A strong example of counter-role assignment.</t>
  </si>
  <si>
    <t xml:space="preserve">ENT-0415</t>
  </si>
  <si>
    <t xml:space="preserve">Human military unit</t>
  </si>
  <si>
    <t xml:space="preserve">Baseline faction unit</t>
  </si>
  <si>
    <t xml:space="preserve">ROL-100;MEC-443</t>
  </si>
  <si>
    <t xml:space="preserve">Martial Roles; Myth-Unit and Hero Counter Triangle</t>
  </si>
  <si>
    <t xml:space="preserve">Ordinary military units occupy the non-mythic portion of the roster and participate in a designed counter ecology with heroes and myth units.</t>
  </si>
  <si>
    <t xml:space="preserve">Resources, barracks or other production buildings, technologies, and counter stats.</t>
  </si>
  <si>
    <t xml:space="preserve">The 'human' category is mechanical and can conceal historical, social, and factional complexity.</t>
  </si>
  <si>
    <t xml:space="preserve">Helps distinguish ordinary army roles from divine and heroic unit classes.</t>
  </si>
  <si>
    <t xml:space="preserve">ENT-0416</t>
  </si>
  <si>
    <t xml:space="preserve">Myth–hero counter relationship</t>
  </si>
  <si>
    <t xml:space="preserve">Designed combat ecology</t>
  </si>
  <si>
    <t xml:space="preserve">MEC-100;LAW-517</t>
  </si>
  <si>
    <t xml:space="preserve">Combat Function Archetypes; Elemental Opposition or Counter Law</t>
  </si>
  <si>
    <t xml:space="preserve">The game assigns heroes specialized effectiveness against myth units within a broader web of unit counters.</t>
  </si>
  <si>
    <t xml:space="preserve">Damage bonuses, resistances, unit tags, and roster composition.</t>
  </si>
  <si>
    <t xml:space="preserve">The relationship is tactical design, not a universal rule that heroes defeat monsters in source traditions.</t>
  </si>
  <si>
    <t xml:space="preserve">A paradigmatic example of adaptation through counter-role assignment.</t>
  </si>
  <si>
    <t xml:space="preserve">ENT-0417</t>
  </si>
  <si>
    <t xml:space="preserve">Relic as capturable map object</t>
  </si>
  <si>
    <t xml:space="preserve">Strategic artifact mechanic</t>
  </si>
  <si>
    <t xml:space="preserve">ART-101;ART-701</t>
  </si>
  <si>
    <t xml:space="preserve">Sacred Relic; Quest Object</t>
  </si>
  <si>
    <t xml:space="preserve">Relics are discovered, carried by heroes, placed in temples, and converted into persistent strategic bonuses.</t>
  </si>
  <si>
    <t xml:space="preserve">Map exploration, hero transport, temple custody, and bonus effects.</t>
  </si>
  <si>
    <t xml:space="preserve">Sacred or legendary objects are itemized and standardized as collectible modifiers.</t>
  </si>
  <si>
    <t xml:space="preserve">Shows artifact-to-objective conversion and institutional simplification.</t>
  </si>
  <si>
    <t xml:space="preserve">ENT-0418</t>
  </si>
  <si>
    <t xml:space="preserve">Temple as myth-production building</t>
  </si>
  <si>
    <t xml:space="preserve">Institution-to-building adaptation</t>
  </si>
  <si>
    <t xml:space="preserve">MEC-444;LAW-315</t>
  </si>
  <si>
    <t xml:space="preserve">Favor Generation Model; Ritual Economy</t>
  </si>
  <si>
    <t xml:space="preserve">The temple functions as a production and storage site for myth units, favor-related technology, and relics.</t>
  </si>
  <si>
    <t xml:space="preserve">Building placement, resource economy, unit production, and faction rules.</t>
  </si>
  <si>
    <t xml:space="preserve">A complex ritual institution is reduced to a strategic building function.</t>
  </si>
  <si>
    <t xml:space="preserve">A useful case of institutional simplification without claiming equivalence.</t>
  </si>
  <si>
    <t xml:space="preserve">ENT-0419</t>
  </si>
  <si>
    <t xml:space="preserve">Titan</t>
  </si>
  <si>
    <t xml:space="preserve">Late-game colossal unit</t>
  </si>
  <si>
    <t xml:space="preserve">PPL-400;MEC-408</t>
  </si>
  <si>
    <t xml:space="preserve">Divine and Celestial Beings; Boss Unit</t>
  </si>
  <si>
    <t xml:space="preserve">A gigantic mythic being is represented as a limited strategic superunit requiring special progression and construction.</t>
  </si>
  <si>
    <t xml:space="preserve">Titan Gate, age or technology requirements, construction, population rules, and immense combat stats.</t>
  </si>
  <si>
    <t xml:space="preserve">The game-mechanical category combines source-specific beings under a superunit role.</t>
  </si>
  <si>
    <t xml:space="preserve">A clear example of bossification and strategic escalation.</t>
  </si>
  <si>
    <t xml:space="preserve">ENT-0420</t>
  </si>
  <si>
    <t xml:space="preserve">Titan Gate</t>
  </si>
  <si>
    <t xml:space="preserve">Superunit production project</t>
  </si>
  <si>
    <t xml:space="preserve">MEC-447;COS-602</t>
  </si>
  <si>
    <t xml:space="preserve">Titan or Superunit Escalation; Summoned Threshold</t>
  </si>
  <si>
    <t xml:space="preserve">A special project opens the way for a Titan to enter the battlefield.</t>
  </si>
  <si>
    <t xml:space="preserve">Construction, progression prerequisites, map placement, and game-state escalation.</t>
  </si>
  <si>
    <t xml:space="preserve">The gate is a game-specific production mechanism, not a traditional cosmological object.</t>
  </si>
  <si>
    <t xml:space="preserve">Links portal device, summoned threshold, and superunit economy.</t>
  </si>
  <si>
    <t xml:space="preserve">ENT-0421</t>
  </si>
  <si>
    <t xml:space="preserve">Wonder Age</t>
  </si>
  <si>
    <t xml:space="preserve">Endgame progression phase</t>
  </si>
  <si>
    <t xml:space="preserve">LAW-510;ART-107</t>
  </si>
  <si>
    <t xml:space="preserve">Cyclical-Age Law; Civilization-Founding Artifact</t>
  </si>
  <si>
    <t xml:space="preserve">A monumental Wonder unlocks a late-game age that accelerates god powers and mythic escalation beyond ordinary age progression.</t>
  </si>
  <si>
    <t xml:space="preserve">Wonder construction, age advancement, official rule set, and endgame economy.</t>
  </si>
  <si>
    <t xml:space="preserve">The 'age' is a designed overflow phase rather than a historical or cosmological age.</t>
  </si>
  <si>
    <t xml:space="preserve">Exemplifies progression abstraction and monument mechanization.</t>
  </si>
  <si>
    <t xml:space="preserve">ENT-0422</t>
  </si>
  <si>
    <t xml:space="preserve">Greek pantheon roster</t>
  </si>
  <si>
    <t xml:space="preserve">Playable pantheon/faction</t>
  </si>
  <si>
    <t xml:space="preserve">Greek mythological figures and beings are standardized into major gods, minor-god branches, heroes, myth units, technologies, and god powers.</t>
  </si>
  <si>
    <t xml:space="preserve">Official roster design, classical iconography, game balance, and adaptation history.</t>
  </si>
  <si>
    <t xml:space="preserve">The roster is a commercial synthesis and not a primary source for Greek religion or myth.</t>
  </si>
  <si>
    <t xml:space="preserve">A comparison layer for how an already game-saturated tradition becomes a faction tree.</t>
  </si>
  <si>
    <t xml:space="preserve">ENT-0423</t>
  </si>
  <si>
    <t xml:space="preserve">Egyptian pantheon roster</t>
  </si>
  <si>
    <t xml:space="preserve">PPL-401;COS-201</t>
  </si>
  <si>
    <t xml:space="preserve">Deities; Celestial Realm or Heaven</t>
  </si>
  <si>
    <t xml:space="preserve">Egyptian divine and mythic materials are translated into major-god choices, priest and pharaoh mechanics, monuments, myth units, and god powers.</t>
  </si>
  <si>
    <t xml:space="preserve">Official roster design, visual adaptation, faction economy, and counter system.</t>
  </si>
  <si>
    <t xml:space="preserve">The faction compresses millennia of regional and historical variation into one strategy roster.</t>
  </si>
  <si>
    <t xml:space="preserve">A high-value case of temporal and regional standardization.</t>
  </si>
  <si>
    <t xml:space="preserve">ENT-0424</t>
  </si>
  <si>
    <t xml:space="preserve">Norse pantheon roster</t>
  </si>
  <si>
    <t xml:space="preserve">PPL-401;COS-703</t>
  </si>
  <si>
    <t xml:space="preserve">Deities; Final Battle</t>
  </si>
  <si>
    <t xml:space="preserve">Norse figures and beings are organized as major and minor gods, heroes, myth units, technologies, and a combat-linked favor economy.</t>
  </si>
  <si>
    <t xml:space="preserve">Official roster design, Eddic and popular imagery, faction economy, and game balance.</t>
  </si>
  <si>
    <t xml:space="preserve">The roster should not be used as evidence for Old Norse categories or moral alignments.</t>
  </si>
  <si>
    <t xml:space="preserve">Shows how modern Viking imagery and mythic sources are recombined into strategy roles.</t>
  </si>
  <si>
    <t xml:space="preserve">ENT-0425</t>
  </si>
  <si>
    <t xml:space="preserve">Atlantean pantheon roster</t>
  </si>
  <si>
    <t xml:space="preserve">Composite/game-original pantheon faction</t>
  </si>
  <si>
    <t xml:space="preserve">CIV-409;COS-521</t>
  </si>
  <si>
    <t xml:space="preserve">Utopian Enclave; Ruined Precursor Realm</t>
  </si>
  <si>
    <t xml:space="preserve">The Atlantean faction combines a game-original civilization with selected Greek divine figures, Titan themes, heroized citizens, and campaign continuity.</t>
  </si>
  <si>
    <t xml:space="preserve">Franchise lore, Platonic and modern Atlantis reception, Greek deity roster, and game design.</t>
  </si>
  <si>
    <t xml:space="preserve">It is not an ancient Atlantean religious tradition; the faction is explicitly composite and adaptation-driven.</t>
  </si>
  <si>
    <t xml:space="preserve">A valuable case of invented tradition, recombination, and pseudo-historical standardization.</t>
  </si>
  <si>
    <t xml:space="preserve">ENT-0426</t>
  </si>
  <si>
    <t xml:space="preserve">Chinese pantheon roster — Immortal Pillars</t>
  </si>
  <si>
    <t xml:space="preserve">Playable pantheon/faction expansion</t>
  </si>
  <si>
    <t xml:space="preserve">COS-119;PPL-401</t>
  </si>
  <si>
    <t xml:space="preserve">Cosmic Bureaucracy; Deities</t>
  </si>
  <si>
    <t xml:space="preserve">The expansion converts selected Chinese divine, immortal, legendary, and mythic materials into a standardized strategy roster and faction economy.</t>
  </si>
  <si>
    <t xml:space="preserve">Official expansion design, pantheon branches, myth units, technologies, and god powers.</t>
  </si>
  <si>
    <t xml:space="preserve">The roster must not stand in for the plurality of Chinese religious, literary, regional, and historical traditions.</t>
  </si>
  <si>
    <t xml:space="preserve">A current example of commercial syncretism and celestial-bureaucracy adaptation.</t>
  </si>
  <si>
    <t xml:space="preserve">ENT-0427</t>
  </si>
  <si>
    <t xml:space="preserve">Japanese pantheon roster — Heavenly Spear</t>
  </si>
  <si>
    <t xml:space="preserve">PPL-401;LAW-401</t>
  </si>
  <si>
    <t xml:space="preserve">Deities; Ritual Purity</t>
  </si>
  <si>
    <t xml:space="preserve">The expansion converts selected Japanese divine, heroic, spirit, and monster materials into major and minor gods, units, powers, and technologies.</t>
  </si>
  <si>
    <t xml:space="preserve">Official expansion design, Shinto- and folklore-derived imagery, faction mechanics, and game balance.</t>
  </si>
  <si>
    <t xml:space="preserve">Kami, yōkai, historical figures, and later popular images must not be collapsed into one timeless pantheon.</t>
  </si>
  <si>
    <t xml:space="preserve">A strong case for analyzing purity, place, spirit, and deity concepts after unitization.</t>
  </si>
  <si>
    <t xml:space="preserve">ENT-0428</t>
  </si>
  <si>
    <t xml:space="preserve">Mexica/Aztec pantheon roster — Obsidian Mirror</t>
  </si>
  <si>
    <t xml:space="preserve">LAW-315;COS-112</t>
  </si>
  <si>
    <t xml:space="preserve">Ritual Economy; Cyclical Time</t>
  </si>
  <si>
    <t xml:space="preserve">The expansion adapts selected Mexica and Nahua divine, ritual, calendrical, warrior, and mythic materials into a strategy faction.</t>
  </si>
  <si>
    <t xml:space="preserve">Official expansion design, faction economy, divine choices, units, powers, and technologies.</t>
  </si>
  <si>
    <t xml:space="preserve">The roster is not a complete or primary account of Mexica religion and must not be merged with Maya or generic Mesoamerican material.</t>
  </si>
  <si>
    <t xml:space="preserve">A high-priority case for examining ritual-economy abstraction and commercial pantheon construction.</t>
  </si>
  <si>
    <t xml:space="preserve">ENT-0429</t>
  </si>
  <si>
    <t xml:space="preserve">Freyr and Demeter god packs</t>
  </si>
  <si>
    <t xml:space="preserve">Optional deity/faction branch expansions</t>
  </si>
  <si>
    <t xml:space="preserve">MEC-441;MEC-442</t>
  </si>
  <si>
    <t xml:space="preserve">Branching Age-Up Choice; God-Power Ability Slot</t>
  </si>
  <si>
    <t xml:space="preserve">God packs add alternative major-god choices, supporting minor-god branches, powers, technologies, and myth-unit access to existing pantheon structures.</t>
  </si>
  <si>
    <t xml:space="preserve">Downloadable content, official balance design, and extension of existing tech trees.</t>
  </si>
  <si>
    <t xml:space="preserve">These are live-service roster expansions and require date-stamped maintenance.</t>
  </si>
  <si>
    <t xml:space="preserve">Shows how pantheons become modular content architectures.</t>
  </si>
  <si>
    <t xml:space="preserve">ENT-0430</t>
  </si>
  <si>
    <t xml:space="preserve">Campaign hero and mythic campaign</t>
  </si>
  <si>
    <t xml:space="preserve">Narrative-to-unit adaptation</t>
  </si>
  <si>
    <t xml:space="preserve">NAR-100;MEC-423</t>
  </si>
  <si>
    <t xml:space="preserve">Hero and Protagonist Archetypes; Unique Character Class</t>
  </si>
  <si>
    <t xml:space="preserve">Named protagonists move between narrative campaign roles and rule-defined hero units with scripted objectives and anti-myth capabilities.</t>
  </si>
  <si>
    <t xml:space="preserve">Campaign scripting, unit stats, narrative identity, and scenario progression.</t>
  </si>
  <si>
    <t xml:space="preserve">The hero's narrative identity and mechanical counter role are related but not identical.</t>
  </si>
  <si>
    <t xml:space="preserve">Useful for crosswalking literary heroism into strategy-unit design.</t>
  </si>
  <si>
    <t xml:space="preserve">ENT-0431</t>
  </si>
  <si>
    <t xml:space="preserve">Pantheon-specific favor generation</t>
  </si>
  <si>
    <t xml:space="preserve">Asymmetric resource submodel</t>
  </si>
  <si>
    <t xml:space="preserve">LAW-314;MEC-440</t>
  </si>
  <si>
    <t xml:space="preserve">Worship or Favor Resource; Pantheon or Patron Choice</t>
  </si>
  <si>
    <t xml:space="preserve">Each civilization produces favor through a thematically distinct method such as worship, combat, monuments, or hero activity.</t>
  </si>
  <si>
    <t xml:space="preserve">Faction rule, economic behavior, map interaction, and balance.</t>
  </si>
  <si>
    <t xml:space="preserve">The thematic mechanism is a game interpretation, not a comparative theology.</t>
  </si>
  <si>
    <t xml:space="preserve">A concise example of cultural differentiation through resource mechanics.</t>
  </si>
  <si>
    <t xml:space="preserve">ENT-0432</t>
  </si>
  <si>
    <t xml:space="preserve">Mythic age progression as adaptation</t>
  </si>
  <si>
    <t xml:space="preserve">Age/progression abstraction</t>
  </si>
  <si>
    <t xml:space="preserve">COS-112;LAW-510</t>
  </si>
  <si>
    <t xml:space="preserve">Cyclical Time; Cyclical-Age Law</t>
  </si>
  <si>
    <t xml:space="preserve">Mythological and historical ideas of eras are converted into a universal progression ladder with pantheon-specific branches.</t>
  </si>
  <si>
    <t xml:space="preserve">Resource thresholds, buildings, deity choice, technology unlocks, and strategic timing.</t>
  </si>
  <si>
    <t xml:space="preserve">Shared age labels create comparability at the cost of source-specific temporal models.</t>
  </si>
  <si>
    <t xml:space="preserve">A high-value cross-media pattern linking cosmic age to technology tier.</t>
  </si>
  <si>
    <t xml:space="preserve">ENT-0433</t>
  </si>
  <si>
    <t xml:space="preserve">Stress</t>
  </si>
  <si>
    <t xml:space="preserve">Original game; base systems with DLC-aware notes, excluding Darkest Dungeon II</t>
  </si>
  <si>
    <t xml:space="preserve">Persistent psychological resource</t>
  </si>
  <si>
    <t xml:space="preserve">MEC-200;STA-524</t>
  </si>
  <si>
    <t xml:space="preserve">Resource and Casting Models; Expedition Trauma</t>
  </si>
  <si>
    <t xml:space="preserve">A second damage economy accumulates through darkness, attacks, events, and expedition pressure and can trigger a crisis.</t>
  </si>
  <si>
    <t xml:space="preserve">Exposure, enemy abilities, environment, quirks, party interaction, and recovery.</t>
  </si>
  <si>
    <t xml:space="preserve">Stress is mechanically independent from physical health and persists across expeditions.</t>
  </si>
  <si>
    <t xml:space="preserve">The source's major contribution is a campaign-scale psychological resource, not another conventional fantasy class.</t>
  </si>
  <si>
    <t xml:space="preserve">Darkest Dungeon official game overview and system documentation.</t>
  </si>
  <si>
    <t xml:space="preserve">ENT-0434</t>
  </si>
  <si>
    <t xml:space="preserve">Resolve check at maximum stress</t>
  </si>
  <si>
    <t xml:space="preserve">Crisis threshold mechanic</t>
  </si>
  <si>
    <t xml:space="preserve">MEC-433;STA-521</t>
  </si>
  <si>
    <t xml:space="preserve">Affliction-or-Virtue Branch; Stress Affliction</t>
  </si>
  <si>
    <t xml:space="preserve">Reaching a stress crisis triggers a resolve test that changes the hero's behavior and capability.</t>
  </si>
  <si>
    <t xml:space="preserve">Accumulated stress, probability, hero state, and game rules.</t>
  </si>
  <si>
    <t xml:space="preserve">The crisis is a discrete branching event rather than a linear debuff.</t>
  </si>
  <si>
    <t xml:space="preserve">A reusable breaking-point mechanic for horror and attrition games.</t>
  </si>
  <si>
    <t xml:space="preserve">ENT-0435</t>
  </si>
  <si>
    <t xml:space="preserve">Affliction</t>
  </si>
  <si>
    <t xml:space="preserve">Stress-triggered condition</t>
  </si>
  <si>
    <t xml:space="preserve">MEC-433;STA-315</t>
  </si>
  <si>
    <t xml:space="preserve">Affliction-or-Virtue Branch; Madness or Altered Perception</t>
  </si>
  <si>
    <t xml:space="preserve">A hero can enter a persistent harmful state such as paranoia, fear, irrationality, or masochistic behavior after a crisis.</t>
  </si>
  <si>
    <t xml:space="preserve">Stress threshold and resolve outcome.</t>
  </si>
  <si>
    <t xml:space="preserve">Affliction is an acquired state, not the hero's moral essence or species trait.</t>
  </si>
  <si>
    <t xml:space="preserve">A source-specific model for mechanically consequential breakdown.</t>
  </si>
  <si>
    <t xml:space="preserve">ENT-0436</t>
  </si>
  <si>
    <t xml:space="preserve">Virtue</t>
  </si>
  <si>
    <t xml:space="preserve">Stress-triggered resilient condition</t>
  </si>
  <si>
    <t xml:space="preserve">MEC-433;STA-400</t>
  </si>
  <si>
    <t xml:space="preserve">Affliction-or-Virtue Branch; Empowerment, Bond, and Alignment States</t>
  </si>
  <si>
    <t xml:space="preserve">A crisis can instead produce a beneficial state of exceptional resolve, focus, courage, or support.</t>
  </si>
  <si>
    <t xml:space="preserve">Stress threshold and favorable resolve outcome.</t>
  </si>
  <si>
    <t xml:space="preserve">Virtue is a temporary crisis response, not a permanent alignment category.</t>
  </si>
  <si>
    <t xml:space="preserve">Pairs collapse and resilience within the same pressure system.</t>
  </si>
  <si>
    <t xml:space="preserve">ENT-0437</t>
  </si>
  <si>
    <t xml:space="preserve">Positive and negative quirks</t>
  </si>
  <si>
    <t xml:space="preserve">Persistent trait system</t>
  </si>
  <si>
    <t xml:space="preserve">Heroes acquire durable beneficial and harmful traits through expeditions, locations, treatment, and events.</t>
  </si>
  <si>
    <t xml:space="preserve">Experience, environmental interaction, random events, treatment, and locking/removal systems.</t>
  </si>
  <si>
    <t xml:space="preserve">Quirks individualize roster members and create long-term friction; they are not temporary status effects.</t>
  </si>
  <si>
    <t xml:space="preserve">A strong emergent-biography system for replaceable adventurers.</t>
  </si>
  <si>
    <t xml:space="preserve">ENT-0438</t>
  </si>
  <si>
    <t xml:space="preserve">Diseases</t>
  </si>
  <si>
    <t xml:space="preserve">Persistent physical condition</t>
  </si>
  <si>
    <t xml:space="preserve">Diseases impose lasting penalties and require treatment or management across expeditions.</t>
  </si>
  <si>
    <t xml:space="preserve">Exposure, enemy attacks, events, and medical treatment.</t>
  </si>
  <si>
    <t xml:space="preserve">Disease is one component of attrition and should not be conflated with curse, stress affliction, or corruption.</t>
  </si>
  <si>
    <t xml:space="preserve">Reinforces a multi-track model of adventurer vulnerability.</t>
  </si>
  <si>
    <t xml:space="preserve">ENT-0439</t>
  </si>
  <si>
    <t xml:space="preserve">Torchlight and encroaching darkness</t>
  </si>
  <si>
    <t xml:space="preserve">Light–risk resource</t>
  </si>
  <si>
    <t xml:space="preserve">PWR-207;MEC-436</t>
  </si>
  <si>
    <t xml:space="preserve">Light and Radiance Magic; Expedition Attrition Loop</t>
  </si>
  <si>
    <t xml:space="preserve">Torch level affects danger, stress, surprise, reward, and the emotional texture of an expedition.</t>
  </si>
  <si>
    <t xml:space="preserve">Consumable torches, exploration time, player risk choice, and environmental rules.</t>
  </si>
  <si>
    <t xml:space="preserve">Light is not only visibility or a holy damage type; it is a strategic risk/reward meter.</t>
  </si>
  <si>
    <t xml:space="preserve">A distinctive use of illumination as campaign economy and player-controlled difficulty.</t>
  </si>
  <si>
    <t xml:space="preserve">ENT-0440</t>
  </si>
  <si>
    <t xml:space="preserve">Expedition attrition</t>
  </si>
  <si>
    <t xml:space="preserve">Multi-encounter depletion loop</t>
  </si>
  <si>
    <t xml:space="preserve">MEC-431;MEC-435</t>
  </si>
  <si>
    <t xml:space="preserve">Stress Resource Track; Light–Risk Meter</t>
  </si>
  <si>
    <t xml:space="preserve">Health, stress, supplies, light, disease, quirks, and other burdens accumulate over a dungeon expedition.</t>
  </si>
  <si>
    <t xml:space="preserve">Room sequence, combat, curios, food, torches, camping, and retreat decisions.</t>
  </si>
  <si>
    <t xml:space="preserve">The meaningful unit is the whole expedition, not a series of fully reset encounters.</t>
  </si>
  <si>
    <t xml:space="preserve">A high-value pattern for survival-oriented dungeon design.</t>
  </si>
  <si>
    <t xml:space="preserve">ENT-0441</t>
  </si>
  <si>
    <t xml:space="preserve">Camping and expedition recovery</t>
  </si>
  <si>
    <t xml:space="preserve">Limited in-field recovery system</t>
  </si>
  <si>
    <t xml:space="preserve">ROL-606;MEC-436</t>
  </si>
  <si>
    <t xml:space="preserve">Bard; Expedition Attrition Loop</t>
  </si>
  <si>
    <t xml:space="preserve">Camping consumes supplies and uses hero-specific skills to heal, reduce stress, prepare, and manage risk during longer expeditions.</t>
  </si>
  <si>
    <t xml:space="preserve">Camping supplies, selected skills, time, party composition, and ambush rules.</t>
  </si>
  <si>
    <t xml:space="preserve">Recovery remains limited and strategic rather than a complete reset.</t>
  </si>
  <si>
    <t xml:space="preserve">Combines party role identity with downtime decisions inside the expedition.</t>
  </si>
  <si>
    <t xml:space="preserve">ENT-0442</t>
  </si>
  <si>
    <t xml:space="preserve">Abbey and Tavern treatment</t>
  </si>
  <si>
    <t xml:space="preserve">Recovery institution</t>
  </si>
  <si>
    <t xml:space="preserve">MEC-438;LAW-315</t>
  </si>
  <si>
    <t xml:space="preserve">Town Recovery Loop; Ritual Economy</t>
  </si>
  <si>
    <t xml:space="preserve">Town institutions reduce stress through prayer, meditation, drinking, gambling, or other activities while making heroes temporarily unavailable.</t>
  </si>
  <si>
    <t xml:space="preserve">Gold, town facilities, character restrictions, time, and quirks.</t>
  </si>
  <si>
    <t xml:space="preserve">The institutions are not merely heal buttons; they create cost, availability, and character-specific complications.</t>
  </si>
  <si>
    <t xml:space="preserve">A reusable model for social institutions as campaign recovery systems.</t>
  </si>
  <si>
    <t xml:space="preserve">ENT-0443</t>
  </si>
  <si>
    <t xml:space="preserve">Sanitarium treatment</t>
  </si>
  <si>
    <t xml:space="preserve">Medical/behavioral recovery institution</t>
  </si>
  <si>
    <t xml:space="preserve">MEC-438;STA-523</t>
  </si>
  <si>
    <t xml:space="preserve">Town Recovery Loop; Acquired Quirk</t>
  </si>
  <si>
    <t xml:space="preserve">A town institution treats disease and modifies persistent quirks through time and resource expenditure.</t>
  </si>
  <si>
    <t xml:space="preserve">Gold, facility upgrades, treatment slots, and hero availability.</t>
  </si>
  <si>
    <t xml:space="preserve">Treatment changes long-term roster state rather than only restoring combat health.</t>
  </si>
  <si>
    <t xml:space="preserve">Connects character traits to institutional infrastructure.</t>
  </si>
  <si>
    <t xml:space="preserve">ENT-0444</t>
  </si>
  <si>
    <t xml:space="preserve">Permadeath and permanent roster loss</t>
  </si>
  <si>
    <t xml:space="preserve">Unit mortality mechanic</t>
  </si>
  <si>
    <t xml:space="preserve">MEC-437;LAW-717</t>
  </si>
  <si>
    <t xml:space="preserve">Roster-Based Campaign; Final Death or Soul Destruction</t>
  </si>
  <si>
    <t xml:space="preserve">Heroes can die permanently, leaving the campaign to continue through the surviving and newly recruited roster.</t>
  </si>
  <si>
    <t xml:space="preserve">Combat outcome, expedition risk, retreat decisions, and limited exceptions.</t>
  </si>
  <si>
    <t xml:space="preserve">The campaign persists after individual death; the roster, not one immortal protagonist, is the continuity anchor.</t>
  </si>
  <si>
    <t xml:space="preserve">Makes mortality a strategic and narrative system rather than a reload-only failure.</t>
  </si>
  <si>
    <t xml:space="preserve">ENT-0445</t>
  </si>
  <si>
    <t xml:space="preserve">Roster management campaign</t>
  </si>
  <si>
    <t xml:space="preserve">Company/roster progression model</t>
  </si>
  <si>
    <t xml:space="preserve">MEC-319;NAR-442</t>
  </si>
  <si>
    <t xml:space="preserve">Companion Collection System; Roster of Flawed Adventurers</t>
  </si>
  <si>
    <t xml:space="preserve">The player recruits, rotates, treats, upgrades, specializes, and sometimes loses a large roster of adventurers.</t>
  </si>
  <si>
    <t xml:space="preserve">Stagecoach recruitment, town capacity, upgrades, stress, disease, quirks, and permadeath.</t>
  </si>
  <si>
    <t xml:space="preserve">The heroes are neither disposable generic units nor one fixed party; individuals accumulate histories while remaining replaceable.</t>
  </si>
  <si>
    <t xml:space="preserve">A distinctive middle ground between tactics roster and literary protagonist ensemble.</t>
  </si>
  <si>
    <t xml:space="preserve">ENT-0446</t>
  </si>
  <si>
    <t xml:space="preserve">Position-dependent skills</t>
  </si>
  <si>
    <t xml:space="preserve">Formation combat model</t>
  </si>
  <si>
    <t xml:space="preserve">MEC-217;MEC-100</t>
  </si>
  <si>
    <t xml:space="preserve">Position-Based Bonuses; Combat Function Archetypes</t>
  </si>
  <si>
    <t xml:space="preserve">A hero's available skills and legal targets depend on current rank, making movement, disruption, and party order central.</t>
  </si>
  <si>
    <t xml:space="preserve">Formation rank, selected skills, movement, target rows, and enemy displacement.</t>
  </si>
  <si>
    <t xml:space="preserve">Position determines capability, not only a small bonus.</t>
  </si>
  <si>
    <t xml:space="preserve">A major refinement of front-line/back-line roles into skill geometry.</t>
  </si>
  <si>
    <t xml:space="preserve">ENT-0447</t>
  </si>
  <si>
    <t xml:space="preserve">Procedurally assembled expeditions</t>
  </si>
  <si>
    <t xml:space="preserve">Procedural encounter-space model</t>
  </si>
  <si>
    <t xml:space="preserve">NAR-436;MEC-436</t>
  </si>
  <si>
    <t xml:space="preserve">Dungeon Crawl; Expedition Attrition Loop</t>
  </si>
  <si>
    <t xml:space="preserve">Dungeon corridors, rooms, encounters, curios, and rewards are assembled for repeated uncertain expeditions.</t>
  </si>
  <si>
    <t xml:space="preserve">Procedural generation, mission type, region, difficulty, and game state.</t>
  </si>
  <si>
    <t xml:space="preserve">The procedural structure supports attrition and scouting rather than open-world randomness.</t>
  </si>
  <si>
    <t xml:space="preserve">A reusable link between megadungeon narrative and repeatable campaign logistics.</t>
  </si>
  <si>
    <t xml:space="preserve">ENT-0448</t>
  </si>
  <si>
    <t xml:space="preserve">The Ancestor's inherited ruin</t>
  </si>
  <si>
    <t xml:space="preserve">Inherited-catastrophe narrative</t>
  </si>
  <si>
    <t xml:space="preserve">ART-709;COS-521</t>
  </si>
  <si>
    <t xml:space="preserve">Lost-Technology Artifact; Ruined Precursor Realm</t>
  </si>
  <si>
    <t xml:space="preserve">The campaign begins because an ancestor's curiosity, wealth, bargains, excavations, and transgressions have corrupted an estate and surrounding region.</t>
  </si>
  <si>
    <t xml:space="preserve">Inherited property, forbidden knowledge, buried systems, social privilege, and supernatural consequence.</t>
  </si>
  <si>
    <t xml:space="preserve">The player inherits responsibility and infrastructure, not personal guilt in a simple moral accounting.</t>
  </si>
  <si>
    <t xml:space="preserve">A strong modern form of ancestral folly as campaign premise.</t>
  </si>
  <si>
    <t xml:space="preserve">ENT-0449</t>
  </si>
  <si>
    <t xml:space="preserve">Roster of flawed adventurers</t>
  </si>
  <si>
    <t xml:space="preserve">Ensemble protagonist pattern</t>
  </si>
  <si>
    <t xml:space="preserve">STA-523;MEC-437</t>
  </si>
  <si>
    <t xml:space="preserve">Acquired Quirk; Roster-Based Campaign</t>
  </si>
  <si>
    <t xml:space="preserve">Heroes arrive with vulnerabilities, quirks, diseases, trauma, and distinctive combat roles, forming an unstable but persistent company.</t>
  </si>
  <si>
    <t xml:space="preserve">Recruitment, individual traits, class kits, shared expeditions, and recovery institutions.</t>
  </si>
  <si>
    <t xml:space="preserve">The ensemble is not an idealized chosen party and no member is guaranteed narrative survival.</t>
  </si>
  <si>
    <t xml:space="preserve">A reusable model for emergent characterization through systemically vulnerable heroes.</t>
  </si>
  <si>
    <t xml:space="preserve">ENT-0450</t>
  </si>
  <si>
    <t xml:space="preserve">Psychological attrition journey</t>
  </si>
  <si>
    <t xml:space="preserve">Horror campaign structure</t>
  </si>
  <si>
    <t xml:space="preserve">MEC-431;STA-524;NAR-441</t>
  </si>
  <si>
    <t xml:space="preserve">Stress Resource Track; Expedition Trauma; Inherited Ruin or Ancestor's Folly</t>
  </si>
  <si>
    <t xml:space="preserve">Repeated descents into hostile ruins accumulate fear, obsession, stress, and loss while gradually revealing an inherited cosmic horror.</t>
  </si>
  <si>
    <t xml:space="preserve">Expedition repetition, stress, narrator framing, environmental revelation, and roster memory.</t>
  </si>
  <si>
    <t xml:space="preserve">Mental pressure is structural rather than an occasional madness scene.</t>
  </si>
  <si>
    <t xml:space="preserve">The game's most distinctive narrative-mechanical contribution beyond its class roster.</t>
  </si>
  <si>
    <t xml:space="preserve">ENT-0451</t>
  </si>
  <si>
    <t xml:space="preserve">Expedition trauma</t>
  </si>
  <si>
    <t xml:space="preserve">Persistent campaign condition</t>
  </si>
  <si>
    <t xml:space="preserve">MEC-431;MEC-434</t>
  </si>
  <si>
    <t xml:space="preserve">Stress Resource Track; Quirk Trait System</t>
  </si>
  <si>
    <t xml:space="preserve">Heroes carry behavioral, psychological, and bodily consequences from dungeon experience into later missions and treatment.</t>
  </si>
  <si>
    <t xml:space="preserve">Stress, affliction, quirks, disease, survival, and recovery.</t>
  </si>
  <si>
    <t xml:space="preserve">Trauma is represented through several linked systems rather than one universal diagnosis.</t>
  </si>
  <si>
    <t xml:space="preserve">A bridge between mechanical persistence and emergent character biography.</t>
  </si>
  <si>
    <t xml:space="preserve">Axis</t>
  </si>
  <si>
    <t xml:space="preserve">Definition</t>
  </si>
  <si>
    <t xml:space="preserve">Use</t>
  </si>
  <si>
    <t xml:space="preserve">Record_Type</t>
  </si>
  <si>
    <t xml:space="preserve">Species / ancestry</t>
  </si>
  <si>
    <t xml:space="preserve">A heritable or naturally reproduced people or biological kind.</t>
  </si>
  <si>
    <t xml:space="preserve">Use the most source-faithful type; add other axes rather than forcing one label.</t>
  </si>
  <si>
    <t xml:space="preserve">Metaphysical kind</t>
  </si>
  <si>
    <t xml:space="preserve">A category defined primarily by cosmology, spiritual substance, or mode of existence.</t>
  </si>
  <si>
    <t xml:space="preserve">Culture / ethnicity</t>
  </si>
  <si>
    <t xml:space="preserve">A historically and socially constituted people; not assumed to be biologically distinct.</t>
  </si>
  <si>
    <t xml:space="preserve">Lineage / bloodline</t>
  </si>
  <si>
    <t xml:space="preserve">A descent group carrying inherited status, traits, or powers.</t>
  </si>
  <si>
    <t xml:space="preserve">Creature type</t>
  </si>
  <si>
    <t xml:space="preserve">A bestiary or rules grouping that may combine unrelated ontologies.</t>
  </si>
  <si>
    <t xml:space="preserve">Profession</t>
  </si>
  <si>
    <t xml:space="preserve">Work performed through training, employment, or livelihood.</t>
  </si>
  <si>
    <t xml:space="preserve">Game class</t>
  </si>
  <si>
    <t xml:space="preserve">A formal rules package governing progression and abilities.</t>
  </si>
  <si>
    <t xml:space="preserve">Subclass / specialization</t>
  </si>
  <si>
    <t xml:space="preserve">A narrower branch within a class, job, school, or build.</t>
  </si>
  <si>
    <t xml:space="preserve">Job</t>
  </si>
  <si>
    <t xml:space="preserve">A changeable or unlockable game role, especially in job-system games.</t>
  </si>
  <si>
    <t xml:space="preserve">Social office</t>
  </si>
  <si>
    <t xml:space="preserve">A recognized title or position within a society or institution.</t>
  </si>
  <si>
    <t xml:space="preserve">Religious office</t>
  </si>
  <si>
    <t xml:space="preserve">An ordained, initiated, or ritually recognized sacred position.</t>
  </si>
  <si>
    <t xml:space="preserve">Institution</t>
  </si>
  <si>
    <t xml:space="preserve">An order, guild, school, faction, caste, company, or organization.</t>
  </si>
  <si>
    <t xml:space="preserve">Condition / template</t>
  </si>
  <si>
    <t xml:space="preserve">An acquired state layered onto an existing being, such as vampirism or possession.</t>
  </si>
  <si>
    <t xml:space="preserve">A coherent source, method, domain, or theory of supernatural capability.</t>
  </si>
  <si>
    <t xml:space="preserve">Narrative archetype</t>
  </si>
  <si>
    <t xml:space="preserve">A recurring story function rather than an in-world biological or occupational identity.</t>
  </si>
  <si>
    <t xml:space="preserve">Mechanical role</t>
  </si>
  <si>
    <t xml:space="preserve">A functional gameplay role such as tank, healer, controller, or striker.</t>
  </si>
  <si>
    <t xml:space="preserve">Ontology_Origin</t>
  </si>
  <si>
    <t xml:space="preserve">Natural born</t>
  </si>
  <si>
    <t xml:space="preserve">Exists through ordinary reproduction within the source setting.</t>
  </si>
  <si>
    <t xml:space="preserve">Record source claims and uncertainty rather than resolving disputed lore by analogy.</t>
  </si>
  <si>
    <t xml:space="preserve">Divine creation</t>
  </si>
  <si>
    <t xml:space="preserve">Created directly by a deity or divine order.</t>
  </si>
  <si>
    <t xml:space="preserve">Artificial construction</t>
  </si>
  <si>
    <t xml:space="preserve">Built, manufactured, or deliberately assembled.</t>
  </si>
  <si>
    <t xml:space="preserve">Engineered life</t>
  </si>
  <si>
    <t xml:space="preserve">Biologically or magically designed as a living kind.</t>
  </si>
  <si>
    <t xml:space="preserve">Transformed</t>
  </si>
  <si>
    <t xml:space="preserve">Originates as another kind and changes state or ontology.</t>
  </si>
  <si>
    <t xml:space="preserve">Undead</t>
  </si>
  <si>
    <t xml:space="preserve">Exists after death through supernatural continuation, animation, or return.</t>
  </si>
  <si>
    <t xml:space="preserve">Called from elsewhere or instantiated by another agent.</t>
  </si>
  <si>
    <t xml:space="preserve">Manifested</t>
  </si>
  <si>
    <t xml:space="preserve">Embodies a force, concept, emotion, place, or metaphysical principle.</t>
  </si>
  <si>
    <t xml:space="preserve">Hybrid</t>
  </si>
  <si>
    <t xml:space="preserve">Combines multiple ancestries, species, bodies, or ontological sources.</t>
  </si>
  <si>
    <t xml:space="preserve">Unknown / disputed</t>
  </si>
  <si>
    <t xml:space="preserve">The source withholds, contradicts, or revises the origin.</t>
  </si>
  <si>
    <t xml:space="preserve">Embodiment</t>
  </si>
  <si>
    <t xml:space="preserve">Corporeal</t>
  </si>
  <si>
    <t xml:space="preserve">Normally embodied in a material body.</t>
  </si>
  <si>
    <t xml:space="preserve">Use as a separate axis from species or moral alignment.</t>
  </si>
  <si>
    <t xml:space="preserve">Incorporeal</t>
  </si>
  <si>
    <t xml:space="preserve">Normally exists without a conventional material body.</t>
  </si>
  <si>
    <t xml:space="preserve">Variable</t>
  </si>
  <si>
    <t xml:space="preserve">Can shift between corporeal and incorporeal or among body forms.</t>
  </si>
  <si>
    <t xml:space="preserve">Distributed</t>
  </si>
  <si>
    <t xml:space="preserve">Identity or agency is spread across a network, swarm, landscape, or multiple bodies.</t>
  </si>
  <si>
    <t xml:space="preserve">Object-bound</t>
  </si>
  <si>
    <t xml:space="preserve">Existence or agency depends on a specific artifact or vessel.</t>
  </si>
  <si>
    <t xml:space="preserve">Place-bound</t>
  </si>
  <si>
    <t xml:space="preserve">Existence or agency depends on a location, territory, tree, tomb, or domain.</t>
  </si>
  <si>
    <t xml:space="preserve">Mortality</t>
  </si>
  <si>
    <t xml:space="preserve">Ordinary mortal</t>
  </si>
  <si>
    <t xml:space="preserve">Ages and dies on a setting-normal mortal scale.</t>
  </si>
  <si>
    <t xml:space="preserve">Separate lifespan from invulnerability, resurrection, and spiritual persistence.</t>
  </si>
  <si>
    <t xml:space="preserve">Long-lived</t>
  </si>
  <si>
    <t xml:space="preserve">Ages much more slowly than the setting's ordinary humans.</t>
  </si>
  <si>
    <t xml:space="preserve">Ageless</t>
  </si>
  <si>
    <t xml:space="preserve">Does not naturally age but may be killed.</t>
  </si>
  <si>
    <t xml:space="preserve">Functionally immortal</t>
  </si>
  <si>
    <t xml:space="preserve">Persists indefinitely unless special conditions are met.</t>
  </si>
  <si>
    <t xml:space="preserve">Cyclical</t>
  </si>
  <si>
    <t xml:space="preserve">Dies and returns through reincarnation, seasonal, or cosmic cycles.</t>
  </si>
  <si>
    <t xml:space="preserve">Conditionally immortal</t>
  </si>
  <si>
    <t xml:space="preserve">Immortality depends on an artifact, realm, body replacement, feeding, or other condition.</t>
  </si>
  <si>
    <t xml:space="preserve">The source does not establish a stable answer.</t>
  </si>
  <si>
    <t xml:space="preserve">Power_Source</t>
  </si>
  <si>
    <t xml:space="preserve">Learned</t>
  </si>
  <si>
    <t xml:space="preserve">Acquired through education, practice, research, or apprenticeship.</t>
  </si>
  <si>
    <t xml:space="preserve">Multiple values may apply; distinguish the stated source from the visible effect.</t>
  </si>
  <si>
    <t xml:space="preserve">Innate</t>
  </si>
  <si>
    <t xml:space="preserve">Arises from natural or metaphysical constitution.</t>
  </si>
  <si>
    <t xml:space="preserve">Divine</t>
  </si>
  <si>
    <t xml:space="preserve">Granted, mediated, or sustained by a deity or sacred force.</t>
  </si>
  <si>
    <t xml:space="preserve">Pact / contract</t>
  </si>
  <si>
    <t xml:space="preserve">Received through an agreement, bargain, oath, or patron relationship.</t>
  </si>
  <si>
    <t xml:space="preserve">Spirit-mediated</t>
  </si>
  <si>
    <t xml:space="preserve">Depends on relationships with spirits, ancestors, or local beings.</t>
  </si>
  <si>
    <t xml:space="preserve">Nature-mediated</t>
  </si>
  <si>
    <t xml:space="preserve">Draws on ecosystems, land, seasons, animals, or living networks.</t>
  </si>
  <si>
    <t xml:space="preserve">Elemental</t>
  </si>
  <si>
    <t xml:space="preserve">Draws on fire, water, air, earth, lightning, ice, or analogous domains.</t>
  </si>
  <si>
    <t xml:space="preserve">Bloodline</t>
  </si>
  <si>
    <t xml:space="preserve">Inherited through descent, lineage, or dynastic transmission.</t>
  </si>
  <si>
    <t xml:space="preserve">Artifact</t>
  </si>
  <si>
    <t xml:space="preserve">Depends on a weapon, relic, book, ring, suit, crystal, or other object.</t>
  </si>
  <si>
    <t xml:space="preserve">Produced through recipes, reagents, transmutation, potions, or technical refinement.</t>
  </si>
  <si>
    <t xml:space="preserve">Technology / magitech</t>
  </si>
  <si>
    <t xml:space="preserve">Produced through engineered devices or integrated magic-technology systems.</t>
  </si>
  <si>
    <t xml:space="preserve">Psychic</t>
  </si>
  <si>
    <t xml:space="preserve">Arises from mind, will, emotion, dream, or extrasensory ability.</t>
  </si>
  <si>
    <t xml:space="preserve">Cultivation</t>
  </si>
  <si>
    <t xml:space="preserve">Built through internal refinement, realms, qi, comprehension, or breakthrough.</t>
  </si>
  <si>
    <t xml:space="preserve">Corruption</t>
  </si>
  <si>
    <t xml:space="preserve">Obtained through hazardous contamination, forbidden influence, or transformation.</t>
  </si>
  <si>
    <t xml:space="preserve">Sacrifice</t>
  </si>
  <si>
    <t xml:space="preserve">Requires life, memory, pain, years, identity, or comparable irreversible cost.</t>
  </si>
  <si>
    <t xml:space="preserve">Comparison_Relation</t>
  </si>
  <si>
    <t xml:space="preserve">Two names refer to the same source entity or concept.</t>
  </si>
  <si>
    <t xml:space="preserve">Prefer a precise relation over an unqualified 'same as' statement.</t>
  </si>
  <si>
    <t xml:space="preserve">Concepts match across all compared dimensions; use very rarely.</t>
  </si>
  <si>
    <t xml:space="preserve">The subject is a narrower kind within the object.</t>
  </si>
  <si>
    <t xml:space="preserve">The subject belongs to an institution, people, faction, or set.</t>
  </si>
  <si>
    <t xml:space="preserve">The subject is another edition, adaptation, incarnation, or rules version.</t>
  </si>
  <si>
    <t xml:space="preserve">The subject deliberately adapts the object into another medium or continuity.</t>
  </si>
  <si>
    <t xml:space="preserve">Documented or strongly evidenced creative influence.</t>
  </si>
  <si>
    <t xml:space="preserve">High similarity across ontology, function, and narrative use, with meaningful differences.</t>
  </si>
  <si>
    <t xml:space="preserve">Similarity on only some axes.</t>
  </si>
  <si>
    <t xml:space="preserve">Performs a similar in-world or narrative function despite different ontology.</t>
  </si>
  <si>
    <t xml:space="preserve">Occupies a similar gameplay role or progression function.</t>
  </si>
  <si>
    <t xml:space="preserve">Looks similar but may differ substantially in ontology and function.</t>
  </si>
  <si>
    <t xml:space="preserve">Deliberately reverses or critiques a familiar archetype.</t>
  </si>
  <si>
    <t xml:space="preserve">Combines two or more normalized families.</t>
  </si>
  <si>
    <t xml:space="preserve">Changes from one state or being-type into another.</t>
  </si>
  <si>
    <t xml:space="preserve">Opposed-to</t>
  </si>
  <si>
    <t xml:space="preserve">Defined through conflict, counter-role, or institutional opposition.</t>
  </si>
  <si>
    <t xml:space="preserve">Often conflated despite a material distinction.</t>
  </si>
  <si>
    <t xml:space="preserve">Relationship is plausible but unresolved or source-dependent.</t>
  </si>
  <si>
    <t xml:space="preserve">Part of the principal source continuity being catalogued.</t>
  </si>
  <si>
    <t xml:space="preserve">Always version-stamp live-service games and adaptation-specific entries.</t>
  </si>
  <si>
    <t xml:space="preserve">A recurring franchise term spanning independent or divergent canons.</t>
  </si>
  <si>
    <t xml:space="preserve">Part of an authorized adaptation continuity.</t>
  </si>
  <si>
    <t xml:space="preserve">Licensed secondary</t>
  </si>
  <si>
    <t xml:space="preserve">Authorized but secondary, optional, or non-primary material.</t>
  </si>
  <si>
    <t xml:space="preserve">Optional rules</t>
  </si>
  <si>
    <t xml:space="preserve">Official mechanical option not necessarily present in every setting or table.</t>
  </si>
  <si>
    <t xml:space="preserve">Legacy edition</t>
  </si>
  <si>
    <t xml:space="preserve">Belongs to an earlier rules edition or retired continuity state.</t>
  </si>
  <si>
    <t xml:space="preserve">Apocryphal / disputed</t>
  </si>
  <si>
    <t xml:space="preserve">Canonical status is contested, contradictory, or deliberately uncertain.</t>
  </si>
  <si>
    <t xml:space="preserve">Fan / unofficial</t>
  </si>
  <si>
    <t xml:space="preserve">Not an official source; keep separate from canonical records.</t>
  </si>
  <si>
    <t xml:space="preserve">The relevant primary book, game text, episode, or direct source was reviewed.</t>
  </si>
  <si>
    <t xml:space="preserve">Evidence level describes review status, not the quality of the fictional work.</t>
  </si>
  <si>
    <t xml:space="preserve">An official encyclopedia, rules page, publisher page, or developer reference was reviewed.</t>
  </si>
  <si>
    <t xml:space="preserve">A reputable secondary reference was used for orientation or cross-checking.</t>
  </si>
  <si>
    <t xml:space="preserve">Orientation only</t>
  </si>
  <si>
    <t xml:space="preserve">Entry is a provisional map and requires source-level review.</t>
  </si>
  <si>
    <t xml:space="preserve">Needs verification</t>
  </si>
  <si>
    <t xml:space="preserve">A material claim is unresolved or the citation is inadequate.</t>
  </si>
  <si>
    <t xml:space="preserve">A normalized taxonomy record maintained as part of the stable framework.</t>
  </si>
  <si>
    <t xml:space="preserve">Use workflow status to separate catalogue growth from taxonomic stability.</t>
  </si>
  <si>
    <t xml:space="preserve">A source-specific example entered and cross-walked.</t>
  </si>
  <si>
    <t xml:space="preserve">Needs source review</t>
  </si>
  <si>
    <t xml:space="preserve">Structurally entered but awaiting primary or official verification.</t>
  </si>
  <si>
    <t xml:space="preserve">Verified</t>
  </si>
  <si>
    <t xml:space="preserve">Reviewed against the relevant source continuity and citation.</t>
  </si>
  <si>
    <t xml:space="preserve">Deprecated / merged</t>
  </si>
  <si>
    <t xml:space="preserve">Retained for history but superseded by another record.</t>
  </si>
  <si>
    <t xml:space="preserve">Novel, novella, short story, poem, or prose cycle.</t>
  </si>
  <si>
    <t xml:space="preserve">The Source Corpus preserves more specific medium strings where useful.</t>
  </si>
  <si>
    <t xml:space="preserve">Mythology / folklore</t>
  </si>
  <si>
    <t xml:space="preserve">Traditional, sacred, legendary, oral, or folkloric source layer.</t>
  </si>
  <si>
    <t xml:space="preserve">Role-playing game rules and setting.</t>
  </si>
  <si>
    <t xml:space="preserve">Miniatures wargame</t>
  </si>
  <si>
    <t xml:space="preserve">Tabletop battle game and associated setting.</t>
  </si>
  <si>
    <t xml:space="preserve">Board game</t>
  </si>
  <si>
    <t xml:space="preserve">Board or tile game with fantasy taxonomy.</t>
  </si>
  <si>
    <t xml:space="preserve">Card game</t>
  </si>
  <si>
    <t xml:space="preserve">Collectible, living, or standalone card game.</t>
  </si>
  <si>
    <t xml:space="preserve">Video game</t>
  </si>
  <si>
    <t xml:space="preserve">Digital game, including RPG, strategy, action, tactical, and MMO forms.</t>
  </si>
  <si>
    <t xml:space="preserve">Manga / comics</t>
  </si>
  <si>
    <t xml:space="preserve">Sequential-art source.</t>
  </si>
  <si>
    <t xml:space="preserve">Anime</t>
  </si>
  <si>
    <t xml:space="preserve">Animated series or film.</t>
  </si>
  <si>
    <t xml:space="preserve">Light novel / web novel</t>
  </si>
  <si>
    <t xml:space="preserve">Serialized or published prose in light-novel and web-fiction ecosystems.</t>
  </si>
  <si>
    <t xml:space="preserve">Screen-first or adaptation cinema.</t>
  </si>
  <si>
    <t xml:space="preserve">Live-action or animated television source.</t>
  </si>
  <si>
    <t xml:space="preserve">Cross-media franchise</t>
  </si>
  <si>
    <t xml:space="preserve">A franchise whose taxonomy cannot be responsibly assigned to one medium.</t>
  </si>
  <si>
    <t xml:space="preserve">One of the eleven top-level taxonomy domains.</t>
  </si>
  <si>
    <t xml:space="preserve">Reserved for root records.</t>
  </si>
  <si>
    <t xml:space="preserve">A broad organizing node below a domain root.</t>
  </si>
  <si>
    <t xml:space="preserve">Used to group core families.</t>
  </si>
  <si>
    <t xml:space="preserve">A reusable normalized archetype family.</t>
  </si>
  <si>
    <t xml:space="preserve">Default status for stable comparative records.</t>
  </si>
  <si>
    <t xml:space="preserve">A superseded normalized record retained for provenance.</t>
  </si>
  <si>
    <t xml:space="preserve">Point users to the replacement ID.</t>
  </si>
  <si>
    <t xml:space="preserve">Artifact / object</t>
  </si>
  <si>
    <t xml:space="preserve">A materially or ritually significant object whose identity, provenance, agency, or power warrants an independent record.</t>
  </si>
  <si>
    <t xml:space="preserve">Use for weapons, relics, books, containers, tools, regalia, talismans, and comparable objects.</t>
  </si>
  <si>
    <t xml:space="preserve">Vehicle / conveyance</t>
  </si>
  <si>
    <t xml:space="preserve">A mount, ship, chariot, portal-device, or other means of transport with distinctive narrative, ritual, or mechanical significance.</t>
  </si>
  <si>
    <t xml:space="preserve">Separate ordinary equipment from unique, sacred, sentient, or world-crossing conveyances.</t>
  </si>
  <si>
    <t xml:space="preserve">Cosmological realm</t>
  </si>
  <si>
    <t xml:space="preserve">A heaven, underworld, spirit world, dream world, divine court, or other ontologically distinct region.</t>
  </si>
  <si>
    <t xml:space="preserve">Record the source's own spatial and metaphysical model rather than assuming a universal plane system.</t>
  </si>
  <si>
    <t xml:space="preserve">Sacred site / geography</t>
  </si>
  <si>
    <t xml:space="preserve">A materially located or mythically situated river, mountain, forest, city, threshold, or landscape with sacred or cosmological function.</t>
  </si>
  <si>
    <t xml:space="preserve">Distinguish place, realm, institution, and symbolic motif when the source does.</t>
  </si>
  <si>
    <t xml:space="preserve">Metaphysical law</t>
  </si>
  <si>
    <t xml:space="preserve">A rule or causal principle governing fate, morality, identity, death, transformation, naming, reciprocity, or cosmic order.</t>
  </si>
  <si>
    <t xml:space="preserve">Do not reduce culture-specific concepts to generic game alignment or physics.</t>
  </si>
  <si>
    <t xml:space="preserve">Ritual / exchange</t>
  </si>
  <si>
    <t xml:space="preserve">A structured action or reciprocal practice connecting persons, communities, ancestors, spirits, deities, objects, or cosmic order.</t>
  </si>
  <si>
    <t xml:space="preserve">Use for offerings, sacrifice, initiation, hospitality, purification, divination, oath-making, and similar practices.</t>
  </si>
  <si>
    <t xml:space="preserve">Adaptation operation</t>
  </si>
  <si>
    <t xml:space="preserve">A comparative record describing how a source concept is transformed when represented in another medium or continuity.</t>
  </si>
  <si>
    <t xml:space="preserve">Use in Adaptation Crosswalk; do not treat the operation as a claim about the traditional source itself.</t>
  </si>
  <si>
    <t xml:space="preserve">Ritual</t>
  </si>
  <si>
    <t xml:space="preserve">Power produced, mediated, authorized, or stabilized through prescribed action, timing, place, materials, or community participation.</t>
  </si>
  <si>
    <t xml:space="preserve">Distinguish ritual process from spontaneous spellcasting.</t>
  </si>
  <si>
    <t xml:space="preserve">Oath / vow</t>
  </si>
  <si>
    <t xml:space="preserve">Power, authority, constraint, or transformation arising through a binding promise or self-imposed obligation.</t>
  </si>
  <si>
    <t xml:space="preserve">Record the cost and enforcement model where the source specifies one.</t>
  </si>
  <si>
    <t xml:space="preserve">Boon / curse</t>
  </si>
  <si>
    <t xml:space="preserve">Capacity or limitation conferred through blessing, favor, punishment, utterance, or supernatural transaction.</t>
  </si>
  <si>
    <t xml:space="preserve">Keep boon and curse source-specific; either may be conditional, inherited, or reversible.</t>
  </si>
  <si>
    <t xml:space="preserve">Cosmic law</t>
  </si>
  <si>
    <t xml:space="preserve">Power or limitation arising from the structure of reality, moral causation, fate, sacred order, or metaphysical necessity.</t>
  </si>
  <si>
    <t xml:space="preserve">Avoid translating all such systems into one universal rule.</t>
  </si>
  <si>
    <t xml:space="preserve">Name / word</t>
  </si>
  <si>
    <t xml:space="preserve">Power exercised through a true name, sacred utterance, command word, formula, song, poem, or authoritative speech act.</t>
  </si>
  <si>
    <t xml:space="preserve">Distinguish language as technique, identity, law, and ritual authority.</t>
  </si>
  <si>
    <t xml:space="preserve">Adaptation_Operation</t>
  </si>
  <si>
    <t xml:space="preserve">Factionalization</t>
  </si>
  <si>
    <t xml:space="preserve">Converts a deity, people, culture, lineage, or tradition into a selectable faction identity with standardized bonuses and boundaries.</t>
  </si>
  <si>
    <t xml:space="preserve">Use only when the crosswalk states what was preserved, changed, or lost.</t>
  </si>
  <si>
    <t xml:space="preserve">Unitization</t>
  </si>
  <si>
    <t xml:space="preserve">Converts a unique, local, ambivalent, or socially embedded being into a repeatable game unit.</t>
  </si>
  <si>
    <t xml:space="preserve">Mechanization</t>
  </si>
  <si>
    <t xml:space="preserve">Converts narrative, ritual, divine, or metaphysical agency into a predictable rule, activated ability, or systemic procedure.</t>
  </si>
  <si>
    <t xml:space="preserve">Resource abstraction</t>
  </si>
  <si>
    <t xml:space="preserve">Converts a relationship, condition, practice, or qualitative state into a quantified and spendable resource.</t>
  </si>
  <si>
    <t xml:space="preserve">Progression abstraction</t>
  </si>
  <si>
    <t xml:space="preserve">Converts historical, cosmological, ritual, or educational development into a standardized advancement ladder.</t>
  </si>
  <si>
    <t xml:space="preserve">Quantification</t>
  </si>
  <si>
    <t xml:space="preserve">Represents qualitative differences through numerical ratings, costs, probabilities, thresholds, or statistics.</t>
  </si>
  <si>
    <t xml:space="preserve">Counter-role assignment</t>
  </si>
  <si>
    <t xml:space="preserve">Assigns a concept a defined strength/weakness relationship within a combat or strategy counter system.</t>
  </si>
  <si>
    <t xml:space="preserve">Itemization</t>
  </si>
  <si>
    <t xml:space="preserve">Converts a unique, sacred, storied, or socially controlled object into collectible, equippable, or tradable inventory.</t>
  </si>
  <si>
    <t xml:space="preserve">Bossification</t>
  </si>
  <si>
    <t xml:space="preserve">Converts a deity, monster, ruler, place, or event into an encounter whose primary role is an exceptional combat obstacle.</t>
  </si>
  <si>
    <t xml:space="preserve">Institutional simplification</t>
  </si>
  <si>
    <t xml:space="preserve">Reduces a complex social, ritual, educational, or political institution to a standardized building, menu, faction, or production function.</t>
  </si>
  <si>
    <t xml:space="preserve">Moral and tactical simplification</t>
  </si>
  <si>
    <t xml:space="preserve">Compresses ambivalent, contextual, or plural traditions into fixed alignment, hostility, or battlefield roles.</t>
  </si>
  <si>
    <t xml:space="preserve">Visual standardization</t>
  </si>
  <si>
    <t xml:space="preserve">Selects and stabilizes one recognizable appearance from multiple textual, regional, historical, or artistic possibilities.</t>
  </si>
  <si>
    <t xml:space="preserve">Syncretism</t>
  </si>
  <si>
    <t xml:space="preserve">Combines concepts from distinct traditions or textual layers into a new composite presentation.</t>
  </si>
  <si>
    <t xml:space="preserve">Decontextualization</t>
  </si>
  <si>
    <t xml:space="preserve">Retains a name, image, or ability while removing much of its original social, ritual, narrative, or cosmological context.</t>
  </si>
  <si>
    <t xml:space="preserve">Recombination</t>
  </si>
  <si>
    <t xml:space="preserve">Separates and reassembles source elements into new characters, factions, lineages, powers, or stories.</t>
  </si>
  <si>
    <t xml:space="preserve">Deliberately reverses a source concept's expected moral, social, metaphysical, or narrative position.</t>
  </si>
  <si>
    <t xml:space="preserve">Secularization</t>
  </si>
  <si>
    <t xml:space="preserve">Reframes a religious, sacred, or ritual concept as nonreligious biology, psychology, technology, or neutral magic.</t>
  </si>
  <si>
    <t xml:space="preserve">Invented tradition</t>
  </si>
  <si>
    <t xml:space="preserve">Presents a newly created rule, genealogy, category, or practice using the authority or aesthetics of an older tradition.</t>
  </si>
  <si>
    <t xml:space="preserve">Temporal compression</t>
  </si>
  <si>
    <t xml:space="preserve">Collapses multiple eras, textual layers, dynasties, or narrative phases into one simultaneous setting.</t>
  </si>
  <si>
    <t xml:space="preserve">Spatial abstraction</t>
  </si>
  <si>
    <t xml:space="preserve">Converts sacred, historical, cosmological, or relational geography into a map node, biome, level, or traversable zone.</t>
  </si>
  <si>
    <t xml:space="preserve">Decomposition</t>
  </si>
  <si>
    <t xml:space="preserve">Splits one source concept into multiple classes, units, resources, abilities, or character traits.</t>
  </si>
  <si>
    <t xml:space="preserve">Reproducibility conversion</t>
  </si>
  <si>
    <t xml:space="preserve">Turns a unique event, person, gift, or miracle into something repeatable by multiple players, units, or builds.</t>
  </si>
  <si>
    <t xml:space="preserve">Standardization</t>
  </si>
  <si>
    <t xml:space="preserve">Normalizes variable, local, or historically changing material into a uniform rule or category.</t>
  </si>
  <si>
    <t xml:space="preserve">Novelty_Classification</t>
  </si>
  <si>
    <t xml:space="preserve">New domain</t>
  </si>
  <si>
    <t xml:space="preserve">Requires a new top-level analytical domain because the concept cannot be represented adequately by existing domains.</t>
  </si>
  <si>
    <t xml:space="preserve">Use in Term Metadata, Source Priority, and research decisions.</t>
  </si>
  <si>
    <t xml:space="preserve">New core family</t>
  </si>
  <si>
    <t xml:space="preserve">Introduces a reusable archetype family not already represented in the normalized taxonomy.</t>
  </si>
  <si>
    <t xml:space="preserve">New subtype / source-specific refinement</t>
  </si>
  <si>
    <t xml:space="preserve">Adds a meaningful subtype, distinction, or boundary within an existing family.</t>
  </si>
  <si>
    <t xml:space="preserve">Counterexample</t>
  </si>
  <si>
    <t xml:space="preserve">Shows that a broad archetype definition or stereotype is too narrow, culturally specific, or misleading.</t>
  </si>
  <si>
    <t xml:space="preserve">Adaptation transformation</t>
  </si>
  <si>
    <t xml:space="preserve">Adds value chiefly by showing how another source is changed across media, mechanics, or continuity.</t>
  </si>
  <si>
    <t xml:space="preserve">Representative example</t>
  </si>
  <si>
    <t xml:space="preserve">Provides a clear source-specific instance of an existing family without materially expanding the taxonomy.</t>
  </si>
  <si>
    <t xml:space="preserve">Redundant / sample only</t>
  </si>
  <si>
    <t xml:space="preserve">Repeats well-covered patterns and warrants only selective sampling unless unusually influential.</t>
  </si>
  <si>
    <t xml:space="preserve">Tradition_Status</t>
  </si>
  <si>
    <t xml:space="preserve">Living sacred/religious tradition</t>
  </si>
  <si>
    <t xml:space="preserve">A concept or practice that remains part of living religious, ritual, or community traditions.</t>
  </si>
  <si>
    <t xml:space="preserve">Use to set sourcing and cultural-caution requirements.</t>
  </si>
  <si>
    <t xml:space="preserve">Historical religious tradition</t>
  </si>
  <si>
    <t xml:space="preserve">A religious or ritual tradition studied principally through historical, archaeological, or textual evidence.</t>
  </si>
  <si>
    <t xml:space="preserve">Epic / sacred literary tradition</t>
  </si>
  <si>
    <t xml:space="preserve">A layered literary, recitational, commentarial, or sacred corpus with continuing interpretation.</t>
  </si>
  <si>
    <t xml:space="preserve">Folklore / oral tradition</t>
  </si>
  <si>
    <t xml:space="preserve">A tradition transmitted through oral performance, customary practice, local narrative, or community memory.</t>
  </si>
  <si>
    <t xml:space="preserve">Commercial adaptation</t>
  </si>
  <si>
    <t xml:space="preserve">A modern published adaptation produced for literature, film, television, games, manga, anime, or related media.</t>
  </si>
  <si>
    <t xml:space="preserve">Modern genre convention</t>
  </si>
  <si>
    <t xml:space="preserve">A recurrent convention circulating across modern fantasy rather than belonging to one source tradition.</t>
  </si>
  <si>
    <t xml:space="preserve">Composite / disputed</t>
  </si>
  <si>
    <t xml:space="preserve">A record whose boundaries, provenance, status, or classification remain contested or intentionally composite.</t>
  </si>
  <si>
    <t xml:space="preserve">Priority_Score</t>
  </si>
  <si>
    <t xml:space="preserve">0 — None</t>
  </si>
  <si>
    <t xml:space="preserve">No contribution or no redundancy, depending on the scored field.</t>
  </si>
  <si>
    <t xml:space="preserve">Apply consistently across Source Priority's seven positive criteria and redundancy penalty.</t>
  </si>
  <si>
    <t xml:space="preserve">1 — Very low</t>
  </si>
  <si>
    <t xml:space="preserve">Minimal contribution on this criterion.</t>
  </si>
  <si>
    <t xml:space="preserve">2 — Low</t>
  </si>
  <si>
    <t xml:space="preserve">Limited contribution on this criterion.</t>
  </si>
  <si>
    <t xml:space="preserve">3 — Moderate</t>
  </si>
  <si>
    <t xml:space="preserve">Meaningful but not exceptional contribution.</t>
  </si>
  <si>
    <t xml:space="preserve">4 — High</t>
  </si>
  <si>
    <t xml:space="preserve">Strong contribution that materially improves coverage.</t>
  </si>
  <si>
    <t xml:space="preserve">5 — Very high</t>
  </si>
  <si>
    <t xml:space="preserve">Foundational or unusually distinctive contribution.</t>
  </si>
  <si>
    <t xml:space="preserve">Relation</t>
  </si>
  <si>
    <t xml:space="preserve">Directionality</t>
  </si>
  <si>
    <t xml:space="preserve">Scope</t>
  </si>
  <si>
    <t xml:space="preserve">Use_When</t>
  </si>
  <si>
    <t xml:space="preserve">Do_Not_Use_When</t>
  </si>
  <si>
    <t xml:space="preserve">Example</t>
  </si>
  <si>
    <t xml:space="preserve">Symmetric</t>
  </si>
  <si>
    <t xml:space="preserve">Same continuity</t>
  </si>
  <si>
    <t xml:space="preserve">Use when two names denote the same entity, people, office, or concept.</t>
  </si>
  <si>
    <t xml:space="preserve">Do not use for translations that change the underlying concept.</t>
  </si>
  <si>
    <t xml:space="preserve">Quendi ↔ Elves within a specified Tolkien context.</t>
  </si>
  <si>
    <t xml:space="preserve">Cross-setting</t>
  </si>
  <si>
    <t xml:space="preserve">Use only when ontology, function, power basis, and narrative role align.</t>
  </si>
  <si>
    <t xml:space="preserve">Do not use merely because two concepts share a label.</t>
  </si>
  <si>
    <t xml:space="preserve">Rare; most cross-setting links should be partial or functional.</t>
  </si>
  <si>
    <t xml:space="preserve">Directed</t>
  </si>
  <si>
    <t xml:space="preserve">Within or across taxonomies</t>
  </si>
  <si>
    <t xml:space="preserve">Use for a narrower normalized or canonical category.</t>
  </si>
  <si>
    <t xml:space="preserve">Do not confuse with member-of an organization.</t>
  </si>
  <si>
    <t xml:space="preserve">Higher vampire subtype-of source vampire taxonomy.</t>
  </si>
  <si>
    <t xml:space="preserve">Institutional / social</t>
  </si>
  <si>
    <t xml:space="preserve">Use for membership in a school, order, faction, people, or party.</t>
  </si>
  <si>
    <t xml:space="preserve">Do not use when the relation is transformation or ancestry.</t>
  </si>
  <si>
    <t xml:space="preserve">A witcher member-of a witcher school.</t>
  </si>
  <si>
    <t xml:space="preserve">Edition / adaptation</t>
  </si>
  <si>
    <t xml:space="preserve">Use for materially divergent rules editions or portrayals.</t>
  </si>
  <si>
    <t xml:space="preserve">Do not merge versioned entries when powers or ontology change.</t>
  </si>
  <si>
    <t xml:space="preserve">Game-continuity Wild Hunt version-of franchise concept.</t>
  </si>
  <si>
    <t xml:space="preserve">Cross-media</t>
  </si>
  <si>
    <t xml:space="preserve">Use where a film, game, anime, or series adapts a specific source.</t>
  </si>
  <si>
    <t xml:space="preserve">Do not imply fidelity; record divergences separately.</t>
  </si>
  <si>
    <t xml:space="preserve">Television continuity adaptation-of novel continuity.</t>
  </si>
  <si>
    <t xml:space="preserve">Historical influence</t>
  </si>
  <si>
    <t xml:space="preserve">Use only with documented or strongly evidenced influence.</t>
  </si>
  <si>
    <t xml:space="preserve">Do not infer influence from resemblance alone.</t>
  </si>
  <si>
    <t xml:space="preserve">Later halfling tradition inspired-by Tolkienian hobbits, where documented.</t>
  </si>
  <si>
    <t xml:space="preserve">Comparative</t>
  </si>
  <si>
    <t xml:space="preserve">Use when several major dimensions align but the concepts remain distinct.</t>
  </si>
  <si>
    <t xml:space="preserve">Do not erase source-specific metaphysics.</t>
  </si>
  <si>
    <t xml:space="preserve">Two learned court-mage institutions with different cosmologies.</t>
  </si>
  <si>
    <t xml:space="preserve">Use when one or two dimensions align.</t>
  </si>
  <si>
    <t xml:space="preserve">Always name the shared axis in notes.</t>
  </si>
  <si>
    <t xml:space="preserve">Others partial analogue to ice-fae on effect and narrative threat.</t>
  </si>
  <si>
    <t xml:space="preserve">Narrative / social</t>
  </si>
  <si>
    <t xml:space="preserve">Use when roles are similar despite different powers or origins.</t>
  </si>
  <si>
    <t xml:space="preserve">Do not imply common ancestry or influence.</t>
  </si>
  <si>
    <t xml:space="preserve">Night's Watch functional analogue to a frontier monster-guard order.</t>
  </si>
  <si>
    <t xml:space="preserve">Game mechanics</t>
  </si>
  <si>
    <t xml:space="preserve">Use for shared combat or progression roles.</t>
  </si>
  <si>
    <t xml:space="preserve">Keep mechanics separate from in-world profession.</t>
  </si>
  <si>
    <t xml:space="preserve">Knight mechanical analogue to tank/defender.</t>
  </si>
  <si>
    <t xml:space="preserve">Iconography</t>
  </si>
  <si>
    <t xml:space="preserve">Use only to document appearance-driven comparison.</t>
  </si>
  <si>
    <t xml:space="preserve">Never treat appearance as proof of ontology.</t>
  </si>
  <si>
    <t xml:space="preserve">Horned people visually analogous to demons but canonically mortal.</t>
  </si>
  <si>
    <t xml:space="preserve">Critical analysis</t>
  </si>
  <si>
    <t xml:space="preserve">Use for conscious reversal, critique, or defamiliarization.</t>
  </si>
  <si>
    <t xml:space="preserve">Support with textual evidence rather than reader impression alone.</t>
  </si>
  <si>
    <t xml:space="preserve">A benevolent necromancer inversion of the tyrannical death-mage pattern.</t>
  </si>
  <si>
    <t xml:space="preserve">Normalized taxonomy</t>
  </si>
  <si>
    <t xml:space="preserve">Use for concepts combining multiple role or being families.</t>
  </si>
  <si>
    <t xml:space="preserve">List each component and explain whether synthesis is canonical or analytic.</t>
  </si>
  <si>
    <t xml:space="preserve">Spellblade hybrid-of warrior and learned caster.</t>
  </si>
  <si>
    <t xml:space="preserve">Temporal / ontological</t>
  </si>
  <si>
    <t xml:space="preserve">Use for state changes over a character or people's history.</t>
  </si>
  <si>
    <t xml:space="preserve">Do not replace the original ancestry record.</t>
  </si>
  <si>
    <t xml:space="preserve">Human transformed-into vampire.</t>
  </si>
  <si>
    <t xml:space="preserve">Quality control</t>
  </si>
  <si>
    <t xml:space="preserve">Use to flag recurring category errors.</t>
  </si>
  <si>
    <t xml:space="preserve">Pair with a distinction note.</t>
  </si>
  <si>
    <t xml:space="preserve">Witcher frequently confused-with generic ranger.</t>
  </si>
  <si>
    <t xml:space="preserve">Symmetric or directed</t>
  </si>
  <si>
    <t xml:space="preserve">Scholarly caution</t>
  </si>
  <si>
    <t xml:space="preserve">Use when canon is contradictory, incomplete, or version-dependent.</t>
  </si>
  <si>
    <t xml:space="preserve">Do not silently choose one fan theory.</t>
  </si>
  <si>
    <t xml:space="preserve">Orc origins in Tolkien's evolving texts.</t>
  </si>
  <si>
    <t xml:space="preserve">Represented-as</t>
  </si>
  <si>
    <t xml:space="preserve">Concept-to-media form</t>
  </si>
  <si>
    <t xml:space="preserve">Use when a source concept is rendered as a class, unit, resource, item, faction, scene, visual motif, or other target-media form.</t>
  </si>
  <si>
    <t xml:space="preserve">Do not imply that the representation preserves the concept's ontology or meaning.</t>
  </si>
  <si>
    <t xml:space="preserve">A traditional divine intervention represented-as a player-activated god power.</t>
  </si>
  <si>
    <t xml:space="preserve">Mechanized-as</t>
  </si>
  <si>
    <t xml:space="preserve">Adaptation / game mechanics</t>
  </si>
  <si>
    <t xml:space="preserve">Use when narrative, ritual, divine, social, or metaphysical agency is converted into a repeatable rule or procedure.</t>
  </si>
  <si>
    <t xml:space="preserve">Do not use for a merely visual or thematic resemblance.</t>
  </si>
  <si>
    <t xml:space="preserve">A vow-bound limitation mechanized-as a conditional bonus and penalty.</t>
  </si>
  <si>
    <t xml:space="preserve">Factionalized-as</t>
  </si>
  <si>
    <t xml:space="preserve">Adaptation / strategy and collection systems</t>
  </si>
  <si>
    <t xml:space="preserve">Use when a deity, culture, people, tradition, or institution becomes a selectable faction with standardized boundaries and bonuses.</t>
  </si>
  <si>
    <t xml:space="preserve">Do not treat the faction roster as an ethnographic or theological taxonomy.</t>
  </si>
  <si>
    <t xml:space="preserve">A pantheon factionalized-as a civilization choice and branching technology tree.</t>
  </si>
  <si>
    <t xml:space="preserve">Unitized-as</t>
  </si>
  <si>
    <t xml:space="preserve">Use when a unique, local, ambivalent, or socially embedded being becomes a repeatable recruitable or hostile unit.</t>
  </si>
  <si>
    <t xml:space="preserve">Do not infer that the traditional source described a reproducible species or army role.</t>
  </si>
  <si>
    <t xml:space="preserve">A named or locally specific being unitized-as a trainable myth unit.</t>
  </si>
  <si>
    <t xml:space="preserve">Decontextualized-as</t>
  </si>
  <si>
    <t xml:space="preserve">Adaptation / critical analysis</t>
  </si>
  <si>
    <t xml:space="preserve">Use when an adaptation retains a name, image, or ability while removing substantial ritual, social, historical, or cosmological context.</t>
  </si>
  <si>
    <t xml:space="preserve">Do not use as a moral judgment without naming the specific context that changed or disappeared.</t>
  </si>
  <si>
    <t xml:space="preserve">A sacred object decontextualized-as a generic equippable relic bonus.</t>
  </si>
  <si>
    <t xml:space="preserve">Taxonomy Domain</t>
  </si>
  <si>
    <t xml:space="preserve">Count</t>
  </si>
  <si>
    <t xml:space="preserve">Source Medium</t>
  </si>
  <si>
    <t xml:space="preserve">Evidence Level</t>
  </si>
  <si>
    <t xml:space="preserve">Seed Source</t>
  </si>
  <si>
    <t xml:space="preserve">Entries</t>
  </si>
  <si>
    <t xml:space="preserve">Visual summaries</t>
  </si>
  <si>
    <t xml:space="preserve">Sheet</t>
  </si>
  <si>
    <t xml:space="preserve">Field</t>
  </si>
  <si>
    <t xml:space="preserve">Data_Type</t>
  </si>
  <si>
    <t xml:space="preserve">Required</t>
  </si>
  <si>
    <t xml:space="preserve">Guidance</t>
  </si>
  <si>
    <t xml:space="preserve">Master Taxonomy</t>
  </si>
  <si>
    <t xml:space="preserve">Text / key</t>
  </si>
  <si>
    <t xml:space="preserve">Yes</t>
  </si>
  <si>
    <t xml:space="preserve">Stable normalized identifier.</t>
  </si>
  <si>
    <t xml:space="preserve">Prefix indicates domain, including ART (artifacts), COS (cosmology), and LAW (metaphysical laws); never reuse retired IDs.</t>
  </si>
  <si>
    <t xml:space="preserve">Text</t>
  </si>
  <si>
    <t xml:space="preserve">Human-readable normalized archetype label.</t>
  </si>
  <si>
    <t xml:space="preserve">Use comparative language such as '-derived' where exact equivalence is unsafe.</t>
  </si>
  <si>
    <t xml:space="preserve">Controlled text</t>
  </si>
  <si>
    <t xml:space="preserve">One of the eleven top-level analytical domains.</t>
  </si>
  <si>
    <t xml:space="preserve">See Controlled Vocab and Start Here.</t>
  </si>
  <si>
    <t xml:space="preserve">Text / foreign key</t>
  </si>
  <si>
    <t xml:space="preserve">No for roots</t>
  </si>
  <si>
    <t xml:space="preserve">Immediate parent in the normalized hierarchy.</t>
  </si>
  <si>
    <t xml:space="preserve">Must reference an Archetype_ID or remain blank for root records.</t>
  </si>
  <si>
    <t xml:space="preserve">Integer</t>
  </si>
  <si>
    <t xml:space="preserve">Hierarchy depth, with 1 as a domain root.</t>
  </si>
  <si>
    <t xml:space="preserve">Used for navigation, not importance.</t>
  </si>
  <si>
    <t xml:space="preserve">Long text</t>
  </si>
  <si>
    <t xml:space="preserve">Minimal inclusion rule for the archetype.</t>
  </si>
  <si>
    <t xml:space="preserve">Define by ontology/function, not by a franchise example.</t>
  </si>
  <si>
    <t xml:space="preserve">Boundaries against neighboring or commonly confused concepts.</t>
  </si>
  <si>
    <t xml:space="preserve">Record what the category excludes.</t>
  </si>
  <si>
    <t xml:space="preserve">No</t>
  </si>
  <si>
    <t xml:space="preserve">Recurring subforms, presentations, or implementations.</t>
  </si>
  <si>
    <t xml:space="preserve">Separate variants with semicolons.</t>
  </si>
  <si>
    <t xml:space="preserve">Frequent social, narrative, combat, or mechanical functions.</t>
  </si>
  <si>
    <t xml:space="preserve">Descriptive, not essential or morally deterministic.</t>
  </si>
  <si>
    <t xml:space="preserve">Common labels encountered across sources.</t>
  </si>
  <si>
    <t xml:space="preserve">Terms are examples, not automatic synonyms.</t>
  </si>
  <si>
    <t xml:space="preserve">Risk of flattening living, historical, or culture-specific traditions.</t>
  </si>
  <si>
    <t xml:space="preserve">Use especially for religious, folkloric, and non-Western categories.</t>
  </si>
  <si>
    <t xml:space="preserve">Maintenance status of the normalized record.</t>
  </si>
  <si>
    <t xml:space="preserve">Most stable taxonomy records are Framework core.</t>
  </si>
  <si>
    <t xml:space="preserve">Source Corpus</t>
  </si>
  <si>
    <t xml:space="preserve">Stable identifier for a source, franchise, or continuity unit.</t>
  </si>
  <si>
    <t xml:space="preserve">Do not reuse IDs when a source is split.</t>
  </si>
  <si>
    <t xml:space="preserve">Canonical title or useful franchise label.</t>
  </si>
  <si>
    <t xml:space="preserve">Use a specific work where taxonomy differs by installment.</t>
  </si>
  <si>
    <t xml:space="preserve">Author, creator, studio, publisher, or rights-bearing production entity.</t>
  </si>
  <si>
    <t xml:space="preserve">Record multiple contributors where needed.</t>
  </si>
  <si>
    <t xml:space="preserve">Controlled / descriptive text</t>
  </si>
  <si>
    <t xml:space="preserve">Primary medium or cross-media classification.</t>
  </si>
  <si>
    <t xml:space="preserve">Preserve hybrid forms such as Manga / Anime.</t>
  </si>
  <si>
    <t xml:space="preserve">Broad cultural, linguistic, or industry context.</t>
  </si>
  <si>
    <t xml:space="preserve">Do not treat region as a substitute for close cultural analysis.</t>
  </si>
  <si>
    <t xml:space="preserve">Text / year</t>
  </si>
  <si>
    <t xml:space="preserve">Earliest relevant publication or release date.</t>
  </si>
  <si>
    <t xml:space="preserve">May be a year, range, or traditional/ancient designation.</t>
  </si>
  <si>
    <t xml:space="preserve">The level at which records should be separated.</t>
  </si>
  <si>
    <t xml:space="preserve">Examples: literary corpus, game edition, film trilogy, live-service current build.</t>
  </si>
  <si>
    <t xml:space="preserve">Research order and influence/coverage priority.</t>
  </si>
  <si>
    <t xml:space="preserve">Core, Major, Representative, Specialist, or Reference Layer.</t>
  </si>
  <si>
    <t xml:space="preserve">Why the source matters to the comparative taxonomy.</t>
  </si>
  <si>
    <t xml:space="preserve">Focus on archetypal or structural contribution.</t>
  </si>
  <si>
    <t xml:space="preserve">Inclusions, exclusions, adaptations, and version caveats.</t>
  </si>
  <si>
    <t xml:space="preserve">State when a franchise is not one continuity.</t>
  </si>
  <si>
    <t xml:space="preserve">URL</t>
  </si>
  <si>
    <t xml:space="preserve">Official or orientation reference link.</t>
  </si>
  <si>
    <t xml:space="preserve">Primary/official sources should replace orientation links during verification.</t>
  </si>
  <si>
    <t xml:space="preserve">Inclusion status in this edition.</t>
  </si>
  <si>
    <t xml:space="preserve">Included, Research queue, or Deferred.</t>
  </si>
  <si>
    <t xml:space="preserve">Seed Catalogue</t>
  </si>
  <si>
    <t xml:space="preserve">Stable identifier for a source-specific catalogue entry.</t>
  </si>
  <si>
    <t xml:space="preserve">One record per materially distinct continuity concept.</t>
  </si>
  <si>
    <t xml:space="preserve">Exact source-facing name or carefully labeled umbrella.</t>
  </si>
  <si>
    <t xml:space="preserve">Preserve diacritics and source capitalization where possible.</t>
  </si>
  <si>
    <t xml:space="preserve">Foreign key</t>
  </si>
  <si>
    <t xml:space="preserve">Link to Source Corpus.</t>
  </si>
  <si>
    <t xml:space="preserve">Must match Source_ID.</t>
  </si>
  <si>
    <t xml:space="preserve">Denormalized title for readability.</t>
  </si>
  <si>
    <t xml:space="preserve">Should match the linked source record.</t>
  </si>
  <si>
    <t xml:space="preserve">Specific edition, adaptation, era, or continuity.</t>
  </si>
  <si>
    <t xml:space="preserve">Version-stamp live-service games.</t>
  </si>
  <si>
    <t xml:space="preserve">What the source concept actually is.</t>
  </si>
  <si>
    <t xml:space="preserve">Do not force all entries into race/class.</t>
  </si>
  <si>
    <t xml:space="preserve">Best normalized crosswalk.</t>
  </si>
  <si>
    <t xml:space="preserve">Must match Master Taxonomy.</t>
  </si>
  <si>
    <t xml:space="preserve">Delimited foreign keys</t>
  </si>
  <si>
    <t xml:space="preserve">Other relevant normalized axes.</t>
  </si>
  <si>
    <t xml:space="preserve">Semicolon-delimited; does not imply exact equivalence.</t>
  </si>
  <si>
    <t xml:space="preserve">Source-faithful description.</t>
  </si>
  <si>
    <t xml:space="preserve">Avoid unmarked fan theories.</t>
  </si>
  <si>
    <t xml:space="preserve">How abilities, authority, or identity are obtained.</t>
  </si>
  <si>
    <t xml:space="preserve">Distinguish power source from visible effects.</t>
  </si>
  <si>
    <t xml:space="preserve">Most important reason not to collapse the entry into its normalized family.</t>
  </si>
  <si>
    <t xml:space="preserve">This field protects source specificity.</t>
  </si>
  <si>
    <t xml:space="preserve">Reusable analytical interpretation.</t>
  </si>
  <si>
    <t xml:space="preserve">Name the relevant axis: ontology, function, mechanics, narrative, or iconography.</t>
  </si>
  <si>
    <t xml:space="preserve">Status within the specified continuity.</t>
  </si>
  <si>
    <t xml:space="preserve">See Controlled Vocab.</t>
  </si>
  <si>
    <t xml:space="preserve">Degree of direct source review.</t>
  </si>
  <si>
    <t xml:space="preserve">Book, rules page, game codex, episode, or review note.</t>
  </si>
  <si>
    <t xml:space="preserve">Replace generic corpus notes with precise citations in deep passes.</t>
  </si>
  <si>
    <t xml:space="preserve">Link supporting orientation or verification.</t>
  </si>
  <si>
    <t xml:space="preserve">Prefer official sources.</t>
  </si>
  <si>
    <t xml:space="preserve">Workflow status.</t>
  </si>
  <si>
    <t xml:space="preserve">Seeded does not mean every detail has completed line-level citation review.</t>
  </si>
  <si>
    <t xml:space="preserve">Controlled Vocab</t>
  </si>
  <si>
    <t xml:space="preserve">Name of the controlled vocabulary.</t>
  </si>
  <si>
    <t xml:space="preserve">Use exact axis spelling.</t>
  </si>
  <si>
    <t xml:space="preserve">Permitted or recommended label.</t>
  </si>
  <si>
    <t xml:space="preserve">New values require governance review.</t>
  </si>
  <si>
    <t xml:space="preserve">Meaning of the value.</t>
  </si>
  <si>
    <t xml:space="preserve">Keep definitions mutually distinguishable.</t>
  </si>
  <si>
    <t xml:space="preserve">Application guidance.</t>
  </si>
  <si>
    <t xml:space="preserve">May include caution or multiplicity rules.</t>
  </si>
  <si>
    <t xml:space="preserve">Relationship Rules</t>
  </si>
  <si>
    <t xml:space="preserve">Relationship label used in cross-setting links.</t>
  </si>
  <si>
    <t xml:space="preserve">Prefer specific relations over generic similarity.</t>
  </si>
  <si>
    <t xml:space="preserve">Symmetric or directed.</t>
  </si>
  <si>
    <t xml:space="preserve">Directed relationships require subject and object ordering.</t>
  </si>
  <si>
    <t xml:space="preserve">Where the relationship applies.</t>
  </si>
  <si>
    <t xml:space="preserve">Examples: within continuity, cross-setting, adaptation, mechanics.</t>
  </si>
  <si>
    <t xml:space="preserve">Positive inclusion rule.</t>
  </si>
  <si>
    <t xml:space="preserve">Apply only when evidence supports the stated dimension.</t>
  </si>
  <si>
    <t xml:space="preserve">Common misuse.</t>
  </si>
  <si>
    <t xml:space="preserve">Protect against false equivalence.</t>
  </si>
  <si>
    <t xml:space="preserve">Illustrative application.</t>
  </si>
  <si>
    <t xml:space="preserve">Examples are explanatory, not exhaustive.</t>
  </si>
  <si>
    <t xml:space="preserve">Formula / lookup</t>
  </si>
  <si>
    <t xml:space="preserve">Human-readable name of Parent_ID.</t>
  </si>
  <si>
    <t xml:space="preserve">Calculated with VLOOKUP from Master Taxonomy; do not hand-edit.</t>
  </si>
  <si>
    <t xml:space="preserve">Human-readable normalized name linked from Primary_Archetype_ID.</t>
  </si>
  <si>
    <t xml:space="preserve">Calculated with VLOOKUP from Master Taxonomy.</t>
  </si>
  <si>
    <t xml:space="preserve">Denormalized text</t>
  </si>
  <si>
    <t xml:space="preserve">Human-readable names corresponding to Additional_Archetype_IDs.</t>
  </si>
  <si>
    <t xml:space="preserve">Regenerate after ID changes to prevent drift.</t>
  </si>
  <si>
    <t xml:space="preserve">Baseline_Rank</t>
  </si>
  <si>
    <t xml:space="preserve">Rank generated from the current weighted baseline score before editorial overrides or future rescoring.</t>
  </si>
  <si>
    <t xml:space="preserve">Treat as a navigation aid, not a permanent canonical order.</t>
  </si>
  <si>
    <t xml:space="preserve">Stable identifier linking to Source Corpus.</t>
  </si>
  <si>
    <t xml:space="preserve">Must match Source Corpus.Source_ID.</t>
  </si>
  <si>
    <t xml:space="preserve">Human-readable title copied from Source Corpus.</t>
  </si>
  <si>
    <t xml:space="preserve">Refresh after source-title changes.</t>
  </si>
  <si>
    <t xml:space="preserve">Controlled / source text</t>
  </si>
  <si>
    <t xml:space="preserve">Medium or source form used for broad comparison.</t>
  </si>
  <si>
    <t xml:space="preserve">Retain the more specific Source Corpus wording.</t>
  </si>
  <si>
    <t xml:space="preserve">Regional, linguistic, cultural, or genre context.</t>
  </si>
  <si>
    <t xml:space="preserve">Avoid continent-level generalization where a more precise tradition is known.</t>
  </si>
  <si>
    <t xml:space="preserve">Existing_Seed_Entries</t>
  </si>
  <si>
    <t xml:space="preserve">Formula / count</t>
  </si>
  <si>
    <t xml:space="preserve">Number of Seed Catalogue records currently linked to this source.</t>
  </si>
  <si>
    <t xml:space="preserve">Calculated from Seed Catalogue.Source_ID.</t>
  </si>
  <si>
    <t xml:space="preserve">Archetype_Novelty</t>
  </si>
  <si>
    <t xml:space="preserve">Integer 1–5</t>
  </si>
  <si>
    <t xml:space="preserve">Degree to which the source contributes new reusable archetypes or material distinctions.</t>
  </si>
  <si>
    <t xml:space="preserve">Use 5 only for unusually generative or foundational material.</t>
  </si>
  <si>
    <t xml:space="preserve">Domain_Breadth</t>
  </si>
  <si>
    <t xml:space="preserve">Number and richness of analytical domains the source can materially expand.</t>
  </si>
  <si>
    <t xml:space="preserve">Breadth is not raw entry count.</t>
  </si>
  <si>
    <t xml:space="preserve">Coverage_Gap_Value</t>
  </si>
  <si>
    <t xml:space="preserve">Value for correcting an underrepresented tradition, worldview, medium, or conceptual model.</t>
  </si>
  <si>
    <t xml:space="preserve">Score coverage need separately from perceived familiarity or popularity.</t>
  </si>
  <si>
    <t xml:space="preserve">Historical_Influence</t>
  </si>
  <si>
    <t xml:space="preserve">Documented or strongly established influence on later traditions or media.</t>
  </si>
  <si>
    <t xml:space="preserve">Do not infer direct influence solely from similarity.</t>
  </si>
  <si>
    <t xml:space="preserve">Conceptual_Depth</t>
  </si>
  <si>
    <t xml:space="preserve">Internal richness of cosmology, institutions, social relations, narrative structures, and metaphysical rules.</t>
  </si>
  <si>
    <t xml:space="preserve">Depth can be high even when few entries are needed.</t>
  </si>
  <si>
    <t xml:space="preserve">Adaptation_Value</t>
  </si>
  <si>
    <t xml:space="preserve">Usefulness for studying transformation across media, rules, editions, or continuities.</t>
  </si>
  <si>
    <t xml:space="preserve">A derivative work may score highly here while scoring modestly on novelty.</t>
  </si>
  <si>
    <t xml:space="preserve">Source_Quality</t>
  </si>
  <si>
    <t xml:space="preserve">Availability and reliability of primary texts, critical editions, official materials, and strong scholarship.</t>
  </si>
  <si>
    <t xml:space="preserve">Score the attainable evidence base, not the tradition's worth.</t>
  </si>
  <si>
    <t xml:space="preserve">Redundancy_Penalty</t>
  </si>
  <si>
    <t xml:space="preserve">Integer 0–5</t>
  </si>
  <si>
    <t xml:space="preserve">Degree to which the source repeats patterns already well represented in the atlas.</t>
  </si>
  <si>
    <t xml:space="preserve">Apply conservatively; influence or distinctive execution may still justify coverage.</t>
  </si>
  <si>
    <t xml:space="preserve">Marginal_Value_Score</t>
  </si>
  <si>
    <t xml:space="preserve">Formula / number</t>
  </si>
  <si>
    <t xml:space="preserve">Weighted score combining novelty, breadth, gap value, influence, depth, adaptation value, source quality, and redundancy.</t>
  </si>
  <si>
    <t xml:space="preserve">Recalculate from the visible weight cells; do not type hardcoded totals.</t>
  </si>
  <si>
    <t xml:space="preserve">Recommended_Treatment</t>
  </si>
  <si>
    <t xml:space="preserve">Formula / controlled text</t>
  </si>
  <si>
    <t xml:space="preserve">Suggested research depth derived from threshold cells.</t>
  </si>
  <si>
    <t xml:space="preserve">Editorial judgment may override the formula with an explicit note.</t>
  </si>
  <si>
    <t xml:space="preserve">Editorial_Basis</t>
  </si>
  <si>
    <t xml:space="preserve">Reason the baseline scores were assigned or overridden.</t>
  </si>
  <si>
    <t xml:space="preserve">Distinguish heuristic assignment from a source-specific editorial review.</t>
  </si>
  <si>
    <t xml:space="preserve">Priority_Rationale</t>
  </si>
  <si>
    <t xml:space="preserve">Concise explanation of the source's marginal value and the principal research task.</t>
  </si>
  <si>
    <t xml:space="preserve">State the gap filled rather than merely praising importance.</t>
  </si>
  <si>
    <t xml:space="preserve">Current confidence and editorial state of the priority assessment.</t>
  </si>
  <si>
    <t xml:space="preserve">Priority scores require periodic review as the database grows.</t>
  </si>
  <si>
    <t xml:space="preserve">Orientation link to the best available official, primary, scholarly, or corpus-level source.</t>
  </si>
  <si>
    <t xml:space="preserve">Use more precise citations in source-specific records.</t>
  </si>
  <si>
    <t xml:space="preserve">Last_Reviewed</t>
  </si>
  <si>
    <t xml:space="preserve">Date</t>
  </si>
  <si>
    <t xml:space="preserve">Date on which the priority assessment was last reviewed.</t>
  </si>
  <si>
    <t xml:space="preserve">Use ISO-style dates in source data where possible.</t>
  </si>
  <si>
    <t xml:space="preserve">Term_ID</t>
  </si>
  <si>
    <t xml:space="preserve">Stable identifier for a language- and witness-sensitive terminology record.</t>
  </si>
  <si>
    <t xml:space="preserve">Never reuse a retired ID.</t>
  </si>
  <si>
    <t xml:space="preserve">Source_Entry_ID</t>
  </si>
  <si>
    <t xml:space="preserve">Seed Catalogue entry described by the terminology record.</t>
  </si>
  <si>
    <t xml:space="preserve">Must match Seed Catalogue.Entry_ID.</t>
  </si>
  <si>
    <t xml:space="preserve">Source Corpus record governing the terminology context.</t>
  </si>
  <si>
    <t xml:space="preserve">Canonical_Term</t>
  </si>
  <si>
    <t xml:space="preserve">Preferred display term for this source, witness, or layer.</t>
  </si>
  <si>
    <t xml:space="preserve">Preserve diacritics when reliable.</t>
  </si>
  <si>
    <t xml:space="preserve">Original_Language</t>
  </si>
  <si>
    <t xml:space="preserve">Language or language stage associated with the recorded term.</t>
  </si>
  <si>
    <t xml:space="preserve">Be specific when a source includes multiple languages.</t>
  </si>
  <si>
    <t xml:space="preserve">Original_Script</t>
  </si>
  <si>
    <t xml:space="preserve">Term written in the relevant original script.</t>
  </si>
  <si>
    <t xml:space="preserve">Leave blank rather than inventing an unverified spelling.</t>
  </si>
  <si>
    <t xml:space="preserve">Transliteration</t>
  </si>
  <si>
    <t xml:space="preserve">Romanization under a named or inferable transliteration system.</t>
  </si>
  <si>
    <t xml:space="preserve">Record the system in notes or Citation_Granularity where ambiguity matters.</t>
  </si>
  <si>
    <t xml:space="preserve">Literal_Gloss</t>
  </si>
  <si>
    <t xml:space="preserve">Cautious word-level gloss rather than a full cultural definition.</t>
  </si>
  <si>
    <t xml:space="preserve">Do not treat a literal gloss as an exhaustive translation.</t>
  </si>
  <si>
    <t xml:space="preserve">Period_or_Layer</t>
  </si>
  <si>
    <t xml:space="preserve">Textual, historical, redactional, edition, or adaptation layer.</t>
  </si>
  <si>
    <t xml:space="preserve">Use explicit uncertainty where dating or layering is disputed.</t>
  </si>
  <si>
    <t xml:space="preserve">Region_or_Tradition</t>
  </si>
  <si>
    <t xml:space="preserve">Specific regional, textual, religious, performance, or interpretive tradition.</t>
  </si>
  <si>
    <t xml:space="preserve">Avoid flattening distinct traditions into a national or continental label.</t>
  </si>
  <si>
    <t xml:space="preserve">Textual_Witness</t>
  </si>
  <si>
    <t xml:space="preserve">Edition, manuscript family, translation, oral account, rules text, or adaptation witness reviewed.</t>
  </si>
  <si>
    <t xml:space="preserve">Cite the exact witness whenever practical.</t>
  </si>
  <si>
    <t xml:space="preserve">Whether the record concerns a living sacred tradition, historical religion, epic corpus, folklore, adaptation, convention, or disputed composite.</t>
  </si>
  <si>
    <t xml:space="preserve">Controls sourcing and cultural-caution expectations.</t>
  </si>
  <si>
    <t xml:space="preserve">Translation_Variants</t>
  </si>
  <si>
    <t xml:space="preserve">Competing, historical, official, or common English renderings.</t>
  </si>
  <si>
    <t xml:space="preserve">Separate variants and identify misleading equivalences.</t>
  </si>
  <si>
    <t xml:space="preserve">Sacred_Context_Caution</t>
  </si>
  <si>
    <t xml:space="preserve">Specific warning about reducing a sacred, living, or culturally embedded concept to a fantasy mechanic.</t>
  </si>
  <si>
    <t xml:space="preserve">Use concrete cautions rather than generic disclaimers.</t>
  </si>
  <si>
    <t xml:space="preserve">Research value of the term: new domain/family/subtype, counterexample, adaptation transformation, representative example, or redundant sample.</t>
  </si>
  <si>
    <t xml:space="preserve">A term can be important without requiring a new normalized family.</t>
  </si>
  <si>
    <t xml:space="preserve">Citation_Granularity</t>
  </si>
  <si>
    <t xml:space="preserve">Level at which evidence is currently recorded: corpus, volume, book, parva, chapter, verse, rules page, codex, and so forth.</t>
  </si>
  <si>
    <t xml:space="preserve">Increase granularity during deep passes.</t>
  </si>
  <si>
    <t xml:space="preserve">Orientation or access link to the cited witness or institutional source.</t>
  </si>
  <si>
    <t xml:space="preserve">Do not substitute a general URL for a precise textual citation when making detailed claims.</t>
  </si>
  <si>
    <t xml:space="preserve">Current editorial verification state.</t>
  </si>
  <si>
    <t xml:space="preserve">Use together with Seed Catalogue.Evidence_Level.</t>
  </si>
  <si>
    <t xml:space="preserve">Crosswalk_ID</t>
  </si>
  <si>
    <t xml:space="preserve">Stable identifier for a typed source-to-adaptation transformation record.</t>
  </si>
  <si>
    <t xml:space="preserve">Traditional_Source_ID</t>
  </si>
  <si>
    <t xml:space="preserve">No for general patterns</t>
  </si>
  <si>
    <t xml:space="preserve">Source Corpus record for the traditional, literary, historical, or earlier concept.</t>
  </si>
  <si>
    <t xml:space="preserve">May be blank for a deliberately generic adaptation operation; otherwise link to Source Corpus.</t>
  </si>
  <si>
    <t xml:space="preserve">Traditional_Concept</t>
  </si>
  <si>
    <t xml:space="preserve">Source-faithful concept prior to the adaptation operation.</t>
  </si>
  <si>
    <t xml:space="preserve">Use native terminology where the row is tradition-specific.</t>
  </si>
  <si>
    <t xml:space="preserve">Traditional_Record_Type</t>
  </si>
  <si>
    <t xml:space="preserve">Ontology, role, institution, object, event, law, place, or relationship in the earlier source.</t>
  </si>
  <si>
    <t xml:space="preserve">Do not assume every input is a creature or class.</t>
  </si>
  <si>
    <t xml:space="preserve">Adaptation_Source_ID</t>
  </si>
  <si>
    <t xml:space="preserve">Source Corpus record for the later adaptation.</t>
  </si>
  <si>
    <t xml:space="preserve">Adaptation_Title</t>
  </si>
  <si>
    <t xml:space="preserve">Human-readable title of the adaptation.</t>
  </si>
  <si>
    <t xml:space="preserve">Adapted_Concept</t>
  </si>
  <si>
    <t xml:space="preserve">Name or category used by the adaptation.</t>
  </si>
  <si>
    <t xml:space="preserve">Record edition, expansion, or continuity when material.</t>
  </si>
  <si>
    <t xml:space="preserve">Game_Form</t>
  </si>
  <si>
    <t xml:space="preserve">Class, unit, faction, resource, ability, technology, boss, item, building, or other adapted form.</t>
  </si>
  <si>
    <t xml:space="preserve">Despite the field name, non-game adaptations may describe an equivalent media form.</t>
  </si>
  <si>
    <t xml:space="preserve">Typed operation such as unitization, mechanization, factionalization, itemization, or decontextualization.</t>
  </si>
  <si>
    <t xml:space="preserve">Choose the most explanatory primary operation; discuss secondary operations in notes.</t>
  </si>
  <si>
    <t xml:space="preserve">Preserved_Dimension</t>
  </si>
  <si>
    <t xml:space="preserve">Names, images, relationships, functions, or meanings retained by the adaptation.</t>
  </si>
  <si>
    <t xml:space="preserve">State positive continuity before describing loss.</t>
  </si>
  <si>
    <t xml:space="preserve">Changed_or_Lost</t>
  </si>
  <si>
    <t xml:space="preserve">Context, ambiguity, plurality, social meaning, ritual status, ontology, or narrative function altered or omitted.</t>
  </si>
  <si>
    <t xml:space="preserve">Avoid implying that adaptation is inherently inferior; describe the operation.</t>
  </si>
  <si>
    <t xml:space="preserve">Mechanical_Function</t>
  </si>
  <si>
    <t xml:space="preserve">What the adapted concept does within the target medium's rules or structure.</t>
  </si>
  <si>
    <t xml:space="preserve">Use for games and other systematized media.</t>
  </si>
  <si>
    <t xml:space="preserve">Equivalence_Level</t>
  </si>
  <si>
    <t xml:space="preserve">Strength and type of analogy between the source concept and its adaptation form.</t>
  </si>
  <si>
    <t xml:space="preserve">Default to partial analogy unless evidence justifies a stronger claim.</t>
  </si>
  <si>
    <t xml:space="preserve">Quality of the reviewed evidence supporting the adaptation description.</t>
  </si>
  <si>
    <t xml:space="preserve">Apply the same claim discipline used in Seed Catalogue.</t>
  </si>
  <si>
    <t xml:space="preserve">Edition, text, official rules material, game guide, or source passage supporting the crosswalk.</t>
  </si>
  <si>
    <t xml:space="preserve">Cite both sides when the claim depends on source-specific detail.</t>
  </si>
  <si>
    <t xml:space="preserve">Orientation link to official or primary adaptation material.</t>
  </si>
  <si>
    <t xml:space="preserve">Supplement with tradition-side evidence for specific cross-cultural claims.</t>
  </si>
  <si>
    <t xml:space="preserve">Crosswalks are hypotheses requiring periodic review.</t>
  </si>
  <si>
    <t xml:space="preserve">Source Concept Map</t>
  </si>
  <si>
    <t xml:space="preserve">Concept_ID</t>
  </si>
  <si>
    <t xml:space="preserve">Stable orientation-concept identifier.</t>
  </si>
  <si>
    <t xml:space="preserve">Not a canonical source-entry ID.</t>
  </si>
  <si>
    <t xml:space="preserve">Orientation_Concept</t>
  </si>
  <si>
    <t xml:space="preserve">Contribution phrase from Source Corpus.</t>
  </si>
  <si>
    <t xml:space="preserve">Requires source-specific verification before promotion.</t>
  </si>
  <si>
    <t xml:space="preserve">Archetype_IDs</t>
  </si>
  <si>
    <t xml:space="preserve">One to three normalized comparison coordinates.</t>
  </si>
  <si>
    <t xml:space="preserve">Partial analogy only unless separately reviewed.</t>
  </si>
  <si>
    <t xml:space="preserve">Source Relationships</t>
  </si>
  <si>
    <t xml:space="preserve">Relationship</t>
  </si>
  <si>
    <t xml:space="preserve">Typed relation between two source records.</t>
  </si>
  <si>
    <t xml:space="preserve">Direction is From Source to To Source.</t>
  </si>
  <si>
    <t xml:space="preserve">Source Coverage Audit</t>
  </si>
  <si>
    <t xml:space="preserve">Canonical_Coverage_Status</t>
  </si>
  <si>
    <t xml:space="preserve">Progress against the tiered source-pass target.</t>
  </si>
  <si>
    <t xml:space="preserve">Never infer completion from corpus inclusion.</t>
  </si>
  <si>
    <t xml:space="preserve">Orientation_Coverage_Status</t>
  </si>
  <si>
    <t xml:space="preserve">Whether the source has navigation-level concept records.</t>
  </si>
  <si>
    <t xml:space="preserve">Orientation is not canonical verification.</t>
  </si>
  <si>
    <t xml:space="preserve">Queue_ID</t>
  </si>
  <si>
    <t xml:space="preserve">Workstream</t>
  </si>
  <si>
    <t xml:space="preserve">Goal</t>
  </si>
  <si>
    <t xml:space="preserve">Priority</t>
  </si>
  <si>
    <t xml:space="preserve">RQ-001</t>
  </si>
  <si>
    <t xml:space="preserve">Primary-citation deep pass</t>
  </si>
  <si>
    <t xml:space="preserve">Tolkien, ASOIAF, Witcher, Tactics Ogre</t>
  </si>
  <si>
    <t xml:space="preserve">Replace corpus-level references with book/chapter, rules page, codex, or in-game entry citations.</t>
  </si>
  <si>
    <t xml:space="preserve">High</t>
  </si>
  <si>
    <t xml:space="preserve">Open</t>
  </si>
  <si>
    <t xml:space="preserve">RQ-002</t>
  </si>
  <si>
    <t xml:space="preserve">Adaptation divergence</t>
  </si>
  <si>
    <t xml:space="preserve">Tolkien, ASOIAF, Witcher, Fullmetal Alchemist</t>
  </si>
  <si>
    <t xml:space="preserve">Create paired records where screen or game adaptations materially change ontology, powers, institutions, or terminology.</t>
  </si>
  <si>
    <t xml:space="preserve">RQ-003</t>
  </si>
  <si>
    <t xml:space="preserve">D&amp;D edition history</t>
  </si>
  <si>
    <t xml:space="preserve">Separate OD&amp;D, AD&amp;D, 3e, 4e, 5e-2014, and 5e-2024 class/species taxonomies.</t>
  </si>
  <si>
    <t xml:space="preserve">RQ-004</t>
  </si>
  <si>
    <t xml:space="preserve">Final Fantasy title matrix</t>
  </si>
  <si>
    <t xml:space="preserve">Record job appearance, meaning, and mechanics per numbered and tactical title rather than only recurring franchise patterns.</t>
  </si>
  <si>
    <t xml:space="preserve">RQ-005</t>
  </si>
  <si>
    <t xml:space="preserve">Live-service snapshots</t>
  </si>
  <si>
    <t xml:space="preserve">World of Warcraft, Final Fantasy XIV, Guild Wars 2</t>
  </si>
  <si>
    <t xml:space="preserve">Store dated snapshots for playable races, classes/jobs, and specialization structures.</t>
  </si>
  <si>
    <t xml:space="preserve">RQ-006</t>
  </si>
  <si>
    <t xml:space="preserve">Japanese folklore layer</t>
  </si>
  <si>
    <t xml:space="preserve">Mythology / folklore and Japanese media</t>
  </si>
  <si>
    <t xml:space="preserve">Separate yōkai, kami, onryō, oni, tengu, kitsune, tsukumogami, and modern media transformations using specialist sources.</t>
  </si>
  <si>
    <t xml:space="preserve">RQ-007</t>
  </si>
  <si>
    <t xml:space="preserve">Chinese cosmology and cultivation</t>
  </si>
  <si>
    <t xml:space="preserve">Xianxia, wuxia, xuanhuan</t>
  </si>
  <si>
    <t xml:space="preserve">Expand cultivation realms, sect roles, immortals, spirits, demons, alchemy, talismans, formations, and heavenly bureaucracy without treating all works as one system.</t>
  </si>
  <si>
    <t xml:space="preserve">RQ-008</t>
  </si>
  <si>
    <t xml:space="preserve">Korean fantasy ecosystems</t>
  </si>
  <si>
    <t xml:space="preserve">Manhwa, web novels, folklore</t>
  </si>
  <si>
    <t xml:space="preserve">Distinguish hunter/gate systems, constellations, regressors, murim traditions, dokkaebi, and indigenous mythic elements.</t>
  </si>
  <si>
    <t xml:space="preserve">Major</t>
  </si>
  <si>
    <t xml:space="preserve">RQ-009</t>
  </si>
  <si>
    <t xml:space="preserve">South Asian traditions</t>
  </si>
  <si>
    <t xml:space="preserve">Epic, puranic, folkloric, and modern fantasy</t>
  </si>
  <si>
    <t xml:space="preserve">Develop culturally specific records for yaksha, rakshasa, naga, gandharva, apsara, asura/deva relations, siddha, and modern reinterpretations.</t>
  </si>
  <si>
    <t xml:space="preserve">In progress — Version 2.0 Mahābhārata source-complex pass seeded</t>
  </si>
  <si>
    <t xml:space="preserve">RQ-010</t>
  </si>
  <si>
    <t xml:space="preserve">West Asian and Persian traditions</t>
  </si>
  <si>
    <t xml:space="preserve">Arabic, Persian, Turkic, and adjacent sources</t>
  </si>
  <si>
    <t xml:space="preserve">Separate jinn traditions, divs, peri, ghul, Simurgh, epic heroes, occult sciences, and modern fantasy adaptations.</t>
  </si>
  <si>
    <t xml:space="preserve">RQ-011</t>
  </si>
  <si>
    <t xml:space="preserve">African traditions</t>
  </si>
  <si>
    <t xml:space="preserve">Regional folklore, literature, games, screen media</t>
  </si>
  <si>
    <t xml:space="preserve">Build culture-specific—not continent-level—records with relevant scholarship and language-sensitive terminology.</t>
  </si>
  <si>
    <t xml:space="preserve">RQ-012</t>
  </si>
  <si>
    <t xml:space="preserve">Indigenous traditions</t>
  </si>
  <si>
    <t xml:space="preserve">Americas, Oceania, Arctic and other regions</t>
  </si>
  <si>
    <t xml:space="preserve">Include only with community-respectful sourcing; distinguish living sacred traditions from commercial fantasy borrowing.</t>
  </si>
  <si>
    <t xml:space="preserve">RQ-013</t>
  </si>
  <si>
    <t xml:space="preserve">Latin American fantasy</t>
  </si>
  <si>
    <t xml:space="preserve">Literature, comics, games, screen media</t>
  </si>
  <si>
    <t xml:space="preserve">Expand secondary-world, magical-realist-adjacent, folkloric, and Indigenous/colonial hybrid traditions without conflation.</t>
  </si>
  <si>
    <t xml:space="preserve">RQ-014</t>
  </si>
  <si>
    <t xml:space="preserve">Africanfuturist and science-fantasy boundary</t>
  </si>
  <si>
    <t xml:space="preserve">Add concepts where magic, cosmology, and technology produce genuinely hybrid archetypes.</t>
  </si>
  <si>
    <t xml:space="preserve">RQ-015</t>
  </si>
  <si>
    <t xml:space="preserve">Board and card game mechanics</t>
  </si>
  <si>
    <t xml:space="preserve">Magic: The Gathering and major board games</t>
  </si>
  <si>
    <t xml:space="preserve">Record faction colors, creature types, deck roles, asymmetric peoples, and scenario-specific classes.</t>
  </si>
  <si>
    <t xml:space="preserve">RQ-016</t>
  </si>
  <si>
    <t xml:space="preserve">Warhammer edition/faction split</t>
  </si>
  <si>
    <t xml:space="preserve">Warhammer Fantasy, The Old World, Age of Sigmar</t>
  </si>
  <si>
    <t xml:space="preserve">Separate continuities and track renamed or reinterpreted peoples and roles.</t>
  </si>
  <si>
    <t xml:space="preserve">RQ-017</t>
  </si>
  <si>
    <t xml:space="preserve">Monster taxonomy audit</t>
  </si>
  <si>
    <t xml:space="preserve">All sources</t>
  </si>
  <si>
    <t xml:space="preserve">Distinguish species, spirit, curse, transformed mortal, summoned construct, boss role, and moralized enemy label.</t>
  </si>
  <si>
    <t xml:space="preserve">RQ-018</t>
  </si>
  <si>
    <t xml:space="preserve">Narrative archetype corpus</t>
  </si>
  <si>
    <t xml:space="preserve">Literature, film, television, manga/anime</t>
  </si>
  <si>
    <t xml:space="preserve">Link character and plot archetypes to representative works using spoiler-level controls.</t>
  </si>
  <si>
    <t xml:space="preserve">RQ-019</t>
  </si>
  <si>
    <t xml:space="preserve">Translation terminology</t>
  </si>
  <si>
    <t xml:space="preserve">Translated literature, manga/anime, games</t>
  </si>
  <si>
    <t xml:space="preserve">Store original-language term, romanization, official translation, fan translation, and semantic notes.</t>
  </si>
  <si>
    <t xml:space="preserve">RQ-020</t>
  </si>
  <si>
    <t xml:space="preserve">Provenance and rights metadata</t>
  </si>
  <si>
    <t xml:space="preserve">Add citation granularity, publication/edition identifiers, quote limits, and rights-safe notes.</t>
  </si>
  <si>
    <t xml:space="preserve">RQ-021</t>
  </si>
  <si>
    <t xml:space="preserve">Mahābhārata witness and continuity pass</t>
  </si>
  <si>
    <t xml:space="preserve">BORI Critical Edition, Ganguli translation, Gītā layer, regional and vernacular traditions</t>
  </si>
  <si>
    <t xml:space="preserve">Replace corpus-level seed references with parva/chapter/verse citations; add explicit witness fields and parallel continuity records without privileging one layer as exhaustive.</t>
  </si>
  <si>
    <t xml:space="preserve">In progress — Version 2.0 source-complex pass seeded</t>
  </si>
  <si>
    <t xml:space="preserve">RQ-022</t>
  </si>
  <si>
    <t xml:space="preserve">Age of Mythology adaptation maintenance</t>
  </si>
  <si>
    <t xml:space="preserve">Age of Mythology: Retold and dated expansion snapshots</t>
  </si>
  <si>
    <t xml:space="preserve">Maintain a typed myth-to-game crosswalk for pantheon choices, myth units, god powers, favor, age progression, relics, heroes, and added traditions.</t>
  </si>
  <si>
    <t xml:space="preserve">In progress — Version 2.0 adaptation crosswalk seeded</t>
  </si>
  <si>
    <t xml:space="preserve">RQ-023</t>
  </si>
  <si>
    <t xml:space="preserve">Artifact/cosmology/law domain audit</t>
  </si>
  <si>
    <t xml:space="preserve">Reclassify existing records that are better represented as artifacts, sacred geography, cosmological realms, metaphysical laws, rituals, vows, boons, curses, or exchanges.</t>
  </si>
  <si>
    <t xml:space="preserve">RQ-024</t>
  </si>
  <si>
    <t xml:space="preserve">Chinese and Mexica primary-source deep passes</t>
  </si>
  <si>
    <t xml:space="preserve">Chinese textual/religious traditions; Mexica sources and specialist scholarship</t>
  </si>
  <si>
    <t xml:space="preserve">Build source-specific records with original terminology, textual witnesses, regional scope, sacred-context cautions, and adaptation links.</t>
  </si>
  <si>
    <t xml:space="preserve">RQ-025</t>
  </si>
  <si>
    <t xml:space="preserve">Source-priority editorial review</t>
  </si>
  <si>
    <t xml:space="preserve">All 281 Source Corpus records</t>
  </si>
  <si>
    <t xml:space="preserve">Replace heuristic baseline scores with reviewed marginal-archetype-value assessments and document every override.</t>
  </si>
  <si>
    <t xml:space="preserve">RQ-026</t>
  </si>
  <si>
    <t xml:space="preserve">Darkest Dungeon version and DLC split</t>
  </si>
  <si>
    <t xml:space="preserve">Darkest Dungeon base game, DLC, and sequel boundary</t>
  </si>
  <si>
    <t xml:space="preserve">Verify the selective innovation records, separate DLC-specific mechanics and states, and keep Darkest Dungeon II as a distinct mechanical model.</t>
  </si>
  <si>
    <t xml:space="preserve">Source Priority — Marginal Archetype Value</t>
  </si>
  <si>
    <t xml:space="preserve">Criterion weight</t>
  </si>
  <si>
    <t xml:space="preserve">Points</t>
  </si>
  <si>
    <t xml:space="preserve">Ranks sources by the new conceptual coverage they can add, rather than by the raw number of named classes, creatures, or characters.</t>
  </si>
  <si>
    <t xml:space="preserve">Archetype novelty</t>
  </si>
  <si>
    <t xml:space="preserve">The scores are a transparent baseline. Editorial review may override them when cultural importance, evidence quality, adaptation history, or corpus boundaries require judgment.</t>
  </si>
  <si>
    <t xml:space="preserve">Domain breadth</t>
  </si>
  <si>
    <t xml:space="preserve">Coverage-gap value</t>
  </si>
  <si>
    <t xml:space="preserve">Conceptual depth</t>
  </si>
  <si>
    <t xml:space="preserve">BORI Critical Edition override</t>
  </si>
  <si>
    <t xml:space="preserve">Highest-priority reference witness for the current South Asian deep pass, with explicit limits regarding regional and living traditions.</t>
  </si>
  <si>
    <t xml:space="preserve">Editorial override — review required</t>
  </si>
  <si>
    <t xml:space="preserve">Adaptation value</t>
  </si>
  <si>
    <t xml:space="preserve">Bhagavad Gītā embedded-text override</t>
  </si>
  <si>
    <t xml:space="preserve">Exceptionally influential philosophical and revelatory material; preserve its embedded, sacred, and commentarial contexts.</t>
  </si>
  <si>
    <t xml:space="preserve">Source quality</t>
  </si>
  <si>
    <t xml:space="preserve">Egyptian traditions override</t>
  </si>
  <si>
    <t xml:space="preserve">Afterlife judgment, sacred names, divine kingship, temple cosmology, and composite divine embodiment.</t>
  </si>
  <si>
    <t xml:space="preserve">Redundancy penalty</t>
  </si>
  <si>
    <t xml:space="preserve">Chinese source-complex override</t>
  </si>
  <si>
    <t xml:space="preserve">Celestial bureaucracy, immortals, talismans, registers, underworld courts, and multiple religious-literary systems fill major gaps.</t>
  </si>
  <si>
    <t xml:space="preserve">Irish source-complex override</t>
  </si>
  <si>
    <t xml:space="preserve">Geasa, sovereignty, otherworld peoples, poet-satirists, kinship, and transformation address major framework gaps.</t>
  </si>
  <si>
    <t xml:space="preserve">Recommended treatment</t>
  </si>
  <si>
    <t xml:space="preserve">Minimum score</t>
  </si>
  <si>
    <t xml:space="preserve">Japanese traditions override</t>
  </si>
  <si>
    <t xml:space="preserve">Kami, yōkai, purity, place, ritual offices, object spirits, and adaptation transformations address major gaps.</t>
  </si>
  <si>
    <t xml:space="preserve">Foundational deep pass</t>
  </si>
  <si>
    <t xml:space="preserve">Jinn-traditions override</t>
  </si>
  <si>
    <t xml:space="preserve">High ontology and social-personhood value; must remain distinct from generic demon categories.</t>
  </si>
  <si>
    <t xml:space="preserve">Major deep pass</t>
  </si>
  <si>
    <t xml:space="preserve">Journey to the West override</t>
  </si>
  <si>
    <t xml:space="preserve">Celestial bureaucracy, immortals, pilgrimage, transformations, demon sociality, artifacts, and divine administration.</t>
  </si>
  <si>
    <t xml:space="preserve">Targeted innovation pass</t>
  </si>
  <si>
    <t xml:space="preserve">Mahābhārata source-complex override</t>
  </si>
  <si>
    <t xml:space="preserve">Foundational multi-domain source; Version 2.0 begins a deep pass but regional and textual layers remain major priorities.</t>
  </si>
  <si>
    <t xml:space="preserve">Sampling pass</t>
  </si>
  <si>
    <t xml:space="preserve">Mexica source-complex override</t>
  </si>
  <si>
    <t xml:space="preserve">Calendrical cosmology, cosmic maintenance, offerings, world ages, sacred warfare, and place-based identity are underrepresented.</t>
  </si>
  <si>
    <t xml:space="preserve">Changing the weights recalculates Marginal_Value_Score and Recommended_Treatment; Baseline_Rank and row order remain fixed until the table is re-sorted.</t>
  </si>
  <si>
    <t xml:space="preserve">Nights source-complex override</t>
  </si>
  <si>
    <t xml:space="preserve">Jinn, talismans, merchants, nested stories, travel, and occult roles add high marginal value.</t>
  </si>
  <si>
    <t xml:space="preserve">Rāmāyaṇa source-complex override</t>
  </si>
  <si>
    <t xml:space="preserve">Divine embodiment, exile, sacred weapons, alliance with nonhuman peoples, kingship, and adaptation history.</t>
  </si>
  <si>
    <t xml:space="preserve">Yorùbá/Ifá priority override</t>
  </si>
  <si>
    <t xml:space="preserve">Divination, destiny, òrìṣà relations, possession, praise, ritual authority, and living sacred context are major gaps.</t>
  </si>
  <si>
    <t xml:space="preserve">Popol Vuh override</t>
  </si>
  <si>
    <t xml:space="preserve">Creation, hero twins, underworld trials, animal relations, and K'iche' sacred narrative provide high marginal value.</t>
  </si>
  <si>
    <t xml:space="preserve">Persian epic override</t>
  </si>
  <si>
    <t xml:space="preserve">Royal glory, divs, peris, Simurgh, hero houses, and tragic kingship fill major gaps.</t>
  </si>
  <si>
    <t xml:space="preserve">Mesopotamian epic override</t>
  </si>
  <si>
    <t xml:space="preserve">Foundational kingship, monster guardians, divine conflict, and immortality-quest material.</t>
  </si>
  <si>
    <t xml:space="preserve">Mythic/epic source baseline</t>
  </si>
  <si>
    <t xml:space="preserve">High ontology, cosmology, ritual, narrative, and historical-influence value; prioritize source-specific deep research.</t>
  </si>
  <si>
    <t xml:space="preserve">Heuristic baseline — editorial review required</t>
  </si>
  <si>
    <t xml:space="preserve">Finnic epic override</t>
  </si>
  <si>
    <t xml:space="preserve">Song magic, smithing, artifact quests, and cosmological poetics add distinctive models.</t>
  </si>
  <si>
    <t xml:space="preserve">Welsh mythic-cycle override</t>
  </si>
  <si>
    <t xml:space="preserve">High value for transformation, sovereignty, otherworld journeys, and kinship structures.</t>
  </si>
  <si>
    <t xml:space="preserve">Slavic source-complex override</t>
  </si>
  <si>
    <t xml:space="preserve">Household, field, forest, water, witch, revenant, and dragon traditions correct generic monster taxonomies.</t>
  </si>
  <si>
    <t xml:space="preserve">Corrective classical-source pass</t>
  </si>
  <si>
    <t xml:space="preserve">Highly influential but already heavily mediated through fantasy; prioritize correction of modern simplifications.</t>
  </si>
  <si>
    <t xml:space="preserve">Corrective Norse-source pass</t>
  </si>
  <si>
    <t xml:space="preserve">High influence and cosmological depth; focus on categories distorted by modern game-race and monster taxonomies.</t>
  </si>
  <si>
    <t xml:space="preserve">Age of Mythology adaptation override</t>
  </si>
  <si>
    <t xml:space="preserve">High adaptation value: directly exposes how myths become factions, units, resources, powers, counters, and progression systems.</t>
  </si>
  <si>
    <t xml:space="preserve">Literary-source baseline</t>
  </si>
  <si>
    <t xml:space="preserve">Prioritize distinctive ontology, narrative structures, institutions, and power logics over familiar surface labels.</t>
  </si>
  <si>
    <t xml:space="preserve">Tolkien influence/redundancy override</t>
  </si>
  <si>
    <t xml:space="preserve">Foundational influence remains essential, but core peoples and classes are already heavily seeded; prioritize textual and adaptation divergence.</t>
  </si>
  <si>
    <t xml:space="preserve">East Asian serial-media baseline</t>
  </si>
  <si>
    <t xml:space="preserve">Often contributes progression, reincarnation, guild, spirit, and system-fiction innovations; verify translations and source layers.</t>
  </si>
  <si>
    <t xml:space="preserve">Witcher influence/redundancy override</t>
  </si>
  <si>
    <t xml:space="preserve">Further value lies in continuity splits, folklore transformation, institutions, and moral ecology rather than more monster-hunter class labels.</t>
  </si>
  <si>
    <t xml:space="preserve">Final Fantasy redundancy override</t>
  </si>
  <si>
    <t xml:space="preserve">High influence and job-system value, but recurring jobs are already well represented; use title-by-title divergence.</t>
  </si>
  <si>
    <t xml:space="preserve">Rules-system baseline</t>
  </si>
  <si>
    <t xml:space="preserve">Broad taxonomy and strong documentation, but substantial overlap with already captured race/class conventions.</t>
  </si>
  <si>
    <t xml:space="preserve">D&amp;D redundancy override</t>
  </si>
  <si>
    <t xml:space="preserve">Indispensable mechanical influence and documentation, but conventional class/ancestry space is already densely represented.</t>
  </si>
  <si>
    <t xml:space="preserve">Tactics Ogre: Reborn override</t>
  </si>
  <si>
    <t xml:space="preserve">Already deeply seeded; future work should focus on source citations, version differences, and unique mechanics.</t>
  </si>
  <si>
    <t xml:space="preserve">Tactics Ogre franchise override</t>
  </si>
  <si>
    <t xml:space="preserve">Prioritize distinctive jobs, political institutions, transformation, and tactical mechanics rather than repeated martial jobs.</t>
  </si>
  <si>
    <t xml:space="preserve">Screen-media baseline</t>
  </si>
  <si>
    <t xml:space="preserve">Best value lies in adaptation divergence, iconography, and screen-first worldbuilding.</t>
  </si>
  <si>
    <t xml:space="preserve">Darkest Dungeon selective override</t>
  </si>
  <si>
    <t xml:space="preserve">Target stress, quirks, attrition, recovery institutions, position geometry, and inherited ruin; sample the conventional class roster.</t>
  </si>
  <si>
    <t xml:space="preserve">Game-system baseline</t>
  </si>
  <si>
    <t xml:space="preserve">Prioritize distinctive mechanics, transformations, adaptation operations, and setting innovations rather than complete class repetition.</t>
  </si>
  <si>
    <t xml:space="preserve">Board-game baseline</t>
  </si>
  <si>
    <t xml:space="preserve">Extract asymmetric factions and distinctive mechanics; sample conventional unit roles.</t>
  </si>
  <si>
    <t xml:space="preserve">General baseline</t>
  </si>
  <si>
    <t xml:space="preserve">Editorial review required to determine marginal archetype value.</t>
  </si>
  <si>
    <t xml:space="preserve">Term Metadata — Language, Witness, and Sacred-Context Controls</t>
  </si>
  <si>
    <t xml:space="preserve">Preserves original-language terminology, textual layers, translation variants, and culturally specific cautions for source records.</t>
  </si>
  <si>
    <t xml:space="preserve">A normalized archetype is a comparison coordinate; it does not replace the term's meaning within its linguistic, ritual, literary, or living tradition.</t>
  </si>
  <si>
    <t xml:space="preserve">TRM-0001</t>
  </si>
  <si>
    <t xml:space="preserve">deva</t>
  </si>
  <si>
    <t xml:space="preserve">Sanskrit</t>
  </si>
  <si>
    <t xml:space="preserve">देव</t>
  </si>
  <si>
    <t xml:space="preserve">shining/divine being; no single exhaustive gloss</t>
  </si>
  <si>
    <t xml:space="preserve">Epic-wide</t>
  </si>
  <si>
    <t xml:space="preserve">South Asia / Sanskrit Mahābhārata tradition</t>
  </si>
  <si>
    <t xml:space="preserve">BORI Critical Edition reference structure; Ganguli English translation reviewed at parva level</t>
  </si>
  <si>
    <t xml:space="preserve">god; deity; divine being</t>
  </si>
  <si>
    <t xml:space="preserve">Do not treat deva as a biological race or assume every occurrence has identical theological status.</t>
  </si>
  <si>
    <t xml:space="preserve">Parva-level</t>
  </si>
  <si>
    <t xml:space="preserve">TRM-0002</t>
  </si>
  <si>
    <t xml:space="preserve">asura</t>
  </si>
  <si>
    <t xml:space="preserve">असुर</t>
  </si>
  <si>
    <t xml:space="preserve">source-specific divine/adversarial being; no single adequate English gloss</t>
  </si>
  <si>
    <t xml:space="preserve">asura; anti-god; demon (often misleading)</t>
  </si>
  <si>
    <t xml:space="preserve">Avoid automatic translation as demon or devil; preserve shared divine genealogies and textual variation.</t>
  </si>
  <si>
    <t xml:space="preserve">TRM-0003</t>
  </si>
  <si>
    <t xml:space="preserve">rākṣasa</t>
  </si>
  <si>
    <t xml:space="preserve">राक्षस</t>
  </si>
  <si>
    <t xml:space="preserve">source-specific class of powerful nonhuman beings</t>
  </si>
  <si>
    <t xml:space="preserve">rakshasa; raksasa; demon (often misleading)</t>
  </si>
  <si>
    <t xml:space="preserve">Do not homogenize rākṣasas as an evil species or detach the term from South Asian literary and religious histories.</t>
  </si>
  <si>
    <t xml:space="preserve">TRM-0004</t>
  </si>
  <si>
    <t xml:space="preserve">yakṣa</t>
  </si>
  <si>
    <t xml:space="preserve">यक्ष</t>
  </si>
  <si>
    <t xml:space="preserve">source-specific nonhuman being, often linked to place, wealth, or guardianship</t>
  </si>
  <si>
    <t xml:space="preserve">yaksha; nature spirit; tutelary being</t>
  </si>
  <si>
    <t xml:space="preserve">Generic fairy, goblin, or nature-spirit translations are only partial.</t>
  </si>
  <si>
    <t xml:space="preserve">TRM-0005</t>
  </si>
  <si>
    <t xml:space="preserve">gandharva</t>
  </si>
  <si>
    <t xml:space="preserve">गन्धर्व</t>
  </si>
  <si>
    <t xml:space="preserve">celestial being; no single exhaustive gloss</t>
  </si>
  <si>
    <t xml:space="preserve">gandharva; celestial musician</t>
  </si>
  <si>
    <t xml:space="preserve">Musical association does not make gandharvas equivalent to a bard species or angelic choir.</t>
  </si>
  <si>
    <t xml:space="preserve">TRM-0006</t>
  </si>
  <si>
    <t xml:space="preserve">apsaras / apsarā</t>
  </si>
  <si>
    <t xml:space="preserve">अप्सरस् / अप्सरा</t>
  </si>
  <si>
    <t xml:space="preserve">celestial female being; no single exhaustive gloss</t>
  </si>
  <si>
    <t xml:space="preserve">apsara; celestial nymph; heavenly dancer</t>
  </si>
  <si>
    <t xml:space="preserve">Avoid reducing apsarases to seductresses, dancers, or a uniform species.</t>
  </si>
  <si>
    <t xml:space="preserve">TRM-0007</t>
  </si>
  <si>
    <t xml:space="preserve">nāga</t>
  </si>
  <si>
    <t xml:space="preserve">नाग</t>
  </si>
  <si>
    <t xml:space="preserve">serpent; source-specific serpent being or lineage</t>
  </si>
  <si>
    <t xml:space="preserve">naga; serpent being; serpent people</t>
  </si>
  <si>
    <t xml:space="preserve">Do not equate nāga automatically with dragon, snake monster, or reptilian humanoid.</t>
  </si>
  <si>
    <t xml:space="preserve">TRM-0008</t>
  </si>
  <si>
    <t xml:space="preserve">pitṛ</t>
  </si>
  <si>
    <t xml:space="preserve">पितृ</t>
  </si>
  <si>
    <t xml:space="preserve">father/ancestor; ancestor being</t>
  </si>
  <si>
    <t xml:space="preserve">pitri; ancestor; ancestral being</t>
  </si>
  <si>
    <t xml:space="preserve">Preserve ritual and kinship context; pitṛs are not generic ghosts or undead.</t>
  </si>
  <si>
    <t xml:space="preserve">TRM-0009</t>
  </si>
  <si>
    <t xml:space="preserve">avatāra</t>
  </si>
  <si>
    <t xml:space="preserve">अवतार</t>
  </si>
  <si>
    <t xml:space="preserve">descent</t>
  </si>
  <si>
    <t xml:space="preserve">Epic and later theological vocabulary</t>
  </si>
  <si>
    <t xml:space="preserve">avatar; incarnation; divine descent</t>
  </si>
  <si>
    <t xml:space="preserve">Do not confuse avatāra with a game avatar, player body, possession, or generic shapeshifting.</t>
  </si>
  <si>
    <t xml:space="preserve">TRM-0010</t>
  </si>
  <si>
    <t xml:space="preserve">aṃśa</t>
  </si>
  <si>
    <t xml:space="preserve">अंश</t>
  </si>
  <si>
    <t xml:space="preserve">portion; share; part</t>
  </si>
  <si>
    <t xml:space="preserve">Genealogical and theological passages</t>
  </si>
  <si>
    <t xml:space="preserve">portion; aspect; partial incarnation</t>
  </si>
  <si>
    <t xml:space="preserve">The relation between part and source is not a numerical power percentage.</t>
  </si>
  <si>
    <t xml:space="preserve">TRM-0011</t>
  </si>
  <si>
    <t xml:space="preserve">ṛṣi</t>
  </si>
  <si>
    <t xml:space="preserve">ऋषि</t>
  </si>
  <si>
    <t xml:space="preserve">seer/sage; no single adequate English gloss</t>
  </si>
  <si>
    <t xml:space="preserve">rishi; sage; seer</t>
  </si>
  <si>
    <t xml:space="preserve">Do not map automatically to wizard, druid, priest, or hermit.</t>
  </si>
  <si>
    <t xml:space="preserve">TRM-0012</t>
  </si>
  <si>
    <t xml:space="preserve">brahmarṣi</t>
  </si>
  <si>
    <t xml:space="preserve">ब्रह्मर्षि</t>
  </si>
  <si>
    <t xml:space="preserve">brahman-sage / exalted sage, context-dependent</t>
  </si>
  <si>
    <t xml:space="preserve">brahmarshi; great sage</t>
  </si>
  <si>
    <t xml:space="preserve">Do not interpret as a standardized prestige-class tier.</t>
  </si>
  <si>
    <t xml:space="preserve">TRM-0013</t>
  </si>
  <si>
    <t xml:space="preserve">brāhmaṇa</t>
  </si>
  <si>
    <t xml:space="preserve">ब्राह्मण</t>
  </si>
  <si>
    <t xml:space="preserve">source-specific social, learned, and ritual designation</t>
  </si>
  <si>
    <t xml:space="preserve">brahmin; brahmana; priest (partial)</t>
  </si>
  <si>
    <t xml:space="preserve">Do not reduce to cleric class, profession, race, or a timeless uniform caste category.</t>
  </si>
  <si>
    <t xml:space="preserve">TRM-0014</t>
  </si>
  <si>
    <t xml:space="preserve">kṣatriya</t>
  </si>
  <si>
    <t xml:space="preserve">क्षत्रिय</t>
  </si>
  <si>
    <t xml:space="preserve">source-specific warrior-ruler social designation</t>
  </si>
  <si>
    <t xml:space="preserve">kshatriya; warrior; ruler</t>
  </si>
  <si>
    <t xml:space="preserve">Do not reduce to fighter class or biological warrior type.</t>
  </si>
  <si>
    <t xml:space="preserve">TRM-0015</t>
  </si>
  <si>
    <t xml:space="preserve">rājarṣi</t>
  </si>
  <si>
    <t xml:space="preserve">राजर्षि</t>
  </si>
  <si>
    <t xml:space="preserve">royal sage / king-sage</t>
  </si>
  <si>
    <t xml:space="preserve">Didactic and royal narratives</t>
  </si>
  <si>
    <t xml:space="preserve">rajarshi; royal sage; sage-king</t>
  </si>
  <si>
    <t xml:space="preserve">The term joins royal and sage status without implying spellcasting.</t>
  </si>
  <si>
    <t xml:space="preserve">TRM-0016</t>
  </si>
  <si>
    <t xml:space="preserve">ācārya</t>
  </si>
  <si>
    <t xml:space="preserve">आचार्य</t>
  </si>
  <si>
    <t xml:space="preserve">teacher/preceptor, context-dependent</t>
  </si>
  <si>
    <t xml:space="preserve">Teaching and lineage passages</t>
  </si>
  <si>
    <t xml:space="preserve">acharya; preceptor; teacher</t>
  </si>
  <si>
    <t xml:space="preserve">Preserve distinctions among ācārya, guru, and other teacher designations.</t>
  </si>
  <si>
    <t xml:space="preserve">TRM-0017</t>
  </si>
  <si>
    <t xml:space="preserve">guru</t>
  </si>
  <si>
    <t xml:space="preserve">गुरु</t>
  </si>
  <si>
    <t xml:space="preserve">teacher; weighty/venerable, context-dependent</t>
  </si>
  <si>
    <t xml:space="preserve">guru; master; teacher</t>
  </si>
  <si>
    <t xml:space="preserve">Guru is not a generic NPC mentor label; lineage, authority, and religious context matter.</t>
  </si>
  <si>
    <t xml:space="preserve">TRM-0018</t>
  </si>
  <si>
    <t xml:space="preserve">sārathi</t>
  </si>
  <si>
    <t xml:space="preserve">सारथि</t>
  </si>
  <si>
    <t xml:space="preserve">charioteer</t>
  </si>
  <si>
    <t xml:space="preserve">Battle narratives</t>
  </si>
  <si>
    <t xml:space="preserve">sarathi; chariot driver; driver-counselor</t>
  </si>
  <si>
    <t xml:space="preserve">The role includes tactical and relational responsibilities beyond vehicle operation.</t>
  </si>
  <si>
    <t xml:space="preserve">TRM-0019</t>
  </si>
  <si>
    <t xml:space="preserve">dūta</t>
  </si>
  <si>
    <t xml:space="preserve">दूत</t>
  </si>
  <si>
    <t xml:space="preserve">messenger/envoy</t>
  </si>
  <si>
    <t xml:space="preserve">Diplomatic narratives</t>
  </si>
  <si>
    <t xml:space="preserve">duta; envoy; messenger</t>
  </si>
  <si>
    <t xml:space="preserve">Distinguish protected diplomatic representation from ordinary courier work.</t>
  </si>
  <si>
    <t xml:space="preserve">TRM-0020</t>
  </si>
  <si>
    <t xml:space="preserve">rājā</t>
  </si>
  <si>
    <t xml:space="preserve">राजा</t>
  </si>
  <si>
    <t xml:space="preserve">king/ruler</t>
  </si>
  <si>
    <t xml:space="preserve">raja; king; monarch</t>
  </si>
  <si>
    <t xml:space="preserve">Do not infer one uniform model of kingship from the gloss alone.</t>
  </si>
  <si>
    <t xml:space="preserve">TRM-0021</t>
  </si>
  <si>
    <t xml:space="preserve">tapasvin</t>
  </si>
  <si>
    <t xml:space="preserve">तपस्विन्</t>
  </si>
  <si>
    <t xml:space="preserve">one who practices tapas / ascetic practitioner</t>
  </si>
  <si>
    <t xml:space="preserve">Ascetic narratives</t>
  </si>
  <si>
    <t xml:space="preserve">tapasvin; ascetic; practitioner of austerity</t>
  </si>
  <si>
    <t xml:space="preserve">Avoid treating ascetic practice as a fantasy energy class.</t>
  </si>
  <si>
    <t xml:space="preserve">TRM-0022</t>
  </si>
  <si>
    <t xml:space="preserve">tīrtha-yātrā</t>
  </si>
  <si>
    <t xml:space="preserve">तीर्थयात्रा</t>
  </si>
  <si>
    <t xml:space="preserve">journey to sacred crossings/sites</t>
  </si>
  <si>
    <t xml:space="preserve">Vana Parva pilgrimage sections</t>
  </si>
  <si>
    <t xml:space="preserve">pilgrimage; sacred journey</t>
  </si>
  <si>
    <t xml:space="preserve">Do not reduce to map completion; place, rite, teaching, and memory are integral.</t>
  </si>
  <si>
    <t xml:space="preserve">TRM-0023</t>
  </si>
  <si>
    <t xml:space="preserve">tapas</t>
  </si>
  <si>
    <t xml:space="preserve">तपस्</t>
  </si>
  <si>
    <t xml:space="preserve">heat/austerity/ascetic potency; context-dependent</t>
  </si>
  <si>
    <t xml:space="preserve">austerity; ascetic heat; penance (often partial)</t>
  </si>
  <si>
    <t xml:space="preserve">No single English term captures the range; do not translate mechanically as mana.</t>
  </si>
  <si>
    <t xml:space="preserve">TRM-0024</t>
  </si>
  <si>
    <t xml:space="preserve">mantra</t>
  </si>
  <si>
    <t xml:space="preserve">मन्त्र</t>
  </si>
  <si>
    <t xml:space="preserve">sacred/operative utterance or formula, context-dependent</t>
  </si>
  <si>
    <t xml:space="preserve">mantra; invocation; sacred formula</t>
  </si>
  <si>
    <t xml:space="preserve">Do not use mantra as a universal synonym for spell or magic word.</t>
  </si>
  <si>
    <t xml:space="preserve">TRM-0025</t>
  </si>
  <si>
    <t xml:space="preserve">astra-vidyā</t>
  </si>
  <si>
    <t xml:space="preserve">अस्त्रविद्या</t>
  </si>
  <si>
    <t xml:space="preserve">knowledge of weapons / invoked weapon lore</t>
  </si>
  <si>
    <t xml:space="preserve">Martial instruction and battle passages</t>
  </si>
  <si>
    <t xml:space="preserve">weapon lore; divine-weapon science</t>
  </si>
  <si>
    <t xml:space="preserve">The compound is an analytical label for a source tradition of instruction, not a modern academic discipline.</t>
  </si>
  <si>
    <t xml:space="preserve">TRM-0026</t>
  </si>
  <si>
    <t xml:space="preserve">vara</t>
  </si>
  <si>
    <t xml:space="preserve">वर</t>
  </si>
  <si>
    <t xml:space="preserve">boon; choice; grant, context-dependent</t>
  </si>
  <si>
    <t xml:space="preserve">boon; blessing; divine grant</t>
  </si>
  <si>
    <t xml:space="preserve">Record conditions and grant relationships rather than treating vara as a buff.</t>
  </si>
  <si>
    <t xml:space="preserve">TRM-0027</t>
  </si>
  <si>
    <t xml:space="preserve">śāpa</t>
  </si>
  <si>
    <t xml:space="preserve">शाप</t>
  </si>
  <si>
    <t xml:space="preserve">curse</t>
  </si>
  <si>
    <t xml:space="preserve">shapa; curse; doom</t>
  </si>
  <si>
    <t xml:space="preserve">Curse episodes are relational speech acts and should not be reduced to hostile spellcasting.</t>
  </si>
  <si>
    <t xml:space="preserve">TRM-0028</t>
  </si>
  <si>
    <t xml:space="preserve">māyā</t>
  </si>
  <si>
    <t xml:space="preserve">माया</t>
  </si>
  <si>
    <t xml:space="preserve">no single adequate gloss; appearance, power, artifice, illusion, and more by context</t>
  </si>
  <si>
    <t xml:space="preserve">maya; illusion; magic; artifice</t>
  </si>
  <si>
    <t xml:space="preserve">Do not export one philosophical gloss into every narrative occurrence or equate the term with an illusion school.</t>
  </si>
  <si>
    <t xml:space="preserve">TRM-0029</t>
  </si>
  <si>
    <t xml:space="preserve">vrata</t>
  </si>
  <si>
    <t xml:space="preserve">व्रत</t>
  </si>
  <si>
    <t xml:space="preserve">vow/observance</t>
  </si>
  <si>
    <t xml:space="preserve">vow; religious observance; discipline</t>
  </si>
  <si>
    <t xml:space="preserve">A vrata may combine conduct, time, rite, and identity beyond a spoken oath.</t>
  </si>
  <si>
    <t xml:space="preserve">TRM-0030</t>
  </si>
  <si>
    <t xml:space="preserve">vana-vāsa</t>
  </si>
  <si>
    <t xml:space="preserve">वनवास</t>
  </si>
  <si>
    <t xml:space="preserve">forest dwelling / forest exile</t>
  </si>
  <si>
    <t xml:space="preserve">Vana Parva</t>
  </si>
  <si>
    <t xml:space="preserve">forest exile; dwelling in the forest</t>
  </si>
  <si>
    <t xml:space="preserve">The term denotes a structured social-political condition, not generic wilderness travel.</t>
  </si>
  <si>
    <t xml:space="preserve">TRM-0031</t>
  </si>
  <si>
    <t xml:space="preserve">ajñātavāsa</t>
  </si>
  <si>
    <t xml:space="preserve">अज्ञातवास</t>
  </si>
  <si>
    <t xml:space="preserve">living unknown / incognito residence</t>
  </si>
  <si>
    <t xml:space="preserve">Virāṭa Parva</t>
  </si>
  <si>
    <t xml:space="preserve">incognito exile; hidden residence</t>
  </si>
  <si>
    <t xml:space="preserve">The condition is time-bound and legally tied to the exile settlement.</t>
  </si>
  <si>
    <t xml:space="preserve">TRM-0032</t>
  </si>
  <si>
    <t xml:space="preserve">astra</t>
  </si>
  <si>
    <t xml:space="preserve">अस्त्र</t>
  </si>
  <si>
    <t xml:space="preserve">projectile/invoked weapon, context-dependent</t>
  </si>
  <si>
    <t xml:space="preserve">astra; divine weapon; celestial weapon</t>
  </si>
  <si>
    <t xml:space="preserve">Do not translate every astra as a spell or physical missile; invocation and authorization vary.</t>
  </si>
  <si>
    <t xml:space="preserve">TRM-0033</t>
  </si>
  <si>
    <t xml:space="preserve">गाण्डीव</t>
  </si>
  <si>
    <t xml:space="preserve">proper name of Arjuna's bow</t>
  </si>
  <si>
    <t xml:space="preserve">Epic-wide weapon biography</t>
  </si>
  <si>
    <t xml:space="preserve">Gandiva; Gāṇḍīva bow</t>
  </si>
  <si>
    <t xml:space="preserve">Treat as a named source artifact, not a generic bow type.</t>
  </si>
  <si>
    <t xml:space="preserve">TRM-0034</t>
  </si>
  <si>
    <t xml:space="preserve">ब्रह्मास्त्र</t>
  </si>
  <si>
    <t xml:space="preserve">weapon associated with Brahmā</t>
  </si>
  <si>
    <t xml:space="preserve">Weapon narratives</t>
  </si>
  <si>
    <t xml:space="preserve">Brahmastra; weapon of Brahmā</t>
  </si>
  <si>
    <t xml:space="preserve">Exact textual variants and effects require passage-level citation; avoid casual nuclear equivalence.</t>
  </si>
  <si>
    <t xml:space="preserve">TRM-0035</t>
  </si>
  <si>
    <t xml:space="preserve">पाशुपतास्त्र</t>
  </si>
  <si>
    <t xml:space="preserve">weapon associated with Paśupati/Śiva</t>
  </si>
  <si>
    <t xml:space="preserve">Pashupatastra; Pāśupata weapon</t>
  </si>
  <si>
    <t xml:space="preserve">Preserve the ordeal, grant, and Śaiva context of acquisition.</t>
  </si>
  <si>
    <t xml:space="preserve">TRM-0036</t>
  </si>
  <si>
    <t xml:space="preserve">नारायणास्त्र</t>
  </si>
  <si>
    <t xml:space="preserve">weapon associated with Nārāyaṇa</t>
  </si>
  <si>
    <t xml:space="preserve">Droṇa Parva</t>
  </si>
  <si>
    <t xml:space="preserve">Narayanastra; Nārāyaṇa weapon</t>
  </si>
  <si>
    <t xml:space="preserve">Its conditional response rules are part of the source concept.</t>
  </si>
  <si>
    <t xml:space="preserve">TRM-0037</t>
  </si>
  <si>
    <t xml:space="preserve">kavaca-kuṇḍala</t>
  </si>
  <si>
    <t xml:space="preserve">कवच-कुण्डल</t>
  </si>
  <si>
    <t xml:space="preserve">armor and earrings</t>
  </si>
  <si>
    <t xml:space="preserve">Karna birth and gift narratives</t>
  </si>
  <si>
    <t xml:space="preserve">armor and earrings; natural armor</t>
  </si>
  <si>
    <t xml:space="preserve">The objects are bound to birth, identity, protection, and gift exchange.</t>
  </si>
  <si>
    <t xml:space="preserve">TRM-0038</t>
  </si>
  <si>
    <t xml:space="preserve">ratha</t>
  </si>
  <si>
    <t xml:space="preserve">रथ</t>
  </si>
  <si>
    <t xml:space="preserve">chariot</t>
  </si>
  <si>
    <t xml:space="preserve">chariot; war chariot</t>
  </si>
  <si>
    <t xml:space="preserve">Do not treat ratha as an interchangeable mount; charioteer, warrior, horses, and status form a system.</t>
  </si>
  <si>
    <t xml:space="preserve">TRM-0039</t>
  </si>
  <si>
    <t xml:space="preserve">śaṅkha</t>
  </si>
  <si>
    <t xml:space="preserve">शङ्ख</t>
  </si>
  <si>
    <t xml:space="preserve">conch</t>
  </si>
  <si>
    <t xml:space="preserve">Battlefield and ritual passages</t>
  </si>
  <si>
    <t xml:space="preserve">shankha; conch shell; war conch</t>
  </si>
  <si>
    <t xml:space="preserve">Named conches function through sound, identity, ritual, and public declaration.</t>
  </si>
  <si>
    <t xml:space="preserve">TRM-0040</t>
  </si>
  <si>
    <t xml:space="preserve">gadā</t>
  </si>
  <si>
    <t xml:space="preserve">गदा</t>
  </si>
  <si>
    <t xml:space="preserve">mace</t>
  </si>
  <si>
    <t xml:space="preserve">Martial training and duel passages</t>
  </si>
  <si>
    <t xml:space="preserve">gada; mace; club</t>
  </si>
  <si>
    <t xml:space="preserve">The weapon tradition includes pedagogy and duel convention, not just weapon morphology.</t>
  </si>
  <si>
    <t xml:space="preserve">TRM-0041</t>
  </si>
  <si>
    <t xml:space="preserve">svarga</t>
  </si>
  <si>
    <t xml:space="preserve">स्वर्ग</t>
  </si>
  <si>
    <t xml:space="preserve">heaven/celestial realm, context-dependent</t>
  </si>
  <si>
    <t xml:space="preserve">Afterlife and cosmological passages</t>
  </si>
  <si>
    <t xml:space="preserve">heaven; celestial world</t>
  </si>
  <si>
    <t xml:space="preserve">Do not assume one final eternal heaven or a good-alignment plane.</t>
  </si>
  <si>
    <t xml:space="preserve">TRM-0042</t>
  </si>
  <si>
    <t xml:space="preserve">naraka</t>
  </si>
  <si>
    <t xml:space="preserve">नरक</t>
  </si>
  <si>
    <t xml:space="preserve">punishment realm/hell, context-dependent</t>
  </si>
  <si>
    <t xml:space="preserve">Afterlife passages</t>
  </si>
  <si>
    <t xml:space="preserve">hell; infernal realm; punishment realm</t>
  </si>
  <si>
    <t xml:space="preserve">Do not import a single eternal-hell model or demon ecology.</t>
  </si>
  <si>
    <t xml:space="preserve">TRM-0043</t>
  </si>
  <si>
    <t xml:space="preserve">loka</t>
  </si>
  <si>
    <t xml:space="preserve">लोक</t>
  </si>
  <si>
    <t xml:space="preserve">world/realm/sphere, context-dependent</t>
  </si>
  <si>
    <t xml:space="preserve">Cosmological passages</t>
  </si>
  <si>
    <t xml:space="preserve">world; realm; plane</t>
  </si>
  <si>
    <t xml:space="preserve">Do not automatically equate loka with a tabletop plane or planet.</t>
  </si>
  <si>
    <t xml:space="preserve">TRM-0044</t>
  </si>
  <si>
    <t xml:space="preserve">yuga</t>
  </si>
  <si>
    <t xml:space="preserve">युग</t>
  </si>
  <si>
    <t xml:space="preserve">age/era/yoke, context-dependent</t>
  </si>
  <si>
    <t xml:space="preserve">Cosmological time passages</t>
  </si>
  <si>
    <t xml:space="preserve">world age; cosmic age; era</t>
  </si>
  <si>
    <t xml:space="preserve">Do not convert source age schemes directly into game technology tiers.</t>
  </si>
  <si>
    <t xml:space="preserve">TRM-0045</t>
  </si>
  <si>
    <t xml:space="preserve">saṃsāra</t>
  </si>
  <si>
    <t xml:space="preserve">संसार</t>
  </si>
  <si>
    <t xml:space="preserve">wandering/cycle of embodied existence, context-dependent</t>
  </si>
  <si>
    <t xml:space="preserve">Didactic and philosophical passages</t>
  </si>
  <si>
    <t xml:space="preserve">samsara; cycle of rebirth</t>
  </si>
  <si>
    <t xml:space="preserve">Not equivalent to reincarnation mechanics, time loop, or new-game-plus progression.</t>
  </si>
  <si>
    <t xml:space="preserve">TRM-0046</t>
  </si>
  <si>
    <t xml:space="preserve">Meru</t>
  </si>
  <si>
    <t xml:space="preserve">मेरु</t>
  </si>
  <si>
    <t xml:space="preserve">proper name of the cosmic/sacred mountain</t>
  </si>
  <si>
    <t xml:space="preserve">Mount Meru; Sumeru in related traditions</t>
  </si>
  <si>
    <t xml:space="preserve">Do not collapse distinct Meru traditions or equate with every world mountain.</t>
  </si>
  <si>
    <t xml:space="preserve">TRM-0047</t>
  </si>
  <si>
    <t xml:space="preserve">tīrtha</t>
  </si>
  <si>
    <t xml:space="preserve">तीर्थ</t>
  </si>
  <si>
    <t xml:space="preserve">crossing/ford; sacred place</t>
  </si>
  <si>
    <t xml:space="preserve">Vana Parva pilgrimage passages</t>
  </si>
  <si>
    <t xml:space="preserve">sacred ford; pilgrimage place; holy site</t>
  </si>
  <si>
    <t xml:space="preserve">The term joins crossing, place, rite, memory, and pilgrimage; 'shrine' is incomplete.</t>
  </si>
  <si>
    <t xml:space="preserve">TRM-0048</t>
  </si>
  <si>
    <t xml:space="preserve">Kurukṣetra</t>
  </si>
  <si>
    <t xml:space="preserve">कुरुक्षेत्र</t>
  </si>
  <si>
    <t xml:space="preserve">field/territory of the Kurus</t>
  </si>
  <si>
    <t xml:space="preserve">Bhīṣma Parva and epic geography</t>
  </si>
  <si>
    <t xml:space="preserve">Kurukshetra; field of the Kurus</t>
  </si>
  <si>
    <t xml:space="preserve">Treat as historical-sacred narrative geography, not merely a combat-map label.</t>
  </si>
  <si>
    <t xml:space="preserve">TRM-0049</t>
  </si>
  <si>
    <t xml:space="preserve">pitṛ-loka</t>
  </si>
  <si>
    <t xml:space="preserve">पितृलोक</t>
  </si>
  <si>
    <t xml:space="preserve">world/realm of the ancestors</t>
  </si>
  <si>
    <t xml:space="preserve">Afterlife and rite passages</t>
  </si>
  <si>
    <t xml:space="preserve">ancestor realm; world of the fathers</t>
  </si>
  <si>
    <t xml:space="preserve">Preserve kinship and rite; do not treat as an undead plane.</t>
  </si>
  <si>
    <t xml:space="preserve">TRM-0050</t>
  </si>
  <si>
    <t xml:space="preserve">dharma</t>
  </si>
  <si>
    <t xml:space="preserve">धर्म</t>
  </si>
  <si>
    <t xml:space="preserve">no single adequate English gloss</t>
  </si>
  <si>
    <t xml:space="preserve">Epic-wide; especially didactic and Gītā passages</t>
  </si>
  <si>
    <t xml:space="preserve">duty; law; righteousness; order; ethics (all partial)</t>
  </si>
  <si>
    <t xml:space="preserve">Never reduce dharma to alignment, class duty, obedience, or one fixed English equivalent.</t>
  </si>
  <si>
    <t xml:space="preserve">TRM-0051</t>
  </si>
  <si>
    <t xml:space="preserve">karma</t>
  </si>
  <si>
    <t xml:space="preserve">कर्म</t>
  </si>
  <si>
    <t xml:space="preserve">action/deed and its consequences, context-dependent</t>
  </si>
  <si>
    <t xml:space="preserve">action; deed; karma</t>
  </si>
  <si>
    <t xml:space="preserve">Do not reduce karma to instant reward/punishment, luck, or morality points.</t>
  </si>
  <si>
    <t xml:space="preserve">TRM-0052</t>
  </si>
  <si>
    <t xml:space="preserve">yajña</t>
  </si>
  <si>
    <t xml:space="preserve">यज्ञ</t>
  </si>
  <si>
    <t xml:space="preserve">sacrifice/offering rite</t>
  </si>
  <si>
    <t xml:space="preserve">Ritual and royal passages</t>
  </si>
  <si>
    <t xml:space="preserve">yajna; sacrifice; offering</t>
  </si>
  <si>
    <t xml:space="preserve">Do not equate yajña with generic blood sacrifice or a resource-spend mechanic.</t>
  </si>
  <si>
    <t xml:space="preserve">TRM-0053</t>
  </si>
  <si>
    <t xml:space="preserve">guru-dakṣiṇā</t>
  </si>
  <si>
    <t xml:space="preserve">गुरुदक्षिणा</t>
  </si>
  <si>
    <t xml:space="preserve">return gift/fee to a teacher</t>
  </si>
  <si>
    <t xml:space="preserve">Teaching narratives</t>
  </si>
  <si>
    <t xml:space="preserve">teacher's fee; preceptor's due; return gift</t>
  </si>
  <si>
    <t xml:space="preserve">The term belongs to a teacher–disciple relationship and may involve unequal demands or tragic obligations.</t>
  </si>
  <si>
    <t xml:space="preserve">TRM-0054</t>
  </si>
  <si>
    <t xml:space="preserve">atithi-dharma</t>
  </si>
  <si>
    <t xml:space="preserve">अतिथिधर्म</t>
  </si>
  <si>
    <t xml:space="preserve">guest-related duty/order</t>
  </si>
  <si>
    <t xml:space="preserve">Hospitality passages</t>
  </si>
  <si>
    <t xml:space="preserve">duty to the guest; guest law; sacred hospitality</t>
  </si>
  <si>
    <t xml:space="preserve">Do not assume equivalence with Greek xenia or generic hospitality rules.</t>
  </si>
  <si>
    <t xml:space="preserve">TRM-0055</t>
  </si>
  <si>
    <t xml:space="preserve">rāja-dharma</t>
  </si>
  <si>
    <t xml:space="preserve">राजधर्म</t>
  </si>
  <si>
    <t xml:space="preserve">duties/order of rulership</t>
  </si>
  <si>
    <t xml:space="preserve">Śānti Parva</t>
  </si>
  <si>
    <t xml:space="preserve">king's duty; political ethics; duties of kings</t>
  </si>
  <si>
    <t xml:space="preserve">Do not reduce to a monarch class feature or timeless constitutional doctrine.</t>
  </si>
  <si>
    <t xml:space="preserve">TRM-0056</t>
  </si>
  <si>
    <t xml:space="preserve">mokṣa-dharma</t>
  </si>
  <si>
    <t xml:space="preserve">मोक्षधर्म</t>
  </si>
  <si>
    <t xml:space="preserve">teaching/order concerning liberation</t>
  </si>
  <si>
    <t xml:space="preserve">law of liberation; liberation teaching</t>
  </si>
  <si>
    <t xml:space="preserve">Mokṣa is not generic immortality, heaven, or game ascension; preserve philosophical plurality.</t>
  </si>
  <si>
    <t xml:space="preserve">TRM-0057</t>
  </si>
  <si>
    <t xml:space="preserve">āśrama</t>
  </si>
  <si>
    <t xml:space="preserve">आश्रम</t>
  </si>
  <si>
    <t xml:space="preserve">hermitage, residence, or life-stage term by context</t>
  </si>
  <si>
    <t xml:space="preserve">ashrama; hermitage; retreat</t>
  </si>
  <si>
    <t xml:space="preserve">Do not assume the word denotes a Western monastery or only one institutional form.</t>
  </si>
  <si>
    <t xml:space="preserve">TRM-0058</t>
  </si>
  <si>
    <t xml:space="preserve">sabhā</t>
  </si>
  <si>
    <t xml:space="preserve">सभा</t>
  </si>
  <si>
    <t xml:space="preserve">assembly/hall</t>
  </si>
  <si>
    <t xml:space="preserve">Sabhā Parva</t>
  </si>
  <si>
    <t xml:space="preserve">assembly; council hall; court</t>
  </si>
  <si>
    <t xml:space="preserve">The term can denote both gathering and space; public witness and procedure matter.</t>
  </si>
  <si>
    <t xml:space="preserve">TRM-0059</t>
  </si>
  <si>
    <t xml:space="preserve">akṣauhiṇī</t>
  </si>
  <si>
    <t xml:space="preserve">अक्षौहिणी</t>
  </si>
  <si>
    <t xml:space="preserve">formally enumerated army formation</t>
  </si>
  <si>
    <t xml:space="preserve">Army enumeration passages</t>
  </si>
  <si>
    <t xml:space="preserve">akshauhini; great army division</t>
  </si>
  <si>
    <t xml:space="preserve">Preserve the source enumeration rather than treating the term as a generic army size.</t>
  </si>
  <si>
    <t xml:space="preserve">TRM-0060</t>
  </si>
  <si>
    <t xml:space="preserve">svayaṃvara</t>
  </si>
  <si>
    <t xml:space="preserve">स्वयंवर</t>
  </si>
  <si>
    <t xml:space="preserve">self-choice/selection in marriage, context-dependent</t>
  </si>
  <si>
    <t xml:space="preserve">Marriage narratives</t>
  </si>
  <si>
    <t xml:space="preserve">swayamvara; bride-choice ceremony; marriage contest</t>
  </si>
  <si>
    <t xml:space="preserve">Do not reduce to a tournament prize; agency, lineage, public recognition, and politics vary by episode.</t>
  </si>
  <si>
    <t xml:space="preserve">Adaptation Crosswalk — From Traditional Concept to Media System</t>
  </si>
  <si>
    <t xml:space="preserve">Records how mythic, literary, religious, folkloric, and historical concepts are transformed into factions, units, resources, classes, items, bosses, and progression systems.</t>
  </si>
  <si>
    <t xml:space="preserve">The crosswalk describes preservation and transformation; it does not use an adaptation as evidence for what an earlier tradition 'really' means.</t>
  </si>
  <si>
    <t xml:space="preserve">XWK-0001</t>
  </si>
  <si>
    <t xml:space="preserve">Deity or divine patron</t>
  </si>
  <si>
    <t xml:space="preserve">Divine person / cultic relationship</t>
  </si>
  <si>
    <t xml:space="preserve">Initial faction/build selection</t>
  </si>
  <si>
    <t xml:space="preserve">Divine portfolio, name, iconography, and patron relation</t>
  </si>
  <si>
    <t xml:space="preserve">Narrative, cult, regional history, ritual diversity, and theological ambiguity are compressed into bonuses and a tech tree.</t>
  </si>
  <si>
    <t xml:space="preserve">Defines starting bonuses, first god power, technologies, and later branches</t>
  </si>
  <si>
    <t xml:space="preserve">Partial analogy</t>
  </si>
  <si>
    <t xml:space="preserve">Age of Mythology: Retold official game and expansion materials.</t>
  </si>
  <si>
    <t xml:space="preserve">XWK-0002</t>
  </si>
  <si>
    <t xml:space="preserve">Lesser or associated deity</t>
  </si>
  <si>
    <t xml:space="preserve">Minor god choice</t>
  </si>
  <si>
    <t xml:space="preserve">Age-up branch</t>
  </si>
  <si>
    <t xml:space="preserve">Association with domains, beings, or divine powers</t>
  </si>
  <si>
    <t xml:space="preserve">Religious plurality becomes a mutually exclusive upgrade branch with standardized timing.</t>
  </si>
  <si>
    <t xml:space="preserve">Unlocks myth units, technologies, and a god power</t>
  </si>
  <si>
    <t xml:space="preserve">XWK-0003</t>
  </si>
  <si>
    <t xml:space="preserve">Divine intervention</t>
  </si>
  <si>
    <t xml:space="preserve">Event / miracle / narrative agency</t>
  </si>
  <si>
    <t xml:space="preserve">Spectacle, divine attribution, and exceptional effect</t>
  </si>
  <si>
    <t xml:space="preserve">Context, petition, moral ambiguity, ritual process, and divine autonomy are converted into player targeting and cooldown/charge rules.</t>
  </si>
  <si>
    <t xml:space="preserve">Produces battlefield, economic, environmental, or summoning effects</t>
  </si>
  <si>
    <t xml:space="preserve">XWK-0004</t>
  </si>
  <si>
    <t xml:space="preserve">Worship, offering, or divine relationship</t>
  </si>
  <si>
    <t xml:space="preserve">Ritual and social relation</t>
  </si>
  <si>
    <t xml:space="preserve">Favor</t>
  </si>
  <si>
    <t xml:space="preserve">Quantified resource</t>
  </si>
  <si>
    <t xml:space="preserve">A relationship between community and divine power</t>
  </si>
  <si>
    <t xml:space="preserve">Multiple forms of ritual, devotion, reciprocity, institution, and belief become one spendable numerical resource.</t>
  </si>
  <si>
    <t xml:space="preserve">Pays for myth units, divine technologies, and related effects</t>
  </si>
  <si>
    <t xml:space="preserve">XWK-0005</t>
  </si>
  <si>
    <t xml:space="preserve">Mythological being</t>
  </si>
  <si>
    <t xml:space="preserve">Person, species, spirit, monster, or unique figure</t>
  </si>
  <si>
    <t xml:space="preserve">Trainable faction unit</t>
  </si>
  <si>
    <t xml:space="preserve">Name, appearance, signature ability, and broad mythic association</t>
  </si>
  <si>
    <t xml:space="preserve">Personhood, uniqueness, locality, narrative role, ambivalence, and source-specific ontology may be removed.</t>
  </si>
  <si>
    <t xml:space="preserve">Occupies cost, population, counter, upgrade, and production roles</t>
  </si>
  <si>
    <t xml:space="preserve">XWK-0006</t>
  </si>
  <si>
    <t xml:space="preserve">Hero</t>
  </si>
  <si>
    <t xml:space="preserve">Narrative person / lineage figure / cultic figure</t>
  </si>
  <si>
    <t xml:space="preserve">Anti-myth specialist</t>
  </si>
  <si>
    <t xml:space="preserve">Exceptional identity and opposition to monsters or divine threats</t>
  </si>
  <si>
    <t xml:space="preserve">Biography, ritual status, tragedy, political role, and moral complexity are subordinated to a combat tag.</t>
  </si>
  <si>
    <t xml:space="preserve">Counters myth units and performs special objective functions</t>
  </si>
  <si>
    <t xml:space="preserve">XWK-0007</t>
  </si>
  <si>
    <t xml:space="preserve">Human military role</t>
  </si>
  <si>
    <t xml:space="preserve">Profession, social order, or historical unit</t>
  </si>
  <si>
    <t xml:space="preserve">Human unit</t>
  </si>
  <si>
    <t xml:space="preserve">Baseline military unit</t>
  </si>
  <si>
    <t xml:space="preserve">Weapons, broad tactical function, and factional identity</t>
  </si>
  <si>
    <t xml:space="preserve">Training, status, logistics, historical change, and social institutions become standardized unit stats.</t>
  </si>
  <si>
    <t xml:space="preserve">Provides the ordinary army and participates in counter relationships</t>
  </si>
  <si>
    <t xml:space="preserve">XWK-0008</t>
  </si>
  <si>
    <t xml:space="preserve">Cosmic, historical, or mythic age</t>
  </si>
  <si>
    <t xml:space="preserve">Temporal/cosmological model</t>
  </si>
  <si>
    <t xml:space="preserve">Archaic/Classical/Heroic/Mythic age progression</t>
  </si>
  <si>
    <t xml:space="preserve">Technology tier</t>
  </si>
  <si>
    <t xml:space="preserve">Sense of advancement and changing capability</t>
  </si>
  <si>
    <t xml:space="preserve">Source-specific time models become a universal four-step economic and military ladder.</t>
  </si>
  <si>
    <t xml:space="preserve">Unlocks buildings, units, technologies, and minor-god choices</t>
  </si>
  <si>
    <t xml:space="preserve">XWK-0009</t>
  </si>
  <si>
    <t xml:space="preserve">Temple or shrine</t>
  </si>
  <si>
    <t xml:space="preserve">Ritual institution / sacred place</t>
  </si>
  <si>
    <t xml:space="preserve">Temple</t>
  </si>
  <si>
    <t xml:space="preserve">Production and relic-storage building</t>
  </si>
  <si>
    <t xml:space="preserve">Sacred building identity and relation to divine powers</t>
  </si>
  <si>
    <t xml:space="preserve">Ritual specialists, calendars, offerings, social authority, local history, and architectural variation are reduced to production functions.</t>
  </si>
  <si>
    <t xml:space="preserve">Produces myth units, researches technologies, and stores relics</t>
  </si>
  <si>
    <t xml:space="preserve">XWK-0010</t>
  </si>
  <si>
    <t xml:space="preserve">Relic or sacred object</t>
  </si>
  <si>
    <t xml:space="preserve">Artifact / cultic object / legendary possession</t>
  </si>
  <si>
    <t xml:space="preserve">Relic</t>
  </si>
  <si>
    <t xml:space="preserve">Capturable map bonus</t>
  </si>
  <si>
    <t xml:space="preserve">Rarity, sacred or legendary aura, and hero association</t>
  </si>
  <si>
    <t xml:space="preserve">Provenance, ritual custody, narrative uniqueness, contested authenticity, and restrictions are standardized.</t>
  </si>
  <si>
    <t xml:space="preserve">Heroes carry relics to temples for persistent bonuses</t>
  </si>
  <si>
    <t xml:space="preserve">XWK-0011</t>
  </si>
  <si>
    <t xml:space="preserve">Primordial or colossal being</t>
  </si>
  <si>
    <t xml:space="preserve">Divine/primordial person or monster</t>
  </si>
  <si>
    <t xml:space="preserve">Late-game superunit</t>
  </si>
  <si>
    <t xml:space="preserve">Scale, ancient power, and catastrophic presence</t>
  </si>
  <si>
    <t xml:space="preserve">Genealogy, plurality, cosmic role, and individual narrative become one strategic category.</t>
  </si>
  <si>
    <t xml:space="preserve">Provides decisive late-game combat power</t>
  </si>
  <si>
    <t xml:space="preserve">XWK-0012</t>
  </si>
  <si>
    <t xml:space="preserve">Threshold between worlds</t>
  </si>
  <si>
    <t xml:space="preserve">Cosmological boundary / ritual passage</t>
  </si>
  <si>
    <t xml:space="preserve">Constructed production gate</t>
  </si>
  <si>
    <t xml:space="preserve">Sense of opening a passage for a primordial being</t>
  </si>
  <si>
    <t xml:space="preserve">Ritual, cosmic law, divine conflict, and source geography become a construction project.</t>
  </si>
  <si>
    <t xml:space="preserve">Summons or enables a Titan superunit</t>
  </si>
  <si>
    <t xml:space="preserve">XWK-0013</t>
  </si>
  <si>
    <t xml:space="preserve">Monumental sacred or royal construction</t>
  </si>
  <si>
    <t xml:space="preserve">Artifact/institution/sacred geography</t>
  </si>
  <si>
    <t xml:space="preserve">Wonder</t>
  </si>
  <si>
    <t xml:space="preserve">Victory project and endgame trigger</t>
  </si>
  <si>
    <t xml:space="preserve">Monument mechanization</t>
  </si>
  <si>
    <t xml:space="preserve">Scale, prestige, civilization identity, and sacred symbolism</t>
  </si>
  <si>
    <t xml:space="preserve">Historical function, labor, ritual, and contested meaning become a standardized strategic objective.</t>
  </si>
  <si>
    <t xml:space="preserve">Supports victory conditions and the Wonder Age</t>
  </si>
  <si>
    <t xml:space="preserve">XWK-0014</t>
  </si>
  <si>
    <t xml:space="preserve">Pantheon plurality</t>
  </si>
  <si>
    <t xml:space="preserve">Relational divine network</t>
  </si>
  <si>
    <t xml:space="preserve">Pantheon roster</t>
  </si>
  <si>
    <t xml:space="preserve">Civilization faction tree</t>
  </si>
  <si>
    <t xml:space="preserve">Systematization</t>
  </si>
  <si>
    <t xml:space="preserve">Recognizable deity names and domain associations</t>
  </si>
  <si>
    <t xml:space="preserve">Fluid, local, historical, and overlapping relations are made exhaustive, balanced, and hierarchically selectable.</t>
  </si>
  <si>
    <t xml:space="preserve">Creates comparable faction architecture</t>
  </si>
  <si>
    <t xml:space="preserve">XWK-0015</t>
  </si>
  <si>
    <t xml:space="preserve">Ambivalent spirit or monster</t>
  </si>
  <si>
    <t xml:space="preserve">Source-specific person or being type</t>
  </si>
  <si>
    <t xml:space="preserve">Allied/enemy combat unit</t>
  </si>
  <si>
    <t xml:space="preserve">Tactical roster slot</t>
  </si>
  <si>
    <t xml:space="preserve">Visual identity and one or two signature capacities</t>
  </si>
  <si>
    <t xml:space="preserve">Ambivalence, hospitality, locality, kinship, ritual role, and noncombat meanings may disappear.</t>
  </si>
  <si>
    <t xml:space="preserve">Clarifies battlefield role and counter readability</t>
  </si>
  <si>
    <t xml:space="preserve">XWK-0016</t>
  </si>
  <si>
    <t xml:space="preserve">Sacred place or mythic landscape</t>
  </si>
  <si>
    <t xml:space="preserve">Sacred geography</t>
  </si>
  <si>
    <t xml:space="preserve">Map terrain, settlement, objective, or campaign location</t>
  </si>
  <si>
    <t xml:space="preserve">Spatial game element</t>
  </si>
  <si>
    <t xml:space="preserve">Place-name, atmosphere, and broad narrative association</t>
  </si>
  <si>
    <t xml:space="preserve">Pilgrimage, layered memory, ritual access, and living relations to land are converted into traversable or capturable space.</t>
  </si>
  <si>
    <t xml:space="preserve">Shapes map tactics, scenario objectives, and campaign progression</t>
  </si>
  <si>
    <t xml:space="preserve">XWK-0017</t>
  </si>
  <si>
    <t xml:space="preserve">Greek gods and heroes</t>
  </si>
  <si>
    <t xml:space="preserve">Divine and heroic traditions</t>
  </si>
  <si>
    <t xml:space="preserve">Greek major/minor gods and hero units</t>
  </si>
  <si>
    <t xml:space="preserve">Playable pantheon roster</t>
  </si>
  <si>
    <t xml:space="preserve">Names, iconography, divine domains, selected monsters, and hero figures</t>
  </si>
  <si>
    <t xml:space="preserve">Multiple periods, cults, cities, authors, and contradictory genealogies are compressed into one coherent faction.</t>
  </si>
  <si>
    <t xml:space="preserve">Provides deity branches, heroes, myth units, powers, and technologies</t>
  </si>
  <si>
    <t xml:space="preserve">XWK-0018</t>
  </si>
  <si>
    <t xml:space="preserve">Egyptian divine and funerary traditions</t>
  </si>
  <si>
    <t xml:space="preserve">Divine, royal, ritual, and afterlife systems</t>
  </si>
  <si>
    <t xml:space="preserve">Egyptian pantheon and priest/pharaoh mechanics</t>
  </si>
  <si>
    <t xml:space="preserve">Temporal and institutional compression</t>
  </si>
  <si>
    <t xml:space="preserve">Divine iconography, monuments, priests, selected funerary and animal-associated imagery</t>
  </si>
  <si>
    <t xml:space="preserve">Millennia of regional and historical variation become one stable civilization with a single counter economy.</t>
  </si>
  <si>
    <t xml:space="preserve">Defines asymmetric economy, divine branches, myth units, and monuments</t>
  </si>
  <si>
    <t xml:space="preserve">XWK-0019</t>
  </si>
  <si>
    <t xml:space="preserve">Norse gods, jötnar, heroes, and eschatology</t>
  </si>
  <si>
    <t xml:space="preserve">Mythic and literary traditions</t>
  </si>
  <si>
    <t xml:space="preserve">Norse pantheon and combat-linked favor</t>
  </si>
  <si>
    <t xml:space="preserve">Names, Eddic imagery, warfare, monsters, and Ragnarök-associated motifs</t>
  </si>
  <si>
    <t xml:space="preserve">Distinct sources and ambiguous categories are merged with modern Viking visual convention.</t>
  </si>
  <si>
    <t xml:space="preserve">Creates aggressive faction economy, hero units, myth units, and god powers</t>
  </si>
  <si>
    <t xml:space="preserve">XWK-0020</t>
  </si>
  <si>
    <t xml:space="preserve">Atlantis reception and Greek divine material</t>
  </si>
  <si>
    <t xml:space="preserve">Philosophical literary motif plus later invention</t>
  </si>
  <si>
    <t xml:space="preserve">Game-original/composite faction</t>
  </si>
  <si>
    <t xml:space="preserve">Invented tradition / recombination</t>
  </si>
  <si>
    <t xml:space="preserve">Atlantis name, Greek divine figures, Titan motifs, and lost-civilization imagery</t>
  </si>
  <si>
    <t xml:space="preserve">A nonexistent ancient pantheon is presented with the systemic completeness of historical factions.</t>
  </si>
  <si>
    <t xml:space="preserve">Provides a distinct economy, heroized citizens, divine branches, and campaign identity</t>
  </si>
  <si>
    <t xml:space="preserve">Adaptation construction</t>
  </si>
  <si>
    <t xml:space="preserve">XWK-0021</t>
  </si>
  <si>
    <t xml:space="preserve">Celestial bureaucracy, immortals, deities, and mythic beings</t>
  </si>
  <si>
    <t xml:space="preserve">Plural religious/literary systems</t>
  </si>
  <si>
    <t xml:space="preserve">Chinese pantheon — Immortal Pillars</t>
  </si>
  <si>
    <t xml:space="preserve">Expansion faction roster</t>
  </si>
  <si>
    <t xml:space="preserve">Syncretism and factionalization</t>
  </si>
  <si>
    <t xml:space="preserve">Selected divine names, celestial administration motifs, legendary beings, and visual symbols</t>
  </si>
  <si>
    <t xml:space="preserve">Daoist, Buddhist, popular, literary, local, and regional materials risk being merged into one timeless pantheon.</t>
  </si>
  <si>
    <t xml:space="preserve">Adds major/minor gods, myth units, technologies, powers, and a faction economy</t>
  </si>
  <si>
    <t xml:space="preserve">XWK-0022</t>
  </si>
  <si>
    <t xml:space="preserve">Kami, yōkai, heroes, ritual purity, and sacred place</t>
  </si>
  <si>
    <t xml:space="preserve">Religious, folkloric, and literary traditions</t>
  </si>
  <si>
    <t xml:space="preserve">Japanese pantheon — Heavenly Spear</t>
  </si>
  <si>
    <t xml:space="preserve">Syncretism and unitization</t>
  </si>
  <si>
    <t xml:space="preserve">Selected names, iconography, beings, weapons, and place/spirit motifs</t>
  </si>
  <si>
    <t xml:space="preserve">Kami, yōkai, historical figures, and modern popular representations become one balanced roster.</t>
  </si>
  <si>
    <t xml:space="preserve">Adds deity branches, myth units, heroes, powers, and technologies</t>
  </si>
  <si>
    <t xml:space="preserve">XWK-0023</t>
  </si>
  <si>
    <t xml:space="preserve">Mexica divine, ritual, calendrical, and warrior systems</t>
  </si>
  <si>
    <t xml:space="preserve">Religious, political, and sacred-historical traditions</t>
  </si>
  <si>
    <t xml:space="preserve">Mexica/Aztec pantheon — Obsidian Mirror</t>
  </si>
  <si>
    <t xml:space="preserve">Ritual-economy abstraction</t>
  </si>
  <si>
    <t xml:space="preserve">Selected divine names, calendrical or warrior imagery, beings, and monumental forms</t>
  </si>
  <si>
    <t xml:space="preserve">Complex ritual obligations, sacred history, city-state politics, colonial-source mediation, and regional specificity may be simplified.</t>
  </si>
  <si>
    <t xml:space="preserve">Adds deity branches, myth units, powers, technologies, and a faction economy</t>
  </si>
  <si>
    <t xml:space="preserve">XWK-0024</t>
  </si>
  <si>
    <t xml:space="preserve">Offering and ritual reciprocity</t>
  </si>
  <si>
    <t xml:space="preserve">Ritual exchange</t>
  </si>
  <si>
    <t xml:space="preserve">Civilization-specific favor generation</t>
  </si>
  <si>
    <t xml:space="preserve">Economic submodel</t>
  </si>
  <si>
    <t xml:space="preserve">The idea that divine relation requires patterned human action</t>
  </si>
  <si>
    <t xml:space="preserve">Ritual plurality and noninstrumental religious meaning become optimized production behavior.</t>
  </si>
  <si>
    <t xml:space="preserve">Differentiates faction economy and controls mythic production</t>
  </si>
  <si>
    <t xml:space="preserve">XWK-0025</t>
  </si>
  <si>
    <t xml:space="preserve">Divine genealogy and association</t>
  </si>
  <si>
    <t xml:space="preserve">Relational cosmology</t>
  </si>
  <si>
    <t xml:space="preserve">Major/minor god tech tree</t>
  </si>
  <si>
    <t xml:space="preserve">Hierarchical unlock graph</t>
  </si>
  <si>
    <t xml:space="preserve">Graph standardization</t>
  </si>
  <si>
    <t xml:space="preserve">Recognizable associations among gods, beings, powers, and symbols</t>
  </si>
  <si>
    <t xml:space="preserve">Nonhierarchical, contradictory, local, and changing relations become fixed prerequisites.</t>
  </si>
  <si>
    <t xml:space="preserve">Creates readable branching progression</t>
  </si>
  <si>
    <t xml:space="preserve">XWK-0026</t>
  </si>
  <si>
    <t xml:space="preserve">Legendary weapon or divine object</t>
  </si>
  <si>
    <t xml:space="preserve">Unique artifact</t>
  </si>
  <si>
    <t xml:space="preserve">Technology, god power, unit ability, or relic bonus</t>
  </si>
  <si>
    <t xml:space="preserve">Distributed mechanic</t>
  </si>
  <si>
    <t xml:space="preserve">Name, image, or signature effect</t>
  </si>
  <si>
    <t xml:space="preserve">The object's biography and eligibility rules may be split across unrelated systems or reduced to an icon.</t>
  </si>
  <si>
    <t xml:space="preserve">Supports upgrades, activated powers, or passive bonuses</t>
  </si>
  <si>
    <t xml:space="preserve">XWK-0027</t>
  </si>
  <si>
    <t xml:space="preserve">Mythic transformation or divine manifestation</t>
  </si>
  <si>
    <t xml:space="preserve">Narrative/ritual event</t>
  </si>
  <si>
    <t xml:space="preserve">Unit transformation or temporary power effect</t>
  </si>
  <si>
    <t xml:space="preserve">Timed mechanic</t>
  </si>
  <si>
    <t xml:space="preserve">Visual change and extraordinary capability</t>
  </si>
  <si>
    <t xml:space="preserve">Identity, revelation, rite, and theological meaning become duration, stats, and cooldown.</t>
  </si>
  <si>
    <t xml:space="preserve">Provides tactical escalation or temporary advantage</t>
  </si>
  <si>
    <t xml:space="preserve">XWK-0028</t>
  </si>
  <si>
    <t xml:space="preserve">Apocalyptic or world-renewing event</t>
  </si>
  <si>
    <t xml:space="preserve">Eschatological narrative</t>
  </si>
  <si>
    <t xml:space="preserve">Scenario objective, god power, Titan event, or victory state</t>
  </si>
  <si>
    <t xml:space="preserve">Match-level event</t>
  </si>
  <si>
    <t xml:space="preserve">Scale reduction</t>
  </si>
  <si>
    <t xml:space="preserve">Catastrophic spectacle and decisive transition</t>
  </si>
  <si>
    <t xml:space="preserve">World history and moral/cosmological stakes are compressed into one battle or scenario.</t>
  </si>
  <si>
    <t xml:space="preserve">Creates late-game pressure and campaign climax</t>
  </si>
  <si>
    <t xml:space="preserve">XWK-0029</t>
  </si>
  <si>
    <t xml:space="preserve">Sacred kingship or divine authorization</t>
  </si>
  <si>
    <t xml:space="preserve">Political-religious office</t>
  </si>
  <si>
    <t xml:space="preserve">Civilization bonus or hero aura</t>
  </si>
  <si>
    <t xml:space="preserve">Passive faction modifier</t>
  </si>
  <si>
    <t xml:space="preserve">Statistical abstraction</t>
  </si>
  <si>
    <t xml:space="preserve">Link between rulership, divine favor, and collective capacity</t>
  </si>
  <si>
    <t xml:space="preserve">Ritual legitimacy, law, succession, and social obligations become numeric efficiency.</t>
  </si>
  <si>
    <t xml:space="preserve">Differentiates economy, military, or technology</t>
  </si>
  <si>
    <t xml:space="preserve">XWK-0030</t>
  </si>
  <si>
    <t xml:space="preserve">Local or unique monster</t>
  </si>
  <si>
    <t xml:space="preserve">Place-bound or singular being</t>
  </si>
  <si>
    <t xml:space="preserve">Repeatable trainable myth unit</t>
  </si>
  <si>
    <t xml:space="preserve">Mass-produced unit type</t>
  </si>
  <si>
    <t xml:space="preserve">Name, shape, and signature ability</t>
  </si>
  <si>
    <t xml:space="preserve">Uniqueness, locality, narrative encounter, and individual agency are removed.</t>
  </si>
  <si>
    <t xml:space="preserve">Allows repeated production and standardized counters</t>
  </si>
  <si>
    <t xml:space="preserve">Archetype_Names</t>
  </si>
  <si>
    <t xml:space="preserve">Mapping_Basis</t>
  </si>
  <si>
    <t xml:space="preserve">Confidence</t>
  </si>
  <si>
    <t xml:space="preserve">Notes</t>
  </si>
  <si>
    <t xml:space="preserve">CON-0001</t>
  </si>
  <si>
    <t xml:space="preserve">Gods</t>
  </si>
  <si>
    <t xml:space="preserve">orientation-maps-to</t>
  </si>
  <si>
    <t xml:space="preserve">Source Corpus.Distinctive_Contribution</t>
  </si>
  <si>
    <t xml:space="preserve">moderate</t>
  </si>
  <si>
    <t xml:space="preserve">Corpus orientation only</t>
  </si>
  <si>
    <t xml:space="preserve">Needs source-specific verification</t>
  </si>
  <si>
    <t xml:space="preserve">Comparative navigation coordinate; not a canonical source entry or claim of exact equivalence.</t>
  </si>
  <si>
    <t xml:space="preserve">CON-0002</t>
  </si>
  <si>
    <t xml:space="preserve">demigods</t>
  </si>
  <si>
    <t xml:space="preserve">high</t>
  </si>
  <si>
    <t xml:space="preserve">CON-0003</t>
  </si>
  <si>
    <t xml:space="preserve">heroes</t>
  </si>
  <si>
    <t xml:space="preserve">source-describes-concept</t>
  </si>
  <si>
    <t xml:space="preserve">unmapped</t>
  </si>
  <si>
    <t xml:space="preserve">CON-0004</t>
  </si>
  <si>
    <t xml:space="preserve">monsters</t>
  </si>
  <si>
    <t xml:space="preserve">low</t>
  </si>
  <si>
    <t xml:space="preserve">CON-0005</t>
  </si>
  <si>
    <t xml:space="preserve">nymphs</t>
  </si>
  <si>
    <t xml:space="preserve">CON-0006</t>
  </si>
  <si>
    <t xml:space="preserve">underworld journeys</t>
  </si>
  <si>
    <t xml:space="preserve">NAR-410; COS-300</t>
  </si>
  <si>
    <t xml:space="preserve">Descent into the Underworld; Afterlives &amp; Underworlds</t>
  </si>
  <si>
    <t xml:space="preserve">CON-0007</t>
  </si>
  <si>
    <t xml:space="preserve">metamorphosis</t>
  </si>
  <si>
    <t xml:space="preserve">CON-0008</t>
  </si>
  <si>
    <t xml:space="preserve">prophecy</t>
  </si>
  <si>
    <t xml:space="preserve">CON-0009</t>
  </si>
  <si>
    <t xml:space="preserve">Jötnar</t>
  </si>
  <si>
    <t xml:space="preserve">CON-0010</t>
  </si>
  <si>
    <t xml:space="preserve">elves</t>
  </si>
  <si>
    <t xml:space="preserve">CON-0011</t>
  </si>
  <si>
    <t xml:space="preserve">dwarfs</t>
  </si>
  <si>
    <t xml:space="preserve">CON-0012</t>
  </si>
  <si>
    <t xml:space="preserve">draugr</t>
  </si>
  <si>
    <t xml:space="preserve">CON-0013</t>
  </si>
  <si>
    <t xml:space="preserve">world serpent</t>
  </si>
  <si>
    <t xml:space="preserve">CON-0014</t>
  </si>
  <si>
    <t xml:space="preserve">valkyries</t>
  </si>
  <si>
    <t xml:space="preserve">CON-0015</t>
  </si>
  <si>
    <t xml:space="preserve">fate</t>
  </si>
  <si>
    <t xml:space="preserve">CON-0016</t>
  </si>
  <si>
    <t xml:space="preserve">cyclical apocalypse</t>
  </si>
  <si>
    <t xml:space="preserve">NAR-418; COS-700</t>
  </si>
  <si>
    <t xml:space="preserve">Apocalypse and Prevention; Eschatology, Cycles &amp; World Change</t>
  </si>
  <si>
    <t xml:space="preserve">CON-0017</t>
  </si>
  <si>
    <t xml:space="preserve">Otherworld peoples</t>
  </si>
  <si>
    <t xml:space="preserve">CON-0018</t>
  </si>
  <si>
    <t xml:space="preserve">geasa</t>
  </si>
  <si>
    <t xml:space="preserve">CON-0019</t>
  </si>
  <si>
    <t xml:space="preserve">heroic warbands</t>
  </si>
  <si>
    <t xml:space="preserve">CON-0020</t>
  </si>
  <si>
    <t xml:space="preserve">sovereignty</t>
  </si>
  <si>
    <t xml:space="preserve">CON-0021</t>
  </si>
  <si>
    <t xml:space="preserve">transformation</t>
  </si>
  <si>
    <t xml:space="preserve">CON-0022</t>
  </si>
  <si>
    <t xml:space="preserve">fairy mounds</t>
  </si>
  <si>
    <t xml:space="preserve">CON-0023</t>
  </si>
  <si>
    <t xml:space="preserve">Otherworld journeys</t>
  </si>
  <si>
    <t xml:space="preserve">CON-0024</t>
  </si>
  <si>
    <t xml:space="preserve">enchantment</t>
  </si>
  <si>
    <t xml:space="preserve">CON-0025</t>
  </si>
  <si>
    <t xml:space="preserve">shapechange</t>
  </si>
  <si>
    <t xml:space="preserve">CON-0026</t>
  </si>
  <si>
    <t xml:space="preserve">cursed sovereignty</t>
  </si>
  <si>
    <t xml:space="preserve">STA-311; LAW-204</t>
  </si>
  <si>
    <t xml:space="preserve">Cursed State; Curse</t>
  </si>
  <si>
    <t xml:space="preserve">CON-0027</t>
  </si>
  <si>
    <t xml:space="preserve">heroic kinship</t>
  </si>
  <si>
    <t xml:space="preserve">CON-0028</t>
  </si>
  <si>
    <t xml:space="preserve">Knights</t>
  </si>
  <si>
    <t xml:space="preserve">CON-0029</t>
  </si>
  <si>
    <t xml:space="preserve">quests</t>
  </si>
  <si>
    <t xml:space="preserve">CON-0030</t>
  </si>
  <si>
    <t xml:space="preserve">holy relics</t>
  </si>
  <si>
    <t xml:space="preserve">NAR-401; ART-100</t>
  </si>
  <si>
    <t xml:space="preserve">Quest for a Relic; Empowered Objects &amp; Relics</t>
  </si>
  <si>
    <t xml:space="preserve">CON-0031</t>
  </si>
  <si>
    <t xml:space="preserve">enchanted weapons</t>
  </si>
  <si>
    <t xml:space="preserve">CON-0032</t>
  </si>
  <si>
    <t xml:space="preserve">courtly orders</t>
  </si>
  <si>
    <t xml:space="preserve">CON-0033</t>
  </si>
  <si>
    <t xml:space="preserve">grail patterns</t>
  </si>
  <si>
    <t xml:space="preserve">CON-0034</t>
  </si>
  <si>
    <t xml:space="preserve">Song magic</t>
  </si>
  <si>
    <t xml:space="preserve">CON-0035</t>
  </si>
  <si>
    <t xml:space="preserve">smithing</t>
  </si>
  <si>
    <t xml:space="preserve">CON-0036</t>
  </si>
  <si>
    <t xml:space="preserve">shamanic heroes</t>
  </si>
  <si>
    <t xml:space="preserve">CON-0037</t>
  </si>
  <si>
    <t xml:space="preserve">artifact quest</t>
  </si>
  <si>
    <t xml:space="preserve">NAR-401; NAR-400</t>
  </si>
  <si>
    <t xml:space="preserve">Quest for a Relic; Plot and Journey Archetypes</t>
  </si>
  <si>
    <t xml:space="preserve">CON-0038</t>
  </si>
  <si>
    <t xml:space="preserve">rival cultures</t>
  </si>
  <si>
    <t xml:space="preserve">CON-0039</t>
  </si>
  <si>
    <t xml:space="preserve">Vampiric revenants</t>
  </si>
  <si>
    <t xml:space="preserve">CON-0040</t>
  </si>
  <si>
    <t xml:space="preserve">household spirits</t>
  </si>
  <si>
    <t xml:space="preserve">PPL-300; PPL-205; INS-400</t>
  </si>
  <si>
    <t xml:space="preserve">Spirits and Elementals; Household and Hearth Spirits; Kinship, Political, and Secret Organizations</t>
  </si>
  <si>
    <t xml:space="preserve">CON-0041</t>
  </si>
  <si>
    <t xml:space="preserve">witches</t>
  </si>
  <si>
    <t xml:space="preserve">CON-0042</t>
  </si>
  <si>
    <t xml:space="preserve">forest beings</t>
  </si>
  <si>
    <t xml:space="preserve">CON-0043</t>
  </si>
  <si>
    <t xml:space="preserve">dragons</t>
  </si>
  <si>
    <t xml:space="preserve">CON-0044</t>
  </si>
  <si>
    <t xml:space="preserve">deathless sorcerers</t>
  </si>
  <si>
    <t xml:space="preserve">PPL-600; ROL-302</t>
  </si>
  <si>
    <t xml:space="preserve">Undead Beings; Sorcerer</t>
  </si>
  <si>
    <t xml:space="preserve">CON-0045</t>
  </si>
  <si>
    <t xml:space="preserve">CON-0046</t>
  </si>
  <si>
    <t xml:space="preserve">enchanted animals</t>
  </si>
  <si>
    <t xml:space="preserve">CON-0047</t>
  </si>
  <si>
    <t xml:space="preserve">curses</t>
  </si>
  <si>
    <t xml:space="preserve">CON-0048</t>
  </si>
  <si>
    <t xml:space="preserve">helpers</t>
  </si>
  <si>
    <t xml:space="preserve">CON-0049</t>
  </si>
  <si>
    <t xml:space="preserve">trials</t>
  </si>
  <si>
    <t xml:space="preserve">CON-0050</t>
  </si>
  <si>
    <t xml:space="preserve">transformed royals</t>
  </si>
  <si>
    <t xml:space="preserve">CON-0051</t>
  </si>
  <si>
    <t xml:space="preserve">household magic</t>
  </si>
  <si>
    <t xml:space="preserve">CON-0052</t>
  </si>
  <si>
    <t xml:space="preserve">CON-0053</t>
  </si>
  <si>
    <t xml:space="preserve">sorcerers</t>
  </si>
  <si>
    <t xml:space="preserve">CON-0054</t>
  </si>
  <si>
    <t xml:space="preserve">talismans</t>
  </si>
  <si>
    <t xml:space="preserve">PWR-511; ART-100</t>
  </si>
  <si>
    <t xml:space="preserve">Visual Art and Painting Magic; Empowered Objects &amp; Relics</t>
  </si>
  <si>
    <t xml:space="preserve">CON-0055</t>
  </si>
  <si>
    <t xml:space="preserve">magical travel</t>
  </si>
  <si>
    <t xml:space="preserve">CON-0056</t>
  </si>
  <si>
    <t xml:space="preserve">tricksters</t>
  </si>
  <si>
    <t xml:space="preserve">CON-0057</t>
  </si>
  <si>
    <t xml:space="preserve">merchants</t>
  </si>
  <si>
    <t xml:space="preserve">CON-0058</t>
  </si>
  <si>
    <t xml:space="preserve">nested stories</t>
  </si>
  <si>
    <t xml:space="preserve">CON-0059</t>
  </si>
  <si>
    <t xml:space="preserve">Spirit personhood</t>
  </si>
  <si>
    <t xml:space="preserve">CON-0060</t>
  </si>
  <si>
    <t xml:space="preserve">free will</t>
  </si>
  <si>
    <t xml:space="preserve">CON-0061</t>
  </si>
  <si>
    <t xml:space="preserve">binding</t>
  </si>
  <si>
    <t xml:space="preserve">CON-0062</t>
  </si>
  <si>
    <t xml:space="preserve">possession</t>
  </si>
  <si>
    <t xml:space="preserve">CON-0063</t>
  </si>
  <si>
    <t xml:space="preserve">fire origins</t>
  </si>
  <si>
    <t xml:space="preserve">CON-0064</t>
  </si>
  <si>
    <t xml:space="preserve">parallel societies</t>
  </si>
  <si>
    <t xml:space="preserve">CON-0065</t>
  </si>
  <si>
    <t xml:space="preserve">Heroic warriors</t>
  </si>
  <si>
    <t xml:space="preserve">CON-0066</t>
  </si>
  <si>
    <t xml:space="preserve">kingship</t>
  </si>
  <si>
    <t xml:space="preserve">CON-0067</t>
  </si>
  <si>
    <t xml:space="preserve">demons</t>
  </si>
  <si>
    <t xml:space="preserve">CON-0068</t>
  </si>
  <si>
    <t xml:space="preserve">magical birds</t>
  </si>
  <si>
    <t xml:space="preserve">CON-0069</t>
  </si>
  <si>
    <t xml:space="preserve">tragic champions</t>
  </si>
  <si>
    <t xml:space="preserve">CON-0070</t>
  </si>
  <si>
    <t xml:space="preserve">dynastic cycles</t>
  </si>
  <si>
    <t xml:space="preserve">CON-0071</t>
  </si>
  <si>
    <t xml:space="preserve">Hero-king</t>
  </si>
  <si>
    <t xml:space="preserve">ROL-700; NAR-100</t>
  </si>
  <si>
    <t xml:space="preserve">Leadership and Social Office Roles; Hero and Protagonist Archetypes</t>
  </si>
  <si>
    <t xml:space="preserve">CON-0072</t>
  </si>
  <si>
    <t xml:space="preserve">wild companion</t>
  </si>
  <si>
    <t xml:space="preserve">CON-0073</t>
  </si>
  <si>
    <t xml:space="preserve">monster guardians</t>
  </si>
  <si>
    <t xml:space="preserve">CON-0074</t>
  </si>
  <si>
    <t xml:space="preserve">divine conflict</t>
  </si>
  <si>
    <t xml:space="preserve">CON-0075</t>
  </si>
  <si>
    <t xml:space="preserve">immortality quest</t>
  </si>
  <si>
    <t xml:space="preserve">PWR-312; NAR-400</t>
  </si>
  <si>
    <t xml:space="preserve">Immortality Magic; Plot and Journey Archetypes</t>
  </si>
  <si>
    <t xml:space="preserve">CON-0076</t>
  </si>
  <si>
    <t xml:space="preserve">Divine kingship</t>
  </si>
  <si>
    <t xml:space="preserve">CON-0077</t>
  </si>
  <si>
    <t xml:space="preserve">animal-headed gods</t>
  </si>
  <si>
    <t xml:space="preserve">CON-0078</t>
  </si>
  <si>
    <t xml:space="preserve">afterlife judgment</t>
  </si>
  <si>
    <t xml:space="preserve">CON-0079</t>
  </si>
  <si>
    <t xml:space="preserve">resurrection</t>
  </si>
  <si>
    <t xml:space="preserve">CON-0080</t>
  </si>
  <si>
    <t xml:space="preserve">sacred names</t>
  </si>
  <si>
    <t xml:space="preserve">CON-0081</t>
  </si>
  <si>
    <t xml:space="preserve">Divine and semi-divine beings</t>
  </si>
  <si>
    <t xml:space="preserve">CON-0082</t>
  </si>
  <si>
    <t xml:space="preserve">dynastic and kinship orders</t>
  </si>
  <si>
    <t xml:space="preserve">INS-200; INS-400; LAW-800</t>
  </si>
  <si>
    <t xml:space="preserve">Martial and Protective Organizations; Kinship, Political, and Secret Organizations; Hospitality, Kinship &amp; Social Metaphysics</t>
  </si>
  <si>
    <t xml:space="preserve">CON-0083</t>
  </si>
  <si>
    <t xml:space="preserve">chariot warfare</t>
  </si>
  <si>
    <t xml:space="preserve">CON-0084</t>
  </si>
  <si>
    <t xml:space="preserve">vows</t>
  </si>
  <si>
    <t xml:space="preserve">CON-0085</t>
  </si>
  <si>
    <t xml:space="preserve">boons</t>
  </si>
  <si>
    <t xml:space="preserve">CON-0086</t>
  </si>
  <si>
    <t xml:space="preserve">CON-0087</t>
  </si>
  <si>
    <t xml:space="preserve">ascetic power</t>
  </si>
  <si>
    <t xml:space="preserve">CON-0088</t>
  </si>
  <si>
    <t xml:space="preserve">sacred weapons</t>
  </si>
  <si>
    <t xml:space="preserve">CON-0089</t>
  </si>
  <si>
    <t xml:space="preserve">dharma conflicts</t>
  </si>
  <si>
    <t xml:space="preserve">CON-0090</t>
  </si>
  <si>
    <t xml:space="preserve">cosmic time</t>
  </si>
  <si>
    <t xml:space="preserve">CON-0091</t>
  </si>
  <si>
    <t xml:space="preserve">death and rebirth</t>
  </si>
  <si>
    <t xml:space="preserve">CON-0092</t>
  </si>
  <si>
    <t xml:space="preserve">and layered narrative authority</t>
  </si>
  <si>
    <t xml:space="preserve">CON-0093</t>
  </si>
  <si>
    <t xml:space="preserve">Divine hero</t>
  </si>
  <si>
    <t xml:space="preserve">CON-0094</t>
  </si>
  <si>
    <t xml:space="preserve">demon kingdom</t>
  </si>
  <si>
    <t xml:space="preserve">PPL-501; ROL-700; NAR-301</t>
  </si>
  <si>
    <t xml:space="preserve">Demons; Leadership and Social Office Roles; Dark Lord</t>
  </si>
  <si>
    <t xml:space="preserve">CON-0095</t>
  </si>
  <si>
    <t xml:space="preserve">monkey and bear allies</t>
  </si>
  <si>
    <t xml:space="preserve">CON-0096</t>
  </si>
  <si>
    <t xml:space="preserve">CON-0097</t>
  </si>
  <si>
    <t xml:space="preserve">exile and return</t>
  </si>
  <si>
    <t xml:space="preserve">STA-504; NAR-108</t>
  </si>
  <si>
    <t xml:space="preserve">Banished or Exiled Across Realms; Returning King or Restorer</t>
  </si>
  <si>
    <t xml:space="preserve">CON-0098</t>
  </si>
  <si>
    <t xml:space="preserve">Immortals</t>
  </si>
  <si>
    <t xml:space="preserve">CON-0099</t>
  </si>
  <si>
    <t xml:space="preserve">CON-0100</t>
  </si>
  <si>
    <t xml:space="preserve">shapeshifters</t>
  </si>
  <si>
    <t xml:space="preserve">CON-0101</t>
  </si>
  <si>
    <t xml:space="preserve">pilgrimage party</t>
  </si>
  <si>
    <t xml:space="preserve">NAR-200; NAR-400</t>
  </si>
  <si>
    <t xml:space="preserve">Companion, Mentor, and Party Archetypes; Plot and Journey Archetypes</t>
  </si>
  <si>
    <t xml:space="preserve">CON-0102</t>
  </si>
  <si>
    <t xml:space="preserve">cultivation</t>
  </si>
  <si>
    <t xml:space="preserve">CON-0103</t>
  </si>
  <si>
    <t xml:space="preserve">magical weapons</t>
  </si>
  <si>
    <t xml:space="preserve">CON-0104</t>
  </si>
  <si>
    <t xml:space="preserve">God-making</t>
  </si>
  <si>
    <t xml:space="preserve">PPL-400; ROL-700</t>
  </si>
  <si>
    <t xml:space="preserve">Divine and Celestial Beings; Leadership and Social Office Roles</t>
  </si>
  <si>
    <t xml:space="preserve">CON-0105</t>
  </si>
  <si>
    <t xml:space="preserve">immortals</t>
  </si>
  <si>
    <t xml:space="preserve">CON-0106</t>
  </si>
  <si>
    <t xml:space="preserve">sects</t>
  </si>
  <si>
    <t xml:space="preserve">CON-0107</t>
  </si>
  <si>
    <t xml:space="preserve">CON-0108</t>
  </si>
  <si>
    <t xml:space="preserve">divine weapons</t>
  </si>
  <si>
    <t xml:space="preserve">CON-0109</t>
  </si>
  <si>
    <t xml:space="preserve">cosmic bureaucracy</t>
  </si>
  <si>
    <t xml:space="preserve">CON-0110</t>
  </si>
  <si>
    <t xml:space="preserve">Cultivation realms</t>
  </si>
  <si>
    <t xml:space="preserve">CON-0111</t>
  </si>
  <si>
    <t xml:space="preserve">CON-0112</t>
  </si>
  <si>
    <t xml:space="preserve">qi</t>
  </si>
  <si>
    <t xml:space="preserve">CON-0113</t>
  </si>
  <si>
    <t xml:space="preserve">CON-0114</t>
  </si>
  <si>
    <t xml:space="preserve">alchemy</t>
  </si>
  <si>
    <t xml:space="preserve">CON-0115</t>
  </si>
  <si>
    <t xml:space="preserve">immortality</t>
  </si>
  <si>
    <t xml:space="preserve">CON-0116</t>
  </si>
  <si>
    <t xml:space="preserve">heavenly tribulation</t>
  </si>
  <si>
    <t xml:space="preserve">CON-0117</t>
  </si>
  <si>
    <t xml:space="preserve">Kami</t>
  </si>
  <si>
    <t xml:space="preserve">CON-0118</t>
  </si>
  <si>
    <t xml:space="preserve">yōkai</t>
  </si>
  <si>
    <t xml:space="preserve">CON-0119</t>
  </si>
  <si>
    <t xml:space="preserve">oni</t>
  </si>
  <si>
    <t xml:space="preserve">CON-0120</t>
  </si>
  <si>
    <t xml:space="preserve">tengu</t>
  </si>
  <si>
    <t xml:space="preserve">CON-0121</t>
  </si>
  <si>
    <t xml:space="preserve">kitsune</t>
  </si>
  <si>
    <t xml:space="preserve">CON-0122</t>
  </si>
  <si>
    <t xml:space="preserve">tsukumogami</t>
  </si>
  <si>
    <t xml:space="preserve">CON-0123</t>
  </si>
  <si>
    <t xml:space="preserve">miko</t>
  </si>
  <si>
    <t xml:space="preserve">CON-0124</t>
  </si>
  <si>
    <t xml:space="preserve">onmyōji</t>
  </si>
  <si>
    <t xml:space="preserve">CON-0125</t>
  </si>
  <si>
    <t xml:space="preserve">Gumiho</t>
  </si>
  <si>
    <t xml:space="preserve">CON-0126</t>
  </si>
  <si>
    <t xml:space="preserve">dokkaebi</t>
  </si>
  <si>
    <t xml:space="preserve">CON-0127</t>
  </si>
  <si>
    <t xml:space="preserve">mountain spirits</t>
  </si>
  <si>
    <t xml:space="preserve">CON-0128</t>
  </si>
  <si>
    <t xml:space="preserve">shamans</t>
  </si>
  <si>
    <t xml:space="preserve">CON-0129</t>
  </si>
  <si>
    <t xml:space="preserve">CON-0130</t>
  </si>
  <si>
    <t xml:space="preserve">household beings</t>
  </si>
  <si>
    <t xml:space="preserve">PPL-205; INS-400</t>
  </si>
  <si>
    <t xml:space="preserve">Household and Hearth Spirits; Kinship, Political, and Secret Organizations</t>
  </si>
  <si>
    <t xml:space="preserve">CON-0131</t>
  </si>
  <si>
    <t xml:space="preserve">Hero twins</t>
  </si>
  <si>
    <t xml:space="preserve">CON-0132</t>
  </si>
  <si>
    <t xml:space="preserve">underworld trials</t>
  </si>
  <si>
    <t xml:space="preserve">CON-0133</t>
  </si>
  <si>
    <t xml:space="preserve">creation</t>
  </si>
  <si>
    <t xml:space="preserve">CON-0134</t>
  </si>
  <si>
    <t xml:space="preserve">animal helpers</t>
  </si>
  <si>
    <t xml:space="preserve">CON-0135</t>
  </si>
  <si>
    <t xml:space="preserve">divine transformation</t>
  </si>
  <si>
    <t xml:space="preserve">CON-0136</t>
  </si>
  <si>
    <t xml:space="preserve">Òrìṣà</t>
  </si>
  <si>
    <t xml:space="preserve">CON-0137</t>
  </si>
  <si>
    <t xml:space="preserve">divination</t>
  </si>
  <si>
    <t xml:space="preserve">ROL-316; CIV-100</t>
  </si>
  <si>
    <t xml:space="preserve">Diviner and Seer; Polity and Governance Archetypes</t>
  </si>
  <si>
    <t xml:space="preserve">CON-0138</t>
  </si>
  <si>
    <t xml:space="preserve">sacred authority</t>
  </si>
  <si>
    <t xml:space="preserve">CON-0139</t>
  </si>
  <si>
    <t xml:space="preserve">trickster mediation</t>
  </si>
  <si>
    <t xml:space="preserve">CON-0140</t>
  </si>
  <si>
    <t xml:space="preserve">CON-0141</t>
  </si>
  <si>
    <t xml:space="preserve">lineage</t>
  </si>
  <si>
    <t xml:space="preserve">CON-0142</t>
  </si>
  <si>
    <t xml:space="preserve">Heroic kingship</t>
  </si>
  <si>
    <t xml:space="preserve">CON-0143</t>
  </si>
  <si>
    <t xml:space="preserve">griots</t>
  </si>
  <si>
    <t xml:space="preserve">CON-0144</t>
  </si>
  <si>
    <t xml:space="preserve">hunters</t>
  </si>
  <si>
    <t xml:space="preserve">CON-0145</t>
  </si>
  <si>
    <t xml:space="preserve">CON-0146</t>
  </si>
  <si>
    <t xml:space="preserve">exile</t>
  </si>
  <si>
    <t xml:space="preserve">CON-0147</t>
  </si>
  <si>
    <t xml:space="preserve">sorcery</t>
  </si>
  <si>
    <t xml:space="preserve">CON-0148</t>
  </si>
  <si>
    <t xml:space="preserve">founding empire</t>
  </si>
  <si>
    <t xml:space="preserve">CON-0149</t>
  </si>
  <si>
    <t xml:space="preserve">Culture heroes</t>
  </si>
  <si>
    <t xml:space="preserve">CON-0150</t>
  </si>
  <si>
    <t xml:space="preserve">atua</t>
  </si>
  <si>
    <t xml:space="preserve">CON-0151</t>
  </si>
  <si>
    <t xml:space="preserve">taniwha</t>
  </si>
  <si>
    <t xml:space="preserve">CON-0152</t>
  </si>
  <si>
    <t xml:space="preserve">genealogy</t>
  </si>
  <si>
    <t xml:space="preserve">CON-0153</t>
  </si>
  <si>
    <t xml:space="preserve">sacred landscape</t>
  </si>
  <si>
    <t xml:space="preserve">CON-0154</t>
  </si>
  <si>
    <t xml:space="preserve">CON-0155</t>
  </si>
  <si>
    <t xml:space="preserve">Trickster culture hero</t>
  </si>
  <si>
    <t xml:space="preserve">ROL-217; NAR-100; CIV-000</t>
  </si>
  <si>
    <t xml:space="preserve">Trickster; Hero and Protagonist Archetypes; Civilization &amp; Culture Archetypes</t>
  </si>
  <si>
    <t xml:space="preserve">CON-0156</t>
  </si>
  <si>
    <t xml:space="preserve">fishing up islands</t>
  </si>
  <si>
    <t xml:space="preserve">CON-0157</t>
  </si>
  <si>
    <t xml:space="preserve">CON-0158</t>
  </si>
  <si>
    <t xml:space="preserve">fire</t>
  </si>
  <si>
    <t xml:space="preserve">CON-0159</t>
  </si>
  <si>
    <t xml:space="preserve">mortality</t>
  </si>
  <si>
    <t xml:space="preserve">CON-0160</t>
  </si>
  <si>
    <t xml:space="preserve">Modern high-fantasy peoples</t>
  </si>
  <si>
    <t xml:space="preserve">CON-0161</t>
  </si>
  <si>
    <t xml:space="preserve">deep-time mythology</t>
  </si>
  <si>
    <t xml:space="preserve">CON-0162</t>
  </si>
  <si>
    <t xml:space="preserve">fading magic</t>
  </si>
  <si>
    <t xml:space="preserve">CON-0163</t>
  </si>
  <si>
    <t xml:space="preserve">linguistic worldbuilding</t>
  </si>
  <si>
    <t xml:space="preserve">CON-0164</t>
  </si>
  <si>
    <t xml:space="preserve">Barbarian hero</t>
  </si>
  <si>
    <t xml:space="preserve">ROL-102; NAR-100</t>
  </si>
  <si>
    <t xml:space="preserve">Soldier; Hero and Protagonist Archetypes</t>
  </si>
  <si>
    <t xml:space="preserve">CON-0165</t>
  </si>
  <si>
    <t xml:space="preserve">decadent civilizations</t>
  </si>
  <si>
    <t xml:space="preserve">CON-0166</t>
  </si>
  <si>
    <t xml:space="preserve">CON-0167</t>
  </si>
  <si>
    <t xml:space="preserve">CON-0168</t>
  </si>
  <si>
    <t xml:space="preserve">low-trust adventure</t>
  </si>
  <si>
    <t xml:space="preserve">CON-0169</t>
  </si>
  <si>
    <t xml:space="preserve">Warrior–rogue duo</t>
  </si>
  <si>
    <t xml:space="preserve">ROL-101; ROL-205</t>
  </si>
  <si>
    <t xml:space="preserve">Warrior or Fighter; Rogue</t>
  </si>
  <si>
    <t xml:space="preserve">CON-0170</t>
  </si>
  <si>
    <t xml:space="preserve">urban fantasy city</t>
  </si>
  <si>
    <t xml:space="preserve">CON-0171</t>
  </si>
  <si>
    <t xml:space="preserve">thieves</t>
  </si>
  <si>
    <t xml:space="preserve">CON-0172</t>
  </si>
  <si>
    <t xml:space="preserve">weird sorcery</t>
  </si>
  <si>
    <t xml:space="preserve">CON-0173</t>
  </si>
  <si>
    <t xml:space="preserve">episodic adventure</t>
  </si>
  <si>
    <t xml:space="preserve">CON-0174</t>
  </si>
  <si>
    <t xml:space="preserve">Vancian magic</t>
  </si>
  <si>
    <t xml:space="preserve">CON-0175</t>
  </si>
  <si>
    <t xml:space="preserve">far-future decadence</t>
  </si>
  <si>
    <t xml:space="preserve">CON-0176</t>
  </si>
  <si>
    <t xml:space="preserve">strange peoples</t>
  </si>
  <si>
    <t xml:space="preserve">CON-0177</t>
  </si>
  <si>
    <t xml:space="preserve">picaresque sorcerers</t>
  </si>
  <si>
    <t xml:space="preserve">CON-0178</t>
  </si>
  <si>
    <t xml:space="preserve">Portal fantasy</t>
  </si>
  <si>
    <t xml:space="preserve">CON-0179</t>
  </si>
  <si>
    <t xml:space="preserve">talking animals</t>
  </si>
  <si>
    <t xml:space="preserve">PPL-131; ROL-700</t>
  </si>
  <si>
    <t xml:space="preserve">General Beastfolk; Leadership and Social Office Roles</t>
  </si>
  <si>
    <t xml:space="preserve">CON-0180</t>
  </si>
  <si>
    <t xml:space="preserve">fauns</t>
  </si>
  <si>
    <t xml:space="preserve">CON-0181</t>
  </si>
  <si>
    <t xml:space="preserve">divine lion</t>
  </si>
  <si>
    <t xml:space="preserve">CON-0182</t>
  </si>
  <si>
    <t xml:space="preserve">mythic syncretism</t>
  </si>
  <si>
    <t xml:space="preserve">CON-0183</t>
  </si>
  <si>
    <t xml:space="preserve">chosen children</t>
  </si>
  <si>
    <t xml:space="preserve">CON-0184</t>
  </si>
  <si>
    <t xml:space="preserve">Fellowship quest</t>
  </si>
  <si>
    <t xml:space="preserve">CON-0185</t>
  </si>
  <si>
    <t xml:space="preserve">artifact destruction</t>
  </si>
  <si>
    <t xml:space="preserve">CON-0186</t>
  </si>
  <si>
    <t xml:space="preserve">peoples and cultures</t>
  </si>
  <si>
    <t xml:space="preserve">PPL-100; CIV-000</t>
  </si>
  <si>
    <t xml:space="preserve">Mortal and Natural Peoples; Civilization &amp; Culture Archetypes</t>
  </si>
  <si>
    <t xml:space="preserve">CON-0187</t>
  </si>
  <si>
    <t xml:space="preserve">dark lord</t>
  </si>
  <si>
    <t xml:space="preserve">CON-0188</t>
  </si>
  <si>
    <t xml:space="preserve">returning king</t>
  </si>
  <si>
    <t xml:space="preserve">ROL-700; NAR-108</t>
  </si>
  <si>
    <t xml:space="preserve">Leadership and Social Office Roles; Returning King or Restorer</t>
  </si>
  <si>
    <t xml:space="preserve">CON-0189</t>
  </si>
  <si>
    <t xml:space="preserve">Ritualized castle society</t>
  </si>
  <si>
    <t xml:space="preserve">CON-0190</t>
  </si>
  <si>
    <t xml:space="preserve">grotesque offices</t>
  </si>
  <si>
    <t xml:space="preserve">CON-0191</t>
  </si>
  <si>
    <t xml:space="preserve">anti-quest fantasy</t>
  </si>
  <si>
    <t xml:space="preserve">CON-0192</t>
  </si>
  <si>
    <t xml:space="preserve">institutional identity</t>
  </si>
  <si>
    <t xml:space="preserve">CON-0193</t>
  </si>
  <si>
    <t xml:space="preserve">Wizard mentor</t>
  </si>
  <si>
    <t xml:space="preserve">ROL-301; ROL-628</t>
  </si>
  <si>
    <t xml:space="preserve">Mage and Wizard; Teacher and Mentor</t>
  </si>
  <si>
    <t xml:space="preserve">CON-0194</t>
  </si>
  <si>
    <t xml:space="preserve">transformed education</t>
  </si>
  <si>
    <t xml:space="preserve">CON-0195</t>
  </si>
  <si>
    <t xml:space="preserve">chivalry</t>
  </si>
  <si>
    <t xml:space="preserve">CON-0196</t>
  </si>
  <si>
    <t xml:space="preserve">CON-0197</t>
  </si>
  <si>
    <t xml:space="preserve">tragic round table</t>
  </si>
  <si>
    <t xml:space="preserve">CON-0198</t>
  </si>
  <si>
    <t xml:space="preserve">Assistant pig-keeper hero</t>
  </si>
  <si>
    <t xml:space="preserve">CON-0199</t>
  </si>
  <si>
    <t xml:space="preserve">bard</t>
  </si>
  <si>
    <t xml:space="preserve">CON-0200</t>
  </si>
  <si>
    <t xml:space="preserve">princess</t>
  </si>
  <si>
    <t xml:space="preserve">CON-0201</t>
  </si>
  <si>
    <t xml:space="preserve">deathless cauldron-born</t>
  </si>
  <si>
    <t xml:space="preserve">CON-0202</t>
  </si>
  <si>
    <t xml:space="preserve">Welsh myth adaptation</t>
  </si>
  <si>
    <t xml:space="preserve">CON-0203</t>
  </si>
  <si>
    <t xml:space="preserve">True names</t>
  </si>
  <si>
    <t xml:space="preserve">CON-0204</t>
  </si>
  <si>
    <t xml:space="preserve">wizard schools</t>
  </si>
  <si>
    <t xml:space="preserve">ROL-301; INS-309</t>
  </si>
  <si>
    <t xml:space="preserve">Mage and Wizard; Magical College or School</t>
  </si>
  <si>
    <t xml:space="preserve">CON-0205</t>
  </si>
  <si>
    <t xml:space="preserve">balance</t>
  </si>
  <si>
    <t xml:space="preserve">CON-0206</t>
  </si>
  <si>
    <t xml:space="preserve">shadow self</t>
  </si>
  <si>
    <t xml:space="preserve">CON-0207</t>
  </si>
  <si>
    <t xml:space="preserve">archipelagic cultures</t>
  </si>
  <si>
    <t xml:space="preserve">CON-0208</t>
  </si>
  <si>
    <t xml:space="preserve">CON-0209</t>
  </si>
  <si>
    <t xml:space="preserve">Doomed sorcerer-emperor</t>
  </si>
  <si>
    <t xml:space="preserve">ROL-302; NAR-112</t>
  </si>
  <si>
    <t xml:space="preserve">Sorcerer; Tragic Hero</t>
  </si>
  <si>
    <t xml:space="preserve">CON-0210</t>
  </si>
  <si>
    <t xml:space="preserve">living sword</t>
  </si>
  <si>
    <t xml:space="preserve">CON-0211</t>
  </si>
  <si>
    <t xml:space="preserve">chaos/order cosmology</t>
  </si>
  <si>
    <t xml:space="preserve">INS-200; COS-000</t>
  </si>
  <si>
    <t xml:space="preserve">Martial and Protective Organizations; Cosmologies, Realms &amp; Sacred Geography</t>
  </si>
  <si>
    <t xml:space="preserve">CON-0212</t>
  </si>
  <si>
    <t xml:space="preserve">antihero</t>
  </si>
  <si>
    <t xml:space="preserve">CON-0213</t>
  </si>
  <si>
    <t xml:space="preserve">Last-of-kind quest</t>
  </si>
  <si>
    <t xml:space="preserve">CON-0214</t>
  </si>
  <si>
    <t xml:space="preserve">unicorn ontology</t>
  </si>
  <si>
    <t xml:space="preserve">CON-0215</t>
  </si>
  <si>
    <t xml:space="preserve">CON-0216</t>
  </si>
  <si>
    <t xml:space="preserve">melancholic fairy tale</t>
  </si>
  <si>
    <t xml:space="preserve">CON-0217</t>
  </si>
  <si>
    <t xml:space="preserve">Dragon bonding</t>
  </si>
  <si>
    <t xml:space="preserve">PPL-800; ROL-150; STA-409</t>
  </si>
  <si>
    <t xml:space="preserve">Dragons and Legendary Beasts; Dragon Rider; Dragon Bond</t>
  </si>
  <si>
    <t xml:space="preserve">CON-0218</t>
  </si>
  <si>
    <t xml:space="preserve">rider caste</t>
  </si>
  <si>
    <t xml:space="preserve">CON-0219</t>
  </si>
  <si>
    <t xml:space="preserve">hereditary roles</t>
  </si>
  <si>
    <t xml:space="preserve">CON-0220</t>
  </si>
  <si>
    <t xml:space="preserve">science-fantasy reinterpretation</t>
  </si>
  <si>
    <t xml:space="preserve">CON-0221</t>
  </si>
  <si>
    <t xml:space="preserve">Shadow worlds</t>
  </si>
  <si>
    <t xml:space="preserve">CON-0222</t>
  </si>
  <si>
    <t xml:space="preserve">divine family</t>
  </si>
  <si>
    <t xml:space="preserve">CON-0223</t>
  </si>
  <si>
    <t xml:space="preserve">reality walking</t>
  </si>
  <si>
    <t xml:space="preserve">CON-0224</t>
  </si>
  <si>
    <t xml:space="preserve">dynastic intrigue</t>
  </si>
  <si>
    <t xml:space="preserve">CON-0225</t>
  </si>
  <si>
    <t xml:space="preserve">ambiguous immortals</t>
  </si>
  <si>
    <t xml:space="preserve">CON-0226</t>
  </si>
  <si>
    <t xml:space="preserve">Mercenary company</t>
  </si>
  <si>
    <t xml:space="preserve">CON-0227</t>
  </si>
  <si>
    <t xml:space="preserve">soldier viewpoint</t>
  </si>
  <si>
    <t xml:space="preserve">CON-0228</t>
  </si>
  <si>
    <t xml:space="preserve">dark sorcerers</t>
  </si>
  <si>
    <t xml:space="preserve">CON-0229</t>
  </si>
  <si>
    <t xml:space="preserve">moral ambiguity</t>
  </si>
  <si>
    <t xml:space="preserve">CON-0230</t>
  </si>
  <si>
    <t xml:space="preserve">chronicler</t>
  </si>
  <si>
    <t xml:space="preserve">CON-0231</t>
  </si>
  <si>
    <t xml:space="preserve">Interworld invasion</t>
  </si>
  <si>
    <t xml:space="preserve">CON-0232</t>
  </si>
  <si>
    <t xml:space="preserve">magic schools</t>
  </si>
  <si>
    <t xml:space="preserve">CON-0233</t>
  </si>
  <si>
    <t xml:space="preserve">kingdoms</t>
  </si>
  <si>
    <t xml:space="preserve">ROL-700; CIV-100</t>
  </si>
  <si>
    <t xml:space="preserve">Leadership and Social Office Roles; Polity and Governance Archetypes</t>
  </si>
  <si>
    <t xml:space="preserve">CON-0234</t>
  </si>
  <si>
    <t xml:space="preserve">elves/dwarves</t>
  </si>
  <si>
    <t xml:space="preserve">PPL-102; PPL-103</t>
  </si>
  <si>
    <t xml:space="preserve">Elf-Derived Peoples; Dwarf-Derived Peoples</t>
  </si>
  <si>
    <t xml:space="preserve">CON-0235</t>
  </si>
  <si>
    <t xml:space="preserve">long-form shared history</t>
  </si>
  <si>
    <t xml:space="preserve">CON-0236</t>
  </si>
  <si>
    <t xml:space="preserve">Parody and reconstruction of classes</t>
  </si>
  <si>
    <t xml:space="preserve">CON-0237</t>
  </si>
  <si>
    <t xml:space="preserve">races</t>
  </si>
  <si>
    <t xml:space="preserve">CON-0238</t>
  </si>
  <si>
    <t xml:space="preserve">institutions</t>
  </si>
  <si>
    <t xml:space="preserve">CON-0239</t>
  </si>
  <si>
    <t xml:space="preserve">Death</t>
  </si>
  <si>
    <t xml:space="preserve">CON-0240</t>
  </si>
  <si>
    <t xml:space="preserve">CON-0241</t>
  </si>
  <si>
    <t xml:space="preserve">city watch</t>
  </si>
  <si>
    <t xml:space="preserve">CON-0242</t>
  </si>
  <si>
    <t xml:space="preserve">Post-Tolkien high fantasy</t>
  </si>
  <si>
    <t xml:space="preserve">CON-0243</t>
  </si>
  <si>
    <t xml:space="preserve">ancient immortal people</t>
  </si>
  <si>
    <t xml:space="preserve">CON-0244</t>
  </si>
  <si>
    <t xml:space="preserve">kitchen-boy hero</t>
  </si>
  <si>
    <t xml:space="preserve">CON-0245</t>
  </si>
  <si>
    <t xml:space="preserve">historical memory</t>
  </si>
  <si>
    <t xml:space="preserve">CON-0246</t>
  </si>
  <si>
    <t xml:space="preserve">Gendered magic institution</t>
  </si>
  <si>
    <t xml:space="preserve">CON-0247</t>
  </si>
  <si>
    <t xml:space="preserve">reincarnated champion</t>
  </si>
  <si>
    <t xml:space="preserve">CON-0248</t>
  </si>
  <si>
    <t xml:space="preserve">cyclical ages</t>
  </si>
  <si>
    <t xml:space="preserve">CON-0249</t>
  </si>
  <si>
    <t xml:space="preserve">cultures</t>
  </si>
  <si>
    <t xml:space="preserve">CON-0250</t>
  </si>
  <si>
    <t xml:space="preserve">shadowspawn</t>
  </si>
  <si>
    <t xml:space="preserve">CON-0251</t>
  </si>
  <si>
    <t xml:space="preserve">Animal bonds</t>
  </si>
  <si>
    <t xml:space="preserve">CON-0252</t>
  </si>
  <si>
    <t xml:space="preserve">hereditary magic</t>
  </si>
  <si>
    <t xml:space="preserve">CON-0253</t>
  </si>
  <si>
    <t xml:space="preserve">CON-0254</t>
  </si>
  <si>
    <t xml:space="preserve">assassins</t>
  </si>
  <si>
    <t xml:space="preserve">CON-0255</t>
  </si>
  <si>
    <t xml:space="preserve">court roles</t>
  </si>
  <si>
    <t xml:space="preserve">CON-0256</t>
  </si>
  <si>
    <t xml:space="preserve">identity and trauma</t>
  </si>
  <si>
    <t xml:space="preserve">CON-0257</t>
  </si>
  <si>
    <t xml:space="preserve">Low-magic political fantasy</t>
  </si>
  <si>
    <t xml:space="preserve">CON-0258</t>
  </si>
  <si>
    <t xml:space="preserve">orders and offices</t>
  </si>
  <si>
    <t xml:space="preserve">CON-0259</t>
  </si>
  <si>
    <t xml:space="preserve">skinchanging</t>
  </si>
  <si>
    <t xml:space="preserve">CON-0260</t>
  </si>
  <si>
    <t xml:space="preserve">CON-0261</t>
  </si>
  <si>
    <t xml:space="preserve">undead threat</t>
  </si>
  <si>
    <t xml:space="preserve">CON-0262</t>
  </si>
  <si>
    <t xml:space="preserve">Witcher profession</t>
  </si>
  <si>
    <t xml:space="preserve">ROL-810; MEC-301</t>
  </si>
  <si>
    <t xml:space="preserve">Witcher and Alchemical Monster Hunter; Fixed Class</t>
  </si>
  <si>
    <t xml:space="preserve">CON-0263</t>
  </si>
  <si>
    <t xml:space="preserve">mutations</t>
  </si>
  <si>
    <t xml:space="preserve">CON-0264</t>
  </si>
  <si>
    <t xml:space="preserve">monster folklore</t>
  </si>
  <si>
    <t xml:space="preserve">CON-0265</t>
  </si>
  <si>
    <t xml:space="preserve">CON-0266</t>
  </si>
  <si>
    <t xml:space="preserve">CON-0267</t>
  </si>
  <si>
    <t xml:space="preserve">CON-0268</t>
  </si>
  <si>
    <t xml:space="preserve">Ascendants</t>
  </si>
  <si>
    <t xml:space="preserve">CON-0269</t>
  </si>
  <si>
    <t xml:space="preserve">gods</t>
  </si>
  <si>
    <t xml:space="preserve">CON-0270</t>
  </si>
  <si>
    <t xml:space="preserve">elder races</t>
  </si>
  <si>
    <t xml:space="preserve">CON-0271</t>
  </si>
  <si>
    <t xml:space="preserve">military units</t>
  </si>
  <si>
    <t xml:space="preserve">CON-0272</t>
  </si>
  <si>
    <t xml:space="preserve">warrens</t>
  </si>
  <si>
    <t xml:space="preserve">CON-0273</t>
  </si>
  <si>
    <t xml:space="preserve">CON-0274</t>
  </si>
  <si>
    <t xml:space="preserve">vast cosmology</t>
  </si>
  <si>
    <t xml:space="preserve">CON-0275</t>
  </si>
  <si>
    <t xml:space="preserve">Dæmon companions</t>
  </si>
  <si>
    <t xml:space="preserve">CON-0276</t>
  </si>
  <si>
    <t xml:space="preserve">multiverse</t>
  </si>
  <si>
    <t xml:space="preserve">CON-0277</t>
  </si>
  <si>
    <t xml:space="preserve">armored bears</t>
  </si>
  <si>
    <t xml:space="preserve">CON-0278</t>
  </si>
  <si>
    <t xml:space="preserve">angels</t>
  </si>
  <si>
    <t xml:space="preserve">CON-0279</t>
  </si>
  <si>
    <t xml:space="preserve">church power</t>
  </si>
  <si>
    <t xml:space="preserve">CON-0280</t>
  </si>
  <si>
    <t xml:space="preserve">soul ontology</t>
  </si>
  <si>
    <t xml:space="preserve">CON-0281</t>
  </si>
  <si>
    <t xml:space="preserve">Hybrid peoples</t>
  </si>
  <si>
    <t xml:space="preserve">PPL-131; PPL-100</t>
  </si>
  <si>
    <t xml:space="preserve">General Beastfolk; Mortal and Natural Peoples</t>
  </si>
  <si>
    <t xml:space="preserve">CON-0282</t>
  </si>
  <si>
    <t xml:space="preserve">remaking</t>
  </si>
  <si>
    <t xml:space="preserve">CON-0283</t>
  </si>
  <si>
    <t xml:space="preserve">industrial magic</t>
  </si>
  <si>
    <t xml:space="preserve">CON-0284</t>
  </si>
  <si>
    <t xml:space="preserve">city factions</t>
  </si>
  <si>
    <t xml:space="preserve">CON-0285</t>
  </si>
  <si>
    <t xml:space="preserve">weird ecology</t>
  </si>
  <si>
    <t xml:space="preserve">CON-0286</t>
  </si>
  <si>
    <t xml:space="preserve">Deconstructed warrior roles</t>
  </si>
  <si>
    <t xml:space="preserve">CON-0287</t>
  </si>
  <si>
    <t xml:space="preserve">political violence</t>
  </si>
  <si>
    <t xml:space="preserve">CON-0288</t>
  </si>
  <si>
    <t xml:space="preserve">limited magic</t>
  </si>
  <si>
    <t xml:space="preserve">CON-0289</t>
  </si>
  <si>
    <t xml:space="preserve">Northmen</t>
  </si>
  <si>
    <t xml:space="preserve">CON-0290</t>
  </si>
  <si>
    <t xml:space="preserve">CON-0291</t>
  </si>
  <si>
    <t xml:space="preserve">Rule-based metal magic</t>
  </si>
  <si>
    <t xml:space="preserve">CON-0292</t>
  </si>
  <si>
    <t xml:space="preserve">class oppression</t>
  </si>
  <si>
    <t xml:space="preserve">CON-0293</t>
  </si>
  <si>
    <t xml:space="preserve">heist party</t>
  </si>
  <si>
    <t xml:space="preserve">NAR-200; NAR-434</t>
  </si>
  <si>
    <t xml:space="preserve">Companion, Mentor, and Party Archetypes; Multiple-Route or Branching Narrative</t>
  </si>
  <si>
    <t xml:space="preserve">CON-0294</t>
  </si>
  <si>
    <t xml:space="preserve">immortal tyrant</t>
  </si>
  <si>
    <t xml:space="preserve">CON-0295</t>
  </si>
  <si>
    <t xml:space="preserve">technological eras</t>
  </si>
  <si>
    <t xml:space="preserve">CON-0296</t>
  </si>
  <si>
    <t xml:space="preserve">Knightly orders</t>
  </si>
  <si>
    <t xml:space="preserve">ROL-115; INS-200; INS-204</t>
  </si>
  <si>
    <t xml:space="preserve">Knight; Martial and Protective Organizations; Knightly Order</t>
  </si>
  <si>
    <t xml:space="preserve">CON-0297</t>
  </si>
  <si>
    <t xml:space="preserve">spren bonds</t>
  </si>
  <si>
    <t xml:space="preserve">CON-0298</t>
  </si>
  <si>
    <t xml:space="preserve">magic ideals</t>
  </si>
  <si>
    <t xml:space="preserve">CON-0299</t>
  </si>
  <si>
    <t xml:space="preserve">shard weapons</t>
  </si>
  <si>
    <t xml:space="preserve">CON-0300</t>
  </si>
  <si>
    <t xml:space="preserve">CON-0301</t>
  </si>
  <si>
    <t xml:space="preserve">world ecology</t>
  </si>
  <si>
    <t xml:space="preserve">CON-0302</t>
  </si>
  <si>
    <t xml:space="preserve">University magic</t>
  </si>
  <si>
    <t xml:space="preserve">CON-0303</t>
  </si>
  <si>
    <t xml:space="preserve">naming</t>
  </si>
  <si>
    <t xml:space="preserve">CON-0304</t>
  </si>
  <si>
    <t xml:space="preserve">sympathy</t>
  </si>
  <si>
    <t xml:space="preserve">CON-0305</t>
  </si>
  <si>
    <t xml:space="preserve">bardic hero</t>
  </si>
  <si>
    <t xml:space="preserve">ROL-606; NAR-100</t>
  </si>
  <si>
    <t xml:space="preserve">Bard; Hero and Protagonist Archetypes</t>
  </si>
  <si>
    <t xml:space="preserve">CON-0306</t>
  </si>
  <si>
    <t xml:space="preserve">framed unreliable autobiography</t>
  </si>
  <si>
    <t xml:space="preserve">CON-0307</t>
  </si>
  <si>
    <t xml:space="preserve">Con artists</t>
  </si>
  <si>
    <t xml:space="preserve">CON-0308</t>
  </si>
  <si>
    <t xml:space="preserve">CON-0309</t>
  </si>
  <si>
    <t xml:space="preserve">CON-0310</t>
  </si>
  <si>
    <t xml:space="preserve">heists</t>
  </si>
  <si>
    <t xml:space="preserve">CON-0311</t>
  </si>
  <si>
    <t xml:space="preserve">found family</t>
  </si>
  <si>
    <t xml:space="preserve">CON-0312</t>
  </si>
  <si>
    <t xml:space="preserve">alchemical settings</t>
  </si>
  <si>
    <t xml:space="preserve">CON-0313</t>
  </si>
  <si>
    <t xml:space="preserve">Earth power</t>
  </si>
  <si>
    <t xml:space="preserve">CON-0314</t>
  </si>
  <si>
    <t xml:space="preserve">caste oppression</t>
  </si>
  <si>
    <t xml:space="preserve">CON-0315</t>
  </si>
  <si>
    <t xml:space="preserve">post-apocalypse</t>
  </si>
  <si>
    <t xml:space="preserve">NAR-418; CIV-402</t>
  </si>
  <si>
    <t xml:space="preserve">Apocalypse and Prevention; Fallen Ancient Empire</t>
  </si>
  <si>
    <t xml:space="preserve">CON-0316</t>
  </si>
  <si>
    <t xml:space="preserve">non-linear identity</t>
  </si>
  <si>
    <t xml:space="preserve">CON-0317</t>
  </si>
  <si>
    <t xml:space="preserve">constructed people</t>
  </si>
  <si>
    <t xml:space="preserve">PPL-700; PPL-100</t>
  </si>
  <si>
    <t xml:space="preserve">Constructs and Artificial Life; Mortal and Natural Peoples</t>
  </si>
  <si>
    <t xml:space="preserve">CON-0318</t>
  </si>
  <si>
    <t xml:space="preserve">Military academy</t>
  </si>
  <si>
    <t xml:space="preserve">CON-0319</t>
  </si>
  <si>
    <t xml:space="preserve">shamanic power</t>
  </si>
  <si>
    <t xml:space="preserve">CON-0320</t>
  </si>
  <si>
    <t xml:space="preserve">empire</t>
  </si>
  <si>
    <t xml:space="preserve">CON-0321</t>
  </si>
  <si>
    <t xml:space="preserve">war trauma</t>
  </si>
  <si>
    <t xml:space="preserve">CON-0322</t>
  </si>
  <si>
    <t xml:space="preserve">gods and possession</t>
  </si>
  <si>
    <t xml:space="preserve">PPL-400; PWR-112</t>
  </si>
  <si>
    <t xml:space="preserve">Divine and Celestial Beings; Possession and Channeling</t>
  </si>
  <si>
    <t xml:space="preserve">CON-0323</t>
  </si>
  <si>
    <t xml:space="preserve">Djinn peoples</t>
  </si>
  <si>
    <t xml:space="preserve">PPL-203; PPL-100</t>
  </si>
  <si>
    <t xml:space="preserve">Dryads and Tree-Bound Beings; Mortal and Natural Peoples</t>
  </si>
  <si>
    <t xml:space="preserve">CON-0324</t>
  </si>
  <si>
    <t xml:space="preserve">magical city</t>
  </si>
  <si>
    <t xml:space="preserve">CON-0325</t>
  </si>
  <si>
    <t xml:space="preserve">dynasties</t>
  </si>
  <si>
    <t xml:space="preserve">CON-0326</t>
  </si>
  <si>
    <t xml:space="preserve">healing</t>
  </si>
  <si>
    <t xml:space="preserve">CON-0327</t>
  </si>
  <si>
    <t xml:space="preserve">sectarian politics</t>
  </si>
  <si>
    <t xml:space="preserve">CON-0328</t>
  </si>
  <si>
    <t xml:space="preserve">mixed ancestry</t>
  </si>
  <si>
    <t xml:space="preserve">CON-0329</t>
  </si>
  <si>
    <t xml:space="preserve">Clan institutions</t>
  </si>
  <si>
    <t xml:space="preserve">CON-0330</t>
  </si>
  <si>
    <t xml:space="preserve">jade-enhanced warriors</t>
  </si>
  <si>
    <t xml:space="preserve">CON-0331</t>
  </si>
  <si>
    <t xml:space="preserve">modernizing society</t>
  </si>
  <si>
    <t xml:space="preserve">CON-0332</t>
  </si>
  <si>
    <t xml:space="preserve">honor and crime</t>
  </si>
  <si>
    <t xml:space="preserve">CON-0333</t>
  </si>
  <si>
    <t xml:space="preserve">Dragon traditions</t>
  </si>
  <si>
    <t xml:space="preserve">CON-0334</t>
  </si>
  <si>
    <t xml:space="preserve">queenship</t>
  </si>
  <si>
    <t xml:space="preserve">CON-0335</t>
  </si>
  <si>
    <t xml:space="preserve">secret orders</t>
  </si>
  <si>
    <t xml:space="preserve">CON-0336</t>
  </si>
  <si>
    <t xml:space="preserve">east/west cosmologies</t>
  </si>
  <si>
    <t xml:space="preserve">CON-0337</t>
  </si>
  <si>
    <t xml:space="preserve">sapphic epic fantasy</t>
  </si>
  <si>
    <t xml:space="preserve">CON-0338</t>
  </si>
  <si>
    <t xml:space="preserve">Necromancer houses</t>
  </si>
  <si>
    <t xml:space="preserve">ROL-315; INS-400</t>
  </si>
  <si>
    <t xml:space="preserve">Necromancer; Kinship, Political, and Secret Organizations</t>
  </si>
  <si>
    <t xml:space="preserve">CON-0339</t>
  </si>
  <si>
    <t xml:space="preserve">cavaliers</t>
  </si>
  <si>
    <t xml:space="preserve">CON-0340</t>
  </si>
  <si>
    <t xml:space="preserve">resurrection empire</t>
  </si>
  <si>
    <t xml:space="preserve">STA-113; CIV-100</t>
  </si>
  <si>
    <t xml:space="preserve">Resurrection; Polity and Governance Archetypes</t>
  </si>
  <si>
    <t xml:space="preserve">CON-0341</t>
  </si>
  <si>
    <t xml:space="preserve">soul magic</t>
  </si>
  <si>
    <t xml:space="preserve">CON-0342</t>
  </si>
  <si>
    <t xml:space="preserve">identity puzzles</t>
  </si>
  <si>
    <t xml:space="preserve">CON-0343</t>
  </si>
  <si>
    <t xml:space="preserve">Far-future guild offices</t>
  </si>
  <si>
    <t xml:space="preserve">CON-0344</t>
  </si>
  <si>
    <t xml:space="preserve">unreliable narration</t>
  </si>
  <si>
    <t xml:space="preserve">CON-0345</t>
  </si>
  <si>
    <t xml:space="preserve">relic technology</t>
  </si>
  <si>
    <t xml:space="preserve">CON-0346</t>
  </si>
  <si>
    <t xml:space="preserve">dying world</t>
  </si>
  <si>
    <t xml:space="preserve">CON-0347</t>
  </si>
  <si>
    <t xml:space="preserve">Antihero prince</t>
  </si>
  <si>
    <t xml:space="preserve">ROL-701; NAR-111</t>
  </si>
  <si>
    <t xml:space="preserve">Monarch; Antihero</t>
  </si>
  <si>
    <t xml:space="preserve">CON-0348</t>
  </si>
  <si>
    <t xml:space="preserve">post-technological ruins</t>
  </si>
  <si>
    <t xml:space="preserve">CON-0349</t>
  </si>
  <si>
    <t xml:space="preserve">necromancy</t>
  </si>
  <si>
    <t xml:space="preserve">CON-0350</t>
  </si>
  <si>
    <t xml:space="preserve">fragmented empire</t>
  </si>
  <si>
    <t xml:space="preserve">CON-0351</t>
  </si>
  <si>
    <t xml:space="preserve">Powder mages</t>
  </si>
  <si>
    <t xml:space="preserve">CON-0352</t>
  </si>
  <si>
    <t xml:space="preserve">military classes</t>
  </si>
  <si>
    <t xml:space="preserve">CON-0353</t>
  </si>
  <si>
    <t xml:space="preserve">CON-0354</t>
  </si>
  <si>
    <t xml:space="preserve">revolution</t>
  </si>
  <si>
    <t xml:space="preserve">CON-0355</t>
  </si>
  <si>
    <t xml:space="preserve">firearms integrated with magic</t>
  </si>
  <si>
    <t xml:space="preserve">CON-0356</t>
  </si>
  <si>
    <t xml:space="preserve">English magic history</t>
  </si>
  <si>
    <t xml:space="preserve">CON-0357</t>
  </si>
  <si>
    <t xml:space="preserve">gentleman magicians</t>
  </si>
  <si>
    <t xml:space="preserve">CON-0358</t>
  </si>
  <si>
    <t xml:space="preserve">faerie bargain</t>
  </si>
  <si>
    <t xml:space="preserve">CON-0359</t>
  </si>
  <si>
    <t xml:space="preserve">scholarly practice</t>
  </si>
  <si>
    <t xml:space="preserve">CON-0360</t>
  </si>
  <si>
    <t xml:space="preserve">Sacred lineages</t>
  </si>
  <si>
    <t xml:space="preserve">CON-0361</t>
  </si>
  <si>
    <t xml:space="preserve">courtesan-spy role</t>
  </si>
  <si>
    <t xml:space="preserve">CON-0362</t>
  </si>
  <si>
    <t xml:space="preserve">political travel</t>
  </si>
  <si>
    <t xml:space="preserve">CON-0363</t>
  </si>
  <si>
    <t xml:space="preserve">religious orders</t>
  </si>
  <si>
    <t xml:space="preserve">CON-0364</t>
  </si>
  <si>
    <t xml:space="preserve">chosen pain</t>
  </si>
  <si>
    <t xml:space="preserve">CON-0365</t>
  </si>
  <si>
    <t xml:space="preserve">African mythic beings</t>
  </si>
  <si>
    <t xml:space="preserve">CON-0366</t>
  </si>
  <si>
    <t xml:space="preserve">tracker role</t>
  </si>
  <si>
    <t xml:space="preserve">CON-0367</t>
  </si>
  <si>
    <t xml:space="preserve">CON-0368</t>
  </si>
  <si>
    <t xml:space="preserve">unreliable narrative</t>
  </si>
  <si>
    <t xml:space="preserve">CON-0369</t>
  </si>
  <si>
    <t xml:space="preserve">quest inversion</t>
  </si>
  <si>
    <t xml:space="preserve">CON-0370</t>
  </si>
  <si>
    <t xml:space="preserve">Sorcery</t>
  </si>
  <si>
    <t xml:space="preserve">CON-0371</t>
  </si>
  <si>
    <t xml:space="preserve">CON-0372</t>
  </si>
  <si>
    <t xml:space="preserve">social violence</t>
  </si>
  <si>
    <t xml:space="preserve">CON-0373</t>
  </si>
  <si>
    <t xml:space="preserve">CON-0374</t>
  </si>
  <si>
    <t xml:space="preserve">post-apocalyptic African setting</t>
  </si>
  <si>
    <t xml:space="preserve">CON-0375</t>
  </si>
  <si>
    <t xml:space="preserve">Magical society</t>
  </si>
  <si>
    <t xml:space="preserve">CON-0376</t>
  </si>
  <si>
    <t xml:space="preserve">spirit doubles</t>
  </si>
  <si>
    <t xml:space="preserve">CON-0377</t>
  </si>
  <si>
    <t xml:space="preserve">masquerades</t>
  </si>
  <si>
    <t xml:space="preserve">CON-0378</t>
  </si>
  <si>
    <t xml:space="preserve">learning groups</t>
  </si>
  <si>
    <t xml:space="preserve">CON-0379</t>
  </si>
  <si>
    <t xml:space="preserve">Nigerian folklore</t>
  </si>
  <si>
    <t xml:space="preserve">CON-0380</t>
  </si>
  <si>
    <t xml:space="preserve">Magic castes</t>
  </si>
  <si>
    <t xml:space="preserve">CON-0381</t>
  </si>
  <si>
    <t xml:space="preserve">suppressed practitioners</t>
  </si>
  <si>
    <t xml:space="preserve">CON-0382</t>
  </si>
  <si>
    <t xml:space="preserve">divine powers</t>
  </si>
  <si>
    <t xml:space="preserve">CON-0383</t>
  </si>
  <si>
    <t xml:space="preserve">rebellion</t>
  </si>
  <si>
    <t xml:space="preserve">CON-0384</t>
  </si>
  <si>
    <t xml:space="preserve">monarchy</t>
  </si>
  <si>
    <t xml:space="preserve">CON-0385</t>
  </si>
  <si>
    <t xml:space="preserve">Distinct nonhuman peoples</t>
  </si>
  <si>
    <t xml:space="preserve">CON-0386</t>
  </si>
  <si>
    <t xml:space="preserve">rescue party</t>
  </si>
  <si>
    <t xml:space="preserve">CON-0387</t>
  </si>
  <si>
    <t xml:space="preserve">culturally specific worldbuilding</t>
  </si>
  <si>
    <t xml:space="preserve">CON-0388</t>
  </si>
  <si>
    <t xml:space="preserve">CON-0389</t>
  </si>
  <si>
    <t xml:space="preserve">Isekai sovereignty</t>
  </si>
  <si>
    <t xml:space="preserve">CON-0390</t>
  </si>
  <si>
    <t xml:space="preserve">kirin</t>
  </si>
  <si>
    <t xml:space="preserve">CON-0391</t>
  </si>
  <si>
    <t xml:space="preserve">divine mandate</t>
  </si>
  <si>
    <t xml:space="preserve">CON-0392</t>
  </si>
  <si>
    <t xml:space="preserve">nonhuman ecology</t>
  </si>
  <si>
    <t xml:space="preserve">CON-0393</t>
  </si>
  <si>
    <t xml:space="preserve">bureaucratic kingdoms</t>
  </si>
  <si>
    <t xml:space="preserve">CON-0394</t>
  </si>
  <si>
    <t xml:space="preserve">Amnesiac warrior</t>
  </si>
  <si>
    <t xml:space="preserve">CON-0395</t>
  </si>
  <si>
    <t xml:space="preserve">CON-0396</t>
  </si>
  <si>
    <t xml:space="preserve">CON-0397</t>
  </si>
  <si>
    <t xml:space="preserve">war</t>
  </si>
  <si>
    <t xml:space="preserve">CON-0398</t>
  </si>
  <si>
    <t xml:space="preserve">leopard mask</t>
  </si>
  <si>
    <t xml:space="preserve">CON-0399</t>
  </si>
  <si>
    <t xml:space="preserve">epic scale</t>
  </si>
  <si>
    <t xml:space="preserve">CON-0400</t>
  </si>
  <si>
    <t xml:space="preserve">Spearwoman bodyguard</t>
  </si>
  <si>
    <t xml:space="preserve">ROL-110; ROL-139</t>
  </si>
  <si>
    <t xml:space="preserve">Shieldbearer and Guardian; Champion</t>
  </si>
  <si>
    <t xml:space="preserve">CON-0401</t>
  </si>
  <si>
    <t xml:space="preserve">spirit ecology</t>
  </si>
  <si>
    <t xml:space="preserve">CON-0402</t>
  </si>
  <si>
    <t xml:space="preserve">royal ritual</t>
  </si>
  <si>
    <t xml:space="preserve">CON-0403</t>
  </si>
  <si>
    <t xml:space="preserve">parallel worlds</t>
  </si>
  <si>
    <t xml:space="preserve">CON-0404</t>
  </si>
  <si>
    <t xml:space="preserve">anthropology</t>
  </si>
  <si>
    <t xml:space="preserve">CON-0405</t>
  </si>
  <si>
    <t xml:space="preserve">Japanese reception of tabletop high fantasy</t>
  </si>
  <si>
    <t xml:space="preserve">CON-0406</t>
  </si>
  <si>
    <t xml:space="preserve">classic party classes</t>
  </si>
  <si>
    <t xml:space="preserve">NAR-200; MEC-301</t>
  </si>
  <si>
    <t xml:space="preserve">Companion, Mentor, and Party Archetypes; Fixed Class</t>
  </si>
  <si>
    <t xml:space="preserve">CON-0407</t>
  </si>
  <si>
    <t xml:space="preserve">dark elves</t>
  </si>
  <si>
    <t xml:space="preserve">CON-0408</t>
  </si>
  <si>
    <t xml:space="preserve">knightly quest</t>
  </si>
  <si>
    <t xml:space="preserve">ROL-115; NAR-400</t>
  </si>
  <si>
    <t xml:space="preserve">Knight; Plot and Journey Archetypes</t>
  </si>
  <si>
    <t xml:space="preserve">CON-0409</t>
  </si>
  <si>
    <t xml:space="preserve">Sorcerer adventurers</t>
  </si>
  <si>
    <t xml:space="preserve">ROL-302; ROL-901</t>
  </si>
  <si>
    <t xml:space="preserve">Sorcerer; Adventurer</t>
  </si>
  <si>
    <t xml:space="preserve">CON-0410</t>
  </si>
  <si>
    <t xml:space="preserve">demon lords</t>
  </si>
  <si>
    <t xml:space="preserve">PPL-509; PPL-501; NAR-301</t>
  </si>
  <si>
    <t xml:space="preserve">Demon Lords and Archfiends; Demons; Dark Lord</t>
  </si>
  <si>
    <t xml:space="preserve">CON-0411</t>
  </si>
  <si>
    <t xml:space="preserve">spell lists</t>
  </si>
  <si>
    <t xml:space="preserve">CON-0412</t>
  </si>
  <si>
    <t xml:space="preserve">comedic party dynamics</t>
  </si>
  <si>
    <t xml:space="preserve">CON-0413</t>
  </si>
  <si>
    <t xml:space="preserve">Cultivation stages</t>
  </si>
  <si>
    <t xml:space="preserve">CON-0414</t>
  </si>
  <si>
    <t xml:space="preserve">CON-0415</t>
  </si>
  <si>
    <t xml:space="preserve">CON-0416</t>
  </si>
  <si>
    <t xml:space="preserve">CON-0417</t>
  </si>
  <si>
    <t xml:space="preserve">spirit beasts</t>
  </si>
  <si>
    <t xml:space="preserve">CON-0418</t>
  </si>
  <si>
    <t xml:space="preserve">resource progression</t>
  </si>
  <si>
    <t xml:space="preserve">CON-0419</t>
  </si>
  <si>
    <t xml:space="preserve">Cultivation clans</t>
  </si>
  <si>
    <t xml:space="preserve">ROL-906; INS-400; INS-312</t>
  </si>
  <si>
    <t xml:space="preserve">Cultivator; Kinship, Political, and Secret Organizations; Cultivation Sect</t>
  </si>
  <si>
    <t xml:space="preserve">CON-0420</t>
  </si>
  <si>
    <t xml:space="preserve">demonic cultivation</t>
  </si>
  <si>
    <t xml:space="preserve">CON-0421</t>
  </si>
  <si>
    <t xml:space="preserve">guqin</t>
  </si>
  <si>
    <t xml:space="preserve">CON-0422</t>
  </si>
  <si>
    <t xml:space="preserve">resentful energy</t>
  </si>
  <si>
    <t xml:space="preserve">CON-0423</t>
  </si>
  <si>
    <t xml:space="preserve">reincarnated identity</t>
  </si>
  <si>
    <t xml:space="preserve">CON-0424</t>
  </si>
  <si>
    <t xml:space="preserve">Martial schools</t>
  </si>
  <si>
    <t xml:space="preserve">CON-0425</t>
  </si>
  <si>
    <t xml:space="preserve">techniques</t>
  </si>
  <si>
    <t xml:space="preserve">CON-0426</t>
  </si>
  <si>
    <t xml:space="preserve">masters</t>
  </si>
  <si>
    <t xml:space="preserve">CON-0427</t>
  </si>
  <si>
    <t xml:space="preserve">CON-0428</t>
  </si>
  <si>
    <t xml:space="preserve">chivalric wandering</t>
  </si>
  <si>
    <t xml:space="preserve">CON-0429</t>
  </si>
  <si>
    <t xml:space="preserve">historical politics</t>
  </si>
  <si>
    <t xml:space="preserve">CON-0430</t>
  </si>
  <si>
    <t xml:space="preserve">Imperial rise and fall</t>
  </si>
  <si>
    <t xml:space="preserve">CON-0431</t>
  </si>
  <si>
    <t xml:space="preserve">storyteller frame</t>
  </si>
  <si>
    <t xml:space="preserve">CON-0432</t>
  </si>
  <si>
    <t xml:space="preserve">civilization archetypes</t>
  </si>
  <si>
    <t xml:space="preserve">CON-0433</t>
  </si>
  <si>
    <t xml:space="preserve">anti-linear history</t>
  </si>
  <si>
    <t xml:space="preserve">CON-0434</t>
  </si>
  <si>
    <t xml:space="preserve">Dragon riders</t>
  </si>
  <si>
    <t xml:space="preserve">PPL-800; ROL-150</t>
  </si>
  <si>
    <t xml:space="preserve">Dragons and Legendary Beasts; Dragon Rider</t>
  </si>
  <si>
    <t xml:space="preserve">CON-0435</t>
  </si>
  <si>
    <t xml:space="preserve">magical language</t>
  </si>
  <si>
    <t xml:space="preserve">CON-0436</t>
  </si>
  <si>
    <t xml:space="preserve">CON-0437</t>
  </si>
  <si>
    <t xml:space="preserve">CON-0438</t>
  </si>
  <si>
    <t xml:space="preserve">chosen farmboy hero</t>
  </si>
  <si>
    <t xml:space="preserve">CON-0439</t>
  </si>
  <si>
    <t xml:space="preserve">Soldier-to-paladin progression</t>
  </si>
  <si>
    <t xml:space="preserve">ROL-101; ROL-117</t>
  </si>
  <si>
    <t xml:space="preserve">Warrior or Fighter; Paladin and Holy Knight</t>
  </si>
  <si>
    <t xml:space="preserve">CON-0440</t>
  </si>
  <si>
    <t xml:space="preserve">military life</t>
  </si>
  <si>
    <t xml:space="preserve">CON-0441</t>
  </si>
  <si>
    <t xml:space="preserve">divine vocation</t>
  </si>
  <si>
    <t xml:space="preserve">CON-0442</t>
  </si>
  <si>
    <t xml:space="preserve">oath and trauma</t>
  </si>
  <si>
    <t xml:space="preserve">CON-0443</t>
  </si>
  <si>
    <t xml:space="preserve">Immortal elder peoples</t>
  </si>
  <si>
    <t xml:space="preserve">CON-0444</t>
  </si>
  <si>
    <t xml:space="preserve">court politics</t>
  </si>
  <si>
    <t xml:space="preserve">CON-0445</t>
  </si>
  <si>
    <t xml:space="preserve">kitchen-boy quest</t>
  </si>
  <si>
    <t xml:space="preserve">CON-0446</t>
  </si>
  <si>
    <t xml:space="preserve">legend becoming history</t>
  </si>
  <si>
    <t xml:space="preserve">CON-0447</t>
  </si>
  <si>
    <t xml:space="preserve">Analogical history</t>
  </si>
  <si>
    <t xml:space="preserve">CON-0448</t>
  </si>
  <si>
    <t xml:space="preserve">warrior-poet</t>
  </si>
  <si>
    <t xml:space="preserve">CON-0449</t>
  </si>
  <si>
    <t xml:space="preserve">physician</t>
  </si>
  <si>
    <t xml:space="preserve">CON-0450</t>
  </si>
  <si>
    <t xml:space="preserve">divided faiths</t>
  </si>
  <si>
    <t xml:space="preserve">CON-0451</t>
  </si>
  <si>
    <t xml:space="preserve">cultural hybridity</t>
  </si>
  <si>
    <t xml:space="preserve">CON-0452</t>
  </si>
  <si>
    <t xml:space="preserve">Naming</t>
  </si>
  <si>
    <t xml:space="preserve">CON-0453</t>
  </si>
  <si>
    <t xml:space="preserve">wizard institution</t>
  </si>
  <si>
    <t xml:space="preserve">CON-0454</t>
  </si>
  <si>
    <t xml:space="preserve">gender critique</t>
  </si>
  <si>
    <t xml:space="preserve">CON-0455</t>
  </si>
  <si>
    <t xml:space="preserve">CON-0456</t>
  </si>
  <si>
    <t xml:space="preserve">CON-0457</t>
  </si>
  <si>
    <t xml:space="preserve">archipelago cultures</t>
  </si>
  <si>
    <t xml:space="preserve">CON-0458</t>
  </si>
  <si>
    <t xml:space="preserve">Epic journey</t>
  </si>
  <si>
    <t xml:space="preserve">CON-0459</t>
  </si>
  <si>
    <t xml:space="preserve">moon goddess</t>
  </si>
  <si>
    <t xml:space="preserve">CON-0460</t>
  </si>
  <si>
    <t xml:space="preserve">mythic frame</t>
  </si>
  <si>
    <t xml:space="preserve">CON-0461</t>
  </si>
  <si>
    <t xml:space="preserve">authoritarian empire</t>
  </si>
  <si>
    <t xml:space="preserve">CON-0462</t>
  </si>
  <si>
    <t xml:space="preserve">theatrical narration</t>
  </si>
  <si>
    <t xml:space="preserve">CON-0463</t>
  </si>
  <si>
    <t xml:space="preserve">Plant magic</t>
  </si>
  <si>
    <t xml:space="preserve">CON-0464</t>
  </si>
  <si>
    <t xml:space="preserve">CON-0465</t>
  </si>
  <si>
    <t xml:space="preserve">CON-0466</t>
  </si>
  <si>
    <t xml:space="preserve">CON-0467</t>
  </si>
  <si>
    <t xml:space="preserve">CON-0468</t>
  </si>
  <si>
    <t xml:space="preserve">sacred ecology</t>
  </si>
  <si>
    <t xml:space="preserve">CON-0469</t>
  </si>
  <si>
    <t xml:space="preserve">Pirate captain</t>
  </si>
  <si>
    <t xml:space="preserve">CON-0470</t>
  </si>
  <si>
    <t xml:space="preserve">djinn</t>
  </si>
  <si>
    <t xml:space="preserve">CON-0471</t>
  </si>
  <si>
    <t xml:space="preserve">maritime trade</t>
  </si>
  <si>
    <t xml:space="preserve">CON-0472</t>
  </si>
  <si>
    <t xml:space="preserve">aging adventurer</t>
  </si>
  <si>
    <t xml:space="preserve">CON-0473</t>
  </si>
  <si>
    <t xml:space="preserve">Islamic-world setting</t>
  </si>
  <si>
    <t xml:space="preserve">CON-0474</t>
  </si>
  <si>
    <t xml:space="preserve">Formal race/class taxonomy</t>
  </si>
  <si>
    <t xml:space="preserve">PPL-100; MEC-301</t>
  </si>
  <si>
    <t xml:space="preserve">Mortal and Natural Peoples; Fixed Class</t>
  </si>
  <si>
    <t xml:space="preserve">CON-0475</t>
  </si>
  <si>
    <t xml:space="preserve">alignment</t>
  </si>
  <si>
    <t xml:space="preserve">CON-0476</t>
  </si>
  <si>
    <t xml:space="preserve">monster types</t>
  </si>
  <si>
    <t xml:space="preserve">CON-0477</t>
  </si>
  <si>
    <t xml:space="preserve">spell schools</t>
  </si>
  <si>
    <t xml:space="preserve">CON-0478</t>
  </si>
  <si>
    <t xml:space="preserve">party roles</t>
  </si>
  <si>
    <t xml:space="preserve">CON-0479</t>
  </si>
  <si>
    <t xml:space="preserve">Large shared-world catalogue of peoples</t>
  </si>
  <si>
    <t xml:space="preserve">CON-0480</t>
  </si>
  <si>
    <t xml:space="preserve">classes</t>
  </si>
  <si>
    <t xml:space="preserve">CON-0481</t>
  </si>
  <si>
    <t xml:space="preserve">deities</t>
  </si>
  <si>
    <t xml:space="preserve">CON-0482</t>
  </si>
  <si>
    <t xml:space="preserve">factions</t>
  </si>
  <si>
    <t xml:space="preserve">CON-0483</t>
  </si>
  <si>
    <t xml:space="preserve">and regional cultures</t>
  </si>
  <si>
    <t xml:space="preserve">CON-0484</t>
  </si>
  <si>
    <t xml:space="preserve">Early codification of fantasy classes</t>
  </si>
  <si>
    <t xml:space="preserve">CON-0485</t>
  </si>
  <si>
    <t xml:space="preserve">CON-0486</t>
  </si>
  <si>
    <t xml:space="preserve">CON-0487</t>
  </si>
  <si>
    <t xml:space="preserve">and adventure geography</t>
  </si>
  <si>
    <t xml:space="preserve">CON-0488</t>
  </si>
  <si>
    <t xml:space="preserve">CON-0489</t>
  </si>
  <si>
    <t xml:space="preserve">wizard robes</t>
  </si>
  <si>
    <t xml:space="preserve">CON-0490</t>
  </si>
  <si>
    <t xml:space="preserve">kender</t>
  </si>
  <si>
    <t xml:space="preserve">CON-0491</t>
  </si>
  <si>
    <t xml:space="preserve">draconians</t>
  </si>
  <si>
    <t xml:space="preserve">CON-0492</t>
  </si>
  <si>
    <t xml:space="preserve">dragon armies</t>
  </si>
  <si>
    <t xml:space="preserve">PPL-800; INS-201</t>
  </si>
  <si>
    <t xml:space="preserve">Dragons and Legendary Beasts; Army or Legion</t>
  </si>
  <si>
    <t xml:space="preserve">CON-0493</t>
  </si>
  <si>
    <t xml:space="preserve">divine return</t>
  </si>
  <si>
    <t xml:space="preserve">CON-0494</t>
  </si>
  <si>
    <t xml:space="preserve">Warforged</t>
  </si>
  <si>
    <t xml:space="preserve">CON-0495</t>
  </si>
  <si>
    <t xml:space="preserve">dragonmarks</t>
  </si>
  <si>
    <t xml:space="preserve">CON-0496</t>
  </si>
  <si>
    <t xml:space="preserve">pulp roles</t>
  </si>
  <si>
    <t xml:space="preserve">CON-0497</t>
  </si>
  <si>
    <t xml:space="preserve">magitech industry</t>
  </si>
  <si>
    <t xml:space="preserve">CON-0498</t>
  </si>
  <si>
    <t xml:space="preserve">noir institutions</t>
  </si>
  <si>
    <t xml:space="preserve">CON-0499</t>
  </si>
  <si>
    <t xml:space="preserve">monstrous nations</t>
  </si>
  <si>
    <t xml:space="preserve">CON-0500</t>
  </si>
  <si>
    <t xml:space="preserve">Post-apocalyptic ecology</t>
  </si>
  <si>
    <t xml:space="preserve">CON-0501</t>
  </si>
  <si>
    <t xml:space="preserve">psionics</t>
  </si>
  <si>
    <t xml:space="preserve">CON-0502</t>
  </si>
  <si>
    <t xml:space="preserve">sorcerer-kings</t>
  </si>
  <si>
    <t xml:space="preserve">ROL-302; ROL-700</t>
  </si>
  <si>
    <t xml:space="preserve">Sorcerer; Leadership and Social Office Roles</t>
  </si>
  <si>
    <t xml:space="preserve">CON-0503</t>
  </si>
  <si>
    <t xml:space="preserve">altered peoples</t>
  </si>
  <si>
    <t xml:space="preserve">CON-0504</t>
  </si>
  <si>
    <t xml:space="preserve">survival classes</t>
  </si>
  <si>
    <t xml:space="preserve">CON-0505</t>
  </si>
  <si>
    <t xml:space="preserve">Planar peoples</t>
  </si>
  <si>
    <t xml:space="preserve">CON-0506</t>
  </si>
  <si>
    <t xml:space="preserve">factions as philosophical classes</t>
  </si>
  <si>
    <t xml:space="preserve">INS-000; MEC-301</t>
  </si>
  <si>
    <t xml:space="preserve">Institutions &amp; Affiliations; Fixed Class</t>
  </si>
  <si>
    <t xml:space="preserve">CON-0507</t>
  </si>
  <si>
    <t xml:space="preserve">celestials/fiends</t>
  </si>
  <si>
    <t xml:space="preserve">PPL-404; PPL-501</t>
  </si>
  <si>
    <t xml:space="preserve">Celestials and Angelic Beings; Demons</t>
  </si>
  <si>
    <t xml:space="preserve">CON-0508</t>
  </si>
  <si>
    <t xml:space="preserve">multiversal city</t>
  </si>
  <si>
    <t xml:space="preserve">CON-0509</t>
  </si>
  <si>
    <t xml:space="preserve">Darklords</t>
  </si>
  <si>
    <t xml:space="preserve">CON-0510</t>
  </si>
  <si>
    <t xml:space="preserve">gothic monsters</t>
  </si>
  <si>
    <t xml:space="preserve">CON-0511</t>
  </si>
  <si>
    <t xml:space="preserve">CON-0512</t>
  </si>
  <si>
    <t xml:space="preserve">domains</t>
  </si>
  <si>
    <t xml:space="preserve">CON-0513</t>
  </si>
  <si>
    <t xml:space="preserve">horror transformation and moral pressure</t>
  </si>
  <si>
    <t xml:space="preserve">CON-0514</t>
  </si>
  <si>
    <t xml:space="preserve">Spacefaring fantasy peoples</t>
  </si>
  <si>
    <t xml:space="preserve">CON-0515</t>
  </si>
  <si>
    <t xml:space="preserve">magical ships</t>
  </si>
  <si>
    <t xml:space="preserve">CON-0516</t>
  </si>
  <si>
    <t xml:space="preserve">multiverse travel</t>
  </si>
  <si>
    <t xml:space="preserve">CON-0517</t>
  </si>
  <si>
    <t xml:space="preserve">hybrid genre classes</t>
  </si>
  <si>
    <t xml:space="preserve">CON-0518</t>
  </si>
  <si>
    <t xml:space="preserve">Extensive ancestry/class system</t>
  </si>
  <si>
    <t xml:space="preserve">CON-0519</t>
  </si>
  <si>
    <t xml:space="preserve">archetypes</t>
  </si>
  <si>
    <t xml:space="preserve">CON-0520</t>
  </si>
  <si>
    <t xml:space="preserve">CON-0521</t>
  </si>
  <si>
    <t xml:space="preserve">regions</t>
  </si>
  <si>
    <t xml:space="preserve">CON-0522</t>
  </si>
  <si>
    <t xml:space="preserve">CON-0523</t>
  </si>
  <si>
    <t xml:space="preserve">evolving terminology</t>
  </si>
  <si>
    <t xml:space="preserve">CON-0524</t>
  </si>
  <si>
    <t xml:space="preserve">Cult membership as class-like identity</t>
  </si>
  <si>
    <t xml:space="preserve">CON-0525</t>
  </si>
  <si>
    <t xml:space="preserve">mythic time</t>
  </si>
  <si>
    <t xml:space="preserve">CON-0526</t>
  </si>
  <si>
    <t xml:space="preserve">runes</t>
  </si>
  <si>
    <t xml:space="preserve">CON-0527</t>
  </si>
  <si>
    <t xml:space="preserve">species-specific cultures</t>
  </si>
  <si>
    <t xml:space="preserve">CON-0528</t>
  </si>
  <si>
    <t xml:space="preserve">heroquesting</t>
  </si>
  <si>
    <t xml:space="preserve">CON-0529</t>
  </si>
  <si>
    <t xml:space="preserve">Career system</t>
  </si>
  <si>
    <t xml:space="preserve">CON-0530</t>
  </si>
  <si>
    <t xml:space="preserve">grim social professions</t>
  </si>
  <si>
    <t xml:space="preserve">CON-0531</t>
  </si>
  <si>
    <t xml:space="preserve">Chaos mutation</t>
  </si>
  <si>
    <t xml:space="preserve">CON-0532</t>
  </si>
  <si>
    <t xml:space="preserve">species</t>
  </si>
  <si>
    <t xml:space="preserve">CON-0533</t>
  </si>
  <si>
    <t xml:space="preserve">CON-0534</t>
  </si>
  <si>
    <t xml:space="preserve">disease and corruption</t>
  </si>
  <si>
    <t xml:space="preserve">CON-0535</t>
  </si>
  <si>
    <t xml:space="preserve">Army factions as civilizational archetypes</t>
  </si>
  <si>
    <t xml:space="preserve">INS-000; CIV-000; MEC-428</t>
  </si>
  <si>
    <t xml:space="preserve">Institutions &amp; Affiliations; Civilization &amp; Culture Archetypes; Faction Unit</t>
  </si>
  <si>
    <t xml:space="preserve">CON-0536</t>
  </si>
  <si>
    <t xml:space="preserve">CON-0537</t>
  </si>
  <si>
    <t xml:space="preserve">cults</t>
  </si>
  <si>
    <t xml:space="preserve">CON-0538</t>
  </si>
  <si>
    <t xml:space="preserve">CON-0539</t>
  </si>
  <si>
    <t xml:space="preserve">military roles</t>
  </si>
  <si>
    <t xml:space="preserve">CON-0540</t>
  </si>
  <si>
    <t xml:space="preserve">Mythic-scale factions</t>
  </si>
  <si>
    <t xml:space="preserve">CON-0541</t>
  </si>
  <si>
    <t xml:space="preserve">reforged warriors</t>
  </si>
  <si>
    <t xml:space="preserve">CON-0542</t>
  </si>
  <si>
    <t xml:space="preserve">CON-0543</t>
  </si>
  <si>
    <t xml:space="preserve">undead orders</t>
  </si>
  <si>
    <t xml:space="preserve">PPL-600; INS-200</t>
  </si>
  <si>
    <t xml:space="preserve">Undead Beings; Martial and Protective Organizations</t>
  </si>
  <si>
    <t xml:space="preserve">CON-0544</t>
  </si>
  <si>
    <t xml:space="preserve">chaos</t>
  </si>
  <si>
    <t xml:space="preserve">CON-0545</t>
  </si>
  <si>
    <t xml:space="preserve">realm-based peoples</t>
  </si>
  <si>
    <t xml:space="preserve">CON-0546</t>
  </si>
  <si>
    <t xml:space="preserve">Culture rather than race emphasis</t>
  </si>
  <si>
    <t xml:space="preserve">CON-0547</t>
  </si>
  <si>
    <t xml:space="preserve">callings</t>
  </si>
  <si>
    <t xml:space="preserve">CON-0548</t>
  </si>
  <si>
    <t xml:space="preserve">shadow burden</t>
  </si>
  <si>
    <t xml:space="preserve">CON-0549</t>
  </si>
  <si>
    <t xml:space="preserve">travel</t>
  </si>
  <si>
    <t xml:space="preserve">CON-0550</t>
  </si>
  <si>
    <t xml:space="preserve">fellowship and patronage</t>
  </si>
  <si>
    <t xml:space="preserve">CON-0551</t>
  </si>
  <si>
    <t xml:space="preserve">Hermetic houses</t>
  </si>
  <si>
    <t xml:space="preserve">CON-0552</t>
  </si>
  <si>
    <t xml:space="preserve">rigorous magic arts</t>
  </si>
  <si>
    <t xml:space="preserve">CON-0553</t>
  </si>
  <si>
    <t xml:space="preserve">covenants</t>
  </si>
  <si>
    <t xml:space="preserve">CON-0554</t>
  </si>
  <si>
    <t xml:space="preserve">magi/companions/grogs social structure</t>
  </si>
  <si>
    <t xml:space="preserve">CON-0555</t>
  </si>
  <si>
    <t xml:space="preserve">Exalt types</t>
  </si>
  <si>
    <t xml:space="preserve">CON-0556</t>
  </si>
  <si>
    <t xml:space="preserve">charms</t>
  </si>
  <si>
    <t xml:space="preserve">CON-0557</t>
  </si>
  <si>
    <t xml:space="preserve">martial arts</t>
  </si>
  <si>
    <t xml:space="preserve">CON-0558</t>
  </si>
  <si>
    <t xml:space="preserve">CON-0559</t>
  </si>
  <si>
    <t xml:space="preserve">spirits</t>
  </si>
  <si>
    <t xml:space="preserve">CON-0560</t>
  </si>
  <si>
    <t xml:space="preserve">CON-0561</t>
  </si>
  <si>
    <t xml:space="preserve">reincarnation</t>
  </si>
  <si>
    <t xml:space="preserve">STA-501; CIV-100</t>
  </si>
  <si>
    <t xml:space="preserve">Reincarnated; Polity and Governance Archetypes</t>
  </si>
  <si>
    <t xml:space="preserve">CON-0562</t>
  </si>
  <si>
    <t xml:space="preserve">mythic power tiers</t>
  </si>
  <si>
    <t xml:space="preserve">CON-0563</t>
  </si>
  <si>
    <t xml:space="preserve">Disciplines as metaphysical classes</t>
  </si>
  <si>
    <t xml:space="preserve">CON-0564</t>
  </si>
  <si>
    <t xml:space="preserve">Namegivers</t>
  </si>
  <si>
    <t xml:space="preserve">CON-0565</t>
  </si>
  <si>
    <t xml:space="preserve">Horrors</t>
  </si>
  <si>
    <t xml:space="preserve">CON-0566</t>
  </si>
  <si>
    <t xml:space="preserve">post-apocalyptic kaers</t>
  </si>
  <si>
    <t xml:space="preserve">CON-0567</t>
  </si>
  <si>
    <t xml:space="preserve">Fantasy peoples in cyberpunk society</t>
  </si>
  <si>
    <t xml:space="preserve">CON-0568</t>
  </si>
  <si>
    <t xml:space="preserve">CON-0569</t>
  </si>
  <si>
    <t xml:space="preserve">mages</t>
  </si>
  <si>
    <t xml:space="preserve">CON-0570</t>
  </si>
  <si>
    <t xml:space="preserve">technomancers</t>
  </si>
  <si>
    <t xml:space="preserve">CON-0571</t>
  </si>
  <si>
    <t xml:space="preserve">corporations</t>
  </si>
  <si>
    <t xml:space="preserve">CON-0572</t>
  </si>
  <si>
    <t xml:space="preserve">Supernatural conditions as societies</t>
  </si>
  <si>
    <t xml:space="preserve">CON-0573</t>
  </si>
  <si>
    <t xml:space="preserve">clans/tribes/traditions</t>
  </si>
  <si>
    <t xml:space="preserve">CON-0574</t>
  </si>
  <si>
    <t xml:space="preserve">urban occult institutions</t>
  </si>
  <si>
    <t xml:space="preserve">CON-0575</t>
  </si>
  <si>
    <t xml:space="preserve">European continental fantasy careers</t>
  </si>
  <si>
    <t xml:space="preserve">CON-0576</t>
  </si>
  <si>
    <t xml:space="preserve">CON-0577</t>
  </si>
  <si>
    <t xml:space="preserve">magic traditions</t>
  </si>
  <si>
    <t xml:space="preserve">CON-0578</t>
  </si>
  <si>
    <t xml:space="preserve">CON-0579</t>
  </si>
  <si>
    <t xml:space="preserve">regional detail</t>
  </si>
  <si>
    <t xml:space="preserve">CON-0580</t>
  </si>
  <si>
    <t xml:space="preserve">Clan roles</t>
  </si>
  <si>
    <t xml:space="preserve">CON-0581</t>
  </si>
  <si>
    <t xml:space="preserve">samurai</t>
  </si>
  <si>
    <t xml:space="preserve">CON-0582</t>
  </si>
  <si>
    <t xml:space="preserve">shugenja</t>
  </si>
  <si>
    <t xml:space="preserve">CON-0583</t>
  </si>
  <si>
    <t xml:space="preserve">courtiers</t>
  </si>
  <si>
    <t xml:space="preserve">CON-0584</t>
  </si>
  <si>
    <t xml:space="preserve">monks</t>
  </si>
  <si>
    <t xml:space="preserve">CON-0585</t>
  </si>
  <si>
    <t xml:space="preserve">honor</t>
  </si>
  <si>
    <t xml:space="preserve">CON-0586</t>
  </si>
  <si>
    <t xml:space="preserve">spirits and cultural adaptation</t>
  </si>
  <si>
    <t xml:space="preserve">CON-0587</t>
  </si>
  <si>
    <t xml:space="preserve">Icons</t>
  </si>
  <si>
    <t xml:space="preserve">CON-0588</t>
  </si>
  <si>
    <t xml:space="preserve">flexible backgrounds</t>
  </si>
  <si>
    <t xml:space="preserve">CON-0589</t>
  </si>
  <si>
    <t xml:space="preserve">modernized classes</t>
  </si>
  <si>
    <t xml:space="preserve">CON-0590</t>
  </si>
  <si>
    <t xml:space="preserve">narrative relationship mechanics</t>
  </si>
  <si>
    <t xml:space="preserve">CON-0591</t>
  </si>
  <si>
    <t xml:space="preserve">Genre playbooks as narrative class archetypes and fiction-first moves</t>
  </si>
  <si>
    <t xml:space="preserve">ART-400; MEC-301</t>
  </si>
  <si>
    <t xml:space="preserve">Texts, Symbols &amp; Containers; Fixed Class</t>
  </si>
  <si>
    <t xml:space="preserve">CON-0592</t>
  </si>
  <si>
    <t xml:space="preserve">Criminal crew types</t>
  </si>
  <si>
    <t xml:space="preserve">CON-0593</t>
  </si>
  <si>
    <t xml:space="preserve">playbooks</t>
  </si>
  <si>
    <t xml:space="preserve">CON-0594</t>
  </si>
  <si>
    <t xml:space="preserve">ghosts</t>
  </si>
  <si>
    <t xml:space="preserve">CON-0595</t>
  </si>
  <si>
    <t xml:space="preserve">industrial occult city</t>
  </si>
  <si>
    <t xml:space="preserve">CON-0596</t>
  </si>
  <si>
    <t xml:space="preserve">faction clocks</t>
  </si>
  <si>
    <t xml:space="preserve">CON-0597</t>
  </si>
  <si>
    <t xml:space="preserve">Lifepaths</t>
  </si>
  <si>
    <t xml:space="preserve">CON-0598</t>
  </si>
  <si>
    <t xml:space="preserve">beliefs</t>
  </si>
  <si>
    <t xml:space="preserve">CON-0599</t>
  </si>
  <si>
    <t xml:space="preserve">species-specific mechanics</t>
  </si>
  <si>
    <t xml:space="preserve">CON-0600</t>
  </si>
  <si>
    <t xml:space="preserve">social conflict</t>
  </si>
  <si>
    <t xml:space="preserve">CON-0601</t>
  </si>
  <si>
    <t xml:space="preserve">skill-based identity</t>
  </si>
  <si>
    <t xml:space="preserve">CON-0602</t>
  </si>
  <si>
    <t xml:space="preserve">Corruption mechanics</t>
  </si>
  <si>
    <t xml:space="preserve">CON-0603</t>
  </si>
  <si>
    <t xml:space="preserve">dark forest</t>
  </si>
  <si>
    <t xml:space="preserve">CON-0604</t>
  </si>
  <si>
    <t xml:space="preserve">orders</t>
  </si>
  <si>
    <t xml:space="preserve">CON-0605</t>
  </si>
  <si>
    <t xml:space="preserve">peoples</t>
  </si>
  <si>
    <t xml:space="preserve">CON-0606</t>
  </si>
  <si>
    <t xml:space="preserve">monster ecology</t>
  </si>
  <si>
    <t xml:space="preserve">CON-0607</t>
  </si>
  <si>
    <t xml:space="preserve">ambiguous civilization</t>
  </si>
  <si>
    <t xml:space="preserve">CON-0608</t>
  </si>
  <si>
    <t xml:space="preserve">Kin and profession system</t>
  </si>
  <si>
    <t xml:space="preserve">CON-0609</t>
  </si>
  <si>
    <t xml:space="preserve">survival</t>
  </si>
  <si>
    <t xml:space="preserve">CON-0610</t>
  </si>
  <si>
    <t xml:space="preserve">strongholds</t>
  </si>
  <si>
    <t xml:space="preserve">CON-0611</t>
  </si>
  <si>
    <t xml:space="preserve">exploration</t>
  </si>
  <si>
    <t xml:space="preserve">CON-0612</t>
  </si>
  <si>
    <t xml:space="preserve">dark fantasy sandbox</t>
  </si>
  <si>
    <t xml:space="preserve">CON-0613</t>
  </si>
  <si>
    <t xml:space="preserve">Multiclass job building</t>
  </si>
  <si>
    <t xml:space="preserve">MEC-301; MEC-302; MEC-300</t>
  </si>
  <si>
    <t xml:space="preserve">Fixed Class; Class Change or Job System; Progression and Build Models</t>
  </si>
  <si>
    <t xml:space="preserve">CON-0614</t>
  </si>
  <si>
    <t xml:space="preserve">JRPG roles</t>
  </si>
  <si>
    <t xml:space="preserve">CON-0615</t>
  </si>
  <si>
    <t xml:space="preserve">bonds</t>
  </si>
  <si>
    <t xml:space="preserve">CON-0616</t>
  </si>
  <si>
    <t xml:space="preserve">villain rules</t>
  </si>
  <si>
    <t xml:space="preserve">CON-0617</t>
  </si>
  <si>
    <t xml:space="preserve">techno-fantasy</t>
  </si>
  <si>
    <t xml:space="preserve">CON-0618</t>
  </si>
  <si>
    <t xml:space="preserve">Color-based power philosophy</t>
  </si>
  <si>
    <t xml:space="preserve">CON-0619</t>
  </si>
  <si>
    <t xml:space="preserve">creature types</t>
  </si>
  <si>
    <t xml:space="preserve">CON-0620</t>
  </si>
  <si>
    <t xml:space="preserve">planeswalkers</t>
  </si>
  <si>
    <t xml:space="preserve">CON-0621</t>
  </si>
  <si>
    <t xml:space="preserve">CON-0622</t>
  </si>
  <si>
    <t xml:space="preserve">endless world archetypes</t>
  </si>
  <si>
    <t xml:space="preserve">CON-0623</t>
  </si>
  <si>
    <t xml:space="preserve">Distinct playable peoples and hidden classes</t>
  </si>
  <si>
    <t xml:space="preserve">CON-0624</t>
  </si>
  <si>
    <t xml:space="preserve">card-driven roles</t>
  </si>
  <si>
    <t xml:space="preserve">CON-0625</t>
  </si>
  <si>
    <t xml:space="preserve">mercenary city ecology</t>
  </si>
  <si>
    <t xml:space="preserve">CON-0626</t>
  </si>
  <si>
    <t xml:space="preserve">Hero classes</t>
  </si>
  <si>
    <t xml:space="preserve">NAR-100; MEC-301</t>
  </si>
  <si>
    <t xml:space="preserve">Hero and Protagonist Archetypes; Fixed Class</t>
  </si>
  <si>
    <t xml:space="preserve">CON-0627</t>
  </si>
  <si>
    <t xml:space="preserve">overlord structure</t>
  </si>
  <si>
    <t xml:space="preserve">CON-0628</t>
  </si>
  <si>
    <t xml:space="preserve">dungeon units</t>
  </si>
  <si>
    <t xml:space="preserve">CON-0629</t>
  </si>
  <si>
    <t xml:space="preserve">classic fantasy peoples and monsters</t>
  </si>
  <si>
    <t xml:space="preserve">PPL-000; PPL-100</t>
  </si>
  <si>
    <t xml:space="preserve">People &amp; Beings; Mortal and Natural Peoples</t>
  </si>
  <si>
    <t xml:space="preserve">CON-0630</t>
  </si>
  <si>
    <t xml:space="preserve">Iconic barbarian</t>
  </si>
  <si>
    <t xml:space="preserve">CON-0631</t>
  </si>
  <si>
    <t xml:space="preserve">dwarf</t>
  </si>
  <si>
    <t xml:space="preserve">CON-0632</t>
  </si>
  <si>
    <t xml:space="preserve">elf</t>
  </si>
  <si>
    <t xml:space="preserve">CON-0633</t>
  </si>
  <si>
    <t xml:space="preserve">wizard party</t>
  </si>
  <si>
    <t xml:space="preserve">ROL-301; NAR-200</t>
  </si>
  <si>
    <t xml:space="preserve">Mage and Wizard; Companion, Mentor, and Party Archetypes</t>
  </si>
  <si>
    <t xml:space="preserve">CON-0634</t>
  </si>
  <si>
    <t xml:space="preserve">furniture dungeon</t>
  </si>
  <si>
    <t xml:space="preserve">CON-0635</t>
  </si>
  <si>
    <t xml:space="preserve">archetypal roles</t>
  </si>
  <si>
    <t xml:space="preserve">CON-0636</t>
  </si>
  <si>
    <t xml:space="preserve">Broad playable character archetypes</t>
  </si>
  <si>
    <t xml:space="preserve">CON-0637</t>
  </si>
  <si>
    <t xml:space="preserve">CON-0638</t>
  </si>
  <si>
    <t xml:space="preserve">CON-0639</t>
  </si>
  <si>
    <t xml:space="preserve">adventure-board progression</t>
  </si>
  <si>
    <t xml:space="preserve">CON-0640</t>
  </si>
  <si>
    <t xml:space="preserve">Hybrid hero classes</t>
  </si>
  <si>
    <t xml:space="preserve">CON-0641</t>
  </si>
  <si>
    <t xml:space="preserve">deck-building progression</t>
  </si>
  <si>
    <t xml:space="preserve">CON-0642</t>
  </si>
  <si>
    <t xml:space="preserve">conquest</t>
  </si>
  <si>
    <t xml:space="preserve">CON-0643</t>
  </si>
  <si>
    <t xml:space="preserve">exploration and mana</t>
  </si>
  <si>
    <t xml:space="preserve">CON-0644</t>
  </si>
  <si>
    <t xml:space="preserve">Spirits as player identities</t>
  </si>
  <si>
    <t xml:space="preserve">CON-0645</t>
  </si>
  <si>
    <t xml:space="preserve">indigenous defense</t>
  </si>
  <si>
    <t xml:space="preserve">CON-0646</t>
  </si>
  <si>
    <t xml:space="preserve">colonization critique</t>
  </si>
  <si>
    <t xml:space="preserve">CON-0647</t>
  </si>
  <si>
    <t xml:space="preserve">elemental growth</t>
  </si>
  <si>
    <t xml:space="preserve">CON-0648</t>
  </si>
  <si>
    <t xml:space="preserve">Composable fantasy peoples plus powers</t>
  </si>
  <si>
    <t xml:space="preserve">CON-0649</t>
  </si>
  <si>
    <t xml:space="preserve">decline mechanic</t>
  </si>
  <si>
    <t xml:space="preserve">CON-0650</t>
  </si>
  <si>
    <t xml:space="preserve">parody of race-as-mechanics</t>
  </si>
  <si>
    <t xml:space="preserve">CON-0651</t>
  </si>
  <si>
    <t xml:space="preserve">Anthropomorphic factions with asymmetric institutional and strategic identities</t>
  </si>
  <si>
    <t xml:space="preserve">CON-0652</t>
  </si>
  <si>
    <t xml:space="preserve">Job classes</t>
  </si>
  <si>
    <t xml:space="preserve">CON-0653</t>
  </si>
  <si>
    <t xml:space="preserve">race-restricted classes</t>
  </si>
  <si>
    <t xml:space="preserve">CON-0654</t>
  </si>
  <si>
    <t xml:space="preserve">CON-0655</t>
  </si>
  <si>
    <t xml:space="preserve">tactical roles</t>
  </si>
  <si>
    <t xml:space="preserve">CON-0656</t>
  </si>
  <si>
    <t xml:space="preserve">political branching</t>
  </si>
  <si>
    <t xml:space="preserve">CON-0657</t>
  </si>
  <si>
    <t xml:space="preserve">CON-0658</t>
  </si>
  <si>
    <t xml:space="preserve">demi-human</t>
  </si>
  <si>
    <t xml:space="preserve">CON-0659</t>
  </si>
  <si>
    <t xml:space="preserve">beast and undead units</t>
  </si>
  <si>
    <t xml:space="preserve">CON-0660</t>
  </si>
  <si>
    <t xml:space="preserve">classmarks</t>
  </si>
  <si>
    <t xml:space="preserve">CON-0661</t>
  </si>
  <si>
    <t xml:space="preserve">unique and generic classes</t>
  </si>
  <si>
    <t xml:space="preserve">CON-0662</t>
  </si>
  <si>
    <t xml:space="preserve">Job system</t>
  </si>
  <si>
    <t xml:space="preserve">MEC-301; MEC-302</t>
  </si>
  <si>
    <t xml:space="preserve">Fixed Class; Class Change or Job System</t>
  </si>
  <si>
    <t xml:space="preserve">CON-0663</t>
  </si>
  <si>
    <t xml:space="preserve">recurring class icons</t>
  </si>
  <si>
    <t xml:space="preserve">CON-0664</t>
  </si>
  <si>
    <t xml:space="preserve">summons</t>
  </si>
  <si>
    <t xml:space="preserve">CON-0665</t>
  </si>
  <si>
    <t xml:space="preserve">crystals</t>
  </si>
  <si>
    <t xml:space="preserve">CON-0666</t>
  </si>
  <si>
    <t xml:space="preserve">distinctive peoples and science fantasy</t>
  </si>
  <si>
    <t xml:space="preserve">PPL-100; CIV-312</t>
  </si>
  <si>
    <t xml:space="preserve">Mortal and Natural Peoples; Magitech Industrial Society</t>
  </si>
  <si>
    <t xml:space="preserve">CON-0667</t>
  </si>
  <si>
    <t xml:space="preserve">Deep job tree</t>
  </si>
  <si>
    <t xml:space="preserve">CON-0668</t>
  </si>
  <si>
    <t xml:space="preserve">zodiac mechanics</t>
  </si>
  <si>
    <t xml:space="preserve">CON-0669</t>
  </si>
  <si>
    <t xml:space="preserve">political church conflict</t>
  </si>
  <si>
    <t xml:space="preserve">CON-0670</t>
  </si>
  <si>
    <t xml:space="preserve">monster units</t>
  </si>
  <si>
    <t xml:space="preserve">CON-0671</t>
  </si>
  <si>
    <t xml:space="preserve">advanced classes</t>
  </si>
  <si>
    <t xml:space="preserve">CON-0672</t>
  </si>
  <si>
    <t xml:space="preserve">Formal combat/crafting/gathering jobs</t>
  </si>
  <si>
    <t xml:space="preserve">CON-0673</t>
  </si>
  <si>
    <t xml:space="preserve">playable races and clans</t>
  </si>
  <si>
    <t xml:space="preserve">PPL-100; INS-400</t>
  </si>
  <si>
    <t xml:space="preserve">Mortal and Natural Peoples; Kinship, Political, and Secret Organizations</t>
  </si>
  <si>
    <t xml:space="preserve">CON-0674</t>
  </si>
  <si>
    <t xml:space="preserve">role trinity</t>
  </si>
  <si>
    <t xml:space="preserve">CON-0675</t>
  </si>
  <si>
    <t xml:space="preserve">primals</t>
  </si>
  <si>
    <t xml:space="preserve">CON-0676</t>
  </si>
  <si>
    <t xml:space="preserve">CON-0677</t>
  </si>
  <si>
    <t xml:space="preserve">warrior</t>
  </si>
  <si>
    <t xml:space="preserve">CON-0678</t>
  </si>
  <si>
    <t xml:space="preserve">priest</t>
  </si>
  <si>
    <t xml:space="preserve">CON-0679</t>
  </si>
  <si>
    <t xml:space="preserve">mage</t>
  </si>
  <si>
    <t xml:space="preserve">CON-0680</t>
  </si>
  <si>
    <t xml:space="preserve">martial artist</t>
  </si>
  <si>
    <t xml:space="preserve">CON-0681</t>
  </si>
  <si>
    <t xml:space="preserve">monster recruitment</t>
  </si>
  <si>
    <t xml:space="preserve">CON-0682</t>
  </si>
  <si>
    <t xml:space="preserve">demon lord structure</t>
  </si>
  <si>
    <t xml:space="preserve">CON-0683</t>
  </si>
  <si>
    <t xml:space="preserve">Class promotion</t>
  </si>
  <si>
    <t xml:space="preserve">CON-0684</t>
  </si>
  <si>
    <t xml:space="preserve">weapon triangles</t>
  </si>
  <si>
    <t xml:space="preserve">CON-0685</t>
  </si>
  <si>
    <t xml:space="preserve">lords</t>
  </si>
  <si>
    <t xml:space="preserve">CON-0686</t>
  </si>
  <si>
    <t xml:space="preserve">dragon peoples</t>
  </si>
  <si>
    <t xml:space="preserve">PPL-800; PPL-100</t>
  </si>
  <si>
    <t xml:space="preserve">Dragons and Legendary Beasts; Mortal and Natural Peoples</t>
  </si>
  <si>
    <t xml:space="preserve">CON-0687</t>
  </si>
  <si>
    <t xml:space="preserve">permadeath</t>
  </si>
  <si>
    <t xml:space="preserve">CON-0688</t>
  </si>
  <si>
    <t xml:space="preserve">political factions</t>
  </si>
  <si>
    <t xml:space="preserve">CON-0689</t>
  </si>
  <si>
    <t xml:space="preserve">Playable peoples</t>
  </si>
  <si>
    <t xml:space="preserve">CON-0690</t>
  </si>
  <si>
    <t xml:space="preserve">open skill systems</t>
  </si>
  <si>
    <t xml:space="preserve">CON-0691</t>
  </si>
  <si>
    <t xml:space="preserve">guilds</t>
  </si>
  <si>
    <t xml:space="preserve">CON-0692</t>
  </si>
  <si>
    <t xml:space="preserve">Daedra/Aedra</t>
  </si>
  <si>
    <t xml:space="preserve">CON-0693</t>
  </si>
  <si>
    <t xml:space="preserve">vampires</t>
  </si>
  <si>
    <t xml:space="preserve">CON-0694</t>
  </si>
  <si>
    <t xml:space="preserve">werewolves</t>
  </si>
  <si>
    <t xml:space="preserve">CON-0695</t>
  </si>
  <si>
    <t xml:space="preserve">dragonborn</t>
  </si>
  <si>
    <t xml:space="preserve">CON-0696</t>
  </si>
  <si>
    <t xml:space="preserve">Playable races and classes</t>
  </si>
  <si>
    <t xml:space="preserve">CON-0697</t>
  </si>
  <si>
    <t xml:space="preserve">faction identity</t>
  </si>
  <si>
    <t xml:space="preserve">CON-0698</t>
  </si>
  <si>
    <t xml:space="preserve">corruption</t>
  </si>
  <si>
    <t xml:space="preserve">CON-0699</t>
  </si>
  <si>
    <t xml:space="preserve">undead nation</t>
  </si>
  <si>
    <t xml:space="preserve">PPL-600; CIV-100</t>
  </si>
  <si>
    <t xml:space="preserve">Undead Beings; Polity and Governance Archetypes</t>
  </si>
  <si>
    <t xml:space="preserve">CON-0700</t>
  </si>
  <si>
    <t xml:space="preserve">draconic and cosmic beings</t>
  </si>
  <si>
    <t xml:space="preserve">PPL-800; PPL-1100</t>
  </si>
  <si>
    <t xml:space="preserve">Dragons and Legendary Beasts; Cosmic, Aberrant, and Otherworldly Beings</t>
  </si>
  <si>
    <t xml:space="preserve">CON-0701</t>
  </si>
  <si>
    <t xml:space="preserve">Modern MMO class specs</t>
  </si>
  <si>
    <t xml:space="preserve">CON-0702</t>
  </si>
  <si>
    <t xml:space="preserve">playable races</t>
  </si>
  <si>
    <t xml:space="preserve">CON-0703</t>
  </si>
  <si>
    <t xml:space="preserve">allied races</t>
  </si>
  <si>
    <t xml:space="preserve">CON-0704</t>
  </si>
  <si>
    <t xml:space="preserve">CON-0705</t>
  </si>
  <si>
    <t xml:space="preserve">faction evolution</t>
  </si>
  <si>
    <t xml:space="preserve">STA-200; INS-000</t>
  </si>
  <si>
    <t xml:space="preserve">Bodily Transformation States; Institutions &amp; Affiliations</t>
  </si>
  <si>
    <t xml:space="preserve">CON-0706</t>
  </si>
  <si>
    <t xml:space="preserve">Class silhouettes</t>
  </si>
  <si>
    <t xml:space="preserve">CON-0707</t>
  </si>
  <si>
    <t xml:space="preserve">loot builds</t>
  </si>
  <si>
    <t xml:space="preserve">CON-0708</t>
  </si>
  <si>
    <t xml:space="preserve">angels/demons</t>
  </si>
  <si>
    <t xml:space="preserve">CON-0709</t>
  </si>
  <si>
    <t xml:space="preserve">nephalem</t>
  </si>
  <si>
    <t xml:space="preserve">CON-0710</t>
  </si>
  <si>
    <t xml:space="preserve">necromancers</t>
  </si>
  <si>
    <t xml:space="preserve">CON-0711</t>
  </si>
  <si>
    <t xml:space="preserve">CON-0712</t>
  </si>
  <si>
    <t xml:space="preserve">Mages/templars</t>
  </si>
  <si>
    <t xml:space="preserve">CON-0713</t>
  </si>
  <si>
    <t xml:space="preserve">Qunari</t>
  </si>
  <si>
    <t xml:space="preserve">CON-0714</t>
  </si>
  <si>
    <t xml:space="preserve">CON-0715</t>
  </si>
  <si>
    <t xml:space="preserve">Grey Wardens</t>
  </si>
  <si>
    <t xml:space="preserve">CON-0716</t>
  </si>
  <si>
    <t xml:space="preserve">classes and specializations</t>
  </si>
  <si>
    <t xml:space="preserve">CON-0717</t>
  </si>
  <si>
    <t xml:space="preserve">D&amp;D classes and species in party-based narrative</t>
  </si>
  <si>
    <t xml:space="preserve">PPL-100; NAR-200; MEC-301</t>
  </si>
  <si>
    <t xml:space="preserve">Mortal and Natural Peoples; Companion, Mentor, and Party Archetypes; Fixed Class</t>
  </si>
  <si>
    <t xml:space="preserve">CON-0718</t>
  </si>
  <si>
    <t xml:space="preserve">companions</t>
  </si>
  <si>
    <t xml:space="preserve">CON-0719</t>
  </si>
  <si>
    <t xml:space="preserve">alignment and multiclass builds</t>
  </si>
  <si>
    <t xml:space="preserve">MEC-302; MEC-300; MEC-322</t>
  </si>
  <si>
    <t xml:space="preserve">Class Change or Job System; Progression and Build Models; Moral Alignment Progression</t>
  </si>
  <si>
    <t xml:space="preserve">CON-0720</t>
  </si>
  <si>
    <t xml:space="preserve">Party construction</t>
  </si>
  <si>
    <t xml:space="preserve">CON-0721</t>
  </si>
  <si>
    <t xml:space="preserve">D&amp;D classes</t>
  </si>
  <si>
    <t xml:space="preserve">CON-0722</t>
  </si>
  <si>
    <t xml:space="preserve">dungeon combat</t>
  </si>
  <si>
    <t xml:space="preserve">CON-0723</t>
  </si>
  <si>
    <t xml:space="preserve">northern monster ecology</t>
  </si>
  <si>
    <t xml:space="preserve">CON-0724</t>
  </si>
  <si>
    <t xml:space="preserve">Immortal protagonist</t>
  </si>
  <si>
    <t xml:space="preserve">CON-0725</t>
  </si>
  <si>
    <t xml:space="preserve">CON-0726</t>
  </si>
  <si>
    <t xml:space="preserve">CON-0727</t>
  </si>
  <si>
    <t xml:space="preserve">identity</t>
  </si>
  <si>
    <t xml:space="preserve">CON-0728</t>
  </si>
  <si>
    <t xml:space="preserve">philosophical role systems</t>
  </si>
  <si>
    <t xml:space="preserve">CON-0729</t>
  </si>
  <si>
    <t xml:space="preserve">D&amp;D class implementation</t>
  </si>
  <si>
    <t xml:space="preserve">CON-0730</t>
  </si>
  <si>
    <t xml:space="preserve">prestige classes</t>
  </si>
  <si>
    <t xml:space="preserve">CON-0731</t>
  </si>
  <si>
    <t xml:space="preserve">toolset-created settings</t>
  </si>
  <si>
    <t xml:space="preserve">CON-0732</t>
  </si>
  <si>
    <t xml:space="preserve">multiplayer roles</t>
  </si>
  <si>
    <t xml:space="preserve">CON-0733</t>
  </si>
  <si>
    <t xml:space="preserve">Classless builds</t>
  </si>
  <si>
    <t xml:space="preserve">CON-0734</t>
  </si>
  <si>
    <t xml:space="preserve">source magic</t>
  </si>
  <si>
    <t xml:space="preserve">CON-0735</t>
  </si>
  <si>
    <t xml:space="preserve">undead player options</t>
  </si>
  <si>
    <t xml:space="preserve">CON-0736</t>
  </si>
  <si>
    <t xml:space="preserve">elemental interactions</t>
  </si>
  <si>
    <t xml:space="preserve">CON-0737</t>
  </si>
  <si>
    <t xml:space="preserve">origin characters</t>
  </si>
  <si>
    <t xml:space="preserve">CON-0738</t>
  </si>
  <si>
    <t xml:space="preserve">Original classes and peoples</t>
  </si>
  <si>
    <t xml:space="preserve">CON-0739</t>
  </si>
  <si>
    <t xml:space="preserve">soul cycles</t>
  </si>
  <si>
    <t xml:space="preserve">CON-0740</t>
  </si>
  <si>
    <t xml:space="preserve">godlike lineages</t>
  </si>
  <si>
    <t xml:space="preserve">CON-0741</t>
  </si>
  <si>
    <t xml:space="preserve">CON-0742</t>
  </si>
  <si>
    <t xml:space="preserve">multiclassing</t>
  </si>
  <si>
    <t xml:space="preserve">CON-0743</t>
  </si>
  <si>
    <t xml:space="preserve">Villain-side protagonist</t>
  </si>
  <si>
    <t xml:space="preserve">CON-0744</t>
  </si>
  <si>
    <t xml:space="preserve">legal magic edicts</t>
  </si>
  <si>
    <t xml:space="preserve">CON-0745</t>
  </si>
  <si>
    <t xml:space="preserve">reputation/fear</t>
  </si>
  <si>
    <t xml:space="preserve">CON-0746</t>
  </si>
  <si>
    <t xml:space="preserve">CON-0747</t>
  </si>
  <si>
    <t xml:space="preserve">empire institutions</t>
  </si>
  <si>
    <t xml:space="preserve">CON-0748</t>
  </si>
  <si>
    <t xml:space="preserve">Pathfinder classes</t>
  </si>
  <si>
    <t xml:space="preserve">CON-0749</t>
  </si>
  <si>
    <t xml:space="preserve">CON-0750</t>
  </si>
  <si>
    <t xml:space="preserve">kingdom building</t>
  </si>
  <si>
    <t xml:space="preserve">ROL-700; CIV-100; MEC-300</t>
  </si>
  <si>
    <t xml:space="preserve">Leadership and Social Office Roles; Polity and Governance Archetypes; Progression and Build Models</t>
  </si>
  <si>
    <t xml:space="preserve">CON-0751</t>
  </si>
  <si>
    <t xml:space="preserve">CON-0752</t>
  </si>
  <si>
    <t xml:space="preserve">CON-0753</t>
  </si>
  <si>
    <t xml:space="preserve">Mythic paths</t>
  </si>
  <si>
    <t xml:space="preserve">CON-0754</t>
  </si>
  <si>
    <t xml:space="preserve">demon war</t>
  </si>
  <si>
    <t xml:space="preserve">CON-0755</t>
  </si>
  <si>
    <t xml:space="preserve">extensive classes/archetypes</t>
  </si>
  <si>
    <t xml:space="preserve">CON-0756</t>
  </si>
  <si>
    <t xml:space="preserve">transformation and alignment</t>
  </si>
  <si>
    <t xml:space="preserve">STA-200; MEC-322</t>
  </si>
  <si>
    <t xml:space="preserve">Bodily Transformation States; Moral Alignment Progression</t>
  </si>
  <si>
    <t xml:space="preserve">CON-0757</t>
  </si>
  <si>
    <t xml:space="preserve">Undead curse</t>
  </si>
  <si>
    <t xml:space="preserve">PPL-600; STA-311; LAW-204</t>
  </si>
  <si>
    <t xml:space="preserve">Undead Beings; Cursed State; Curse</t>
  </si>
  <si>
    <t xml:space="preserve">CON-0758</t>
  </si>
  <si>
    <t xml:space="preserve">classes as starting templates</t>
  </si>
  <si>
    <t xml:space="preserve">CON-0759</t>
  </si>
  <si>
    <t xml:space="preserve">fading ages</t>
  </si>
  <si>
    <t xml:space="preserve">CON-0760</t>
  </si>
  <si>
    <t xml:space="preserve">bosses</t>
  </si>
  <si>
    <t xml:space="preserve">CON-0761</t>
  </si>
  <si>
    <t xml:space="preserve">CON-0762</t>
  </si>
  <si>
    <t xml:space="preserve">CON-0763</t>
  </si>
  <si>
    <t xml:space="preserve">Soul form</t>
  </si>
  <si>
    <t xml:space="preserve">CON-0764</t>
  </si>
  <si>
    <t xml:space="preserve">world tendency</t>
  </si>
  <si>
    <t xml:space="preserve">CON-0765</t>
  </si>
  <si>
    <t xml:space="preserve">starting classes</t>
  </si>
  <si>
    <t xml:space="preserve">CON-0766</t>
  </si>
  <si>
    <t xml:space="preserve">demon transformation</t>
  </si>
  <si>
    <t xml:space="preserve">PPL-501; STA-200; STA-208</t>
  </si>
  <si>
    <t xml:space="preserve">Demons; Bodily Transformation States; Demonic Transformation</t>
  </si>
  <si>
    <t xml:space="preserve">CON-0767</t>
  </si>
  <si>
    <t xml:space="preserve">apocalyptic kingdom</t>
  </si>
  <si>
    <t xml:space="preserve">ROL-700; NAR-418; CIV-100</t>
  </si>
  <si>
    <t xml:space="preserve">Leadership and Social Office Roles; Apocalypse and Prevention; Polity and Governance Archetypes</t>
  </si>
  <si>
    <t xml:space="preserve">CON-0768</t>
  </si>
  <si>
    <t xml:space="preserve">Hunter profession</t>
  </si>
  <si>
    <t xml:space="preserve">ROL-126; MEC-301</t>
  </si>
  <si>
    <t xml:space="preserve">Hunter; Fixed Class</t>
  </si>
  <si>
    <t xml:space="preserve">CON-0769</t>
  </si>
  <si>
    <t xml:space="preserve">blood ministration</t>
  </si>
  <si>
    <t xml:space="preserve">CON-0770</t>
  </si>
  <si>
    <t xml:space="preserve">beast transformation</t>
  </si>
  <si>
    <t xml:space="preserve">STA-200; STA-211</t>
  </si>
  <si>
    <t xml:space="preserve">Bodily Transformation States; Beast Transformation</t>
  </si>
  <si>
    <t xml:space="preserve">CON-0771</t>
  </si>
  <si>
    <t xml:space="preserve">eldritch beings</t>
  </si>
  <si>
    <t xml:space="preserve">CON-0772</t>
  </si>
  <si>
    <t xml:space="preserve">trick weapons</t>
  </si>
  <si>
    <t xml:space="preserve">CON-0773</t>
  </si>
  <si>
    <t xml:space="preserve">Demigod lineages</t>
  </si>
  <si>
    <t xml:space="preserve">PPL-402; LAW-800</t>
  </si>
  <si>
    <t xml:space="preserve">Demigods and Divine-Blooded Beings; Hospitality, Kinship &amp; Social Metaphysics</t>
  </si>
  <si>
    <t xml:space="preserve">CON-0774</t>
  </si>
  <si>
    <t xml:space="preserve">Tarnished classes</t>
  </si>
  <si>
    <t xml:space="preserve">CON-0775</t>
  </si>
  <si>
    <t xml:space="preserve">outer gods</t>
  </si>
  <si>
    <t xml:space="preserve">PPL-400; PPL-1100</t>
  </si>
  <si>
    <t xml:space="preserve">Divine and Celestial Beings; Cosmic, Aberrant, and Otherworldly Beings</t>
  </si>
  <si>
    <t xml:space="preserve">CON-0776</t>
  </si>
  <si>
    <t xml:space="preserve">CON-0777</t>
  </si>
  <si>
    <t xml:space="preserve">CON-0778</t>
  </si>
  <si>
    <t xml:space="preserve">open-world myth</t>
  </si>
  <si>
    <t xml:space="preserve">CON-0779</t>
  </si>
  <si>
    <t xml:space="preserve">Hero/princess/demon king triad</t>
  </si>
  <si>
    <t xml:space="preserve">PPL-501; ROL-700; ROL-701</t>
  </si>
  <si>
    <t xml:space="preserve">Demons; Leadership and Social Office Roles; Monarch</t>
  </si>
  <si>
    <t xml:space="preserve">CON-0780</t>
  </si>
  <si>
    <t xml:space="preserve">CON-0781</t>
  </si>
  <si>
    <t xml:space="preserve">sages</t>
  </si>
  <si>
    <t xml:space="preserve">CON-0782</t>
  </si>
  <si>
    <t xml:space="preserve">artifacts</t>
  </si>
  <si>
    <t xml:space="preserve">CON-0783</t>
  </si>
  <si>
    <t xml:space="preserve">reincurring roles</t>
  </si>
  <si>
    <t xml:space="preserve">CON-0784</t>
  </si>
  <si>
    <t xml:space="preserve">transformations</t>
  </si>
  <si>
    <t xml:space="preserve">CON-0785</t>
  </si>
  <si>
    <t xml:space="preserve">Avatar virtues</t>
  </si>
  <si>
    <t xml:space="preserve">CON-0786</t>
  </si>
  <si>
    <t xml:space="preserve">early CRPG classes</t>
  </si>
  <si>
    <t xml:space="preserve">CON-0787</t>
  </si>
  <si>
    <t xml:space="preserve">CON-0788</t>
  </si>
  <si>
    <t xml:space="preserve">ethics</t>
  </si>
  <si>
    <t xml:space="preserve">CON-0789</t>
  </si>
  <si>
    <t xml:space="preserve">world simulation</t>
  </si>
  <si>
    <t xml:space="preserve">CON-0790</t>
  </si>
  <si>
    <t xml:space="preserve">gargoyles</t>
  </si>
  <si>
    <t xml:space="preserve">CON-0791</t>
  </si>
  <si>
    <t xml:space="preserve">Party class/race matrices</t>
  </si>
  <si>
    <t xml:space="preserve">CON-0792</t>
  </si>
  <si>
    <t xml:space="preserve">CON-0793</t>
  </si>
  <si>
    <t xml:space="preserve">CON-0794</t>
  </si>
  <si>
    <t xml:space="preserve">dungeon progression</t>
  </si>
  <si>
    <t xml:space="preserve">CON-0795</t>
  </si>
  <si>
    <t xml:space="preserve">JRPG influence</t>
  </si>
  <si>
    <t xml:space="preserve">CON-0796</t>
  </si>
  <si>
    <t xml:space="preserve">Class/race party systems</t>
  </si>
  <si>
    <t xml:space="preserve">CON-0797</t>
  </si>
  <si>
    <t xml:space="preserve">science-fantasy cosmology</t>
  </si>
  <si>
    <t xml:space="preserve">CIV-312; COS-000</t>
  </si>
  <si>
    <t xml:space="preserve">Magitech Industrial Society; Cosmologies, Realms &amp; Sacred Geography</t>
  </si>
  <si>
    <t xml:space="preserve">CON-0798</t>
  </si>
  <si>
    <t xml:space="preserve">promotion quests</t>
  </si>
  <si>
    <t xml:space="preserve">NAR-400; MEC-302</t>
  </si>
  <si>
    <t xml:space="preserve">Plot and Journey Archetypes; Class Change or Job System</t>
  </si>
  <si>
    <t xml:space="preserve">CON-0799</t>
  </si>
  <si>
    <t xml:space="preserve">monster taxonomy</t>
  </si>
  <si>
    <t xml:space="preserve">CON-0800</t>
  </si>
  <si>
    <t xml:space="preserve">Faction-as-civilization taxonomy</t>
  </si>
  <si>
    <t xml:space="preserve">INS-000; CIV-000</t>
  </si>
  <si>
    <t xml:space="preserve">Institutions &amp; Affiliations; Civilization &amp; Culture Archetypes</t>
  </si>
  <si>
    <t xml:space="preserve">CON-0801</t>
  </si>
  <si>
    <t xml:space="preserve">hero classes</t>
  </si>
  <si>
    <t xml:space="preserve">CON-0802</t>
  </si>
  <si>
    <t xml:space="preserve">unit tiers</t>
  </si>
  <si>
    <t xml:space="preserve">CON-0803</t>
  </si>
  <si>
    <t xml:space="preserve">creature lineages</t>
  </si>
  <si>
    <t xml:space="preserve">CON-0804</t>
  </si>
  <si>
    <t xml:space="preserve">Vocations</t>
  </si>
  <si>
    <t xml:space="preserve">CON-0805</t>
  </si>
  <si>
    <t xml:space="preserve">hybrid classes</t>
  </si>
  <si>
    <t xml:space="preserve">CON-0806</t>
  </si>
  <si>
    <t xml:space="preserve">pawns</t>
  </si>
  <si>
    <t xml:space="preserve">CON-0807</t>
  </si>
  <si>
    <t xml:space="preserve">dragon cycle</t>
  </si>
  <si>
    <t xml:space="preserve">CON-0808</t>
  </si>
  <si>
    <t xml:space="preserve">climbing combat</t>
  </si>
  <si>
    <t xml:space="preserve">CON-0809</t>
  </si>
  <si>
    <t xml:space="preserve">arisen identity</t>
  </si>
  <si>
    <t xml:space="preserve">CON-0810</t>
  </si>
  <si>
    <t xml:space="preserve">Hero morality and appearance</t>
  </si>
  <si>
    <t xml:space="preserve">NAR-100; MEC-322</t>
  </si>
  <si>
    <t xml:space="preserve">Hero and Protagonist Archetypes; Moral Alignment Progression</t>
  </si>
  <si>
    <t xml:space="preserve">CON-0811</t>
  </si>
  <si>
    <t xml:space="preserve">guild training</t>
  </si>
  <si>
    <t xml:space="preserve">CON-0812</t>
  </si>
  <si>
    <t xml:space="preserve">classless skill triad</t>
  </si>
  <si>
    <t xml:space="preserve">CON-0813</t>
  </si>
  <si>
    <t xml:space="preserve">fairy-tale society</t>
  </si>
  <si>
    <t xml:space="preserve">CON-0814</t>
  </si>
  <si>
    <t xml:space="preserve">Faction-gated professions</t>
  </si>
  <si>
    <t xml:space="preserve">CON-0815</t>
  </si>
  <si>
    <t xml:space="preserve">low-fantasy social progression</t>
  </si>
  <si>
    <t xml:space="preserve">CON-0816</t>
  </si>
  <si>
    <t xml:space="preserve">magic circles</t>
  </si>
  <si>
    <t xml:space="preserve">CON-0817</t>
  </si>
  <si>
    <t xml:space="preserve">CON-0818</t>
  </si>
  <si>
    <t xml:space="preserve">Faction classes</t>
  </si>
  <si>
    <t xml:space="preserve">CON-0819</t>
  </si>
  <si>
    <t xml:space="preserve">pirates</t>
  </si>
  <si>
    <t xml:space="preserve">CON-0820</t>
  </si>
  <si>
    <t xml:space="preserve">inquisitors</t>
  </si>
  <si>
    <t xml:space="preserve">CON-0821</t>
  </si>
  <si>
    <t xml:space="preserve">magic</t>
  </si>
  <si>
    <t xml:space="preserve">CON-0822</t>
  </si>
  <si>
    <t xml:space="preserve">island societies</t>
  </si>
  <si>
    <t xml:space="preserve">CON-0823</t>
  </si>
  <si>
    <t xml:space="preserve">Witcher combat/alchemy/sign build</t>
  </si>
  <si>
    <t xml:space="preserve">ROL-810; ROL-338; MEC-300</t>
  </si>
  <si>
    <t xml:space="preserve">Witcher and Alchemical Monster Hunter; Alchemist; Progression and Build Models</t>
  </si>
  <si>
    <t xml:space="preserve">CON-0824</t>
  </si>
  <si>
    <t xml:space="preserve">monster bestiary</t>
  </si>
  <si>
    <t xml:space="preserve">CON-0825</t>
  </si>
  <si>
    <t xml:space="preserve">schools</t>
  </si>
  <si>
    <t xml:space="preserve">CON-0826</t>
  </si>
  <si>
    <t xml:space="preserve">political choices</t>
  </si>
  <si>
    <t xml:space="preserve">CON-0827</t>
  </si>
  <si>
    <t xml:space="preserve">CON-0828</t>
  </si>
  <si>
    <t xml:space="preserve">Distinct professions</t>
  </si>
  <si>
    <t xml:space="preserve">CON-0829</t>
  </si>
  <si>
    <t xml:space="preserve">playable peoples</t>
  </si>
  <si>
    <t xml:space="preserve">CON-0830</t>
  </si>
  <si>
    <t xml:space="preserve">elite specializations</t>
  </si>
  <si>
    <t xml:space="preserve">CON-0831</t>
  </si>
  <si>
    <t xml:space="preserve">CON-0832</t>
  </si>
  <si>
    <t xml:space="preserve">CON-0833</t>
  </si>
  <si>
    <t xml:space="preserve">magitech</t>
  </si>
  <si>
    <t xml:space="preserve">CON-0834</t>
  </si>
  <si>
    <t xml:space="preserve">Influential MMO race/class combinations</t>
  </si>
  <si>
    <t xml:space="preserve">PPL-100; CIV-100; MEC-301</t>
  </si>
  <si>
    <t xml:space="preserve">Mortal and Natural Peoples; Polity and Governance Archetypes; Fixed Class</t>
  </si>
  <si>
    <t xml:space="preserve">CON-0835</t>
  </si>
  <si>
    <t xml:space="preserve">CON-0836</t>
  </si>
  <si>
    <t xml:space="preserve">CON-0837</t>
  </si>
  <si>
    <t xml:space="preserve">raid roles</t>
  </si>
  <si>
    <t xml:space="preserve">CON-0838</t>
  </si>
  <si>
    <t xml:space="preserve">Classless skills</t>
  </si>
  <si>
    <t xml:space="preserve">CON-0839</t>
  </si>
  <si>
    <t xml:space="preserve">CON-0840</t>
  </si>
  <si>
    <t xml:space="preserve">CON-0841</t>
  </si>
  <si>
    <t xml:space="preserve">playable combat styles</t>
  </si>
  <si>
    <t xml:space="preserve">CON-0842</t>
  </si>
  <si>
    <t xml:space="preserve">extensive monster and faction catalogue</t>
  </si>
  <si>
    <t xml:space="preserve">PPL-000; INS-000</t>
  </si>
  <si>
    <t xml:space="preserve">People &amp; Beings; Institutions &amp; Affiliations</t>
  </si>
  <si>
    <t xml:space="preserve">CON-0843</t>
  </si>
  <si>
    <t xml:space="preserve">Korean MMO classes</t>
  </si>
  <si>
    <t xml:space="preserve">CON-0844</t>
  </si>
  <si>
    <t xml:space="preserve">elves/dark elves/orcs</t>
  </si>
  <si>
    <t xml:space="preserve">PPL-102; PPL-106</t>
  </si>
  <si>
    <t xml:space="preserve">Elf-Derived Peoples; Orc-Derived Peoples</t>
  </si>
  <si>
    <t xml:space="preserve">CON-0845</t>
  </si>
  <si>
    <t xml:space="preserve">castles</t>
  </si>
  <si>
    <t xml:space="preserve">CON-0846</t>
  </si>
  <si>
    <t xml:space="preserve">blood pledges</t>
  </si>
  <si>
    <t xml:space="preserve">CON-0847</t>
  </si>
  <si>
    <t xml:space="preserve">large-scale faction play</t>
  </si>
  <si>
    <t xml:space="preserve">CON-0848</t>
  </si>
  <si>
    <t xml:space="preserve">Class-specific characters</t>
  </si>
  <si>
    <t xml:space="preserve">CON-0849</t>
  </si>
  <si>
    <t xml:space="preserve">awakenings</t>
  </si>
  <si>
    <t xml:space="preserve">CON-0850</t>
  </si>
  <si>
    <t xml:space="preserve">life skills</t>
  </si>
  <si>
    <t xml:space="preserve">CON-0851</t>
  </si>
  <si>
    <t xml:space="preserve">regional cultures</t>
  </si>
  <si>
    <t xml:space="preserve">CON-0852</t>
  </si>
  <si>
    <t xml:space="preserve">dark spirits</t>
  </si>
  <si>
    <t xml:space="preserve">CON-0853</t>
  </si>
  <si>
    <t xml:space="preserve">Base classes and advanced classes</t>
  </si>
  <si>
    <t xml:space="preserve">CON-0854</t>
  </si>
  <si>
    <t xml:space="preserve">CON-0855</t>
  </si>
  <si>
    <t xml:space="preserve">CON-0856</t>
  </si>
  <si>
    <t xml:space="preserve">martial and gunner traditions</t>
  </si>
  <si>
    <t xml:space="preserve">CON-0857</t>
  </si>
  <si>
    <t xml:space="preserve">108 recruits</t>
  </si>
  <si>
    <t xml:space="preserve">CON-0858</t>
  </si>
  <si>
    <t xml:space="preserve">rune magic</t>
  </si>
  <si>
    <t xml:space="preserve">CON-0859</t>
  </si>
  <si>
    <t xml:space="preserve">military and civic roles</t>
  </si>
  <si>
    <t xml:space="preserve">CON-0860</t>
  </si>
  <si>
    <t xml:space="preserve">nation-building</t>
  </si>
  <si>
    <t xml:space="preserve">CIV-100; MEC-300</t>
  </si>
  <si>
    <t xml:space="preserve">Polity and Governance Archetypes; Progression and Build Models</t>
  </si>
  <si>
    <t xml:space="preserve">CON-0861</t>
  </si>
  <si>
    <t xml:space="preserve">CON-0862</t>
  </si>
  <si>
    <t xml:space="preserve">Humanoid and monster classes</t>
  </si>
  <si>
    <t xml:space="preserve">PPL-000; MEC-301</t>
  </si>
  <si>
    <t xml:space="preserve">People &amp; Beings; Fixed Class</t>
  </si>
  <si>
    <t xml:space="preserve">CON-0863</t>
  </si>
  <si>
    <t xml:space="preserve">CON-0864</t>
  </si>
  <si>
    <t xml:space="preserve">extreme leveling</t>
  </si>
  <si>
    <t xml:space="preserve">CON-0865</t>
  </si>
  <si>
    <t xml:space="preserve">demon society</t>
  </si>
  <si>
    <t xml:space="preserve">PPL-501; CIV-000</t>
  </si>
  <si>
    <t xml:space="preserve">Demons; Civilization &amp; Culture Archetypes</t>
  </si>
  <si>
    <t xml:space="preserve">CON-0866</t>
  </si>
  <si>
    <t xml:space="preserve">item worlds</t>
  </si>
  <si>
    <t xml:space="preserve">CON-0867</t>
  </si>
  <si>
    <t xml:space="preserve">Time-travel party</t>
  </si>
  <si>
    <t xml:space="preserve">CON-0868</t>
  </si>
  <si>
    <t xml:space="preserve">magic elements</t>
  </si>
  <si>
    <t xml:space="preserve">CON-0869</t>
  </si>
  <si>
    <t xml:space="preserve">prehistoric/medieval/future roles</t>
  </si>
  <si>
    <t xml:space="preserve">CON-0870</t>
  </si>
  <si>
    <t xml:space="preserve">alternate histories</t>
  </si>
  <si>
    <t xml:space="preserve">CON-0871</t>
  </si>
  <si>
    <t xml:space="preserve">Science-fantasy peoples</t>
  </si>
  <si>
    <t xml:space="preserve">CON-0872</t>
  </si>
  <si>
    <t xml:space="preserve">class systems</t>
  </si>
  <si>
    <t xml:space="preserve">CON-0873</t>
  </si>
  <si>
    <t xml:space="preserve">living worlds</t>
  </si>
  <si>
    <t xml:space="preserve">CON-0874</t>
  </si>
  <si>
    <t xml:space="preserve">blades</t>
  </si>
  <si>
    <t xml:space="preserve">CON-0875</t>
  </si>
  <si>
    <t xml:space="preserve">cycles and creator gods</t>
  </si>
  <si>
    <t xml:space="preserve">CON-0876</t>
  </si>
  <si>
    <t xml:space="preserve">Elemental adepts</t>
  </si>
  <si>
    <t xml:space="preserve">CON-0877</t>
  </si>
  <si>
    <t xml:space="preserve">djinn as equipable spirits</t>
  </si>
  <si>
    <t xml:space="preserve">PPL-203; PPL-300</t>
  </si>
  <si>
    <t xml:space="preserve">Dryads and Tree-Bound Beings; Spirits and Elementals</t>
  </si>
  <si>
    <t xml:space="preserve">CON-0878</t>
  </si>
  <si>
    <t xml:space="preserve">class changes</t>
  </si>
  <si>
    <t xml:space="preserve">CON-0879</t>
  </si>
  <si>
    <t xml:space="preserve">CON-0880</t>
  </si>
  <si>
    <t xml:space="preserve">world restoration</t>
  </si>
  <si>
    <t xml:space="preserve">CON-0881</t>
  </si>
  <si>
    <t xml:space="preserve">Dragon-transforming hero</t>
  </si>
  <si>
    <t xml:space="preserve">PPL-800; NAR-100</t>
  </si>
  <si>
    <t xml:space="preserve">Dragons and Legendary Beasts; Hero and Protagonist Archetypes</t>
  </si>
  <si>
    <t xml:space="preserve">CON-0882</t>
  </si>
  <si>
    <t xml:space="preserve">animal peoples</t>
  </si>
  <si>
    <t xml:space="preserve">CON-0883</t>
  </si>
  <si>
    <t xml:space="preserve">CON-0884</t>
  </si>
  <si>
    <t xml:space="preserve">fusions</t>
  </si>
  <si>
    <t xml:space="preserve">CON-0885</t>
  </si>
  <si>
    <t xml:space="preserve">recurring class roles</t>
  </si>
  <si>
    <t xml:space="preserve">CON-0886</t>
  </si>
  <si>
    <t xml:space="preserve">Action combat roles</t>
  </si>
  <si>
    <t xml:space="preserve">CON-0887</t>
  </si>
  <si>
    <t xml:space="preserve">artes</t>
  </si>
  <si>
    <t xml:space="preserve">CON-0888</t>
  </si>
  <si>
    <t xml:space="preserve">CON-0889</t>
  </si>
  <si>
    <t xml:space="preserve">mixed peoples</t>
  </si>
  <si>
    <t xml:space="preserve">CON-0890</t>
  </si>
  <si>
    <t xml:space="preserve">party archetypes</t>
  </si>
  <si>
    <t xml:space="preserve">CON-0891</t>
  </si>
  <si>
    <t xml:space="preserve">recurring summon lore</t>
  </si>
  <si>
    <t xml:space="preserve">CON-0892</t>
  </si>
  <si>
    <t xml:space="preserve">Wandering adventurer</t>
  </si>
  <si>
    <t xml:space="preserve">CON-0893</t>
  </si>
  <si>
    <t xml:space="preserve">ancient civilizations</t>
  </si>
  <si>
    <t xml:space="preserve">CON-0894</t>
  </si>
  <si>
    <t xml:space="preserve">goddesses</t>
  </si>
  <si>
    <t xml:space="preserve">CON-0895</t>
  </si>
  <si>
    <t xml:space="preserve">local peoples</t>
  </si>
  <si>
    <t xml:space="preserve">CON-0896</t>
  </si>
  <si>
    <t xml:space="preserve">episodic regions</t>
  </si>
  <si>
    <t xml:space="preserve">CON-0897</t>
  </si>
  <si>
    <t xml:space="preserve">Recruitable demons from global myth</t>
  </si>
  <si>
    <t xml:space="preserve">CON-0898</t>
  </si>
  <si>
    <t xml:space="preserve">CON-0899</t>
  </si>
  <si>
    <t xml:space="preserve">fusion</t>
  </si>
  <si>
    <t xml:space="preserve">CON-0900</t>
  </si>
  <si>
    <t xml:space="preserve">summoner role</t>
  </si>
  <si>
    <t xml:space="preserve">CON-0901</t>
  </si>
  <si>
    <t xml:space="preserve">apocalypse</t>
  </si>
  <si>
    <t xml:space="preserve">CON-0902</t>
  </si>
  <si>
    <t xml:space="preserve">Player-created class parties</t>
  </si>
  <si>
    <t xml:space="preserve">CON-0903</t>
  </si>
  <si>
    <t xml:space="preserve">mapping</t>
  </si>
  <si>
    <t xml:space="preserve">CON-0904</t>
  </si>
  <si>
    <t xml:space="preserve">advanced class synergies</t>
  </si>
  <si>
    <t xml:space="preserve">CON-0905</t>
  </si>
  <si>
    <t xml:space="preserve">dungeon ecology</t>
  </si>
  <si>
    <t xml:space="preserve">CON-0906</t>
  </si>
  <si>
    <t xml:space="preserve">Asterisk jobs</t>
  </si>
  <si>
    <t xml:space="preserve">CON-0907</t>
  </si>
  <si>
    <t xml:space="preserve">job combinations</t>
  </si>
  <si>
    <t xml:space="preserve">CIV-100; MEC-301</t>
  </si>
  <si>
    <t xml:space="preserve">Polity and Governance Archetypes; Fixed Class</t>
  </si>
  <si>
    <t xml:space="preserve">CON-0908</t>
  </si>
  <si>
    <t xml:space="preserve">turn economy</t>
  </si>
  <si>
    <t xml:space="preserve">CON-0909</t>
  </si>
  <si>
    <t xml:space="preserve">CON-0910</t>
  </si>
  <si>
    <t xml:space="preserve">classic Final Fantasy class recombination</t>
  </si>
  <si>
    <t xml:space="preserve">CON-0911</t>
  </si>
  <si>
    <t xml:space="preserve">Eight profession protagonists</t>
  </si>
  <si>
    <t xml:space="preserve">CON-0912</t>
  </si>
  <si>
    <t xml:space="preserve">secondary jobs</t>
  </si>
  <si>
    <t xml:space="preserve">CON-0913</t>
  </si>
  <si>
    <t xml:space="preserve">path actions</t>
  </si>
  <si>
    <t xml:space="preserve">CON-0914</t>
  </si>
  <si>
    <t xml:space="preserve">regional narratives</t>
  </si>
  <si>
    <t xml:space="preserve">CON-0915</t>
  </si>
  <si>
    <t xml:space="preserve">Character-specific classes</t>
  </si>
  <si>
    <t xml:space="preserve">CON-0916</t>
  </si>
  <si>
    <t xml:space="preserve">CON-0917</t>
  </si>
  <si>
    <t xml:space="preserve">resource conflict</t>
  </si>
  <si>
    <t xml:space="preserve">CON-0918</t>
  </si>
  <si>
    <t xml:space="preserve">convictions</t>
  </si>
  <si>
    <t xml:space="preserve">CON-0919</t>
  </si>
  <si>
    <t xml:space="preserve">Unit class synergies</t>
  </si>
  <si>
    <t xml:space="preserve">CON-0920</t>
  </si>
  <si>
    <t xml:space="preserve">recruitable peoples</t>
  </si>
  <si>
    <t xml:space="preserve">CON-0921</t>
  </si>
  <si>
    <t xml:space="preserve">liberation army</t>
  </si>
  <si>
    <t xml:space="preserve">CON-0922</t>
  </si>
  <si>
    <t xml:space="preserve">tactical formations</t>
  </si>
  <si>
    <t xml:space="preserve">CON-0923</t>
  </si>
  <si>
    <t xml:space="preserve">Risk system</t>
  </si>
  <si>
    <t xml:space="preserve">CON-0924</t>
  </si>
  <si>
    <t xml:space="preserve">weapon affinities</t>
  </si>
  <si>
    <t xml:space="preserve">CON-0925</t>
  </si>
  <si>
    <t xml:space="preserve">CON-0926</t>
  </si>
  <si>
    <t xml:space="preserve">dark city</t>
  </si>
  <si>
    <t xml:space="preserve">CON-0927</t>
  </si>
  <si>
    <t xml:space="preserve">classless agent protagonist</t>
  </si>
  <si>
    <t xml:space="preserve">CON-0928</t>
  </si>
  <si>
    <t xml:space="preserve">Flexible character growth</t>
  </si>
  <si>
    <t xml:space="preserve">CON-0929</t>
  </si>
  <si>
    <t xml:space="preserve">races with distinct mechanics</t>
  </si>
  <si>
    <t xml:space="preserve">CON-0930</t>
  </si>
  <si>
    <t xml:space="preserve">nonlinear parties</t>
  </si>
  <si>
    <t xml:space="preserve">CON-0931</t>
  </si>
  <si>
    <t xml:space="preserve">unusual classes</t>
  </si>
  <si>
    <t xml:space="preserve">CON-0932</t>
  </si>
  <si>
    <t xml:space="preserve">Elemental spirits</t>
  </si>
  <si>
    <t xml:space="preserve">CON-0933</t>
  </si>
  <si>
    <t xml:space="preserve">job changes</t>
  </si>
  <si>
    <t xml:space="preserve">CON-0934</t>
  </si>
  <si>
    <t xml:space="preserve">world tree</t>
  </si>
  <si>
    <t xml:space="preserve">CON-0935</t>
  </si>
  <si>
    <t xml:space="preserve">beast and fairy peoples</t>
  </si>
  <si>
    <t xml:space="preserve">CON-0936</t>
  </si>
  <si>
    <t xml:space="preserve">action classes</t>
  </si>
  <si>
    <t xml:space="preserve">CON-0937</t>
  </si>
  <si>
    <t xml:space="preserve">Wizard child</t>
  </si>
  <si>
    <t xml:space="preserve">CON-0938</t>
  </si>
  <si>
    <t xml:space="preserve">familiars</t>
  </si>
  <si>
    <t xml:space="preserve">CON-0939</t>
  </si>
  <si>
    <t xml:space="preserve">CON-0940</t>
  </si>
  <si>
    <t xml:space="preserve">fairy companions</t>
  </si>
  <si>
    <t xml:space="preserve">CON-0941</t>
  </si>
  <si>
    <t xml:space="preserve">CON-0942</t>
  </si>
  <si>
    <t xml:space="preserve">CON-0943</t>
  </si>
  <si>
    <t xml:space="preserve">weapon-defined classes</t>
  </si>
  <si>
    <t xml:space="preserve">CON-0944</t>
  </si>
  <si>
    <t xml:space="preserve">CON-0945</t>
  </si>
  <si>
    <t xml:space="preserve">crafting from parts</t>
  </si>
  <si>
    <t xml:space="preserve">CON-0946</t>
  </si>
  <si>
    <t xml:space="preserve">guild institutions</t>
  </si>
  <si>
    <t xml:space="preserve">CON-0947</t>
  </si>
  <si>
    <t xml:space="preserve">Creature types</t>
  </si>
  <si>
    <t xml:space="preserve">CON-0948</t>
  </si>
  <si>
    <t xml:space="preserve">capture/taming roles</t>
  </si>
  <si>
    <t xml:space="preserve">CON-0949</t>
  </si>
  <si>
    <t xml:space="preserve">evolution</t>
  </si>
  <si>
    <t xml:space="preserve">CON-0950</t>
  </si>
  <si>
    <t xml:space="preserve">trainer identities</t>
  </si>
  <si>
    <t xml:space="preserve">CON-0951</t>
  </si>
  <si>
    <t xml:space="preserve">elemental taxonomy</t>
  </si>
  <si>
    <t xml:space="preserve">CON-0952</t>
  </si>
  <si>
    <t xml:space="preserve">Human and varl peoples</t>
  </si>
  <si>
    <t xml:space="preserve">PPL-108; PPL-100</t>
  </si>
  <si>
    <t xml:space="preserve">Giantkin Peoples; Mortal and Natural Peoples</t>
  </si>
  <si>
    <t xml:space="preserve">CON-0953</t>
  </si>
  <si>
    <t xml:space="preserve">caravan society</t>
  </si>
  <si>
    <t xml:space="preserve">CON-0954</t>
  </si>
  <si>
    <t xml:space="preserve">class roles</t>
  </si>
  <si>
    <t xml:space="preserve">CON-0955</t>
  </si>
  <si>
    <t xml:space="preserve">irreversible choices</t>
  </si>
  <si>
    <t xml:space="preserve">CON-0956</t>
  </si>
  <si>
    <t xml:space="preserve">CON-0957</t>
  </si>
  <si>
    <t xml:space="preserve">Stress as a second health economy</t>
  </si>
  <si>
    <t xml:space="preserve">CON-0958</t>
  </si>
  <si>
    <t xml:space="preserve">affliction/virtue crises</t>
  </si>
  <si>
    <t xml:space="preserve">CON-0959</t>
  </si>
  <si>
    <t xml:space="preserve">persistent quirks and disease</t>
  </si>
  <si>
    <t xml:space="preserve">CON-0960</t>
  </si>
  <si>
    <t xml:space="preserve">position-dependent skills</t>
  </si>
  <si>
    <t xml:space="preserve">CON-0961</t>
  </si>
  <si>
    <t xml:space="preserve">light-risk tradeoffs</t>
  </si>
  <si>
    <t xml:space="preserve">CON-0962</t>
  </si>
  <si>
    <t xml:space="preserve">expedition attrition</t>
  </si>
  <si>
    <t xml:space="preserve">CON-0963</t>
  </si>
  <si>
    <t xml:space="preserve">roster management</t>
  </si>
  <si>
    <t xml:space="preserve">CON-0964</t>
  </si>
  <si>
    <t xml:space="preserve">treatment institutions</t>
  </si>
  <si>
    <t xml:space="preserve">CON-0965</t>
  </si>
  <si>
    <t xml:space="preserve">CON-0966</t>
  </si>
  <si>
    <t xml:space="preserve">and inherited ruin</t>
  </si>
  <si>
    <t xml:space="preserve">CON-0967</t>
  </si>
  <si>
    <t xml:space="preserve">Mercenary backgrounds</t>
  </si>
  <si>
    <t xml:space="preserve">CON-0968</t>
  </si>
  <si>
    <t xml:space="preserve">injuries</t>
  </si>
  <si>
    <t xml:space="preserve">CON-0969</t>
  </si>
  <si>
    <t xml:space="preserve">equipment-defined roles</t>
  </si>
  <si>
    <t xml:space="preserve">CON-0970</t>
  </si>
  <si>
    <t xml:space="preserve">monster contracts</t>
  </si>
  <si>
    <t xml:space="preserve">PPL-000; PWR-104</t>
  </si>
  <si>
    <t xml:space="preserve">People &amp; Beings; Pact and Contract Magic</t>
  </si>
  <si>
    <t xml:space="preserve">CON-0971</t>
  </si>
  <si>
    <t xml:space="preserve">company economy</t>
  </si>
  <si>
    <t xml:space="preserve">CON-0972</t>
  </si>
  <si>
    <t xml:space="preserve">Magic–technology opposition</t>
  </si>
  <si>
    <t xml:space="preserve">CON-0973</t>
  </si>
  <si>
    <t xml:space="preserve">fantasy peoples in industrial society</t>
  </si>
  <si>
    <t xml:space="preserve">CON-0974</t>
  </si>
  <si>
    <t xml:space="preserve">classless builds</t>
  </si>
  <si>
    <t xml:space="preserve">CON-0975</t>
  </si>
  <si>
    <t xml:space="preserve">social prejudice</t>
  </si>
  <si>
    <t xml:space="preserve">CON-0976</t>
  </si>
  <si>
    <t xml:space="preserve">Cyberpunk fantasy peoples</t>
  </si>
  <si>
    <t xml:space="preserve">CON-0977</t>
  </si>
  <si>
    <t xml:space="preserve">CON-0978</t>
  </si>
  <si>
    <t xml:space="preserve">deckers</t>
  </si>
  <si>
    <t xml:space="preserve">CON-0979</t>
  </si>
  <si>
    <t xml:space="preserve">street samurai</t>
  </si>
  <si>
    <t xml:space="preserve">CON-0980</t>
  </si>
  <si>
    <t xml:space="preserve">corporate factions</t>
  </si>
  <si>
    <t xml:space="preserve">CON-0981</t>
  </si>
  <si>
    <t xml:space="preserve">God boons as build system</t>
  </si>
  <si>
    <t xml:space="preserve">PPL-400; PWR-103; LAW-201</t>
  </si>
  <si>
    <t xml:space="preserve">Divine and Celestial Beings; Divine Miracle; Divine Boon</t>
  </si>
  <si>
    <t xml:space="preserve">CON-0982</t>
  </si>
  <si>
    <t xml:space="preserve">underworld offices</t>
  </si>
  <si>
    <t xml:space="preserve">CON-0983</t>
  </si>
  <si>
    <t xml:space="preserve">repeated escape</t>
  </si>
  <si>
    <t xml:space="preserve">CON-0984</t>
  </si>
  <si>
    <t xml:space="preserve">mythic relationships</t>
  </si>
  <si>
    <t xml:space="preserve">CON-0985</t>
  </si>
  <si>
    <t xml:space="preserve">Insect peoples</t>
  </si>
  <si>
    <t xml:space="preserve">PPL-118; PPL-100; INS-312</t>
  </si>
  <si>
    <t xml:space="preserve">Insectoid Peoples; Mortal and Natural Peoples; Cultivation Sect</t>
  </si>
  <si>
    <t xml:space="preserve">CON-0986</t>
  </si>
  <si>
    <t xml:space="preserve">fallen kingdom</t>
  </si>
  <si>
    <t xml:space="preserve">ROL-700; CIV-100; CIV-402</t>
  </si>
  <si>
    <t xml:space="preserve">Leadership and Social Office Roles; Polity and Governance Archetypes; Fallen Ancient Empire</t>
  </si>
  <si>
    <t xml:space="preserve">CON-0987</t>
  </si>
  <si>
    <t xml:space="preserve">infection</t>
  </si>
  <si>
    <t xml:space="preserve">CON-0988</t>
  </si>
  <si>
    <t xml:space="preserve">vessels</t>
  </si>
  <si>
    <t xml:space="preserve">CON-0989</t>
  </si>
  <si>
    <t xml:space="preserve">warrior orders</t>
  </si>
  <si>
    <t xml:space="preserve">ROL-101; INS-200</t>
  </si>
  <si>
    <t xml:space="preserve">Warrior or Fighter; Martial and Protective Organizations</t>
  </si>
  <si>
    <t xml:space="preserve">CON-0990</t>
  </si>
  <si>
    <t xml:space="preserve">environmental storytelling</t>
  </si>
  <si>
    <t xml:space="preserve">CON-0991</t>
  </si>
  <si>
    <t xml:space="preserve">Mercenary warrior</t>
  </si>
  <si>
    <t xml:space="preserve">ROL-101; ROL-137</t>
  </si>
  <si>
    <t xml:space="preserve">Warrior or Fighter; Mercenary</t>
  </si>
  <si>
    <t xml:space="preserve">CON-0992</t>
  </si>
  <si>
    <t xml:space="preserve">apostles</t>
  </si>
  <si>
    <t xml:space="preserve">CON-0993</t>
  </si>
  <si>
    <t xml:space="preserve">CON-0994</t>
  </si>
  <si>
    <t xml:space="preserve">witchcraft</t>
  </si>
  <si>
    <t xml:space="preserve">CON-0995</t>
  </si>
  <si>
    <t xml:space="preserve">armor transformation</t>
  </si>
  <si>
    <t xml:space="preserve">CON-0996</t>
  </si>
  <si>
    <t xml:space="preserve">dark medieval institutions</t>
  </si>
  <si>
    <t xml:space="preserve">CON-0997</t>
  </si>
  <si>
    <t xml:space="preserve">Long-lived elf perspective</t>
  </si>
  <si>
    <t xml:space="preserve">CON-0998</t>
  </si>
  <si>
    <t xml:space="preserve">hero-party aftermath</t>
  </si>
  <si>
    <t xml:space="preserve">NAR-100; NAR-200</t>
  </si>
  <si>
    <t xml:space="preserve">Hero and Protagonist Archetypes; Companion, Mentor, and Party Archetypes</t>
  </si>
  <si>
    <t xml:space="preserve">CON-0999</t>
  </si>
  <si>
    <t xml:space="preserve">mage certification</t>
  </si>
  <si>
    <t xml:space="preserve">CON-1000</t>
  </si>
  <si>
    <t xml:space="preserve">CON-1001</t>
  </si>
  <si>
    <t xml:space="preserve">memory and time</t>
  </si>
  <si>
    <t xml:space="preserve">CON-1002</t>
  </si>
  <si>
    <t xml:space="preserve">Dungeon ecology</t>
  </si>
  <si>
    <t xml:space="preserve">CON-1003</t>
  </si>
  <si>
    <t xml:space="preserve">cooking profession</t>
  </si>
  <si>
    <t xml:space="preserve">ROL-700; MEC-301</t>
  </si>
  <si>
    <t xml:space="preserve">Leadership and Social Office Roles; Fixed Class</t>
  </si>
  <si>
    <t xml:space="preserve">CON-1004</t>
  </si>
  <si>
    <t xml:space="preserve">tall-men/elves/dwarves/halffoots</t>
  </si>
  <si>
    <t xml:space="preserve">PPL-102; PPL-103; PPL-104</t>
  </si>
  <si>
    <t xml:space="preserve">Elf-Derived Peoples; Dwarf-Derived Peoples; Halfling and Smallfolk Peoples</t>
  </si>
  <si>
    <t xml:space="preserve">CON-1005</t>
  </si>
  <si>
    <t xml:space="preserve">adventuring roles</t>
  </si>
  <si>
    <t xml:space="preserve">CON-1006</t>
  </si>
  <si>
    <t xml:space="preserve">Alchemy as technical magic</t>
  </si>
  <si>
    <t xml:space="preserve">CON-1007</t>
  </si>
  <si>
    <t xml:space="preserve">homunculi</t>
  </si>
  <si>
    <t xml:space="preserve">CON-1008</t>
  </si>
  <si>
    <t xml:space="preserve">military state</t>
  </si>
  <si>
    <t xml:space="preserve">CON-1009</t>
  </si>
  <si>
    <t xml:space="preserve">equivalent exchange</t>
  </si>
  <si>
    <t xml:space="preserve">CON-1010</t>
  </si>
  <si>
    <t xml:space="preserve">artificial bodies</t>
  </si>
  <si>
    <t xml:space="preserve">CON-1011</t>
  </si>
  <si>
    <t xml:space="preserve">Hybrid monster hunters</t>
  </si>
  <si>
    <t xml:space="preserve">PPL-000; ROL-126; ROL-144</t>
  </si>
  <si>
    <t xml:space="preserve">People &amp; Beings; Hunter; Monster Hunter</t>
  </si>
  <si>
    <t xml:space="preserve">CON-1012</t>
  </si>
  <si>
    <t xml:space="preserve">ranked organization</t>
  </si>
  <si>
    <t xml:space="preserve">CON-1013</t>
  </si>
  <si>
    <t xml:space="preserve">awakening transformation</t>
  </si>
  <si>
    <t xml:space="preserve">CON-1014</t>
  </si>
  <si>
    <t xml:space="preserve">gendered warrior order</t>
  </si>
  <si>
    <t xml:space="preserve">CON-1015</t>
  </si>
  <si>
    <t xml:space="preserve">Delver ranks</t>
  </si>
  <si>
    <t xml:space="preserve">CON-1016</t>
  </si>
  <si>
    <t xml:space="preserve">relic economy</t>
  </si>
  <si>
    <t xml:space="preserve">CON-1017</t>
  </si>
  <si>
    <t xml:space="preserve">curse of depth</t>
  </si>
  <si>
    <t xml:space="preserve">CON-1018</t>
  </si>
  <si>
    <t xml:space="preserve">nonhuman beings</t>
  </si>
  <si>
    <t xml:space="preserve">CON-1019</t>
  </si>
  <si>
    <t xml:space="preserve">hostile ecology</t>
  </si>
  <si>
    <t xml:space="preserve">CON-1020</t>
  </si>
  <si>
    <t xml:space="preserve">Djinn vessels</t>
  </si>
  <si>
    <t xml:space="preserve">CON-1021</t>
  </si>
  <si>
    <t xml:space="preserve">dungeons</t>
  </si>
  <si>
    <t xml:space="preserve">CON-1022</t>
  </si>
  <si>
    <t xml:space="preserve">magi</t>
  </si>
  <si>
    <t xml:space="preserve">CON-1023</t>
  </si>
  <si>
    <t xml:space="preserve">CON-1024</t>
  </si>
  <si>
    <t xml:space="preserve">rukh</t>
  </si>
  <si>
    <t xml:space="preserve">CON-1025</t>
  </si>
  <si>
    <t xml:space="preserve">globalized mythic borrowings</t>
  </si>
  <si>
    <t xml:space="preserve">CON-1026</t>
  </si>
  <si>
    <t xml:space="preserve">Yōkai</t>
  </si>
  <si>
    <t xml:space="preserve">CON-1027</t>
  </si>
  <si>
    <t xml:space="preserve">half-demon identity</t>
  </si>
  <si>
    <t xml:space="preserve">CON-1028</t>
  </si>
  <si>
    <t xml:space="preserve">sacred priestess</t>
  </si>
  <si>
    <t xml:space="preserve">CON-1029</t>
  </si>
  <si>
    <t xml:space="preserve">artifact shards</t>
  </si>
  <si>
    <t xml:space="preserve">CON-1030</t>
  </si>
  <si>
    <t xml:space="preserve">time travel</t>
  </si>
  <si>
    <t xml:space="preserve">CON-1031</t>
  </si>
  <si>
    <t xml:space="preserve">monster-of-week</t>
  </si>
  <si>
    <t xml:space="preserve">CON-1032</t>
  </si>
  <si>
    <t xml:space="preserve">Demon slayer corps</t>
  </si>
  <si>
    <t xml:space="preserve">PPL-501; INS-200; INS-208</t>
  </si>
  <si>
    <t xml:space="preserve">Demons; Martial and Protective Organizations; Monster-Hunter Order</t>
  </si>
  <si>
    <t xml:space="preserve">CON-1033</t>
  </si>
  <si>
    <t xml:space="preserve">breathing styles</t>
  </si>
  <si>
    <t xml:space="preserve">CON-1034</t>
  </si>
  <si>
    <t xml:space="preserve">CON-1035</t>
  </si>
  <si>
    <t xml:space="preserve">ranks</t>
  </si>
  <si>
    <t xml:space="preserve">CON-1036</t>
  </si>
  <si>
    <t xml:space="preserve">swords</t>
  </si>
  <si>
    <t xml:space="preserve">CON-1037</t>
  </si>
  <si>
    <t xml:space="preserve">family bonds</t>
  </si>
  <si>
    <t xml:space="preserve">CON-1038</t>
  </si>
  <si>
    <t xml:space="preserve">Ninja classes</t>
  </si>
  <si>
    <t xml:space="preserve">CON-1039</t>
  </si>
  <si>
    <t xml:space="preserve">clans</t>
  </si>
  <si>
    <t xml:space="preserve">CON-1040</t>
  </si>
  <si>
    <t xml:space="preserve">bloodline techniques</t>
  </si>
  <si>
    <t xml:space="preserve">CON-1041</t>
  </si>
  <si>
    <t xml:space="preserve">summoned beasts</t>
  </si>
  <si>
    <t xml:space="preserve">CON-1042</t>
  </si>
  <si>
    <t xml:space="preserve">tailed beings</t>
  </si>
  <si>
    <t xml:space="preserve">CON-1043</t>
  </si>
  <si>
    <t xml:space="preserve">village institutions</t>
  </si>
  <si>
    <t xml:space="preserve">CON-1044</t>
  </si>
  <si>
    <t xml:space="preserve">Soul reapers</t>
  </si>
  <si>
    <t xml:space="preserve">CON-1045</t>
  </si>
  <si>
    <t xml:space="preserve">hollows</t>
  </si>
  <si>
    <t xml:space="preserve">CON-1046</t>
  </si>
  <si>
    <t xml:space="preserve">zanpakutō</t>
  </si>
  <si>
    <t xml:space="preserve">CON-1047</t>
  </si>
  <si>
    <t xml:space="preserve">spirit realms</t>
  </si>
  <si>
    <t xml:space="preserve">CON-1048</t>
  </si>
  <si>
    <t xml:space="preserve">squads</t>
  </si>
  <si>
    <t xml:space="preserve">CON-1049</t>
  </si>
  <si>
    <t xml:space="preserve">transformations and ranks</t>
  </si>
  <si>
    <t xml:space="preserve">CON-1050</t>
  </si>
  <si>
    <t xml:space="preserve">Pirate crews</t>
  </si>
  <si>
    <t xml:space="preserve">ROL-135; NAR-200</t>
  </si>
  <si>
    <t xml:space="preserve">Pirate and Corsair; Companion, Mentor, and Party Archetypes</t>
  </si>
  <si>
    <t xml:space="preserve">CON-1051</t>
  </si>
  <si>
    <t xml:space="preserve">devil-fruit powers</t>
  </si>
  <si>
    <t xml:space="preserve">CON-1052</t>
  </si>
  <si>
    <t xml:space="preserve">diverse peoples</t>
  </si>
  <si>
    <t xml:space="preserve">CON-1053</t>
  </si>
  <si>
    <t xml:space="preserve">world government</t>
  </si>
  <si>
    <t xml:space="preserve">CON-1054</t>
  </si>
  <si>
    <t xml:space="preserve">martial roles</t>
  </si>
  <si>
    <t xml:space="preserve">CON-1055</t>
  </si>
  <si>
    <t xml:space="preserve">CON-1056</t>
  </si>
  <si>
    <t xml:space="preserve">CON-1057</t>
  </si>
  <si>
    <t xml:space="preserve">Nen categories</t>
  </si>
  <si>
    <t xml:space="preserve">CON-1058</t>
  </si>
  <si>
    <t xml:space="preserve">examinations</t>
  </si>
  <si>
    <t xml:space="preserve">CON-1059</t>
  </si>
  <si>
    <t xml:space="preserve">guild-like association</t>
  </si>
  <si>
    <t xml:space="preserve">CON-1060</t>
  </si>
  <si>
    <t xml:space="preserve">creature ecology</t>
  </si>
  <si>
    <t xml:space="preserve">CON-1061</t>
  </si>
  <si>
    <t xml:space="preserve">Spirit detective</t>
  </si>
  <si>
    <t xml:space="preserve">CON-1062</t>
  </si>
  <si>
    <t xml:space="preserve">CON-1063</t>
  </si>
  <si>
    <t xml:space="preserve">tournaments</t>
  </si>
  <si>
    <t xml:space="preserve">CON-1064</t>
  </si>
  <si>
    <t xml:space="preserve">afterlife bureaucracy</t>
  </si>
  <si>
    <t xml:space="preserve">CON-1065</t>
  </si>
  <si>
    <t xml:space="preserve">inherited transformation</t>
  </si>
  <si>
    <t xml:space="preserve">CON-1066</t>
  </si>
  <si>
    <t xml:space="preserve">Servant classes</t>
  </si>
  <si>
    <t xml:space="preserve">CON-1067</t>
  </si>
  <si>
    <t xml:space="preserve">heroic spirits</t>
  </si>
  <si>
    <t xml:space="preserve">CON-1068</t>
  </si>
  <si>
    <t xml:space="preserve">magic lineages</t>
  </si>
  <si>
    <t xml:space="preserve">CON-1069</t>
  </si>
  <si>
    <t xml:space="preserve">summoning wars</t>
  </si>
  <si>
    <t xml:space="preserve">CON-1070</t>
  </si>
  <si>
    <t xml:space="preserve">myth adaptation</t>
  </si>
  <si>
    <t xml:space="preserve">CON-1071</t>
  </si>
  <si>
    <t xml:space="preserve">Isekai undead ruler</t>
  </si>
  <si>
    <t xml:space="preserve">PPL-600; NAR-411</t>
  </si>
  <si>
    <t xml:space="preserve">Undead Beings; Pilgrimage</t>
  </si>
  <si>
    <t xml:space="preserve">CON-1072</t>
  </si>
  <si>
    <t xml:space="preserve">MMO classes and races</t>
  </si>
  <si>
    <t xml:space="preserve">CON-1073</t>
  </si>
  <si>
    <t xml:space="preserve">dungeon polity</t>
  </si>
  <si>
    <t xml:space="preserve">CON-1074</t>
  </si>
  <si>
    <t xml:space="preserve">servants</t>
  </si>
  <si>
    <t xml:space="preserve">CON-1075</t>
  </si>
  <si>
    <t xml:space="preserve">overpowered protagonist</t>
  </si>
  <si>
    <t xml:space="preserve">CON-1076</t>
  </si>
  <si>
    <t xml:space="preserve">Isekai protagonist</t>
  </si>
  <si>
    <t xml:space="preserve">CON-1077</t>
  </si>
  <si>
    <t xml:space="preserve">return-by-death loop</t>
  </si>
  <si>
    <t xml:space="preserve">CON-1078</t>
  </si>
  <si>
    <t xml:space="preserve">CON-1079</t>
  </si>
  <si>
    <t xml:space="preserve">spirit contracts</t>
  </si>
  <si>
    <t xml:space="preserve">PPL-300; PWR-104; STA-308</t>
  </si>
  <si>
    <t xml:space="preserve">Spirits and Elementals; Pact and Contract Magic; Familiar Bond</t>
  </si>
  <si>
    <t xml:space="preserve">CON-1080</t>
  </si>
  <si>
    <t xml:space="preserve">royal selection</t>
  </si>
  <si>
    <t xml:space="preserve">CON-1081</t>
  </si>
  <si>
    <t xml:space="preserve">Monster reincarnation</t>
  </si>
  <si>
    <t xml:space="preserve">PPL-000; STA-501; CIV-100</t>
  </si>
  <si>
    <t xml:space="preserve">People &amp; Beings; Reincarnated; Polity and Governance Archetypes</t>
  </si>
  <si>
    <t xml:space="preserve">CON-1082</t>
  </si>
  <si>
    <t xml:space="preserve">skill absorption</t>
  </si>
  <si>
    <t xml:space="preserve">CON-1083</t>
  </si>
  <si>
    <t xml:space="preserve">evolutions</t>
  </si>
  <si>
    <t xml:space="preserve">CON-1084</t>
  </si>
  <si>
    <t xml:space="preserve">monster nation</t>
  </si>
  <si>
    <t xml:space="preserve">PPL-000; CIV-100</t>
  </si>
  <si>
    <t xml:space="preserve">People &amp; Beings; Polity and Governance Archetypes</t>
  </si>
  <si>
    <t xml:space="preserve">CON-1085</t>
  </si>
  <si>
    <t xml:space="preserve">CON-1086</t>
  </si>
  <si>
    <t xml:space="preserve">system powers</t>
  </si>
  <si>
    <t xml:space="preserve">CON-1087</t>
  </si>
  <si>
    <t xml:space="preserve">Summoned cardinal heroes</t>
  </si>
  <si>
    <t xml:space="preserve">CON-1088</t>
  </si>
  <si>
    <t xml:space="preserve">weapon classes</t>
  </si>
  <si>
    <t xml:space="preserve">CON-1089</t>
  </si>
  <si>
    <t xml:space="preserve">levels</t>
  </si>
  <si>
    <t xml:space="preserve">CON-1090</t>
  </si>
  <si>
    <t xml:space="preserve">demi-humans</t>
  </si>
  <si>
    <t xml:space="preserve">CON-1091</t>
  </si>
  <si>
    <t xml:space="preserve">party/reputation conflict</t>
  </si>
  <si>
    <t xml:space="preserve">CON-1092</t>
  </si>
  <si>
    <t xml:space="preserve">CON-1093</t>
  </si>
  <si>
    <t xml:space="preserve">magic ranks</t>
  </si>
  <si>
    <t xml:space="preserve">CON-1094</t>
  </si>
  <si>
    <t xml:space="preserve">sword schools</t>
  </si>
  <si>
    <t xml:space="preserve">CON-1095</t>
  </si>
  <si>
    <t xml:space="preserve">demon peoples</t>
  </si>
  <si>
    <t xml:space="preserve">PPL-501; PPL-100</t>
  </si>
  <si>
    <t xml:space="preserve">Demons; Mortal and Natural Peoples</t>
  </si>
  <si>
    <t xml:space="preserve">CON-1096</t>
  </si>
  <si>
    <t xml:space="preserve">adventurer guilds</t>
  </si>
  <si>
    <t xml:space="preserve">ROL-901; INS-100</t>
  </si>
  <si>
    <t xml:space="preserve">Adventurer; Professional and Economic Organizations</t>
  </si>
  <si>
    <t xml:space="preserve">CON-1097</t>
  </si>
  <si>
    <t xml:space="preserve">life-course progression</t>
  </si>
  <si>
    <t xml:space="preserve">CON-1098</t>
  </si>
  <si>
    <t xml:space="preserve">MMO class/subclass society</t>
  </si>
  <si>
    <t xml:space="preserve">CON-1099</t>
  </si>
  <si>
    <t xml:space="preserve">guild politics</t>
  </si>
  <si>
    <t xml:space="preserve">CON-1100</t>
  </si>
  <si>
    <t xml:space="preserve">raids</t>
  </si>
  <si>
    <t xml:space="preserve">CON-1101</t>
  </si>
  <si>
    <t xml:space="preserve">player/NPC ontology</t>
  </si>
  <si>
    <t xml:space="preserve">CON-1102</t>
  </si>
  <si>
    <t xml:space="preserve">city governance</t>
  </si>
  <si>
    <t xml:space="preserve">CON-1103</t>
  </si>
  <si>
    <t xml:space="preserve">Game avatars</t>
  </si>
  <si>
    <t xml:space="preserve">CON-1104</t>
  </si>
  <si>
    <t xml:space="preserve">weapon builds</t>
  </si>
  <si>
    <t xml:space="preserve">CON-1105</t>
  </si>
  <si>
    <t xml:space="preserve">CON-1106</t>
  </si>
  <si>
    <t xml:space="preserve">death game</t>
  </si>
  <si>
    <t xml:space="preserve">CON-1107</t>
  </si>
  <si>
    <t xml:space="preserve">virtual identity and progression</t>
  </si>
  <si>
    <t xml:space="preserve">CON-1108</t>
  </si>
  <si>
    <t xml:space="preserve">Isekai amnesia</t>
  </si>
  <si>
    <t xml:space="preserve">CON-1109</t>
  </si>
  <si>
    <t xml:space="preserve">guild-taught classes</t>
  </si>
  <si>
    <t xml:space="preserve">INS-100; MEC-301</t>
  </si>
  <si>
    <t xml:space="preserve">Professional and Economic Organizations; Fixed Class</t>
  </si>
  <si>
    <t xml:space="preserve">CON-1110</t>
  </si>
  <si>
    <t xml:space="preserve">low-level party roles</t>
  </si>
  <si>
    <t xml:space="preserve">CON-1111</t>
  </si>
  <si>
    <t xml:space="preserve">death and precarious labor</t>
  </si>
  <si>
    <t xml:space="preserve">CON-1112</t>
  </si>
  <si>
    <t xml:space="preserve">Adventurer guild ranks</t>
  </si>
  <si>
    <t xml:space="preserve">CON-1113</t>
  </si>
  <si>
    <t xml:space="preserve">specialist monster hunter</t>
  </si>
  <si>
    <t xml:space="preserve">CON-1114</t>
  </si>
  <si>
    <t xml:space="preserve">classic classes</t>
  </si>
  <si>
    <t xml:space="preserve">CON-1115</t>
  </si>
  <si>
    <t xml:space="preserve">tactical low-level combat</t>
  </si>
  <si>
    <t xml:space="preserve">CON-1116</t>
  </si>
  <si>
    <t xml:space="preserve">Fae ontology</t>
  </si>
  <si>
    <t xml:space="preserve">CON-1117</t>
  </si>
  <si>
    <t xml:space="preserve">mage versus sorcerer traditions</t>
  </si>
  <si>
    <t xml:space="preserve">ROL-302; ROL-301</t>
  </si>
  <si>
    <t xml:space="preserve">Sorcerer; Mage and Wizard</t>
  </si>
  <si>
    <t xml:space="preserve">CON-1118</t>
  </si>
  <si>
    <t xml:space="preserve">familiar bond</t>
  </si>
  <si>
    <t xml:space="preserve">CON-1119</t>
  </si>
  <si>
    <t xml:space="preserve">folklore-rich British setting</t>
  </si>
  <si>
    <t xml:space="preserve">CON-1120</t>
  </si>
  <si>
    <t xml:space="preserve">Small prince hero</t>
  </si>
  <si>
    <t xml:space="preserve">ROL-701; NAR-100</t>
  </si>
  <si>
    <t xml:space="preserve">Monarch; Hero and Protagonist Archetypes</t>
  </si>
  <si>
    <t xml:space="preserve">CON-1121</t>
  </si>
  <si>
    <t xml:space="preserve">giant lineage</t>
  </si>
  <si>
    <t xml:space="preserve">PPL-108; LAW-800</t>
  </si>
  <si>
    <t xml:space="preserve">Giantkin Peoples; Hospitality, Kinship &amp; Social Metaphysics</t>
  </si>
  <si>
    <t xml:space="preserve">CON-1122</t>
  </si>
  <si>
    <t xml:space="preserve">shadow people</t>
  </si>
  <si>
    <t xml:space="preserve">CON-1123</t>
  </si>
  <si>
    <t xml:space="preserve">kingship ranking</t>
  </si>
  <si>
    <t xml:space="preserve">CON-1124</t>
  </si>
  <si>
    <t xml:space="preserve">curses and loyalty</t>
  </si>
  <si>
    <t xml:space="preserve">CON-1125</t>
  </si>
  <si>
    <t xml:space="preserve">Human-to-titan transformation</t>
  </si>
  <si>
    <t xml:space="preserve">CON-1126</t>
  </si>
  <si>
    <t xml:space="preserve">military branches</t>
  </si>
  <si>
    <t xml:space="preserve">CON-1127</t>
  </si>
  <si>
    <t xml:space="preserve">walls</t>
  </si>
  <si>
    <t xml:space="preserve">CON-1128</t>
  </si>
  <si>
    <t xml:space="preserve">inherited powers</t>
  </si>
  <si>
    <t xml:space="preserve">CON-1129</t>
  </si>
  <si>
    <t xml:space="preserve">historical revelation</t>
  </si>
  <si>
    <t xml:space="preserve">CON-1130</t>
  </si>
  <si>
    <t xml:space="preserve">Sorcerer species/class</t>
  </si>
  <si>
    <t xml:space="preserve">PPL-100; ROL-302</t>
  </si>
  <si>
    <t xml:space="preserve">Mortal and Natural Peoples; Sorcerer</t>
  </si>
  <si>
    <t xml:space="preserve">CON-1131</t>
  </si>
  <si>
    <t xml:space="preserve">smoke-based powers</t>
  </si>
  <si>
    <t xml:space="preserve">CON-1132</t>
  </si>
  <si>
    <t xml:space="preserve">body transformation</t>
  </si>
  <si>
    <t xml:space="preserve">CON-1133</t>
  </si>
  <si>
    <t xml:space="preserve">devils</t>
  </si>
  <si>
    <t xml:space="preserve">CON-1134</t>
  </si>
  <si>
    <t xml:space="preserve">violent city ecology</t>
  </si>
  <si>
    <t xml:space="preserve">CON-1135</t>
  </si>
  <si>
    <t xml:space="preserve">Drawn-circle magic</t>
  </si>
  <si>
    <t xml:space="preserve">CON-1136</t>
  </si>
  <si>
    <t xml:space="preserve">institutional secrecy</t>
  </si>
  <si>
    <t xml:space="preserve">CON-1137</t>
  </si>
  <si>
    <t xml:space="preserve">witch apprenticeship</t>
  </si>
  <si>
    <t xml:space="preserve">CON-1138</t>
  </si>
  <si>
    <t xml:space="preserve">ethics of access and disability</t>
  </si>
  <si>
    <t xml:space="preserve">CON-1139</t>
  </si>
  <si>
    <t xml:space="preserve">Reincarnated paladin</t>
  </si>
  <si>
    <t xml:space="preserve">ROL-117; STA-501</t>
  </si>
  <si>
    <t xml:space="preserve">Paladin and Holy Knight; Reincarnated</t>
  </si>
  <si>
    <t xml:space="preserve">CON-1140</t>
  </si>
  <si>
    <t xml:space="preserve">undead foster family</t>
  </si>
  <si>
    <t xml:space="preserve">CON-1141</t>
  </si>
  <si>
    <t xml:space="preserve">divine oath</t>
  </si>
  <si>
    <t xml:space="preserve">CON-1142</t>
  </si>
  <si>
    <t xml:space="preserve">frontier restoration</t>
  </si>
  <si>
    <t xml:space="preserve">CON-1143</t>
  </si>
  <si>
    <t xml:space="preserve">Knight orders</t>
  </si>
  <si>
    <t xml:space="preserve">ROL-115; INS-200</t>
  </si>
  <si>
    <t xml:space="preserve">Knight; Martial and Protective Organizations</t>
  </si>
  <si>
    <t xml:space="preserve">CON-1144</t>
  </si>
  <si>
    <t xml:space="preserve">demon/goddess/fairy/giant peoples</t>
  </si>
  <si>
    <t xml:space="preserve">PPL-501; PPL-108; PPL-100</t>
  </si>
  <si>
    <t xml:space="preserve">Demons; Giantkin Peoples; Mortal and Natural Peoples</t>
  </si>
  <si>
    <t xml:space="preserve">CON-1145</t>
  </si>
  <si>
    <t xml:space="preserve">sins as identities</t>
  </si>
  <si>
    <t xml:space="preserve">CON-1146</t>
  </si>
  <si>
    <t xml:space="preserve">CON-1147</t>
  </si>
  <si>
    <t xml:space="preserve">Magic knight squads</t>
  </si>
  <si>
    <t xml:space="preserve">CON-1148</t>
  </si>
  <si>
    <t xml:space="preserve">grimoires</t>
  </si>
  <si>
    <t xml:space="preserve">ART-401; ART-400</t>
  </si>
  <si>
    <t xml:space="preserve">Grimoire or Spellbook; Texts, Symbols &amp; Containers</t>
  </si>
  <si>
    <t xml:space="preserve">CON-1149</t>
  </si>
  <si>
    <t xml:space="preserve">anti-magic</t>
  </si>
  <si>
    <t xml:space="preserve">CON-1150</t>
  </si>
  <si>
    <t xml:space="preserve">CON-1151</t>
  </si>
  <si>
    <t xml:space="preserve">CON-1152</t>
  </si>
  <si>
    <t xml:space="preserve">rank and rivalry</t>
  </si>
  <si>
    <t xml:space="preserve">CON-1153</t>
  </si>
  <si>
    <t xml:space="preserve">Wizard guilds</t>
  </si>
  <si>
    <t xml:space="preserve">ROL-301; INS-100</t>
  </si>
  <si>
    <t xml:space="preserve">Mage and Wizard; Professional and Economic Organizations</t>
  </si>
  <si>
    <t xml:space="preserve">CON-1154</t>
  </si>
  <si>
    <t xml:space="preserve">magic types</t>
  </si>
  <si>
    <t xml:space="preserve">CON-1155</t>
  </si>
  <si>
    <t xml:space="preserve">dragon slayers</t>
  </si>
  <si>
    <t xml:space="preserve">CON-1156</t>
  </si>
  <si>
    <t xml:space="preserve">team bonds</t>
  </si>
  <si>
    <t xml:space="preserve">CON-1157</t>
  </si>
  <si>
    <t xml:space="preserve">ranked jobs</t>
  </si>
  <si>
    <t xml:space="preserve">CON-1158</t>
  </si>
  <si>
    <t xml:space="preserve">Isekai</t>
  </si>
  <si>
    <t xml:space="preserve">CON-1159</t>
  </si>
  <si>
    <t xml:space="preserve">dragon-blooded warrior</t>
  </si>
  <si>
    <t xml:space="preserve">PPL-800; ROL-101</t>
  </si>
  <si>
    <t xml:space="preserve">Dragons and Legendary Beasts; Warrior or Fighter</t>
  </si>
  <si>
    <t xml:space="preserve">CON-1160</t>
  </si>
  <si>
    <t xml:space="preserve">mecha-fantasy knights</t>
  </si>
  <si>
    <t xml:space="preserve">CON-1161</t>
  </si>
  <si>
    <t xml:space="preserve">CON-1162</t>
  </si>
  <si>
    <t xml:space="preserve">CON-1163</t>
  </si>
  <si>
    <t xml:space="preserve">Animal gods</t>
  </si>
  <si>
    <t xml:space="preserve">PPL-400; PPL-200</t>
  </si>
  <si>
    <t xml:space="preserve">Divine and Celestial Beings; Fae, Nature, and Liminal Beings</t>
  </si>
  <si>
    <t xml:space="preserve">CON-1164</t>
  </si>
  <si>
    <t xml:space="preserve">forest spirit</t>
  </si>
  <si>
    <t xml:space="preserve">CON-1165</t>
  </si>
  <si>
    <t xml:space="preserve">cursed warrior</t>
  </si>
  <si>
    <t xml:space="preserve">ROL-101; STA-311; LAW-204</t>
  </si>
  <si>
    <t xml:space="preserve">Warrior or Fighter; Cursed State; Curse</t>
  </si>
  <si>
    <t xml:space="preserve">CON-1166</t>
  </si>
  <si>
    <t xml:space="preserve">industrial settlement</t>
  </si>
  <si>
    <t xml:space="preserve">CON-1167</t>
  </si>
  <si>
    <t xml:space="preserve">ecological conflict</t>
  </si>
  <si>
    <t xml:space="preserve">CON-1168</t>
  </si>
  <si>
    <t xml:space="preserve">CON-1169</t>
  </si>
  <si>
    <t xml:space="preserve">princess mediator</t>
  </si>
  <si>
    <t xml:space="preserve">CON-1170</t>
  </si>
  <si>
    <t xml:space="preserve">giant warriors</t>
  </si>
  <si>
    <t xml:space="preserve">PPL-108; ROL-101</t>
  </si>
  <si>
    <t xml:space="preserve">Giantkin Peoples; Warrior or Fighter</t>
  </si>
  <si>
    <t xml:space="preserve">CON-1171</t>
  </si>
  <si>
    <t xml:space="preserve">insect world</t>
  </si>
  <si>
    <t xml:space="preserve">CON-1172</t>
  </si>
  <si>
    <t xml:space="preserve">toxic forest</t>
  </si>
  <si>
    <t xml:space="preserve">CON-1173</t>
  </si>
  <si>
    <t xml:space="preserve">Spirit bathhouse institutions</t>
  </si>
  <si>
    <t xml:space="preserve">PPL-300; INS-400</t>
  </si>
  <si>
    <t xml:space="preserve">Spirits and Elementals; Kinship, Political, and Secret Organizations</t>
  </si>
  <si>
    <t xml:space="preserve">CON-1174</t>
  </si>
  <si>
    <t xml:space="preserve">name loss</t>
  </si>
  <si>
    <t xml:space="preserve">CON-1175</t>
  </si>
  <si>
    <t xml:space="preserve">CON-1176</t>
  </si>
  <si>
    <t xml:space="preserve">kami/yōkai-inspired beings</t>
  </si>
  <si>
    <t xml:space="preserve">CON-1177</t>
  </si>
  <si>
    <t xml:space="preserve">labor</t>
  </si>
  <si>
    <t xml:space="preserve">CON-1178</t>
  </si>
  <si>
    <t xml:space="preserve">Martial ki</t>
  </si>
  <si>
    <t xml:space="preserve">CON-1179</t>
  </si>
  <si>
    <t xml:space="preserve">alien peoples</t>
  </si>
  <si>
    <t xml:space="preserve">CON-1180</t>
  </si>
  <si>
    <t xml:space="preserve">CON-1181</t>
  </si>
  <si>
    <t xml:space="preserve">wish-granting dragons</t>
  </si>
  <si>
    <t xml:space="preserve">CON-1182</t>
  </si>
  <si>
    <t xml:space="preserve">tournament structure</t>
  </si>
  <si>
    <t xml:space="preserve">CON-1183</t>
  </si>
  <si>
    <t xml:space="preserve">Cursed energy</t>
  </si>
  <si>
    <t xml:space="preserve">CON-1184</t>
  </si>
  <si>
    <t xml:space="preserve">sorcerer school</t>
  </si>
  <si>
    <t xml:space="preserve">ROL-302; INS-309</t>
  </si>
  <si>
    <t xml:space="preserve">Sorcerer; Magical College or School</t>
  </si>
  <si>
    <t xml:space="preserve">CON-1185</t>
  </si>
  <si>
    <t xml:space="preserve">inherited techniques</t>
  </si>
  <si>
    <t xml:space="preserve">CON-1186</t>
  </si>
  <si>
    <t xml:space="preserve">CON-1187</t>
  </si>
  <si>
    <t xml:space="preserve">CON-1188</t>
  </si>
  <si>
    <t xml:space="preserve">CON-1189</t>
  </si>
  <si>
    <t xml:space="preserve">Devils as concepts</t>
  </si>
  <si>
    <t xml:space="preserve">CON-1190</t>
  </si>
  <si>
    <t xml:space="preserve">contracts</t>
  </si>
  <si>
    <t xml:space="preserve">CON-1191</t>
  </si>
  <si>
    <t xml:space="preserve">hybrid transformation</t>
  </si>
  <si>
    <t xml:space="preserve">CON-1192</t>
  </si>
  <si>
    <t xml:space="preserve">CON-1193</t>
  </si>
  <si>
    <t xml:space="preserve">bureaucratic exploitation</t>
  </si>
  <si>
    <t xml:space="preserve">CON-1194</t>
  </si>
  <si>
    <t xml:space="preserve">Hunter ranks</t>
  </si>
  <si>
    <t xml:space="preserve">CON-1195</t>
  </si>
  <si>
    <t xml:space="preserve">gates</t>
  </si>
  <si>
    <t xml:space="preserve">CON-1196</t>
  </si>
  <si>
    <t xml:space="preserve">system user</t>
  </si>
  <si>
    <t xml:space="preserve">CON-1197</t>
  </si>
  <si>
    <t xml:space="preserve">hidden class</t>
  </si>
  <si>
    <t xml:space="preserve">CON-1198</t>
  </si>
  <si>
    <t xml:space="preserve">shadow army</t>
  </si>
  <si>
    <t xml:space="preserve">CON-1199</t>
  </si>
  <si>
    <t xml:space="preserve">power progression</t>
  </si>
  <si>
    <t xml:space="preserve">CON-1200</t>
  </si>
  <si>
    <t xml:space="preserve">Scenario system</t>
  </si>
  <si>
    <t xml:space="preserve">CON-1201</t>
  </si>
  <si>
    <t xml:space="preserve">constellations</t>
  </si>
  <si>
    <t xml:space="preserve">CON-1202</t>
  </si>
  <si>
    <t xml:space="preserve">narrative knowledge</t>
  </si>
  <si>
    <t xml:space="preserve">CON-1203</t>
  </si>
  <si>
    <t xml:space="preserve">incarnations</t>
  </si>
  <si>
    <t xml:space="preserve">CON-1204</t>
  </si>
  <si>
    <t xml:space="preserve">sponsor powers</t>
  </si>
  <si>
    <t xml:space="preserve">CON-1205</t>
  </si>
  <si>
    <t xml:space="preserve">regressors</t>
  </si>
  <si>
    <t xml:space="preserve">CON-1206</t>
  </si>
  <si>
    <t xml:space="preserve">Tower tests</t>
  </si>
  <si>
    <t xml:space="preserve">CON-1207</t>
  </si>
  <si>
    <t xml:space="preserve">positions as classes</t>
  </si>
  <si>
    <t xml:space="preserve">CON-1208</t>
  </si>
  <si>
    <t xml:space="preserve">irregulars</t>
  </si>
  <si>
    <t xml:space="preserve">CON-1209</t>
  </si>
  <si>
    <t xml:space="preserve">CON-1210</t>
  </si>
  <si>
    <t xml:space="preserve">families</t>
  </si>
  <si>
    <t xml:space="preserve">CON-1211</t>
  </si>
  <si>
    <t xml:space="preserve">rankers</t>
  </si>
  <si>
    <t xml:space="preserve">CON-1212</t>
  </si>
  <si>
    <t xml:space="preserve">Tournament</t>
  </si>
  <si>
    <t xml:space="preserve">CON-1213</t>
  </si>
  <si>
    <t xml:space="preserve">borrowed divine power</t>
  </si>
  <si>
    <t xml:space="preserve">CON-1214</t>
  </si>
  <si>
    <t xml:space="preserve">CON-1215</t>
  </si>
  <si>
    <t xml:space="preserve">CON-1216</t>
  </si>
  <si>
    <t xml:space="preserve">myth fusion</t>
  </si>
  <si>
    <t xml:space="preserve">CON-1217</t>
  </si>
  <si>
    <t xml:space="preserve">MMO classes</t>
  </si>
  <si>
    <t xml:space="preserve">CON-1218</t>
  </si>
  <si>
    <t xml:space="preserve">professional roles</t>
  </si>
  <si>
    <t xml:space="preserve">CON-1219</t>
  </si>
  <si>
    <t xml:space="preserve">CON-1220</t>
  </si>
  <si>
    <t xml:space="preserve">esports rather than in-world fantasy ontology</t>
  </si>
  <si>
    <t xml:space="preserve">CON-1221</t>
  </si>
  <si>
    <t xml:space="preserve">Spirit masters</t>
  </si>
  <si>
    <t xml:space="preserve">PPL-300; ROL-628</t>
  </si>
  <si>
    <t xml:space="preserve">Spirits and Elementals; Teacher and Mentor</t>
  </si>
  <si>
    <t xml:space="preserve">CON-1222</t>
  </si>
  <si>
    <t xml:space="preserve">spirit rings</t>
  </si>
  <si>
    <t xml:space="preserve">CON-1223</t>
  </si>
  <si>
    <t xml:space="preserve">martial souls</t>
  </si>
  <si>
    <t xml:space="preserve">CON-1224</t>
  </si>
  <si>
    <t xml:space="preserve">CON-1225</t>
  </si>
  <si>
    <t xml:space="preserve">CON-1226</t>
  </si>
  <si>
    <t xml:space="preserve">beasts</t>
  </si>
  <si>
    <t xml:space="preserve">CON-1227</t>
  </si>
  <si>
    <t xml:space="preserve">cultivation progression</t>
  </si>
  <si>
    <t xml:space="preserve">CON-1228</t>
  </si>
  <si>
    <t xml:space="preserve">Ascended officials</t>
  </si>
  <si>
    <t xml:space="preserve">CON-1229</t>
  </si>
  <si>
    <t xml:space="preserve">CON-1230</t>
  </si>
  <si>
    <t xml:space="preserve">spiritual power</t>
  </si>
  <si>
    <t xml:space="preserve">CON-1231</t>
  </si>
  <si>
    <t xml:space="preserve">heavenly bureaucracy</t>
  </si>
  <si>
    <t xml:space="preserve">CON-1232</t>
  </si>
  <si>
    <t xml:space="preserve">devotion</t>
  </si>
  <si>
    <t xml:space="preserve">CON-1233</t>
  </si>
  <si>
    <t xml:space="preserve">Spirits</t>
  </si>
  <si>
    <t xml:space="preserve">CON-1234</t>
  </si>
  <si>
    <t xml:space="preserve">human-spirit coexistence</t>
  </si>
  <si>
    <t xml:space="preserve">CON-1235</t>
  </si>
  <si>
    <t xml:space="preserve">elemental domains</t>
  </si>
  <si>
    <t xml:space="preserve">CON-1236</t>
  </si>
  <si>
    <t xml:space="preserve">guild-like enforcement</t>
  </si>
  <si>
    <t xml:space="preserve">CON-1237</t>
  </si>
  <si>
    <t xml:space="preserve">Apothecary role</t>
  </si>
  <si>
    <t xml:space="preserve">CON-1238</t>
  </si>
  <si>
    <t xml:space="preserve">court institutions</t>
  </si>
  <si>
    <t xml:space="preserve">CON-1239</t>
  </si>
  <si>
    <t xml:space="preserve">poison expertise</t>
  </si>
  <si>
    <t xml:space="preserve">CON-1240</t>
  </si>
  <si>
    <t xml:space="preserve">low-supernatural analytical framework</t>
  </si>
  <si>
    <t xml:space="preserve">CON-1241</t>
  </si>
  <si>
    <t xml:space="preserve">CON-1242</t>
  </si>
  <si>
    <t xml:space="preserve">craft progression</t>
  </si>
  <si>
    <t xml:space="preserve">CON-1243</t>
  </si>
  <si>
    <t xml:space="preserve">temple/noble castes</t>
  </si>
  <si>
    <t xml:space="preserve">INS-300; CIV-115</t>
  </si>
  <si>
    <t xml:space="preserve">Religious and Magical Organizations; Caste State</t>
  </si>
  <si>
    <t xml:space="preserve">CON-1244</t>
  </si>
  <si>
    <t xml:space="preserve">mana</t>
  </si>
  <si>
    <t xml:space="preserve">CON-1245</t>
  </si>
  <si>
    <t xml:space="preserve">institution building</t>
  </si>
  <si>
    <t xml:space="preserve">CON-1246</t>
  </si>
  <si>
    <t xml:space="preserve">CON-1247</t>
  </si>
  <si>
    <t xml:space="preserve">evolution tree</t>
  </si>
  <si>
    <t xml:space="preserve">CON-1248</t>
  </si>
  <si>
    <t xml:space="preserve">system classes</t>
  </si>
  <si>
    <t xml:space="preserve">CON-1249</t>
  </si>
  <si>
    <t xml:space="preserve">parallel protagonists</t>
  </si>
  <si>
    <t xml:space="preserve">CON-1250</t>
  </si>
  <si>
    <t xml:space="preserve">Isekai role-play becoming reality</t>
  </si>
  <si>
    <t xml:space="preserve">CON-1251</t>
  </si>
  <si>
    <t xml:space="preserve">secret organization</t>
  </si>
  <si>
    <t xml:space="preserve">CON-1252</t>
  </si>
  <si>
    <t xml:space="preserve">CON-1253</t>
  </si>
  <si>
    <t xml:space="preserve">cult conspiracy</t>
  </si>
  <si>
    <t xml:space="preserve">CON-1254</t>
  </si>
  <si>
    <t xml:space="preserve">Nonhuman-only world</t>
  </si>
  <si>
    <t xml:space="preserve">CON-1255</t>
  </si>
  <si>
    <t xml:space="preserve">Gelfling clans</t>
  </si>
  <si>
    <t xml:space="preserve">CON-1256</t>
  </si>
  <si>
    <t xml:space="preserve">Skeksis/Mystics</t>
  </si>
  <si>
    <t xml:space="preserve">CON-1257</t>
  </si>
  <si>
    <t xml:space="preserve">ecological cosmology</t>
  </si>
  <si>
    <t xml:space="preserve">CON-1258</t>
  </si>
  <si>
    <t xml:space="preserve">puppetry species design</t>
  </si>
  <si>
    <t xml:space="preserve">CON-1259</t>
  </si>
  <si>
    <t xml:space="preserve">Goblin king</t>
  </si>
  <si>
    <t xml:space="preserve">PPL-107; ROL-700</t>
  </si>
  <si>
    <t xml:space="preserve">Goblinoid Peoples; Leadership and Social Office Roles</t>
  </si>
  <si>
    <t xml:space="preserve">CON-1260</t>
  </si>
  <si>
    <t xml:space="preserve">maze as antagonist</t>
  </si>
  <si>
    <t xml:space="preserve">CON-1261</t>
  </si>
  <si>
    <t xml:space="preserve">fairy-tale bargain</t>
  </si>
  <si>
    <t xml:space="preserve">CON-1262</t>
  </si>
  <si>
    <t xml:space="preserve">creature society</t>
  </si>
  <si>
    <t xml:space="preserve">CON-1263</t>
  </si>
  <si>
    <t xml:space="preserve">coming-of-age quest</t>
  </si>
  <si>
    <t xml:space="preserve">CON-1264</t>
  </si>
  <si>
    <t xml:space="preserve">Smallfolk hero</t>
  </si>
  <si>
    <t xml:space="preserve">PPL-104; NAR-100</t>
  </si>
  <si>
    <t xml:space="preserve">Halfling and Smallfolk Peoples; Hero and Protagonist Archetypes</t>
  </si>
  <si>
    <t xml:space="preserve">CON-1265</t>
  </si>
  <si>
    <t xml:space="preserve">sorceress</t>
  </si>
  <si>
    <t xml:space="preserve">CON-1266</t>
  </si>
  <si>
    <t xml:space="preserve">CON-1267</t>
  </si>
  <si>
    <t xml:space="preserve">CON-1268</t>
  </si>
  <si>
    <t xml:space="preserve">cursed transformation</t>
  </si>
  <si>
    <t xml:space="preserve">STA-200; STA-311; LAW-204</t>
  </si>
  <si>
    <t xml:space="preserve">Bodily Transformation States; Cursed State; Curse</t>
  </si>
  <si>
    <t xml:space="preserve">CON-1269</t>
  </si>
  <si>
    <t xml:space="preserve">quest party</t>
  </si>
  <si>
    <t xml:space="preserve">CON-1270</t>
  </si>
  <si>
    <t xml:space="preserve">Darkness sovereign</t>
  </si>
  <si>
    <t xml:space="preserve">CON-1271</t>
  </si>
  <si>
    <t xml:space="preserve">unicorns</t>
  </si>
  <si>
    <t xml:space="preserve">CON-1272</t>
  </si>
  <si>
    <t xml:space="preserve">CON-1273</t>
  </si>
  <si>
    <t xml:space="preserve">goblins</t>
  </si>
  <si>
    <t xml:space="preserve">CON-1274</t>
  </si>
  <si>
    <t xml:space="preserve">fairy-tale hero</t>
  </si>
  <si>
    <t xml:space="preserve">CON-1275</t>
  </si>
  <si>
    <t xml:space="preserve">light/dark symbolism</t>
  </si>
  <si>
    <t xml:space="preserve">CON-1276</t>
  </si>
  <si>
    <t xml:space="preserve">Story world</t>
  </si>
  <si>
    <t xml:space="preserve">CON-1277</t>
  </si>
  <si>
    <t xml:space="preserve">child reader-hero</t>
  </si>
  <si>
    <t xml:space="preserve">CON-1278</t>
  </si>
  <si>
    <t xml:space="preserve">luckdragon</t>
  </si>
  <si>
    <t xml:space="preserve">CON-1279</t>
  </si>
  <si>
    <t xml:space="preserve">Nothing as threat</t>
  </si>
  <si>
    <t xml:space="preserve">CON-1280</t>
  </si>
  <si>
    <t xml:space="preserve">naming and imagination</t>
  </si>
  <si>
    <t xml:space="preserve">PWR-503; CIV-100</t>
  </si>
  <si>
    <t xml:space="preserve">True Names and Naming; Polity and Governance Archetypes</t>
  </si>
  <si>
    <t xml:space="preserve">CON-1281</t>
  </si>
  <si>
    <t xml:space="preserve">Swashbuckler</t>
  </si>
  <si>
    <t xml:space="preserve">CON-1282</t>
  </si>
  <si>
    <t xml:space="preserve">giant</t>
  </si>
  <si>
    <t xml:space="preserve">CON-1283</t>
  </si>
  <si>
    <t xml:space="preserve">mastermind</t>
  </si>
  <si>
    <t xml:space="preserve">CON-1284</t>
  </si>
  <si>
    <t xml:space="preserve">true love</t>
  </si>
  <si>
    <t xml:space="preserve">CON-1285</t>
  </si>
  <si>
    <t xml:space="preserve">fairy-tale parody</t>
  </si>
  <si>
    <t xml:space="preserve">CON-1286</t>
  </si>
  <si>
    <t xml:space="preserve">framed storytelling</t>
  </si>
  <si>
    <t xml:space="preserve">CON-1287</t>
  </si>
  <si>
    <t xml:space="preserve">Barbarian iconography</t>
  </si>
  <si>
    <t xml:space="preserve">CON-1288</t>
  </si>
  <si>
    <t xml:space="preserve">cult</t>
  </si>
  <si>
    <t xml:space="preserve">CON-1289</t>
  </si>
  <si>
    <t xml:space="preserve">sorcerer</t>
  </si>
  <si>
    <t xml:space="preserve">CON-1290</t>
  </si>
  <si>
    <t xml:space="preserve">thief companions</t>
  </si>
  <si>
    <t xml:space="preserve">CON-1291</t>
  </si>
  <si>
    <t xml:space="preserve">sword-and-sorcery cinema</t>
  </si>
  <si>
    <t xml:space="preserve">CON-1292</t>
  </si>
  <si>
    <t xml:space="preserve">Arthurian roles</t>
  </si>
  <si>
    <t xml:space="preserve">CON-1293</t>
  </si>
  <si>
    <t xml:space="preserve">Merlin</t>
  </si>
  <si>
    <t xml:space="preserve">CON-1294</t>
  </si>
  <si>
    <t xml:space="preserve">sacred kingship</t>
  </si>
  <si>
    <t xml:space="preserve">CON-1295</t>
  </si>
  <si>
    <t xml:space="preserve">grail</t>
  </si>
  <si>
    <t xml:space="preserve">CON-1296</t>
  </si>
  <si>
    <t xml:space="preserve">knightly order</t>
  </si>
  <si>
    <t xml:space="preserve">CON-1297</t>
  </si>
  <si>
    <t xml:space="preserve">land and king</t>
  </si>
  <si>
    <t xml:space="preserve">CON-1298</t>
  </si>
  <si>
    <t xml:space="preserve">Dragon-human soul bond</t>
  </si>
  <si>
    <t xml:space="preserve">PPL-800; STA-307</t>
  </si>
  <si>
    <t xml:space="preserve">Dragons and Legendary Beasts; Soul Bond</t>
  </si>
  <si>
    <t xml:space="preserve">CON-1299</t>
  </si>
  <si>
    <t xml:space="preserve">knight redemption</t>
  </si>
  <si>
    <t xml:space="preserve">CON-1300</t>
  </si>
  <si>
    <t xml:space="preserve">last dragon</t>
  </si>
  <si>
    <t xml:space="preserve">CON-1301</t>
  </si>
  <si>
    <t xml:space="preserve">tyrant</t>
  </si>
  <si>
    <t xml:space="preserve">CON-1302</t>
  </si>
  <si>
    <t xml:space="preserve">draconic ethics</t>
  </si>
  <si>
    <t xml:space="preserve">CON-1303</t>
  </si>
  <si>
    <t xml:space="preserve">Faun guide</t>
  </si>
  <si>
    <t xml:space="preserve">CON-1304</t>
  </si>
  <si>
    <t xml:space="preserve">underworld princess</t>
  </si>
  <si>
    <t xml:space="preserve">ROL-701; COS-300</t>
  </si>
  <si>
    <t xml:space="preserve">Monarch; Afterlives &amp; Underworlds</t>
  </si>
  <si>
    <t xml:space="preserve">CON-1305</t>
  </si>
  <si>
    <t xml:space="preserve">fairy-tale trials</t>
  </si>
  <si>
    <t xml:space="preserve">CON-1306</t>
  </si>
  <si>
    <t xml:space="preserve">CON-1307</t>
  </si>
  <si>
    <t xml:space="preserve">ambiguous fantasy</t>
  </si>
  <si>
    <t xml:space="preserve">CON-1308</t>
  </si>
  <si>
    <t xml:space="preserve">Elemental martial traditions</t>
  </si>
  <si>
    <t xml:space="preserve">CON-1309</t>
  </si>
  <si>
    <t xml:space="preserve">reincarnating Avatar</t>
  </si>
  <si>
    <t xml:space="preserve">CON-1310</t>
  </si>
  <si>
    <t xml:space="preserve">nations</t>
  </si>
  <si>
    <t xml:space="preserve">CON-1311</t>
  </si>
  <si>
    <t xml:space="preserve">spirit world</t>
  </si>
  <si>
    <t xml:space="preserve">PPL-300; COS-400</t>
  </si>
  <si>
    <t xml:space="preserve">Spirits and Elementals; Liminal, Parallel &amp; Constructed Realms</t>
  </si>
  <si>
    <t xml:space="preserve">CON-1312</t>
  </si>
  <si>
    <t xml:space="preserve">hybrid animals</t>
  </si>
  <si>
    <t xml:space="preserve">CON-1313</t>
  </si>
  <si>
    <t xml:space="preserve">Elves by primal source</t>
  </si>
  <si>
    <t xml:space="preserve">PPL-400; PPL-102</t>
  </si>
  <si>
    <t xml:space="preserve">Divine and Celestial Beings; Elf-Derived Peoples</t>
  </si>
  <si>
    <t xml:space="preserve">CON-1314</t>
  </si>
  <si>
    <t xml:space="preserve">human dark magic</t>
  </si>
  <si>
    <t xml:space="preserve">CON-1315</t>
  </si>
  <si>
    <t xml:space="preserve">CON-1316</t>
  </si>
  <si>
    <t xml:space="preserve">princes</t>
  </si>
  <si>
    <t xml:space="preserve">CON-1317</t>
  </si>
  <si>
    <t xml:space="preserve">mage roles</t>
  </si>
  <si>
    <t xml:space="preserve">CON-1318</t>
  </si>
  <si>
    <t xml:space="preserve">interspecies politics</t>
  </si>
  <si>
    <t xml:space="preserve">CON-1319</t>
  </si>
  <si>
    <t xml:space="preserve">Post-apocalyptic fantasy</t>
  </si>
  <si>
    <t xml:space="preserve">CON-1320</t>
  </si>
  <si>
    <t xml:space="preserve">candy people</t>
  </si>
  <si>
    <t xml:space="preserve">CON-1321</t>
  </si>
  <si>
    <t xml:space="preserve">CON-1322</t>
  </si>
  <si>
    <t xml:space="preserve">wizards</t>
  </si>
  <si>
    <t xml:space="preserve">CON-1323</t>
  </si>
  <si>
    <t xml:space="preserve">elemental beings</t>
  </si>
  <si>
    <t xml:space="preserve">CON-1324</t>
  </si>
  <si>
    <t xml:space="preserve">genre recombination</t>
  </si>
  <si>
    <t xml:space="preserve">CON-1325</t>
  </si>
  <si>
    <t xml:space="preserve">Witch society</t>
  </si>
  <si>
    <t xml:space="preserve">CON-1326</t>
  </si>
  <si>
    <t xml:space="preserve">coven system</t>
  </si>
  <si>
    <t xml:space="preserve">CON-1327</t>
  </si>
  <si>
    <t xml:space="preserve">glyph magic</t>
  </si>
  <si>
    <t xml:space="preserve">CON-1328</t>
  </si>
  <si>
    <t xml:space="preserve">demon realm</t>
  </si>
  <si>
    <t xml:space="preserve">CON-1329</t>
  </si>
  <si>
    <t xml:space="preserve">school and authoritarian control</t>
  </si>
  <si>
    <t xml:space="preserve">CON-1330</t>
  </si>
  <si>
    <t xml:space="preserve">Transformation hero</t>
  </si>
  <si>
    <t xml:space="preserve">STA-200; NAR-100</t>
  </si>
  <si>
    <t xml:space="preserve">Bodily Transformation States; Hero and Protagonist Archetypes</t>
  </si>
  <si>
    <t xml:space="preserve">CON-1331</t>
  </si>
  <si>
    <t xml:space="preserve">princess power domains</t>
  </si>
  <si>
    <t xml:space="preserve">CON-1332</t>
  </si>
  <si>
    <t xml:space="preserve">CON-1333</t>
  </si>
  <si>
    <t xml:space="preserve">magical technology</t>
  </si>
  <si>
    <t xml:space="preserve">CON-1334</t>
  </si>
  <si>
    <t xml:space="preserve">chosen identity</t>
  </si>
  <si>
    <t xml:space="preserve">CON-1335</t>
  </si>
  <si>
    <t xml:space="preserve">Vampire courts</t>
  </si>
  <si>
    <t xml:space="preserve">CON-1336</t>
  </si>
  <si>
    <t xml:space="preserve">forgemasters</t>
  </si>
  <si>
    <t xml:space="preserve">CON-1337</t>
  </si>
  <si>
    <t xml:space="preserve">monster hunters</t>
  </si>
  <si>
    <t xml:space="preserve">CON-1338</t>
  </si>
  <si>
    <t xml:space="preserve">magic speakers</t>
  </si>
  <si>
    <t xml:space="preserve">CON-1339</t>
  </si>
  <si>
    <t xml:space="preserve">church and rebellion</t>
  </si>
  <si>
    <t xml:space="preserve">CON-1340</t>
  </si>
  <si>
    <t xml:space="preserve">Magitech industrial cities</t>
  </si>
  <si>
    <t xml:space="preserve">CIV-200; CIV-312</t>
  </si>
  <si>
    <t xml:space="preserve">Settlement and Environmental Archetypes; Magitech Industrial Society</t>
  </si>
  <si>
    <t xml:space="preserve">CON-1341</t>
  </si>
  <si>
    <t xml:space="preserve">class conflict</t>
  </si>
  <si>
    <t xml:space="preserve">CON-1342</t>
  </si>
  <si>
    <t xml:space="preserve">inventors</t>
  </si>
  <si>
    <t xml:space="preserve">CON-1343</t>
  </si>
  <si>
    <t xml:space="preserve">enforcers</t>
  </si>
  <si>
    <t xml:space="preserve">CON-1344</t>
  </si>
  <si>
    <t xml:space="preserve">undercity factions</t>
  </si>
  <si>
    <t xml:space="preserve">CON-1345</t>
  </si>
  <si>
    <t xml:space="preserve">CON-1346</t>
  </si>
  <si>
    <t xml:space="preserve">Adapted Westerosi offices</t>
  </si>
  <si>
    <t xml:space="preserve">CON-1347</t>
  </si>
  <si>
    <t xml:space="preserve">CON-1348</t>
  </si>
  <si>
    <t xml:space="preserve">CON-1349</t>
  </si>
  <si>
    <t xml:space="preserve">CON-1350</t>
  </si>
  <si>
    <t xml:space="preserve">undead</t>
  </si>
  <si>
    <t xml:space="preserve">CON-1351</t>
  </si>
  <si>
    <t xml:space="preserve">significant divergences from books</t>
  </si>
  <si>
    <t xml:space="preserve">CON-1352</t>
  </si>
  <si>
    <t xml:space="preserve">Dragon-rider dynasty</t>
  </si>
  <si>
    <t xml:space="preserve">PPL-800; INS-400</t>
  </si>
  <si>
    <t xml:space="preserve">Dragons and Legendary Beasts; Kinship, Political, and Secret Organizations</t>
  </si>
  <si>
    <t xml:space="preserve">CON-1353</t>
  </si>
  <si>
    <t xml:space="preserve">succession war</t>
  </si>
  <si>
    <t xml:space="preserve">CON-1354</t>
  </si>
  <si>
    <t xml:space="preserve">court offices</t>
  </si>
  <si>
    <t xml:space="preserve">CON-1355</t>
  </si>
  <si>
    <t xml:space="preserve">family factions</t>
  </si>
  <si>
    <t xml:space="preserve">CON-1356</t>
  </si>
  <si>
    <t xml:space="preserve">prophetic legitimacy</t>
  </si>
  <si>
    <t xml:space="preserve">ROL-409; PWR-407</t>
  </si>
  <si>
    <t xml:space="preserve">Prophet; Prophecy</t>
  </si>
  <si>
    <t xml:space="preserve">CON-1357</t>
  </si>
  <si>
    <t xml:space="preserve">Influential visual codification of Tolkien peoples</t>
  </si>
  <si>
    <t xml:space="preserve">CON-1358</t>
  </si>
  <si>
    <t xml:space="preserve">CON-1359</t>
  </si>
  <si>
    <t xml:space="preserve">CON-1360</t>
  </si>
  <si>
    <t xml:space="preserve">and fellowship roles</t>
  </si>
  <si>
    <t xml:space="preserve">CON-1361</t>
  </si>
  <si>
    <t xml:space="preserve">Second Age adaptation</t>
  </si>
  <si>
    <t xml:space="preserve">CON-1362</t>
  </si>
  <si>
    <t xml:space="preserve">CON-1363</t>
  </si>
  <si>
    <t xml:space="preserve">dwarves</t>
  </si>
  <si>
    <t xml:space="preserve">CON-1364</t>
  </si>
  <si>
    <t xml:space="preserve">Númenor</t>
  </si>
  <si>
    <t xml:space="preserve">CON-1365</t>
  </si>
  <si>
    <t xml:space="preserve">proto-Harfoots</t>
  </si>
  <si>
    <t xml:space="preserve">CON-1366</t>
  </si>
  <si>
    <t xml:space="preserve">divine beings and forging</t>
  </si>
  <si>
    <t xml:space="preserve">CON-1367</t>
  </si>
  <si>
    <t xml:space="preserve">Adapted witchers</t>
  </si>
  <si>
    <t xml:space="preserve">CON-1368</t>
  </si>
  <si>
    <t xml:space="preserve">CON-1369</t>
  </si>
  <si>
    <t xml:space="preserve">CON-1370</t>
  </si>
  <si>
    <t xml:space="preserve">CON-1371</t>
  </si>
  <si>
    <t xml:space="preserve">timelines and schools</t>
  </si>
  <si>
    <t xml:space="preserve">CON-1372</t>
  </si>
  <si>
    <t xml:space="preserve">track divergences</t>
  </si>
  <si>
    <t xml:space="preserve">CON-1373</t>
  </si>
  <si>
    <t xml:space="preserve">Adapted channelers</t>
  </si>
  <si>
    <t xml:space="preserve">CON-1374</t>
  </si>
  <si>
    <t xml:space="preserve">Ajahs</t>
  </si>
  <si>
    <t xml:space="preserve">CON-1375</t>
  </si>
  <si>
    <t xml:space="preserve">Warders</t>
  </si>
  <si>
    <t xml:space="preserve">CON-1376</t>
  </si>
  <si>
    <t xml:space="preserve">ta'veren</t>
  </si>
  <si>
    <t xml:space="preserve">CON-1377</t>
  </si>
  <si>
    <t xml:space="preserve">cultures and Shadow forces</t>
  </si>
  <si>
    <t xml:space="preserve">CON-1378</t>
  </si>
  <si>
    <t xml:space="preserve">CON-1379</t>
  </si>
  <si>
    <t xml:space="preserve">Fae refugees</t>
  </si>
  <si>
    <t xml:space="preserve">CON-1380</t>
  </si>
  <si>
    <t xml:space="preserve">colonial war</t>
  </si>
  <si>
    <t xml:space="preserve">CON-1381</t>
  </si>
  <si>
    <t xml:space="preserve">urban prejudice</t>
  </si>
  <si>
    <t xml:space="preserve">CON-1382</t>
  </si>
  <si>
    <t xml:space="preserve">detective role</t>
  </si>
  <si>
    <t xml:space="preserve">CON-1383</t>
  </si>
  <si>
    <t xml:space="preserve">CON-1384</t>
  </si>
  <si>
    <t xml:space="preserve">CON-1385</t>
  </si>
  <si>
    <t xml:space="preserve">D&amp;D-derived party roles</t>
  </si>
  <si>
    <t xml:space="preserve">CON-1386</t>
  </si>
  <si>
    <t xml:space="preserve">CON-1387</t>
  </si>
  <si>
    <t xml:space="preserve">gunslinger</t>
  </si>
  <si>
    <t xml:space="preserve">CON-1388</t>
  </si>
  <si>
    <t xml:space="preserve">cleric</t>
  </si>
  <si>
    <t xml:space="preserve">CON-1389</t>
  </si>
  <si>
    <t xml:space="preserve">gnome</t>
  </si>
  <si>
    <t xml:space="preserve">CON-1390</t>
  </si>
  <si>
    <t xml:space="preserve">half-elf</t>
  </si>
  <si>
    <t xml:space="preserve">CON-1391</t>
  </si>
  <si>
    <t xml:space="preserve">dragon arc</t>
  </si>
  <si>
    <t xml:space="preserve">CON-1392</t>
  </si>
  <si>
    <t xml:space="preserve">Bard/rogue lead</t>
  </si>
  <si>
    <t xml:space="preserve">ROL-205; ROL-606</t>
  </si>
  <si>
    <t xml:space="preserve">Rogue; Bard</t>
  </si>
  <si>
    <t xml:space="preserve">CON-1393</t>
  </si>
  <si>
    <t xml:space="preserve">paladin</t>
  </si>
  <si>
    <t xml:space="preserve">CON-1394</t>
  </si>
  <si>
    <t xml:space="preserve">CON-1395</t>
  </si>
  <si>
    <t xml:space="preserve">druid</t>
  </si>
  <si>
    <t xml:space="preserve">CON-1396</t>
  </si>
  <si>
    <t xml:space="preserve">barbarian</t>
  </si>
  <si>
    <t xml:space="preserve">CON-1397</t>
  </si>
  <si>
    <t xml:space="preserve">monsters and game-spell adaptation</t>
  </si>
  <si>
    <t xml:space="preserve">CON-1398</t>
  </si>
  <si>
    <t xml:space="preserve">Warrior heroine</t>
  </si>
  <si>
    <t xml:space="preserve">CON-1399</t>
  </si>
  <si>
    <t xml:space="preserve">companion bard</t>
  </si>
  <si>
    <t xml:space="preserve">ROL-606; NAR-200</t>
  </si>
  <si>
    <t xml:space="preserve">Bard; Companion, Mentor, and Party Archetypes</t>
  </si>
  <si>
    <t xml:space="preserve">CON-1400</t>
  </si>
  <si>
    <t xml:space="preserve">CON-1401</t>
  </si>
  <si>
    <t xml:space="preserve">Amazons</t>
  </si>
  <si>
    <t xml:space="preserve">CON-1402</t>
  </si>
  <si>
    <t xml:space="preserve">CON-1403</t>
  </si>
  <si>
    <t xml:space="preserve">CON-1404</t>
  </si>
  <si>
    <t xml:space="preserve">Demigod hero</t>
  </si>
  <si>
    <t xml:space="preserve">PPL-402; NAR-100</t>
  </si>
  <si>
    <t xml:space="preserve">Demigods and Divine-Blooded Beings; Hero and Protagonist Archetypes</t>
  </si>
  <si>
    <t xml:space="preserve">CON-1405</t>
  </si>
  <si>
    <t xml:space="preserve">companion</t>
  </si>
  <si>
    <t xml:space="preserve">CON-1406</t>
  </si>
  <si>
    <t xml:space="preserve">CON-1407</t>
  </si>
  <si>
    <t xml:space="preserve">CON-1408</t>
  </si>
  <si>
    <t xml:space="preserve">episodic myth adaptation</t>
  </si>
  <si>
    <t xml:space="preserve">CON-1409</t>
  </si>
  <si>
    <t xml:space="preserve">Post-apocalyptic elves</t>
  </si>
  <si>
    <t xml:space="preserve">PPL-102; NAR-418; CIV-402</t>
  </si>
  <si>
    <t xml:space="preserve">Elf-Derived Peoples; Apocalypse and Prevention; Fallen Ancient Empire</t>
  </si>
  <si>
    <t xml:space="preserve">CON-1410</t>
  </si>
  <si>
    <t xml:space="preserve">druids</t>
  </si>
  <si>
    <t xml:space="preserve">CON-1411</t>
  </si>
  <si>
    <t xml:space="preserve">chosen quest</t>
  </si>
  <si>
    <t xml:space="preserve">CON-1412</t>
  </si>
  <si>
    <t xml:space="preserve">CON-1413</t>
  </si>
  <si>
    <t xml:space="preserve">hybrid genre visual language</t>
  </si>
  <si>
    <t xml:space="preserve">CON-1414</t>
  </si>
  <si>
    <t xml:space="preserve">Gelfling clans and vocations</t>
  </si>
  <si>
    <t xml:space="preserve">INS-400; MEC-301</t>
  </si>
  <si>
    <t xml:space="preserve">Kinship, Political, and Secret Organizations; Fixed Class</t>
  </si>
  <si>
    <t xml:space="preserve">CON-1415</t>
  </si>
  <si>
    <t xml:space="preserve">Skeksis institutions</t>
  </si>
  <si>
    <t xml:space="preserve">CON-1416</t>
  </si>
  <si>
    <t xml:space="preserve">resistance</t>
  </si>
  <si>
    <t xml:space="preserve">CON-1417</t>
  </si>
  <si>
    <t xml:space="preserve">mystic ecology</t>
  </si>
  <si>
    <t xml:space="preserve">CON-1418</t>
  </si>
  <si>
    <t xml:space="preserve">puppetry</t>
  </si>
  <si>
    <t xml:space="preserve">CON-1419</t>
  </si>
  <si>
    <t xml:space="preserve">A critical-edition reference witness for source-faithful indexing of the Sanskrit epic's persons</t>
  </si>
  <si>
    <t xml:space="preserve">CON-1420</t>
  </si>
  <si>
    <t xml:space="preserve">beings</t>
  </si>
  <si>
    <t xml:space="preserve">CON-1421</t>
  </si>
  <si>
    <t xml:space="preserve">roles</t>
  </si>
  <si>
    <t xml:space="preserve">CON-1422</t>
  </si>
  <si>
    <t xml:space="preserve">CON-1423</t>
  </si>
  <si>
    <t xml:space="preserve">weapons</t>
  </si>
  <si>
    <t xml:space="preserve">CON-1424</t>
  </si>
  <si>
    <t xml:space="preserve">rituals</t>
  </si>
  <si>
    <t xml:space="preserve">CON-1425</t>
  </si>
  <si>
    <t xml:space="preserve">cosmology</t>
  </si>
  <si>
    <t xml:space="preserve">CON-1426</t>
  </si>
  <si>
    <t xml:space="preserve">and narrative structures</t>
  </si>
  <si>
    <t xml:space="preserve">CON-1427</t>
  </si>
  <si>
    <t xml:space="preserve">Battlefield revelation</t>
  </si>
  <si>
    <t xml:space="preserve">CON-1428</t>
  </si>
  <si>
    <t xml:space="preserve">divine manifestation</t>
  </si>
  <si>
    <t xml:space="preserve">CON-1429</t>
  </si>
  <si>
    <t xml:space="preserve">action and renunciation</t>
  </si>
  <si>
    <t xml:space="preserve">CON-1430</t>
  </si>
  <si>
    <t xml:space="preserve">disciplined paths</t>
  </si>
  <si>
    <t xml:space="preserve">CON-1431</t>
  </si>
  <si>
    <t xml:space="preserve">cosmic order</t>
  </si>
  <si>
    <t xml:space="preserve">INS-200; LAW-500</t>
  </si>
  <si>
    <t xml:space="preserve">Martial and Protective Organizations; Fate, Causation &amp; Cosmic Order</t>
  </si>
  <si>
    <t xml:space="preserve">CON-1432</t>
  </si>
  <si>
    <t xml:space="preserve">CON-1433</t>
  </si>
  <si>
    <t xml:space="preserve">knowledge</t>
  </si>
  <si>
    <t xml:space="preserve">CON-1434</t>
  </si>
  <si>
    <t xml:space="preserve">and the relation between mortal agency and divine counsel</t>
  </si>
  <si>
    <t xml:space="preserve">CON-1435</t>
  </si>
  <si>
    <t xml:space="preserve">Celestial bureaucracy</t>
  </si>
  <si>
    <t xml:space="preserve">CON-1436</t>
  </si>
  <si>
    <t xml:space="preserve">CON-1437</t>
  </si>
  <si>
    <t xml:space="preserve">ancestors</t>
  </si>
  <si>
    <t xml:space="preserve">CON-1438</t>
  </si>
  <si>
    <t xml:space="preserve">dragon and fox traditions</t>
  </si>
  <si>
    <t xml:space="preserve">CON-1439</t>
  </si>
  <si>
    <t xml:space="preserve">underworld courts</t>
  </si>
  <si>
    <t xml:space="preserve">CON-1440</t>
  </si>
  <si>
    <t xml:space="preserve">CON-1441</t>
  </si>
  <si>
    <t xml:space="preserve">registers</t>
  </si>
  <si>
    <t xml:space="preserve">CON-1442</t>
  </si>
  <si>
    <t xml:space="preserve">spirit officials</t>
  </si>
  <si>
    <t xml:space="preserve">CON-1443</t>
  </si>
  <si>
    <t xml:space="preserve">sacred mountains</t>
  </si>
  <si>
    <t xml:space="preserve">CON-1444</t>
  </si>
  <si>
    <t xml:space="preserve">CON-1445</t>
  </si>
  <si>
    <t xml:space="preserve">and overlapping Daoist</t>
  </si>
  <si>
    <t xml:space="preserve">CON-1446</t>
  </si>
  <si>
    <t xml:space="preserve">Buddhist</t>
  </si>
  <si>
    <t xml:space="preserve">CON-1447</t>
  </si>
  <si>
    <t xml:space="preserve">popular</t>
  </si>
  <si>
    <t xml:space="preserve">CON-1448</t>
  </si>
  <si>
    <t xml:space="preserve">literary</t>
  </si>
  <si>
    <t xml:space="preserve">CON-1449</t>
  </si>
  <si>
    <t xml:space="preserve">and local systems</t>
  </si>
  <si>
    <t xml:space="preserve">CON-1450</t>
  </si>
  <si>
    <t xml:space="preserve">Layered heavens and underworlds</t>
  </si>
  <si>
    <t xml:space="preserve">CON-1451</t>
  </si>
  <si>
    <t xml:space="preserve">calendrical time</t>
  </si>
  <si>
    <t xml:space="preserve">CON-1452</t>
  </si>
  <si>
    <t xml:space="preserve">divine forces and embodiments</t>
  </si>
  <si>
    <t xml:space="preserve">CON-1453</t>
  </si>
  <si>
    <t xml:space="preserve">sacred warfare</t>
  </si>
  <si>
    <t xml:space="preserve">CON-1454</t>
  </si>
  <si>
    <t xml:space="preserve">offerings</t>
  </si>
  <si>
    <t xml:space="preserve">CON-1455</t>
  </si>
  <si>
    <t xml:space="preserve">cosmic maintenance</t>
  </si>
  <si>
    <t xml:space="preserve">CON-1456</t>
  </si>
  <si>
    <t xml:space="preserve">world ages</t>
  </si>
  <si>
    <t xml:space="preserve">CON-1457</t>
  </si>
  <si>
    <t xml:space="preserve">migration memory</t>
  </si>
  <si>
    <t xml:space="preserve">CON-1458</t>
  </si>
  <si>
    <t xml:space="preserve">place-based identity</t>
  </si>
  <si>
    <t xml:space="preserve">CON-1459</t>
  </si>
  <si>
    <t xml:space="preserve">and ritual-political authority</t>
  </si>
  <si>
    <t xml:space="preserve">CON-1460</t>
  </si>
  <si>
    <t xml:space="preserve">A major adaptation laboratory that converts deities into faction and technology choices</t>
  </si>
  <si>
    <t xml:space="preserve">PPL-400; INS-000</t>
  </si>
  <si>
    <t xml:space="preserve">Divine and Celestial Beings; Institutions &amp; Affiliations</t>
  </si>
  <si>
    <t xml:space="preserve">CON-1461</t>
  </si>
  <si>
    <t xml:space="preserve">worship into favor economies</t>
  </si>
  <si>
    <t xml:space="preserve">CON-1462</t>
  </si>
  <si>
    <t xml:space="preserve">myths into units and counters</t>
  </si>
  <si>
    <t xml:space="preserve">CON-1463</t>
  </si>
  <si>
    <t xml:space="preserve">divine intervention into activated god powers</t>
  </si>
  <si>
    <t xml:space="preserve">CON-1464</t>
  </si>
  <si>
    <t xml:space="preserve">relics into map objectives</t>
  </si>
  <si>
    <t xml:space="preserve">CON-1465</t>
  </si>
  <si>
    <t xml:space="preserve">and cosmic ages into progression tiers</t>
  </si>
  <si>
    <t xml:space="preserve">Relationship_ID</t>
  </si>
  <si>
    <t xml:space="preserve">From_Source_ID</t>
  </si>
  <si>
    <t xml:space="preserve">From_Title</t>
  </si>
  <si>
    <t xml:space="preserve">To_Source_ID</t>
  </si>
  <si>
    <t xml:space="preserve">To_Title</t>
  </si>
  <si>
    <t xml:space="preserve">REL-0001</t>
  </si>
  <si>
    <t xml:space="preserve">contains-work</t>
  </si>
  <si>
    <t xml:space="preserve">The Lord of the Rings belongs to Tolkien's literary legendarium.</t>
  </si>
  <si>
    <t xml:space="preserve">Corpus-level relationship reviewed</t>
  </si>
  <si>
    <t xml:space="preserve">Editorial relationship — verify during deep pass</t>
  </si>
  <si>
    <t xml:space="preserve">REL-0002</t>
  </si>
  <si>
    <t xml:space="preserve">adapted-as</t>
  </si>
  <si>
    <t xml:space="preserve">The film trilogy adapts the novel.</t>
  </si>
  <si>
    <t xml:space="preserve">REL-0003</t>
  </si>
  <si>
    <t xml:space="preserve">Screen continuity draws on Tolkien's Second Age material under separate adaptation constraints.</t>
  </si>
  <si>
    <t xml:space="preserve">REL-0004</t>
  </si>
  <si>
    <t xml:space="preserve">Television adaptation of the novel sequence, with material divergences.</t>
  </si>
  <si>
    <t xml:space="preserve">REL-0005</t>
  </si>
  <si>
    <t xml:space="preserve">Television prequel continuity draws primarily on Fire &amp; Blood material within the same world.</t>
  </si>
  <si>
    <t xml:space="preserve">REL-0006</t>
  </si>
  <si>
    <t xml:space="preserve">Game continuity adapts and extends the literary Witcher world.</t>
  </si>
  <si>
    <t xml:space="preserve">REL-0007</t>
  </si>
  <si>
    <t xml:space="preserve">Television continuity adapts the literary Witcher material.</t>
  </si>
  <si>
    <t xml:space="preserve">REL-0008</t>
  </si>
  <si>
    <t xml:space="preserve">Television adaptation of The Wheel of Time.</t>
  </si>
  <si>
    <t xml:space="preserve">REL-0009</t>
  </si>
  <si>
    <t xml:space="preserve">prequel-continuity</t>
  </si>
  <si>
    <t xml:space="preserve">Age of Resistance is a prequel series in The Dark Crystal screen world.</t>
  </si>
  <si>
    <t xml:space="preserve">REL-0010</t>
  </si>
  <si>
    <t xml:space="preserve">Film traditions adapt and consolidate the Conan literary icon.</t>
  </si>
  <si>
    <t xml:space="preserve">REL-0011</t>
  </si>
  <si>
    <t xml:space="preserve">retold-as</t>
  </si>
  <si>
    <t xml:space="preserve">Modern Arthurian literary retelling.</t>
  </si>
  <si>
    <t xml:space="preserve">REL-0012</t>
  </si>
  <si>
    <t xml:space="preserve">Cinematic Arthurian adaptation.</t>
  </si>
  <si>
    <t xml:space="preserve">REL-0013</t>
  </si>
  <si>
    <t xml:space="preserve">same-corpus-as</t>
  </si>
  <si>
    <t xml:space="preserve">Earthsea and The Books of Earthsea overlap as source-corpus labels and require deduplication.</t>
  </si>
  <si>
    <t xml:space="preserve">REL-0014</t>
  </si>
  <si>
    <t xml:space="preserve">same-setting-as</t>
  </si>
  <si>
    <t xml:space="preserve">Both records refer to Osten Ard material at different scope.</t>
  </si>
  <si>
    <t xml:space="preserve">REL-0015</t>
  </si>
  <si>
    <t xml:space="preserve">witnessed-by</t>
  </si>
  <si>
    <t xml:space="preserve">The BORI Critical Edition is a reference witness for the wider epic tradition.</t>
  </si>
  <si>
    <t xml:space="preserve">REL-0016</t>
  </si>
  <si>
    <t xml:space="preserve">contains-text</t>
  </si>
  <si>
    <t xml:space="preserve">The Bhagavad Gītā is embedded in the Mahābhārata.</t>
  </si>
  <si>
    <t xml:space="preserve">REL-0017</t>
  </si>
  <si>
    <t xml:space="preserve">Critical-edition indexing situates the Gītā within Bhīṣma Parva.</t>
  </si>
  <si>
    <t xml:space="preserve">REL-0018</t>
  </si>
  <si>
    <t xml:space="preserve">represented-by-work</t>
  </si>
  <si>
    <t xml:space="preserve">The novel is a major modern xianxia/cultivation example.</t>
  </si>
  <si>
    <t xml:space="preserve">REL-0019</t>
  </si>
  <si>
    <t xml:space="preserve">The novel is a cultivation-fiction example with distinct clan and demonic-cultivation emphases.</t>
  </si>
  <si>
    <t xml:space="preserve">REL-0020</t>
  </si>
  <si>
    <t xml:space="preserve">Soul Land mechanizes cultivation through martial souls and spirit rings.</t>
  </si>
  <si>
    <t xml:space="preserve">REL-0021</t>
  </si>
  <si>
    <t xml:space="preserve">draws-from</t>
  </si>
  <si>
    <t xml:space="preserve">Journey to the West participates in overlapping Chinese religious and literary systems.</t>
  </si>
  <si>
    <t xml:space="preserve">REL-0022</t>
  </si>
  <si>
    <t xml:space="preserve">Investiture of the Gods adapts and systematizes Chinese divine and immortal traditions.</t>
  </si>
  <si>
    <t xml:space="preserve">REL-0023</t>
  </si>
  <si>
    <t xml:space="preserve">setting</t>
  </si>
  <si>
    <t xml:space="preserve">Forgotten Realms is a D&amp;D setting.</t>
  </si>
  <si>
    <t xml:space="preserve">REL-0024</t>
  </si>
  <si>
    <t xml:space="preserve">Greyhawk is a D&amp;D setting.</t>
  </si>
  <si>
    <t xml:space="preserve">REL-0025</t>
  </si>
  <si>
    <t xml:space="preserve">Dragonlance is a D&amp;D setting and literary line.</t>
  </si>
  <si>
    <t xml:space="preserve">REL-0026</t>
  </si>
  <si>
    <t xml:space="preserve">Eberron is a D&amp;D setting.</t>
  </si>
  <si>
    <t xml:space="preserve">REL-0027</t>
  </si>
  <si>
    <t xml:space="preserve">Dark Sun is a D&amp;D setting.</t>
  </si>
  <si>
    <t xml:space="preserve">REL-0028</t>
  </si>
  <si>
    <t xml:space="preserve">Planescape is a D&amp;D setting.</t>
  </si>
  <si>
    <t xml:space="preserve">REL-0029</t>
  </si>
  <si>
    <t xml:space="preserve">Ravenloft is a D&amp;D setting.</t>
  </si>
  <si>
    <t xml:space="preserve">REL-0030</t>
  </si>
  <si>
    <t xml:space="preserve">Spelljammer is a D&amp;D setting.</t>
  </si>
  <si>
    <t xml:space="preserve">REL-0031</t>
  </si>
  <si>
    <t xml:space="preserve">implemented-as</t>
  </si>
  <si>
    <t xml:space="preserve">Baldur's Gate implements D&amp;D rules in a CRPG series.</t>
  </si>
  <si>
    <t xml:space="preserve">REL-0032</t>
  </si>
  <si>
    <t xml:space="preserve">Icewind Dale implements D&amp;D rules in a CRPG.</t>
  </si>
  <si>
    <t xml:space="preserve">REL-0033</t>
  </si>
  <si>
    <t xml:space="preserve">Planescape: Torment is a game set in Planescape.</t>
  </si>
  <si>
    <t xml:space="preserve">REL-0034</t>
  </si>
  <si>
    <t xml:space="preserve">Neverwinter Nights implements D&amp;D rules and setting material.</t>
  </si>
  <si>
    <t xml:space="preserve">REL-0035</t>
  </si>
  <si>
    <t xml:space="preserve">Kingmaker implements Pathfinder rules.</t>
  </si>
  <si>
    <t xml:space="preserve">REL-0036</t>
  </si>
  <si>
    <t xml:space="preserve">Wrath of the Righteous implements Pathfinder rules.</t>
  </si>
  <si>
    <t xml:space="preserve">REL-0037</t>
  </si>
  <si>
    <t xml:space="preserve">The Returns trilogy adapts the Shadowrun tabletop setting.</t>
  </si>
  <si>
    <t xml:space="preserve">REL-0038</t>
  </si>
  <si>
    <t xml:space="preserve">versioned-as</t>
  </si>
  <si>
    <t xml:space="preserve">Reborn is a version-specific Tactics Ogre record.</t>
  </si>
  <si>
    <t xml:space="preserve">REL-0039</t>
  </si>
  <si>
    <t xml:space="preserve">franchise-entry</t>
  </si>
  <si>
    <t xml:space="preserve">Final Fantasy Tactics is a franchise branch with a distinct tactical job system.</t>
  </si>
  <si>
    <t xml:space="preserve">REL-0040</t>
  </si>
  <si>
    <t xml:space="preserve">Final Fantasy XIV is an MMO entry with its own continuity and job snapshots.</t>
  </si>
  <si>
    <t xml:space="preserve">REL-0041</t>
  </si>
  <si>
    <t xml:space="preserve">World of Warcraft is the MMO branch of Warcraft.</t>
  </si>
  <si>
    <t xml:space="preserve">REL-0042</t>
  </si>
  <si>
    <t xml:space="preserve">adapted-by</t>
  </si>
  <si>
    <t xml:space="preserve">Hades mechanizes Greek deities, boons, underworld offices, and repeated escape.</t>
  </si>
  <si>
    <t xml:space="preserve">REL-0043</t>
  </si>
  <si>
    <t xml:space="preserve">The series freely adapts Greek heroic myth.</t>
  </si>
  <si>
    <t xml:space="preserve">REL-0044</t>
  </si>
  <si>
    <t xml:space="preserve">The series syncretically adapts Greek myth among other traditions.</t>
  </si>
  <si>
    <t xml:space="preserve">REL-0045</t>
  </si>
  <si>
    <t xml:space="preserve">Age of Mythology factionalizes and mechanizes Greek mythic material.</t>
  </si>
  <si>
    <t xml:space="preserve">REL-0046</t>
  </si>
  <si>
    <t xml:space="preserve">Age of Mythology factionalizes and mechanizes Norse mythic material.</t>
  </si>
  <si>
    <t xml:space="preserve">REL-0047</t>
  </si>
  <si>
    <t xml:space="preserve">Age of Mythology factionalizes and mechanizes Egyptian mythic material.</t>
  </si>
  <si>
    <t xml:space="preserve">REL-0048</t>
  </si>
  <si>
    <t xml:space="preserve">Later game expansions adapt selected Chinese mythic material.</t>
  </si>
  <si>
    <t xml:space="preserve">REL-0049</t>
  </si>
  <si>
    <t xml:space="preserve">Inuyasha adapts and recombines yōkai and shrine traditions.</t>
  </si>
  <si>
    <t xml:space="preserve">REL-0050</t>
  </si>
  <si>
    <t xml:space="preserve">Spirited Away draws on kami/yōkai imagery while creating a distinct fictional spirit economy.</t>
  </si>
  <si>
    <t xml:space="preserve">REL-0051</t>
  </si>
  <si>
    <t xml:space="preserve">Jujutsu Kaisen reworks curse and exorcist traditions into a modern battle system.</t>
  </si>
  <si>
    <t xml:space="preserve">REL-0052</t>
  </si>
  <si>
    <t xml:space="preserve">influences</t>
  </si>
  <si>
    <t xml:space="preserve">Dragonheart reworks knight-and-dragon materials through a soul-bond premise.</t>
  </si>
  <si>
    <t xml:space="preserve">REL-0053</t>
  </si>
  <si>
    <t xml:space="preserve">Vox Machina adapts a D&amp;D actual-play campaign and its class vocabulary.</t>
  </si>
  <si>
    <t xml:space="preserve">REL-0054</t>
  </si>
  <si>
    <t xml:space="preserve">Honor Among Thieves adapts D&amp;D classes, spells, monsters, and setting conventions to film.</t>
  </si>
  <si>
    <t xml:space="preserve">Canonical_Entry_Count</t>
  </si>
  <si>
    <t xml:space="preserve">Orientation_Concept_Count</t>
  </si>
  <si>
    <t xml:space="preserve">Normalized_Concept_Count</t>
  </si>
  <si>
    <t xml:space="preserve">Canonical_Target</t>
  </si>
  <si>
    <t xml:space="preserve">Next_Action</t>
  </si>
  <si>
    <t xml:space="preserve">Orientation mapped</t>
  </si>
  <si>
    <t xml:space="preserve">Verify canonical terms and citations</t>
  </si>
  <si>
    <t xml:space="preserve">Canonical mapping in progress</t>
  </si>
  <si>
    <t xml:space="preserve">Extend or audit canonical source pass</t>
  </si>
  <si>
    <t xml:space="preserve">Canonical scouting</t>
  </si>
  <si>
    <t xml:space="preserve">Canonical pass target reached</t>
  </si>
  <si>
    <t xml:space="preserve">Canonical coverage status</t>
  </si>
  <si>
    <t xml:space="preserve">Sources</t>
  </si>
</sst>
</file>

<file path=xl/styles.xml><?xml version="1.0" encoding="utf-8"?>
<styleSheet xmlns="http://schemas.openxmlformats.org/spreadsheetml/2006/main">
  <numFmts count="4">
    <numFmt numFmtId="164" formatCode="General"/>
    <numFmt numFmtId="165" formatCode="0"/>
    <numFmt numFmtId="166" formatCode="0.0"/>
    <numFmt numFmtId="167" formatCode="yyyy\-mm\-dd"/>
  </numFmts>
  <fonts count="29">
    <font>
      <sz val="10"/>
      <name val="Arial"/>
      <family val="2"/>
    </font>
    <font>
      <sz val="10"/>
      <name val="Arial"/>
      <family val="0"/>
    </font>
    <font>
      <sz val="10"/>
      <name val="Arial"/>
      <family val="0"/>
    </font>
    <font>
      <sz val="10"/>
      <name val="Arial"/>
      <family val="0"/>
    </font>
    <font>
      <sz val="11"/>
      <name val="Calibri"/>
      <family val="0"/>
      <charset val="1"/>
    </font>
    <font>
      <b val="true"/>
      <sz val="18"/>
      <color rgb="FFFFFFFF"/>
      <name val="Calibri"/>
      <family val="0"/>
      <charset val="1"/>
    </font>
    <font>
      <b val="true"/>
      <sz val="24"/>
      <color rgb="FFFFFFFF"/>
      <name val="Calibri"/>
      <family val="0"/>
      <charset val="1"/>
    </font>
    <font>
      <b val="true"/>
      <i val="true"/>
      <sz val="12"/>
      <color rgb="FF1F1F1F"/>
      <name val="Calibri"/>
      <family val="0"/>
      <charset val="1"/>
    </font>
    <font>
      <i val="true"/>
      <sz val="12"/>
      <color rgb="FFFFFFFF"/>
      <name val="Calibri"/>
      <family val="0"/>
      <charset val="1"/>
    </font>
    <font>
      <b val="true"/>
      <sz val="11"/>
      <color rgb="FFFFFFFF"/>
      <name val="Calibri"/>
      <family val="0"/>
      <charset val="1"/>
    </font>
    <font>
      <b val="true"/>
      <sz val="10"/>
      <color rgb="FFFFFFFF"/>
      <name val="Calibri"/>
      <family val="0"/>
      <charset val="1"/>
    </font>
    <font>
      <b val="true"/>
      <sz val="11"/>
      <color rgb="FF1F1F1F"/>
      <name val="Calibri"/>
      <family val="0"/>
      <charset val="1"/>
    </font>
    <font>
      <sz val="10"/>
      <color rgb="FF1F1F1F"/>
      <name val="Calibri"/>
      <family val="0"/>
      <charset val="1"/>
    </font>
    <font>
      <b val="true"/>
      <sz val="12"/>
      <color rgb="FF0070C0"/>
      <name val="Calibri"/>
      <family val="0"/>
      <charset val="1"/>
    </font>
    <font>
      <sz val="11"/>
      <color rgb="FF1F1F1F"/>
      <name val="Calibri"/>
      <family val="0"/>
      <charset val="1"/>
    </font>
    <font>
      <sz val="11"/>
      <color rgb="FF1F2937"/>
      <name val="Calibri"/>
      <family val="0"/>
      <charset val="1"/>
    </font>
    <font>
      <b val="true"/>
      <sz val="13"/>
      <color rgb="FFFFFFFF"/>
      <name val="Calibri"/>
      <family val="0"/>
      <charset val="1"/>
    </font>
    <font>
      <sz val="10"/>
      <color rgb="FF1F2937"/>
      <name val="Calibri"/>
      <family val="0"/>
      <charset val="1"/>
    </font>
    <font>
      <b val="true"/>
      <sz val="11"/>
      <color rgb="FF17324D"/>
      <name val="Calibri"/>
      <family val="0"/>
      <charset val="1"/>
    </font>
    <font>
      <b val="true"/>
      <sz val="24"/>
      <color rgb="FFEAF1FB"/>
      <name val="Georgia"/>
      <family val="0"/>
      <charset val="1"/>
    </font>
    <font>
      <b val="true"/>
      <sz val="10"/>
      <color rgb="FF394A65"/>
      <name val="Cambria"/>
      <family val="0"/>
      <charset val="1"/>
    </font>
    <font>
      <sz val="10"/>
      <color rgb="FF52627A"/>
      <name val="Cambria"/>
      <family val="0"/>
      <charset val="1"/>
    </font>
    <font>
      <sz val="9"/>
      <color rgb="FF2A6F97"/>
      <name val="Calibri"/>
      <family val="0"/>
      <charset val="1"/>
    </font>
    <font>
      <b val="true"/>
      <sz val="13"/>
      <color rgb="FF1F1F1F"/>
      <name val="Calibri"/>
      <family val="0"/>
      <charset val="1"/>
    </font>
    <font>
      <sz val="10"/>
      <color rgb="FF000000"/>
      <name val="Calibri"/>
      <family val="2"/>
    </font>
    <font>
      <b val="true"/>
      <sz val="10"/>
      <color rgb="FFEAF1FB"/>
      <name val="Cambria"/>
      <family val="0"/>
      <charset val="1"/>
    </font>
    <font>
      <sz val="9"/>
      <color rgb="FF26344A"/>
      <name val="Cambria"/>
      <family val="0"/>
      <charset val="1"/>
    </font>
    <font>
      <b val="true"/>
      <sz val="18"/>
      <color rgb="FF000000"/>
      <name val="Calibri"/>
      <family val="2"/>
    </font>
    <font>
      <b val="true"/>
      <sz val="10"/>
      <color rgb="FF000000"/>
      <name val="Calibri"/>
      <family val="2"/>
    </font>
  </fonts>
  <fills count="18">
    <fill>
      <patternFill patternType="none"/>
    </fill>
    <fill>
      <patternFill patternType="gray125"/>
    </fill>
    <fill>
      <patternFill patternType="solid">
        <fgColor rgb="FF17365D"/>
        <bgColor rgb="FF17324D"/>
      </patternFill>
    </fill>
    <fill>
      <patternFill patternType="solid">
        <fgColor rgb="FF17324D"/>
        <bgColor rgb="FF17365D"/>
      </patternFill>
    </fill>
    <fill>
      <patternFill patternType="solid">
        <fgColor rgb="FFD9EAF7"/>
        <bgColor rgb="FFDDEBF7"/>
      </patternFill>
    </fill>
    <fill>
      <patternFill patternType="solid">
        <fgColor rgb="FF1F6F78"/>
        <bgColor rgb="FF0F6B73"/>
      </patternFill>
    </fill>
    <fill>
      <patternFill patternType="solid">
        <fgColor rgb="FF0F6B73"/>
        <bgColor rgb="FF1F6F78"/>
      </patternFill>
    </fill>
    <fill>
      <patternFill patternType="solid">
        <fgColor rgb="FFFFF8E7"/>
        <bgColor rgb="FFF8F1DF"/>
      </patternFill>
    </fill>
    <fill>
      <patternFill patternType="solid">
        <fgColor rgb="FFF8F1DF"/>
        <bgColor rgb="FFFFF8E7"/>
      </patternFill>
    </fill>
    <fill>
      <patternFill patternType="solid">
        <fgColor rgb="FFF7FBFE"/>
        <bgColor rgb="FFF8FBFD"/>
      </patternFill>
    </fill>
    <fill>
      <patternFill patternType="solid">
        <fgColor rgb="FFF5F7FA"/>
        <bgColor rgb="FFF7F9FC"/>
      </patternFill>
    </fill>
    <fill>
      <patternFill patternType="solid">
        <fgColor rgb="FFDDEBF7"/>
        <bgColor rgb="FFD9EAF7"/>
      </patternFill>
    </fill>
    <fill>
      <patternFill patternType="solid">
        <fgColor rgb="FFF8FBFD"/>
        <bgColor rgb="FFF7FBFE"/>
      </patternFill>
    </fill>
    <fill>
      <patternFill patternType="solid">
        <fgColor rgb="FFF7F9FC"/>
        <bgColor rgb="FFF8FBFD"/>
      </patternFill>
    </fill>
    <fill>
      <patternFill patternType="solid">
        <fgColor rgb="FF0B1222"/>
        <bgColor rgb="FF1F1F1F"/>
      </patternFill>
    </fill>
    <fill>
      <patternFill patternType="solid">
        <fgColor rgb="FFFFFFFF"/>
        <bgColor rgb="FFF8FBFD"/>
      </patternFill>
    </fill>
    <fill>
      <patternFill patternType="solid">
        <fgColor rgb="FFFFF2CC"/>
        <bgColor rgb="FFFFF4CC"/>
      </patternFill>
    </fill>
    <fill>
      <patternFill patternType="solid">
        <fgColor rgb="FF17243B"/>
        <bgColor rgb="FF1F2937"/>
      </patternFill>
    </fill>
  </fills>
  <borders count="3">
    <border diagonalUp="false" diagonalDown="false">
      <left/>
      <right/>
      <top/>
      <bottom/>
      <diagonal/>
    </border>
    <border diagonalUp="false" diagonalDown="false">
      <left/>
      <right/>
      <top/>
      <bottom style="thin">
        <color rgb="FF2B3A55"/>
      </bottom>
      <diagonal/>
    </border>
    <border diagonalUp="false" diagonalDown="false">
      <left/>
      <right/>
      <top/>
      <bottom style="hair">
        <color rgb="FFD8E0E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0" applyFont="false" applyBorder="true" applyAlignment="false" applyProtection="false">
      <alignment horizontal="general" vertical="bottom" textRotation="0" wrapText="false" indent="0" shrinkToFit="false"/>
      <protection locked="true" hidden="false"/>
    </xf>
    <xf numFmtId="164" fontId="5" fillId="2" borderId="0" xfId="20" applyFont="true" applyBorder="true" applyAlignment="true" applyProtection="false">
      <alignment horizontal="left" vertical="center" textRotation="0" wrapText="true" indent="0" shrinkToFit="false"/>
      <protection locked="true" hidden="false"/>
    </xf>
    <xf numFmtId="164" fontId="6" fillId="3" borderId="0" xfId="20" applyFont="true" applyBorder="true" applyAlignment="true" applyProtection="false">
      <alignment horizontal="left" vertical="center" textRotation="0" wrapText="false" indent="0" shrinkToFit="false"/>
      <protection locked="true" hidden="false"/>
    </xf>
    <xf numFmtId="164" fontId="7" fillId="4" borderId="0" xfId="20" applyFont="true" applyBorder="true" applyAlignment="true" applyProtection="false">
      <alignment horizontal="left" vertical="center" textRotation="0" wrapText="true" indent="0" shrinkToFit="false"/>
      <protection locked="true" hidden="false"/>
    </xf>
    <xf numFmtId="164" fontId="8" fillId="5" borderId="0" xfId="20" applyFont="true" applyBorder="true" applyAlignment="true" applyProtection="false">
      <alignment horizontal="general" vertical="center" textRotation="0" wrapText="false" indent="0" shrinkToFit="false"/>
      <protection locked="true" hidden="false"/>
    </xf>
    <xf numFmtId="164" fontId="9" fillId="6" borderId="0" xfId="20" applyFont="true" applyBorder="true" applyAlignment="true" applyProtection="false">
      <alignment horizontal="center" vertical="center" textRotation="0" wrapText="true" indent="0" shrinkToFit="false"/>
      <protection locked="true" hidden="false"/>
    </xf>
    <xf numFmtId="164" fontId="10" fillId="6" borderId="0" xfId="20" applyFont="true" applyBorder="true" applyAlignment="true" applyProtection="false">
      <alignment horizontal="center" vertical="center" textRotation="0" wrapText="true" indent="0" shrinkToFit="false"/>
      <protection locked="true" hidden="false"/>
    </xf>
    <xf numFmtId="164" fontId="9" fillId="5" borderId="0" xfId="20" applyFont="true" applyBorder="true" applyAlignment="true" applyProtection="false">
      <alignment horizontal="general" vertical="center" textRotation="0" wrapText="false" indent="0" shrinkToFit="false"/>
      <protection locked="true" hidden="false"/>
    </xf>
    <xf numFmtId="164" fontId="11" fillId="7" borderId="0" xfId="20" applyFont="true" applyBorder="true" applyAlignment="true" applyProtection="false">
      <alignment horizontal="general" vertical="top" textRotation="0" wrapText="true" indent="0" shrinkToFit="false"/>
      <protection locked="true" hidden="false"/>
    </xf>
    <xf numFmtId="164" fontId="12" fillId="7" borderId="0" xfId="20" applyFont="true" applyBorder="true" applyAlignment="true" applyProtection="false">
      <alignment horizontal="general" vertical="top" textRotation="0" wrapText="true" indent="0" shrinkToFit="false"/>
      <protection locked="true" hidden="false"/>
    </xf>
    <xf numFmtId="165" fontId="13" fillId="7" borderId="0" xfId="20" applyFont="true" applyBorder="true" applyAlignment="true" applyProtection="false">
      <alignment horizontal="center" vertical="top" textRotation="0" wrapText="true" indent="0" shrinkToFit="false"/>
      <protection locked="true" hidden="false"/>
    </xf>
    <xf numFmtId="164" fontId="11" fillId="7" borderId="0" xfId="20" applyFont="true" applyBorder="true" applyAlignment="true" applyProtection="false">
      <alignment horizontal="center" vertical="top" textRotation="0" wrapText="true" indent="0" shrinkToFit="false"/>
      <protection locked="true" hidden="false"/>
    </xf>
    <xf numFmtId="164" fontId="14" fillId="7" borderId="0" xfId="20" applyFont="true" applyBorder="true" applyAlignment="true" applyProtection="false">
      <alignment horizontal="general" vertical="top" textRotation="0" wrapText="true" indent="0" shrinkToFit="false"/>
      <protection locked="true" hidden="false"/>
    </xf>
    <xf numFmtId="164" fontId="15" fillId="8" borderId="0" xfId="20" applyFont="true" applyBorder="true" applyAlignment="true" applyProtection="false">
      <alignment horizontal="general" vertical="center" textRotation="0" wrapText="true" indent="0" shrinkToFit="false"/>
      <protection locked="true" hidden="false"/>
    </xf>
    <xf numFmtId="164" fontId="16" fillId="2" borderId="0" xfId="20" applyFont="true" applyBorder="true" applyAlignment="true" applyProtection="false">
      <alignment horizontal="general" vertical="center" textRotation="0" wrapText="false" indent="0" shrinkToFit="false"/>
      <protection locked="true" hidden="false"/>
    </xf>
    <xf numFmtId="164" fontId="16" fillId="3" borderId="0" xfId="20" applyFont="true" applyBorder="true" applyAlignment="true" applyProtection="false">
      <alignment horizontal="general" vertical="center" textRotation="0" wrapText="false" indent="0" shrinkToFit="false"/>
      <protection locked="true" hidden="false"/>
    </xf>
    <xf numFmtId="164" fontId="11" fillId="4" borderId="0" xfId="20" applyFont="true" applyBorder="true" applyAlignment="true" applyProtection="false">
      <alignment horizontal="general" vertical="top" textRotation="0" wrapText="true" indent="0" shrinkToFit="false"/>
      <protection locked="true" hidden="false"/>
    </xf>
    <xf numFmtId="164" fontId="14" fillId="9" borderId="0" xfId="20" applyFont="true" applyBorder="true" applyAlignment="true" applyProtection="false">
      <alignment horizontal="general" vertical="top" textRotation="0" wrapText="true" indent="0" shrinkToFit="false"/>
      <protection locked="true" hidden="false"/>
    </xf>
    <xf numFmtId="164" fontId="15" fillId="10" borderId="0" xfId="20" applyFont="true" applyBorder="true" applyAlignment="true" applyProtection="false">
      <alignment horizontal="general" vertical="top" textRotation="0" wrapText="true" indent="0" shrinkToFit="false"/>
      <protection locked="true" hidden="false"/>
    </xf>
    <xf numFmtId="164" fontId="11" fillId="11" borderId="0" xfId="20" applyFont="true" applyBorder="true" applyAlignment="true" applyProtection="false">
      <alignment horizontal="general" vertical="top" textRotation="0" wrapText="true" indent="0" shrinkToFit="false"/>
      <protection locked="true" hidden="false"/>
    </xf>
    <xf numFmtId="164" fontId="12" fillId="12" borderId="0" xfId="20" applyFont="true" applyBorder="true" applyAlignment="true" applyProtection="false">
      <alignment horizontal="general" vertical="top" textRotation="0" wrapText="true" indent="0" shrinkToFit="false"/>
      <protection locked="true" hidden="false"/>
    </xf>
    <xf numFmtId="164" fontId="17" fillId="0" borderId="0" xfId="20" applyFont="true" applyBorder="true" applyAlignment="true" applyProtection="false">
      <alignment horizontal="general" vertical="top" textRotation="0" wrapText="true" indent="0" shrinkToFit="false"/>
      <protection locked="true" hidden="false"/>
    </xf>
    <xf numFmtId="164" fontId="14" fillId="13" borderId="0" xfId="20" applyFont="true" applyBorder="true" applyAlignment="true" applyProtection="false">
      <alignment horizontal="general" vertical="top" textRotation="0" wrapText="true" indent="0" shrinkToFit="false"/>
      <protection locked="true" hidden="false"/>
    </xf>
    <xf numFmtId="164" fontId="18" fillId="8" borderId="0" xfId="20" applyFont="true" applyBorder="true" applyAlignment="true" applyProtection="false">
      <alignment horizontal="general" vertical="top" textRotation="0" wrapText="true" indent="0" shrinkToFit="false"/>
      <protection locked="true" hidden="false"/>
    </xf>
    <xf numFmtId="164" fontId="16" fillId="2" borderId="0" xfId="20" applyFont="true" applyBorder="true" applyAlignment="true" applyProtection="false">
      <alignment horizontal="general" vertical="center" textRotation="0" wrapText="true" indent="0" shrinkToFit="false"/>
      <protection locked="true" hidden="false"/>
    </xf>
    <xf numFmtId="164" fontId="19" fillId="14" borderId="0" xfId="20" applyFont="true" applyBorder="true" applyAlignment="true" applyProtection="false">
      <alignment horizontal="general" vertical="top" textRotation="0" wrapText="true" indent="0" shrinkToFit="false"/>
      <protection locked="true" hidden="false"/>
    </xf>
    <xf numFmtId="164" fontId="20" fillId="0" borderId="0" xfId="20" applyFont="true" applyBorder="true" applyAlignment="true" applyProtection="false">
      <alignment horizontal="general" vertical="top" textRotation="0" wrapText="true" indent="0" shrinkToFit="false"/>
      <protection locked="true" hidden="false"/>
    </xf>
    <xf numFmtId="164" fontId="21" fillId="0" borderId="0" xfId="20" applyFont="true" applyBorder="true" applyAlignment="true" applyProtection="false">
      <alignment horizontal="general" vertical="top" textRotation="0" wrapText="true" indent="0" shrinkToFit="false"/>
      <protection locked="true" hidden="false"/>
    </xf>
    <xf numFmtId="164" fontId="10" fillId="3" borderId="0" xfId="20" applyFont="true" applyBorder="true" applyAlignment="true" applyProtection="false">
      <alignment horizontal="center" vertical="center" textRotation="0" wrapText="true" indent="0" shrinkToFit="false"/>
      <protection locked="true" hidden="false"/>
    </xf>
    <xf numFmtId="164" fontId="4" fillId="0" borderId="0" xfId="20" applyFont="true" applyBorder="true" applyAlignment="true" applyProtection="false">
      <alignment horizontal="general" vertical="top" textRotation="0" wrapText="false" indent="0" shrinkToFit="false"/>
      <protection locked="true" hidden="false"/>
    </xf>
    <xf numFmtId="164" fontId="4" fillId="0" borderId="0" xfId="20" applyFont="true" applyBorder="true" applyAlignment="true" applyProtection="false">
      <alignment horizontal="general" vertical="top" textRotation="0" wrapText="true" indent="0" shrinkToFit="false"/>
      <protection locked="true" hidden="false"/>
    </xf>
    <xf numFmtId="164" fontId="22" fillId="0" borderId="0" xfId="20" applyFont="true" applyBorder="true" applyAlignment="true" applyProtection="false">
      <alignment horizontal="general" vertical="top" textRotation="0" wrapText="true" indent="0" shrinkToFit="false"/>
      <protection locked="true" hidden="false"/>
    </xf>
    <xf numFmtId="164" fontId="10" fillId="2" borderId="0" xfId="20" applyFont="true" applyBorder="true" applyAlignment="true" applyProtection="false">
      <alignment horizontal="center" vertical="center" textRotation="0" wrapText="true" indent="0" shrinkToFit="false"/>
      <protection locked="true" hidden="false"/>
    </xf>
    <xf numFmtId="164" fontId="4" fillId="0" borderId="0" xfId="20" applyFont="false" applyBorder="true" applyAlignment="true" applyProtection="false">
      <alignment horizontal="general" vertical="top" textRotation="0" wrapText="false" indent="0" shrinkToFit="false"/>
      <protection locked="true" hidden="false"/>
    </xf>
    <xf numFmtId="164" fontId="23" fillId="15" borderId="0" xfId="20" applyFont="true" applyBorder="true" applyAlignment="true" applyProtection="false">
      <alignment horizontal="general" vertical="top" textRotation="0" wrapText="true" indent="0" shrinkToFit="false"/>
      <protection locked="true" hidden="false"/>
    </xf>
    <xf numFmtId="164" fontId="23" fillId="4" borderId="0" xfId="20" applyFont="true" applyBorder="true" applyAlignment="true" applyProtection="false">
      <alignment horizontal="general" vertical="top" textRotation="0" wrapText="true" indent="0" shrinkToFit="false"/>
      <protection locked="true" hidden="false"/>
    </xf>
    <xf numFmtId="164" fontId="9" fillId="2" borderId="0" xfId="20" applyFont="true" applyBorder="true" applyAlignment="true" applyProtection="false">
      <alignment horizontal="center" vertical="center" textRotation="0" wrapText="true" indent="0" shrinkToFit="false"/>
      <protection locked="true" hidden="false"/>
    </xf>
    <xf numFmtId="164" fontId="11" fillId="4" borderId="0" xfId="20" applyFont="true" applyBorder="true" applyAlignment="true" applyProtection="false">
      <alignment horizontal="left" vertical="center" textRotation="0" wrapText="true" indent="0" shrinkToFit="false"/>
      <protection locked="true" hidden="false"/>
    </xf>
    <xf numFmtId="164" fontId="14" fillId="16" borderId="0" xfId="20" applyFont="true" applyBorder="true" applyAlignment="true" applyProtection="false">
      <alignment horizontal="left" vertical="center" textRotation="0" wrapText="true" indent="0" shrinkToFit="false"/>
      <protection locked="true" hidden="false"/>
    </xf>
    <xf numFmtId="165" fontId="4" fillId="0" borderId="0" xfId="20" applyFont="false" applyBorder="true" applyAlignment="true" applyProtection="false">
      <alignment horizontal="general" vertical="top" textRotation="0" wrapText="false" indent="0" shrinkToFit="false"/>
      <protection locked="true" hidden="false"/>
    </xf>
    <xf numFmtId="166" fontId="4" fillId="0" borderId="0" xfId="20" applyFont="false" applyBorder="true" applyAlignment="true" applyProtection="false">
      <alignment horizontal="general" vertical="top" textRotation="0" wrapText="false" indent="0" shrinkToFit="false"/>
      <protection locked="true" hidden="false"/>
    </xf>
    <xf numFmtId="167" fontId="4" fillId="0" borderId="0" xfId="20" applyFont="false" applyBorder="true" applyAlignment="true" applyProtection="false">
      <alignment horizontal="general" vertical="top" textRotation="0" wrapText="false" indent="0" shrinkToFit="false"/>
      <protection locked="true" hidden="false"/>
    </xf>
    <xf numFmtId="164" fontId="25" fillId="17" borderId="1" xfId="20" applyFont="true" applyBorder="true" applyAlignment="true" applyProtection="false">
      <alignment horizontal="general" vertical="center" textRotation="0" wrapText="true" indent="0" shrinkToFit="false"/>
      <protection locked="true" hidden="false"/>
    </xf>
    <xf numFmtId="164" fontId="26" fillId="0" borderId="2" xfId="2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66">
    <dxf>
      <fill>
        <patternFill patternType="solid">
          <fgColor rgb="FF17324D"/>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DDF3E4"/>
          <bgColor rgb="FF000000"/>
        </patternFill>
      </fill>
    </dxf>
    <dxf>
      <fill>
        <patternFill patternType="solid">
          <fgColor rgb="FFE6F2F2"/>
          <bgColor rgb="FF000000"/>
        </patternFill>
      </fill>
    </dxf>
    <dxf>
      <fill>
        <patternFill patternType="solid">
          <fgColor rgb="FFE7EBEF"/>
          <bgColor rgb="FF000000"/>
        </patternFill>
      </fill>
    </dxf>
    <dxf>
      <fill>
        <patternFill patternType="solid">
          <fgColor rgb="FFE8F1F5"/>
          <bgColor rgb="FF000000"/>
        </patternFill>
      </fill>
    </dxf>
    <dxf>
      <fill>
        <patternFill patternType="solid">
          <fgColor rgb="FFEEE5F6"/>
          <bgColor rgb="FF000000"/>
        </patternFill>
      </fill>
    </dxf>
    <dxf>
      <fill>
        <patternFill patternType="solid">
          <fgColor rgb="FFF6E6EC"/>
          <bgColor rgb="FF000000"/>
        </patternFill>
      </fill>
    </dxf>
    <dxf>
      <fill>
        <patternFill patternType="solid">
          <fgColor rgb="FFF8F1DF"/>
          <bgColor rgb="FF000000"/>
        </patternFill>
      </fill>
    </dxf>
    <dxf>
      <fill>
        <patternFill patternType="solid">
          <fgColor rgb="FFFCE8D5"/>
          <bgColor rgb="FF000000"/>
        </patternFill>
      </fill>
    </dxf>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ill>
        <patternFill patternType="solid">
          <fgColor rgb="FF166534"/>
          <bgColor rgb="FF000000"/>
        </patternFill>
      </fill>
    </dxf>
    <dxf>
      <fill>
        <patternFill patternType="solid">
          <fgColor rgb="FF5B6773"/>
          <bgColor rgb="FF000000"/>
        </patternFill>
      </fill>
    </dxf>
    <dxf>
      <fill>
        <patternFill patternType="solid">
          <fgColor rgb="FF2A6F97"/>
          <bgColor rgb="FF000000"/>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ill>
        <patternFill patternType="solid">
          <fgColor rgb="FFFFF4CC"/>
          <bgColor rgb="FF000000"/>
        </patternFill>
      </fill>
    </dxf>
    <dxf>
      <fill>
        <patternFill patternType="solid">
          <fgColor rgb="FF115E59"/>
          <bgColor rgb="FF000000"/>
        </patternFill>
      </fill>
    </dxf>
    <dxf>
      <fill>
        <patternFill patternType="solid">
          <fgColor rgb="FF854D0E"/>
          <bgColor rgb="FF000000"/>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ill>
        <patternFill patternType="solid">
          <fgColor rgb="FF17365D"/>
          <bgColor rgb="FF000000"/>
        </patternFill>
      </fill>
    </dxf>
    <dxf>
      <fill>
        <patternFill patternType="solid">
          <fgColor rgb="FFD9EAF7"/>
          <bgColor rgb="FF000000"/>
        </patternFill>
      </fill>
    </dxf>
    <dxf>
      <fill>
        <patternFill patternType="solid">
          <fgColor rgb="FF1F1F1F"/>
          <bgColor rgb="FF000000"/>
        </patternFill>
      </fill>
    </dxf>
    <dxf>
      <fill>
        <patternFill patternType="solid">
          <fgColor rgb="FFF9D6D5"/>
          <bgColor rgb="FF000000"/>
        </patternFill>
      </fill>
    </dxf>
    <dxf>
      <fill>
        <patternFill patternType="solid">
          <fgColor rgb="FF991B1B"/>
          <bgColor rgb="FF000000"/>
        </patternFill>
      </fill>
    </dxf>
    <dxf>
      <fill>
        <patternFill patternType="solid">
          <fgColor rgb="FFE2F0D9"/>
          <bgColor rgb="FF000000"/>
        </patternFill>
      </fill>
    </dxf>
    <dxf>
      <fill>
        <patternFill patternType="solid">
          <fgColor rgb="FFFDEDD9"/>
          <bgColor rgb="FF000000"/>
        </patternFill>
      </fill>
    </dxf>
    <dxf>
      <fill>
        <patternFill patternType="solid">
          <fgColor rgb="FFFFF2CC"/>
          <bgColor rgb="FF000000"/>
        </patternFill>
      </fill>
    </dxf>
    <dxf>
      <fill>
        <patternFill patternType="solid">
          <fgColor rgb="FFFCE8E6"/>
          <bgColor rgb="FF000000"/>
        </patternFill>
      </fill>
    </dxf>
    <dxf>
      <fill>
        <patternFill patternType="solid">
          <fgColor rgb="FF17243B"/>
          <bgColor rgb="FF000000"/>
        </patternFill>
      </fill>
    </dxf>
    <dxf>
      <fill>
        <patternFill patternType="solid">
          <fgColor rgb="FF26344A"/>
          <bgColor rgb="FF000000"/>
        </patternFill>
      </fill>
    </dxf>
    <dxf>
      <fill>
        <patternFill patternType="solid">
          <fgColor rgb="FFEAF1FB"/>
          <bgColor rgb="FF000000"/>
        </patternFill>
      </fill>
    </dxf>
    <dxf>
      <fill>
        <patternFill patternType="solid">
          <fgColor rgb="FFD1FAE5"/>
          <bgColor rgb="FF000000"/>
        </patternFill>
      </fill>
    </dxf>
    <dxf>
      <fill>
        <patternFill patternType="solid">
          <fgColor rgb="FFE6F6D7"/>
          <bgColor rgb="FF000000"/>
        </patternFill>
      </fill>
    </dxf>
    <dxf>
      <fill>
        <patternFill patternType="solid">
          <fgColor rgb="FFEFF5D1"/>
          <bgColor rgb="FF000000"/>
        </patternFill>
      </fill>
    </dxf>
    <dxf>
      <fill>
        <patternFill patternType="solid">
          <fgColor rgb="FFF0F5D0"/>
          <bgColor rgb="FF000000"/>
        </patternFill>
      </fill>
    </dxf>
    <dxf>
      <fill>
        <patternFill patternType="solid">
          <fgColor rgb="FFF1F5CF"/>
          <bgColor rgb="FF000000"/>
        </patternFill>
      </fill>
    </dxf>
    <dxf>
      <fill>
        <patternFill patternType="solid">
          <fgColor rgb="FFF2F4CF"/>
          <bgColor rgb="FF000000"/>
        </patternFill>
      </fill>
    </dxf>
    <dxf>
      <fill>
        <patternFill patternType="solid">
          <fgColor rgb="FFF4F4CD"/>
          <bgColor rgb="FF000000"/>
        </patternFill>
      </fill>
    </dxf>
    <dxf>
      <fill>
        <patternFill patternType="solid">
          <fgColor rgb="FFF4F4CE"/>
          <bgColor rgb="FF000000"/>
        </patternFill>
      </fill>
    </dxf>
    <dxf>
      <fill>
        <patternFill patternType="solid">
          <fgColor rgb="FFF5F4CD"/>
          <bgColor rgb="FF000000"/>
        </patternFill>
      </fill>
    </dxf>
    <dxf>
      <fill>
        <patternFill patternType="solid">
          <fgColor rgb="FFF7F4CC"/>
          <bgColor rgb="FF000000"/>
        </patternFill>
      </fill>
    </dxf>
    <dxf>
      <fill>
        <patternFill patternType="solid">
          <fgColor rgb="FFFAF3C9"/>
          <bgColor rgb="FF000000"/>
        </patternFill>
      </fill>
    </dxf>
    <dxf>
      <fill>
        <patternFill patternType="solid">
          <fgColor rgb="FFFBF3C9"/>
          <bgColor rgb="FF000000"/>
        </patternFill>
      </fill>
    </dxf>
    <dxf>
      <fill>
        <patternFill patternType="solid">
          <fgColor rgb="FFFCF3C8"/>
          <bgColor rgb="FF000000"/>
        </patternFill>
      </fill>
    </dxf>
    <dxf>
      <fill>
        <patternFill patternType="solid">
          <fgColor rgb="FFFEE2E2"/>
          <bgColor rgb="FF000000"/>
        </patternFill>
      </fill>
    </dxf>
    <dxf>
      <fill>
        <patternFill patternType="solid">
          <fgColor rgb="FFF8F4CB"/>
          <bgColor rgb="FF000000"/>
        </patternFill>
      </fill>
    </dxf>
    <dxf>
      <fill>
        <patternFill patternType="solid">
          <fgColor rgb="FFF9F3CA"/>
          <bgColor rgb="FF000000"/>
        </patternFill>
      </fill>
    </dxf>
    <dxf>
      <fill>
        <patternFill patternType="solid">
          <fgColor rgb="FFFDF3C7"/>
          <bgColor rgb="FF000000"/>
        </patternFill>
      </fill>
    </dxf>
    <dxf>
      <fill>
        <patternFill patternType="solid">
          <fgColor rgb="FFFDF3C8"/>
          <bgColor rgb="FF000000"/>
        </patternFill>
      </fill>
    </dxf>
    <dxf>
      <fill>
        <patternFill patternType="solid">
          <fgColor rgb="FFFEE7D9"/>
          <bgColor rgb="FF000000"/>
        </patternFill>
      </fill>
    </dxf>
    <dxf>
      <fill>
        <patternFill patternType="solid">
          <fgColor rgb="FFFEF3C7"/>
          <bgColor rgb="FF000000"/>
        </patternFill>
      </fill>
    </dxf>
    <dxf>
      <fill>
        <patternFill patternType="solid">
          <fgColor rgb="FFFEEDD0"/>
          <bgColor rgb="FF000000"/>
        </patternFill>
      </fill>
    </dxf>
  </dxfs>
  <colors>
    <indexedColors>
      <rgbColor rgb="FF000000"/>
      <rgbColor rgb="FFFFFFFF"/>
      <rgbColor rgb="FFFF0000"/>
      <rgbColor rgb="FF00FF00"/>
      <rgbColor rgb="FF0000FF"/>
      <rgbColor rgb="FFFCE8D5"/>
      <rgbColor rgb="FFFF00FF"/>
      <rgbColor rgb="FFF7FBFE"/>
      <rgbColor rgb="FF991B1B"/>
      <rgbColor rgb="FF166534"/>
      <rgbColor rgb="FF0B1222"/>
      <rgbColor rgb="FF115E59"/>
      <rgbColor rgb="FF800080"/>
      <rgbColor rgb="FF0F6B73"/>
      <rgbColor rgb="FFCCCCCC"/>
      <rgbColor rgb="FF8B8B8B"/>
      <rgbColor rgb="FFDDEBF7"/>
      <rgbColor rgb="FF854D0E"/>
      <rgbColor rgb="FFFFF4CC"/>
      <rgbColor rgb="FFD9EAF7"/>
      <rgbColor rgb="FF17324D"/>
      <rgbColor rgb="FFE7EBEF"/>
      <rgbColor rgb="FF0070C0"/>
      <rgbColor rgb="FFD9D9D9"/>
      <rgbColor rgb="FF1F2937"/>
      <rgbColor rgb="FFFF00FF"/>
      <rgbColor rgb="FFF8F1DF"/>
      <rgbColor rgb="FFF7F9FC"/>
      <rgbColor rgb="FF800080"/>
      <rgbColor rgb="FF800000"/>
      <rgbColor rgb="FF1F6F78"/>
      <rgbColor rgb="FF0000FF"/>
      <rgbColor rgb="FFF8FBFD"/>
      <rgbColor rgb="FFE6F2F2"/>
      <rgbColor rgb="FFDDF3E4"/>
      <rgbColor rgb="FFFFF2CC"/>
      <rgbColor rgb="FFD8E0EC"/>
      <rgbColor rgb="FFF6E6EC"/>
      <rgbColor rgb="FFEEE5F6"/>
      <rgbColor rgb="FFF9D6D5"/>
      <rgbColor rgb="FF2A6F97"/>
      <rgbColor rgb="FFEAF1FB"/>
      <rgbColor rgb="FFE8F1F5"/>
      <rgbColor rgb="FFFFF8E7"/>
      <rgbColor rgb="FFF5F7FA"/>
      <rgbColor rgb="FFFF6600"/>
      <rgbColor rgb="FF5B6773"/>
      <rgbColor rgb="FF156082"/>
      <rgbColor rgb="FF17365D"/>
      <rgbColor rgb="FF52627A"/>
      <rgbColor rgb="FF17243B"/>
      <rgbColor rgb="FF1F1F1F"/>
      <rgbColor rgb="FF9A3412"/>
      <rgbColor rgb="FF394A65"/>
      <rgbColor rgb="FF2B3A55"/>
      <rgbColor rgb="FF2634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"Archetypes"</c:f>
              <c:strCache>
                <c:ptCount val="1"/>
                <c:pt idx="0">
                  <c:v>Archetypes</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Coverage!$A$2:$A$12</c:f>
              <c:strCache>
                <c:ptCount val="11"/>
                <c:pt idx="0">
                  <c:v>People &amp; Beings</c:v>
                </c:pt>
                <c:pt idx="1">
                  <c:v>Roles &amp; Vocations</c:v>
                </c:pt>
                <c:pt idx="2">
                  <c:v>Power Traditions</c:v>
                </c:pt>
                <c:pt idx="3">
                  <c:v>States &amp; Transformations</c:v>
                </c:pt>
                <c:pt idx="4">
                  <c:v>Institutions &amp; Affiliations</c:v>
                </c:pt>
                <c:pt idx="5">
                  <c:v>Narrative Archetypes</c:v>
                </c:pt>
                <c:pt idx="6">
                  <c:v>Civilization &amp; Culture Archetypes</c:v>
                </c:pt>
                <c:pt idx="7">
                  <c:v>Game-Mechanical Archetypes</c:v>
                </c:pt>
                <c:pt idx="8">
                  <c:v>Artifacts, Relics, Weapons &amp; Vehicles</c:v>
                </c:pt>
                <c:pt idx="9">
                  <c:v>Cosmologies, Realms &amp; Sacred Geography</c:v>
                </c:pt>
                <c:pt idx="10">
                  <c:v>Metaphysical Laws, Rituals &amp; Exchanges</c:v>
                </c:pt>
              </c:strCache>
            </c:strRef>
          </c:cat>
          <c:val>
            <c:numRef>
              <c:f>Coverage!$B$2:$B$12</c:f>
              <c:numCache>
                <c:formatCode>General</c:formatCode>
                <c:ptCount val="11"/>
                <c:pt idx="0">
                  <c:v>169</c:v>
                </c:pt>
                <c:pt idx="1">
                  <c:v>315</c:v>
                </c:pt>
                <c:pt idx="2">
                  <c:v>147</c:v>
                </c:pt>
                <c:pt idx="3">
                  <c:v>127</c:v>
                </c:pt>
                <c:pt idx="4">
                  <c:v>87</c:v>
                </c:pt>
                <c:pt idx="5">
                  <c:v>171</c:v>
                </c:pt>
                <c:pt idx="6">
                  <c:v>103</c:v>
                </c:pt>
                <c:pt idx="7">
                  <c:v>148</c:v>
                </c:pt>
                <c:pt idx="8">
                  <c:v>113</c:v>
                </c:pt>
                <c:pt idx="9">
                  <c:v>127</c:v>
                </c:pt>
                <c:pt idx="10">
                  <c:v>148</c:v>
                </c:pt>
              </c:numCache>
            </c:numRef>
          </c:val>
        </c:ser>
        <c:gapWidth val="150"/>
        <c:overlap val="0"/>
        <c:axId val="43706329"/>
        <c:axId val="39946429"/>
      </c:barChart>
      <c:catAx>
        <c:axId val="4370632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39946429"/>
        <c:crosses val="autoZero"/>
        <c:auto val="1"/>
        <c:lblAlgn val="ctr"/>
        <c:lblOffset val="100"/>
        <c:noMultiLvlLbl val="0"/>
      </c:catAx>
      <c:valAx>
        <c:axId val="39946429"/>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43706329"/>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"Entries"</c:f>
              <c:strCache>
                <c:ptCount val="1"/>
                <c:pt idx="0">
                  <c:v>Entries</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Coverage!$J$2:$J$14</c:f>
              <c:strCache>
                <c:ptCount val="13"/>
                <c:pt idx="0">
                  <c:v>Mahābhārata — BORI Critical Edition</c:v>
                </c:pt>
                <c:pt idx="1">
                  <c:v>Tactics Ogre: Reborn</c:v>
                </c:pt>
                <c:pt idx="2">
                  <c:v>Final Fantasy</c:v>
                </c:pt>
                <c:pt idx="3">
                  <c:v>Warcraft</c:v>
                </c:pt>
                <c:pt idx="4">
                  <c:v>Age of Mythology: Retold</c:v>
                </c:pt>
                <c:pt idx="5">
                  <c:v>Tolkien's Legendarium</c:v>
                </c:pt>
                <c:pt idx="6">
                  <c:v>The Witcher</c:v>
                </c:pt>
                <c:pt idx="7">
                  <c:v>Dungeons &amp; Dragons</c:v>
                </c:pt>
                <c:pt idx="8">
                  <c:v>The Elder Scrolls</c:v>
                </c:pt>
                <c:pt idx="9">
                  <c:v>A Song of Ice and Fire</c:v>
                </c:pt>
                <c:pt idx="10">
                  <c:v>Warhammer: The Old World</c:v>
                </c:pt>
                <c:pt idx="11">
                  <c:v>Darkest Dungeon</c:v>
                </c:pt>
                <c:pt idx="12">
                  <c:v>Final Fantasy XIV</c:v>
                </c:pt>
              </c:strCache>
            </c:strRef>
          </c:cat>
          <c:val>
            <c:numRef>
              <c:f>Coverage!$K$2:$K$14</c:f>
              <c:numCache>
                <c:formatCode>General</c:formatCode>
                <c:ptCount val="13"/>
                <c:pt idx="0">
                  <c:v>81</c:v>
                </c:pt>
                <c:pt idx="1">
                  <c:v>45</c:v>
                </c:pt>
                <c:pt idx="2">
                  <c:v>29</c:v>
                </c:pt>
                <c:pt idx="3">
                  <c:v>28</c:v>
                </c:pt>
                <c:pt idx="4">
                  <c:v>26</c:v>
                </c:pt>
                <c:pt idx="5">
                  <c:v>25</c:v>
                </c:pt>
                <c:pt idx="6">
                  <c:v>25</c:v>
                </c:pt>
                <c:pt idx="7">
                  <c:v>25</c:v>
                </c:pt>
                <c:pt idx="8">
                  <c:v>24</c:v>
                </c:pt>
                <c:pt idx="9">
                  <c:v>22</c:v>
                </c:pt>
                <c:pt idx="10">
                  <c:v>21</c:v>
                </c:pt>
                <c:pt idx="11">
                  <c:v>19</c:v>
                </c:pt>
                <c:pt idx="12">
                  <c:v>16</c:v>
                </c:pt>
              </c:numCache>
            </c:numRef>
          </c:val>
        </c:ser>
        <c:gapWidth val="150"/>
        <c:overlap val="0"/>
        <c:axId val="70079334"/>
        <c:axId val="77079246"/>
      </c:barChart>
      <c:catAx>
        <c:axId val="7007933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77079246"/>
        <c:crosses val="autoZero"/>
        <c:auto val="1"/>
        <c:lblAlgn val="ctr"/>
        <c:lblOffset val="100"/>
        <c:noMultiLvlLbl val="0"/>
      </c:catAx>
      <c:valAx>
        <c:axId val="7707924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70079334"/>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"Marginal Archetype Value"</c:f>
              <c:strCache>
                <c:ptCount val="1"/>
                <c:pt idx="0">
                  <c:v>Marginal Archetype Value</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'Source Priority'!$C$7:$C$21</c:f>
              <c:strCache>
                <c:ptCount val="15"/>
                <c:pt idx="0">
                  <c:v>Mahābhārata — BORI Critical Edition</c:v>
                </c:pt>
                <c:pt idx="1">
                  <c:v>Bhagavad Gītā (Mahābhārata, Bhīṣma Parva)</c:v>
                </c:pt>
                <c:pt idx="2">
                  <c:v>Ancient Egyptian Mythology</c:v>
                </c:pt>
                <c:pt idx="3">
                  <c:v>Chinese Mythology and Religious Traditions</c:v>
                </c:pt>
                <c:pt idx="4">
                  <c:v>Irish Mythological Cycle</c:v>
                </c:pt>
                <c:pt idx="5">
                  <c:v>Japanese Yōkai and Kami Traditions</c:v>
                </c:pt>
                <c:pt idx="6">
                  <c:v>Jinn Traditions</c:v>
                </c:pt>
                <c:pt idx="7">
                  <c:v>Journey to the West</c:v>
                </c:pt>
                <c:pt idx="8">
                  <c:v>Mahābhārata (epic tradition)</c:v>
                </c:pt>
                <c:pt idx="9">
                  <c:v>Mexica (Aztec) Mythology and Ritual Traditions</c:v>
                </c:pt>
                <c:pt idx="10">
                  <c:v>One Thousand and One Nights</c:v>
                </c:pt>
                <c:pt idx="11">
                  <c:v>Ramayana</c:v>
                </c:pt>
                <c:pt idx="12">
                  <c:v>Yorùbá Òrìṣà Traditions</c:v>
                </c:pt>
                <c:pt idx="13">
                  <c:v>Popol Vuh</c:v>
                </c:pt>
                <c:pt idx="14">
                  <c:v>Shahnameh</c:v>
                </c:pt>
              </c:strCache>
            </c:strRef>
          </c:cat>
          <c:val>
            <c:numRef>
              <c:f>'Source Priority'!$O$7:$O$21</c:f>
              <c:numCache>
                <c:formatCode>0.0</c:formatCode>
                <c:ptCount val="15"/>
                <c:pt idx="0">
                  <c:v>98</c:v>
                </c:pt>
                <c:pt idx="1">
                  <c:v>96</c:v>
                </c:pt>
                <c:pt idx="2">
                  <c:v>94</c:v>
                </c:pt>
                <c:pt idx="3">
                  <c:v>94</c:v>
                </c:pt>
                <c:pt idx="4">
                  <c:v>94</c:v>
                </c:pt>
                <c:pt idx="5">
                  <c:v>94</c:v>
                </c:pt>
                <c:pt idx="6">
                  <c:v>94</c:v>
                </c:pt>
                <c:pt idx="7">
                  <c:v>94</c:v>
                </c:pt>
                <c:pt idx="8">
                  <c:v>94</c:v>
                </c:pt>
                <c:pt idx="9">
                  <c:v>94</c:v>
                </c:pt>
                <c:pt idx="10">
                  <c:v>94</c:v>
                </c:pt>
                <c:pt idx="11">
                  <c:v>94</c:v>
                </c:pt>
                <c:pt idx="12">
                  <c:v>94</c:v>
                </c:pt>
                <c:pt idx="13">
                  <c:v>92</c:v>
                </c:pt>
                <c:pt idx="14">
                  <c:v>92</c:v>
                </c:pt>
              </c:numCache>
            </c:numRef>
          </c:val>
        </c:ser>
        <c:gapWidth val="150"/>
        <c:overlap val="0"/>
        <c:axId val="84298994"/>
        <c:axId val="4467879"/>
      </c:barChart>
      <c:catAx>
        <c:axId val="8429899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4467879"/>
        <c:crosses val="autoZero"/>
        <c:auto val="1"/>
        <c:lblAlgn val="ctr"/>
        <c:lblOffset val="100"/>
        <c:noMultiLvlLbl val="0"/>
      </c:catAx>
      <c:valAx>
        <c:axId val="4467879"/>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84298994"/>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ea typeface="Calibri"/>
              </a:rPr>
              <a:t>Canonical source-pass coverage</a:t>
            </a:r>
          </a:p>
        </c:rich>
      </c:tx>
      <c:overlay val="0"/>
      <c:spPr>
        <a:noFill/>
        <a:ln w="0">
          <a:noFill/>
        </a:ln>
      </c:spPr>
    </c:title>
    <c:autoTitleDeleted val="0"/>
    <c:plotArea>
      <c:barChart>
        <c:barDir val="bar"/>
        <c:grouping val="clustered"/>
        <c:varyColors val="0"/>
        <c:ser>
          <c:idx val="0"/>
          <c:order val="0"/>
          <c:tx>
            <c:strRef>
              <c:f>'Source Coverage Audit'!B285</c:f>
              <c:strCache>
                <c:ptCount val="1"/>
                <c:pt idx="0">
                  <c:v>Sources</c:v>
                </c:pt>
              </c:strCache>
            </c:strRef>
          </c:tx>
          <c:spPr>
            <a:solidFill>
              <a:srgbClr val="156082"/>
            </a:solidFill>
            <a:ln w="12600">
              <a:solidFill>
                <a:srgbClr val="FFFFFF"/>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FFFFF"/>
                  </a:solidFill>
                </a:ln>
              </c:spPr>
            </c:leaderLines>
            <c:extLst>
              <c:ext xmlns:c15="http://schemas.microsoft.com/office/drawing/2012/chart" uri="{CE6537A1-D6FC-4f65-9D91-7224C49458BB}">
                <c15:showLeaderLines val="1"/>
              </c:ext>
            </c:extLst>
          </c:dLbls>
          <c:cat>
            <c:strRef>
              <c:f>'Source Coverage Audit'!$A$286:$A$289</c:f>
              <c:strCache>
                <c:ptCount val="4"/>
                <c:pt idx="0">
                  <c:v>Orientation only</c:v>
                </c:pt>
                <c:pt idx="1">
                  <c:v>Canonical mapping in progress</c:v>
                </c:pt>
                <c:pt idx="2">
                  <c:v>Canonical scouting</c:v>
                </c:pt>
                <c:pt idx="3">
                  <c:v>Canonical pass target reached</c:v>
                </c:pt>
              </c:strCache>
            </c:strRef>
          </c:cat>
          <c:val>
            <c:numRef>
              <c:f>'Source Coverage Audit'!$B$286:$B$289</c:f>
              <c:numCache>
                <c:formatCode>General</c:formatCode>
                <c:ptCount val="4"/>
                <c:pt idx="0">
                  <c:v>260</c:v>
                </c:pt>
                <c:pt idx="1">
                  <c:v>11</c:v>
                </c:pt>
                <c:pt idx="2">
                  <c:v>8</c:v>
                </c:pt>
                <c:pt idx="3">
                  <c:v>2</c:v>
                </c:pt>
              </c:numCache>
            </c:numRef>
          </c:val>
        </c:ser>
        <c:gapWidth val="150"/>
        <c:overlap val="0"/>
        <c:axId val="88510533"/>
        <c:axId val="90851617"/>
      </c:barChart>
      <c:catAx>
        <c:axId val="88510533"/>
        <c:scaling>
          <c:orientation val="minMax"/>
        </c:scaling>
        <c:delete val="0"/>
        <c:axPos val="b"/>
        <c:title>
          <c:tx>
            <c:rich>
              <a:bodyPr rot="-5400000"/>
              <a:lstStyle/>
              <a:p>
                <a:pPr>
                  <a:defRPr sz="1300" b="0" u="none" strike="noStrike">
                    <a:uFillTx/>
                    <a:latin typeface="Arial"/>
                  </a:defRPr>
                </a:pPr>
                <a:r>
                  <a:rPr sz="1000" b="1" u="none" strike="noStrike">
                    <a:solidFill>
                      <a:srgbClr val="000000"/>
                    </a:solidFill>
                    <a:uFillTx/>
                    <a:latin typeface="Calibri"/>
                    <a:ea typeface="Calibri"/>
                  </a:rPr>
                  <a:t>Sources</a:t>
                </a:r>
              </a:p>
            </c:rich>
          </c:tx>
          <c:overlay val="0"/>
          <c:spPr>
            <a:noFill/>
            <a:ln w="0">
              <a:noFill/>
            </a:ln>
          </c:spPr>
        </c:title>
        <c:numFmt formatCode="General" sourceLinked="1"/>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90851617"/>
        <c:crosses val="autoZero"/>
        <c:auto val="1"/>
        <c:lblAlgn val="ctr"/>
        <c:lblOffset val="100"/>
        <c:noMultiLvlLbl val="0"/>
      </c:catAx>
      <c:valAx>
        <c:axId val="90851617"/>
        <c:scaling>
          <c:orientation val="minMax"/>
        </c:scaling>
        <c:delete val="0"/>
        <c:axPos val="l"/>
        <c:majorGridlines>
          <c:spPr>
            <a:ln w="12600">
              <a:solidFill>
                <a:srgbClr val="8B8B8B"/>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ea typeface="Calibri"/>
                  </a:rPr>
                  <a:t>Status</a:t>
                </a:r>
              </a:p>
            </c:rich>
          </c:tx>
          <c:overlay val="0"/>
          <c:spPr>
            <a:noFill/>
            <a:ln w="0">
              <a:noFill/>
            </a:ln>
          </c:spPr>
        </c:title>
        <c:numFmt formatCode="General" sourceLinked="1"/>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8851053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xdr:row>
      <xdr:rowOff>0</xdr:rowOff>
    </xdr:from>
    <xdr:to>
      <xdr:col>5</xdr:col>
      <xdr:colOff>666720</xdr:colOff>
      <xdr:row>34</xdr:row>
      <xdr:rowOff>190080</xdr:rowOff>
    </xdr:to>
    <xdr:graphicFrame>
      <xdr:nvGraphicFramePr>
        <xdr:cNvPr id="1" name="Chart 1"/>
        <xdr:cNvGraphicFramePr/>
      </xdr:nvGraphicFramePr>
      <xdr:xfrm>
        <a:off x="0" y="3477960"/>
        <a:ext cx="8384040" cy="3619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16</xdr:row>
      <xdr:rowOff>0</xdr:rowOff>
    </xdr:from>
    <xdr:to>
      <xdr:col>10</xdr:col>
      <xdr:colOff>852120</xdr:colOff>
      <xdr:row>34</xdr:row>
      <xdr:rowOff>190080</xdr:rowOff>
    </xdr:to>
    <xdr:graphicFrame>
      <xdr:nvGraphicFramePr>
        <xdr:cNvPr id="2" name="Chart 2"/>
        <xdr:cNvGraphicFramePr/>
      </xdr:nvGraphicFramePr>
      <xdr:xfrm>
        <a:off x="8384400" y="3477960"/>
        <a:ext cx="7174800" cy="3619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22</xdr:col>
      <xdr:colOff>0</xdr:colOff>
      <xdr:row>17</xdr:row>
      <xdr:rowOff>0</xdr:rowOff>
    </xdr:from>
    <xdr:to>
      <xdr:col>29</xdr:col>
      <xdr:colOff>667080</xdr:colOff>
      <xdr:row>35</xdr:row>
      <xdr:rowOff>580680</xdr:rowOff>
    </xdr:to>
    <xdr:graphicFrame>
      <xdr:nvGraphicFramePr>
        <xdr:cNvPr id="3" name="Chart 1"/>
        <xdr:cNvGraphicFramePr/>
      </xdr:nvGraphicFramePr>
      <xdr:xfrm>
        <a:off x="30493440" y="8420040"/>
        <a:ext cx="6947640" cy="1103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284</xdr:row>
      <xdr:rowOff>0</xdr:rowOff>
    </xdr:from>
    <xdr:to>
      <xdr:col>6</xdr:col>
      <xdr:colOff>186480</xdr:colOff>
      <xdr:row>297</xdr:row>
      <xdr:rowOff>43200</xdr:rowOff>
    </xdr:to>
    <xdr:graphicFrame>
      <xdr:nvGraphicFramePr>
        <xdr:cNvPr id="4" name="Chart 1"/>
        <xdr:cNvGraphicFramePr/>
      </xdr:nvGraphicFramePr>
      <xdr:xfrm>
        <a:off x="5577840" y="54405000"/>
        <a:ext cx="46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daptationCrosswalkTable" displayName="AdaptationCrosswalkTable" ref="A4:Q34" headerRowCount="1" totalsRowCount="0" totalsRowShown="0">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
</file>

<file path=xl/tables/table2.xml><?xml version="1.0" encoding="utf-8"?>
<table xmlns="http://schemas.openxmlformats.org/spreadsheetml/2006/main" id="2" name="ControlledVocabTable" displayName="ControlledVocabTable" ref="A1:D163" headerRowCount="1" totalsRowCount="0" totalsRowShown="0">
  <tableColumns count="4">
    <tableColumn id="1" name="Axis"/>
    <tableColumn id="2" name="Value"/>
    <tableColumn id="3" name="Definition"/>
    <tableColumn id="4" name="Use"/>
  </tableColumns>
</table>
</file>

<file path=xl/tables/table3.xml><?xml version="1.0" encoding="utf-8"?>
<table xmlns="http://schemas.openxmlformats.org/spreadsheetml/2006/main" id="3" name="DataDictionaryTable" displayName="DataDictionaryTable" ref="A1:F111" headerRowCount="1" totalsRowCount="0" totalsRowShown="0">
  <tableColumns count="6">
    <tableColumn id="1" name="Sheet"/>
    <tableColumn id="2" name="Field"/>
    <tableColumn id="3" name="Data_Type"/>
    <tableColumn id="4" name="Required"/>
    <tableColumn id="5" name="Definition"/>
    <tableColumn id="6" name="Guidance"/>
  </tableColumns>
</table>
</file>

<file path=xl/tables/table4.xml><?xml version="1.0" encoding="utf-8"?>
<table xmlns="http://schemas.openxmlformats.org/spreadsheetml/2006/main" id="4" name="DomainCoverageTableV2" displayName="DomainCoverageTableV2" ref="A1:B12" headerRowCount="1" totalsRowCount="0" totalsRowShown="0">
  <tableColumns count="2">
    <tableColumn id="1" name="Taxonomy Domain"/>
    <tableColumn id="2" name="Count"/>
  </tableColumns>
</table>
</file>

<file path=xl/tables/table5.xml><?xml version="1.0" encoding="utf-8"?>
<table xmlns="http://schemas.openxmlformats.org/spreadsheetml/2006/main" id="5" name="EvidenceCoverageTableV2" displayName="EvidenceCoverageTableV2" ref="G1:H6" headerRowCount="1" totalsRowCount="0" totalsRowShown="0">
  <tableColumns count="2">
    <tableColumn id="1" name="Evidence Level"/>
    <tableColumn id="2" name="Count"/>
  </tableColumns>
</table>
</file>

<file path=xl/tables/table6.xml><?xml version="1.0" encoding="utf-8"?>
<table xmlns="http://schemas.openxmlformats.org/spreadsheetml/2006/main" id="6" name="MasterTaxonomyTable" displayName="MasterTaxonomyTable" ref="A1:M1656" headerRowCount="1" totalsRowCount="0" totalsRowShown="0">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
</file>

<file path=xl/tables/table7.xml><?xml version="1.0" encoding="utf-8"?>
<table xmlns="http://schemas.openxmlformats.org/spreadsheetml/2006/main" id="7" name="MediumCoverageTableV2" displayName="MediumCoverageTableV2" ref="D1:E14" headerRowCount="1" totalsRowCount="0" totalsRowShown="0">
  <tableColumns count="2">
    <tableColumn id="1" name="Source Medium"/>
    <tableColumn id="2" name="Count"/>
  </tableColumns>
</table>
</file>

<file path=xl/tables/table8.xml><?xml version="1.0" encoding="utf-8"?>
<table xmlns="http://schemas.openxmlformats.org/spreadsheetml/2006/main" id="8" name="RelationshipRulesTable" displayName="RelationshipRulesTable" ref="A1:F23" headerRowCount="1" totalsRowCount="0" totalsRowShown="0">
  <tableColumns count="6">
    <tableColumn id="1" name="Relation"/>
    <tableColumn id="2" name="Directionality"/>
    <tableColumn id="3" name="Scope"/>
    <tableColumn id="4" name="Use_When"/>
    <tableColumn id="5" name="Do_Not_Use_When"/>
    <tableColumn id="6" name="Example"/>
  </tableColumns>
</table>
</file>

<file path=xl/tables/table9.xml><?xml version="1.0" encoding="utf-8"?>
<table xmlns="http://schemas.openxmlformats.org/spreadsheetml/2006/main" id="9" name="ResearchQueueTable" displayName="ResearchQueueTable" ref="A1:F27" headerRowCount="1" totalsRowCount="0" totalsRowShown="0">
  <tableColumns count="6">
    <tableColumn id="1" name="Queue_ID"/>
    <tableColumn id="2" name="Workstream"/>
    <tableColumn id="3" name="Scope"/>
    <tableColumn id="4" name="Goal"/>
    <tableColumn id="5" name="Priority"/>
    <tableColumn id="6" name="Status"/>
  </tableColumns>
</table>
</file>

<file path=xl/tables/table10.xml><?xml version="1.0" encoding="utf-8"?>
<table xmlns="http://schemas.openxmlformats.org/spreadsheetml/2006/main" id="10" name="SeedCatalogueTable" displayName="SeedCatalogueTable" ref="A1:S452" headerRowCount="1" totalsRowCount="0" totalsRowShown="0">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
</file>

<file path=xl/tables/table11.xml><?xml version="1.0" encoding="utf-8"?>
<table xmlns="http://schemas.openxmlformats.org/spreadsheetml/2006/main" id="11" name="SeedSourceCoverageTableV2" displayName="SeedSourceCoverageTableV2" ref="J1:K14" headerRowCount="1" totalsRowCount="0" totalsRowShown="0">
  <tableColumns count="2">
    <tableColumn id="1" name="Seed Source"/>
    <tableColumn id="2" name="Entries"/>
  </tableColumns>
</table>
</file>

<file path=xl/tables/table12.xml><?xml version="1.0" encoding="utf-8"?>
<table xmlns="http://schemas.openxmlformats.org/spreadsheetml/2006/main" id="12" name="SourceConceptMapTable" displayName="SourceConceptMapTable" ref="A1:M1466" headerRowCount="1" totalsRowCount="0" totalsRowShown="0">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
</file>

<file path=xl/tables/table13.xml><?xml version="1.0" encoding="utf-8"?>
<table xmlns="http://schemas.openxmlformats.org/spreadsheetml/2006/main" id="13" name="SourceCorpusTable" displayName="SourceCorpusTable" ref="A1:L282" headerRowCount="1" totalsRowCount="0" totalsRowShown="0">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
</file>

<file path=xl/tables/table14.xml><?xml version="1.0" encoding="utf-8"?>
<table xmlns="http://schemas.openxmlformats.org/spreadsheetml/2006/main" id="14" name="SourceCoverageAuditTable" displayName="SourceCoverageAuditTable" ref="A1:N282" headerRowCount="1" totalsRowCount="0" totalsRowShown="0">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
</file>

<file path=xl/tables/table15.xml><?xml version="1.0" encoding="utf-8"?>
<table xmlns="http://schemas.openxmlformats.org/spreadsheetml/2006/main" id="15" name="SourcePriorityTable" displayName="SourcePriorityTable" ref="A6:U287" headerRowCount="1" totalsRowCount="0" totalsRowShown="0">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
</file>

<file path=xl/tables/table16.xml><?xml version="1.0" encoding="utf-8"?>
<table xmlns="http://schemas.openxmlformats.org/spreadsheetml/2006/main" id="16" name="SourceRelationshipsTable" displayName="SourceRelationshipsTable" ref="A1:I55" headerRowCount="1" totalsRowCount="0" totalsRowShown="0">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
</file>

<file path=xl/tables/table17.xml><?xml version="1.0" encoding="utf-8"?>
<table xmlns="http://schemas.openxmlformats.org/spreadsheetml/2006/main" id="17" name="TermMetadataTable" displayName="TermMetadataTable" ref="A4:R64" headerRowCount="1" totalsRowCount="0" totalsRowShown="0">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6.xml"/>
</Relationships>
</file>

<file path=xl/worksheets/_rels/sheet4.xml.rels><?xml version="1.0" encoding="UTF-8"?>
<Relationships xmlns="http://schemas.openxmlformats.org/package/2006/relationships"><Relationship Id="rId1" Type="http://schemas.openxmlformats.org/officeDocument/2006/relationships/table" Target="../tables/table13.xml"/>
</Relationships>
</file>

<file path=xl/worksheets/_rels/sheet5.xml.rels><?xml version="1.0" encoding="UTF-8"?>
<Relationships xmlns="http://schemas.openxmlformats.org/package/2006/relationships"><Relationship Id="rId1" Type="http://schemas.openxmlformats.org/officeDocument/2006/relationships/table" Target="../tables/table10.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table" Target="../tables/table8.xml"/>
</Relationships>
</file>

<file path=xl/worksheets/_rels/sheet8.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4.x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1.xml"/>
</Relationships>
</file>

<file path=xl/worksheets/_rels/sheet9.xml.rels><?xml version="1.0" encoding="UTF-8"?>
<Relationships xmlns="http://schemas.openxmlformats.org/package/2006/relationships"><Relationship Id="rId1"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table" Target="../tables/table9.xml"/>
</Relationships>
</file>

<file path=xl/worksheets/_rels/sheet11.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15.xml"/>
</Relationships>
</file>

<file path=xl/worksheets/_rels/sheet12.xml.rels><?xml version="1.0" encoding="UTF-8"?>
<Relationships xmlns="http://schemas.openxmlformats.org/package/2006/relationships"><Relationship Id="rId1" Type="http://schemas.openxmlformats.org/officeDocument/2006/relationships/table" Target="../tables/table17.xml"/>
</Relationships>
</file>

<file path=xl/worksheets/_rels/sheet13.xml.rels><?xml version="1.0" encoding="UTF-8"?>
<Relationships xmlns="http://schemas.openxmlformats.org/package/2006/relationships"><Relationship Id="rId1" Type="http://schemas.openxmlformats.org/officeDocument/2006/relationships/table" Target="../tables/table1.xml"/>
</Relationships>
</file>

<file path=xl/worksheets/_rels/sheet14.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12.xml"/>
</Relationships>
</file>

<file path=xl/worksheets/_rels/sheet15.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6.xml"/>
</Relationships>
</file>

<file path=xl/worksheets/_rels/sheet16.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24.18"/>
    <col collapsed="false" customWidth="true" hidden="false" outlineLevel="0" max="3" min="3" style="1" width="3.3"/>
    <col collapsed="false" customWidth="true" hidden="false" outlineLevel="0" max="4" min="4" style="1" width="26.38"/>
    <col collapsed="false" customWidth="true" hidden="false" outlineLevel="0" max="5" min="5" style="1" width="24.18"/>
    <col collapsed="false" customWidth="true" hidden="false" outlineLevel="0" max="6" min="6" style="1" width="3.3"/>
    <col collapsed="false" customWidth="true" hidden="false" outlineLevel="0" max="7" min="7" style="1" width="26.38"/>
    <col collapsed="false" customWidth="true" hidden="false" outlineLevel="0" max="8" min="8" style="1" width="24.18"/>
    <col collapsed="false" customWidth="true" hidden="false" outlineLevel="0" max="9" min="9" style="1" width="3.3"/>
    <col collapsed="false" customWidth="true" hidden="false" outlineLevel="0" max="10" min="10" style="1" width="26.38"/>
    <col collapsed="false" customWidth="true" hidden="false" outlineLevel="0" max="11" min="11" style="1" width="24.18"/>
    <col collapsed="false" customWidth="true" hidden="false" outlineLevel="0" max="12" min="12" style="1" width="13.19"/>
  </cols>
  <sheetData>
    <row r="1" customFormat="false" ht="31.5" hidden="false" customHeight="true" outlineLevel="0" collapsed="false">
      <c r="A1" s="2" t="s">
        <v>0</v>
      </c>
      <c r="B1" s="2"/>
      <c r="C1" s="2"/>
      <c r="D1" s="2"/>
      <c r="E1" s="2"/>
      <c r="F1" s="2"/>
      <c r="G1" s="2"/>
      <c r="H1" s="2"/>
      <c r="I1" s="2"/>
      <c r="J1" s="2"/>
      <c r="K1" s="2"/>
      <c r="L1" s="3"/>
    </row>
    <row r="2" customFormat="false" ht="30" hidden="false" customHeight="true" outlineLevel="0" collapsed="false">
      <c r="A2" s="3"/>
      <c r="B2" s="3"/>
      <c r="C2" s="3"/>
      <c r="D2" s="3"/>
      <c r="E2" s="3"/>
      <c r="F2" s="3"/>
      <c r="G2" s="3"/>
      <c r="H2" s="3"/>
      <c r="I2" s="3"/>
      <c r="J2" s="3"/>
      <c r="K2" s="3"/>
      <c r="L2" s="3"/>
    </row>
    <row r="3" customFormat="false" ht="27.75" hidden="false" customHeight="true" outlineLevel="0" collapsed="false">
      <c r="A3" s="4" t="s">
        <v>1</v>
      </c>
      <c r="B3" s="4"/>
      <c r="C3" s="4"/>
      <c r="D3" s="4"/>
      <c r="E3" s="4"/>
      <c r="F3" s="4"/>
      <c r="G3" s="4"/>
      <c r="H3" s="4"/>
      <c r="I3" s="4"/>
      <c r="J3" s="4"/>
      <c r="K3" s="4"/>
      <c r="L3" s="5"/>
    </row>
    <row r="5" customFormat="false" ht="25.5" hidden="false" customHeight="true" outlineLevel="0" collapsed="false">
      <c r="A5" s="6" t="s">
        <v>2</v>
      </c>
      <c r="B5" s="7" t="s">
        <v>3</v>
      </c>
      <c r="D5" s="7" t="s">
        <v>4</v>
      </c>
      <c r="E5" s="7" t="s">
        <v>5</v>
      </c>
      <c r="G5" s="6" t="s">
        <v>6</v>
      </c>
      <c r="H5" s="6"/>
      <c r="I5" s="6"/>
      <c r="J5" s="6"/>
      <c r="K5" s="6"/>
      <c r="L5" s="8"/>
    </row>
    <row r="6" customFormat="false" ht="33.75" hidden="false" customHeight="true" outlineLevel="0" collapsed="false">
      <c r="A6" s="9" t="s">
        <v>7</v>
      </c>
      <c r="B6" s="10" t="s">
        <v>8</v>
      </c>
      <c r="D6" s="9" t="s">
        <v>9</v>
      </c>
      <c r="E6" s="11" t="n">
        <f aca="false">COUNTA('Master Taxonomy'!$A$2:$A$1656)</f>
        <v>1655</v>
      </c>
      <c r="G6" s="12" t="s">
        <v>10</v>
      </c>
      <c r="H6" s="13" t="s">
        <v>11</v>
      </c>
      <c r="I6" s="13"/>
      <c r="J6" s="13"/>
      <c r="K6" s="13"/>
      <c r="L6" s="14"/>
    </row>
    <row r="7" customFormat="false" ht="43.5" hidden="false" customHeight="true" outlineLevel="0" collapsed="false">
      <c r="A7" s="9" t="s">
        <v>12</v>
      </c>
      <c r="B7" s="10" t="s">
        <v>13</v>
      </c>
      <c r="D7" s="9" t="s">
        <v>14</v>
      </c>
      <c r="E7" s="11" t="n">
        <f aca="false">COUNTA('Source Corpus'!$A$2:$A$282)</f>
        <v>281</v>
      </c>
      <c r="G7" s="12" t="s">
        <v>15</v>
      </c>
      <c r="H7" s="13" t="s">
        <v>16</v>
      </c>
      <c r="I7" s="13"/>
      <c r="J7" s="13"/>
      <c r="K7" s="13"/>
      <c r="L7" s="14"/>
    </row>
    <row r="8" customFormat="false" ht="43.5" hidden="false" customHeight="true" outlineLevel="0" collapsed="false">
      <c r="A8" s="9" t="s">
        <v>17</v>
      </c>
      <c r="B8" s="10" t="s">
        <v>18</v>
      </c>
      <c r="D8" s="9" t="s">
        <v>19</v>
      </c>
      <c r="E8" s="11" t="n">
        <f aca="false">COUNTA('Seed Catalogue'!$A$2:$A$452)</f>
        <v>451</v>
      </c>
      <c r="G8" s="12" t="s">
        <v>20</v>
      </c>
      <c r="H8" s="13" t="s">
        <v>21</v>
      </c>
      <c r="I8" s="13"/>
      <c r="J8" s="13"/>
      <c r="K8" s="13"/>
      <c r="L8" s="14"/>
    </row>
    <row r="9" customFormat="false" ht="43.5" hidden="false" customHeight="true" outlineLevel="0" collapsed="false">
      <c r="A9" s="9" t="s">
        <v>22</v>
      </c>
      <c r="B9" s="10" t="s">
        <v>23</v>
      </c>
      <c r="D9" s="9" t="s">
        <v>24</v>
      </c>
      <c r="E9" s="11" t="n">
        <f aca="false">COUNTIF('Master Taxonomy'!$M$2:$M$1656,"Domain Root")</f>
        <v>11</v>
      </c>
      <c r="G9" s="12" t="s">
        <v>25</v>
      </c>
      <c r="H9" s="13" t="s">
        <v>26</v>
      </c>
      <c r="I9" s="13"/>
      <c r="J9" s="13"/>
      <c r="K9" s="13"/>
      <c r="L9" s="14"/>
    </row>
    <row r="10" customFormat="false" ht="43.5" hidden="false" customHeight="true" outlineLevel="0" collapsed="false">
      <c r="A10" s="9" t="s">
        <v>27</v>
      </c>
      <c r="B10" s="10" t="s">
        <v>28</v>
      </c>
      <c r="G10" s="12" t="s">
        <v>29</v>
      </c>
      <c r="H10" s="13" t="s">
        <v>30</v>
      </c>
      <c r="I10" s="13"/>
      <c r="J10" s="13"/>
      <c r="K10" s="13"/>
      <c r="L10" s="14"/>
    </row>
    <row r="11" customFormat="false" ht="33.75" hidden="false" customHeight="true" outlineLevel="0" collapsed="false">
      <c r="G11" s="12" t="s">
        <v>31</v>
      </c>
      <c r="H11" s="13" t="s">
        <v>32</v>
      </c>
      <c r="I11" s="13"/>
      <c r="J11" s="13"/>
      <c r="K11" s="13"/>
      <c r="L11" s="14"/>
    </row>
    <row r="12" customFormat="false" ht="43.5" hidden="false" customHeight="true" outlineLevel="0" collapsed="false">
      <c r="G12" s="12" t="s">
        <v>33</v>
      </c>
      <c r="H12" s="13" t="s">
        <v>34</v>
      </c>
      <c r="I12" s="13"/>
      <c r="J12" s="13"/>
      <c r="K12" s="13"/>
    </row>
    <row r="13" customFormat="false" ht="24" hidden="false" customHeight="true" outlineLevel="0" collapsed="false">
      <c r="A13" s="15" t="s">
        <v>35</v>
      </c>
      <c r="B13" s="15"/>
      <c r="C13" s="15"/>
      <c r="D13" s="15"/>
      <c r="E13" s="15"/>
      <c r="F13" s="15"/>
      <c r="G13" s="15"/>
      <c r="H13" s="15"/>
      <c r="I13" s="15"/>
      <c r="J13" s="15"/>
      <c r="K13" s="15"/>
      <c r="L13" s="16"/>
    </row>
    <row r="14" customFormat="false" ht="42" hidden="false" customHeight="true" outlineLevel="0" collapsed="false">
      <c r="A14" s="17" t="s">
        <v>36</v>
      </c>
      <c r="B14" s="18" t="s">
        <v>37</v>
      </c>
      <c r="C14" s="18"/>
      <c r="D14" s="18"/>
      <c r="E14" s="18"/>
      <c r="F14" s="18"/>
      <c r="G14" s="18"/>
      <c r="H14" s="18"/>
      <c r="I14" s="18"/>
      <c r="J14" s="18"/>
      <c r="K14" s="18"/>
      <c r="L14" s="19"/>
    </row>
    <row r="15" customFormat="false" ht="42" hidden="false" customHeight="true" outlineLevel="0" collapsed="false">
      <c r="A15" s="17" t="s">
        <v>38</v>
      </c>
      <c r="B15" s="18" t="s">
        <v>39</v>
      </c>
      <c r="C15" s="18"/>
      <c r="D15" s="18"/>
      <c r="E15" s="18"/>
      <c r="F15" s="18"/>
      <c r="G15" s="18"/>
      <c r="H15" s="18"/>
      <c r="I15" s="18"/>
      <c r="J15" s="18"/>
      <c r="K15" s="18"/>
      <c r="L15" s="19"/>
    </row>
    <row r="16" customFormat="false" ht="42" hidden="false" customHeight="true" outlineLevel="0" collapsed="false">
      <c r="A16" s="17" t="s">
        <v>40</v>
      </c>
      <c r="B16" s="18" t="s">
        <v>41</v>
      </c>
      <c r="C16" s="18"/>
      <c r="D16" s="18"/>
      <c r="E16" s="18"/>
      <c r="F16" s="18"/>
      <c r="G16" s="18"/>
      <c r="H16" s="18"/>
      <c r="I16" s="18"/>
      <c r="J16" s="18"/>
      <c r="K16" s="18"/>
      <c r="L16" s="19"/>
    </row>
    <row r="17" customFormat="false" ht="42" hidden="false" customHeight="true" outlineLevel="0" collapsed="false">
      <c r="A17" s="17" t="s">
        <v>42</v>
      </c>
      <c r="B17" s="18" t="s">
        <v>43</v>
      </c>
      <c r="C17" s="18"/>
      <c r="D17" s="18"/>
      <c r="E17" s="18"/>
      <c r="F17" s="18"/>
      <c r="G17" s="18"/>
      <c r="H17" s="18"/>
      <c r="I17" s="18"/>
      <c r="J17" s="18"/>
      <c r="K17" s="18"/>
      <c r="L17" s="19"/>
    </row>
    <row r="18" customFormat="false" ht="42" hidden="false" customHeight="true" outlineLevel="0" collapsed="false">
      <c r="A18" s="17" t="s">
        <v>44</v>
      </c>
      <c r="B18" s="18" t="s">
        <v>45</v>
      </c>
      <c r="C18" s="18"/>
      <c r="D18" s="18"/>
      <c r="E18" s="18"/>
      <c r="F18" s="18"/>
      <c r="G18" s="18"/>
      <c r="H18" s="18"/>
      <c r="I18" s="18"/>
      <c r="J18" s="18"/>
      <c r="K18" s="18"/>
      <c r="L18" s="19"/>
    </row>
    <row r="20" customFormat="false" ht="24" hidden="false" customHeight="true" outlineLevel="0" collapsed="false">
      <c r="A20" s="15" t="s">
        <v>46</v>
      </c>
      <c r="B20" s="15"/>
      <c r="C20" s="15"/>
      <c r="D20" s="15"/>
      <c r="E20" s="15"/>
      <c r="F20" s="15"/>
      <c r="G20" s="15"/>
      <c r="H20" s="15"/>
      <c r="I20" s="15"/>
      <c r="J20" s="15"/>
      <c r="K20" s="15"/>
      <c r="L20" s="16"/>
    </row>
    <row r="21" customFormat="false" ht="48" hidden="false" customHeight="true" outlineLevel="0" collapsed="false">
      <c r="A21" s="20" t="s">
        <v>47</v>
      </c>
      <c r="B21" s="21" t="s">
        <v>48</v>
      </c>
      <c r="C21" s="21"/>
      <c r="D21" s="21"/>
      <c r="E21" s="21"/>
      <c r="F21" s="21"/>
      <c r="G21" s="20" t="s">
        <v>49</v>
      </c>
      <c r="H21" s="21" t="s">
        <v>50</v>
      </c>
      <c r="I21" s="21"/>
      <c r="J21" s="21"/>
      <c r="K21" s="21"/>
      <c r="L21" s="22"/>
    </row>
    <row r="22" customFormat="false" ht="48" hidden="false" customHeight="true" outlineLevel="0" collapsed="false">
      <c r="A22" s="20" t="s">
        <v>51</v>
      </c>
      <c r="B22" s="21" t="s">
        <v>52</v>
      </c>
      <c r="C22" s="21"/>
      <c r="D22" s="21"/>
      <c r="E22" s="21"/>
      <c r="F22" s="21"/>
      <c r="G22" s="20" t="s">
        <v>53</v>
      </c>
      <c r="H22" s="21" t="s">
        <v>54</v>
      </c>
      <c r="I22" s="21"/>
      <c r="J22" s="21"/>
      <c r="K22" s="21"/>
      <c r="L22" s="22"/>
    </row>
    <row r="23" customFormat="false" ht="48" hidden="false" customHeight="true" outlineLevel="0" collapsed="false">
      <c r="A23" s="20" t="s">
        <v>55</v>
      </c>
      <c r="B23" s="21" t="s">
        <v>56</v>
      </c>
      <c r="C23" s="21"/>
      <c r="D23" s="21"/>
      <c r="E23" s="21"/>
      <c r="F23" s="21"/>
      <c r="G23" s="20" t="s">
        <v>57</v>
      </c>
      <c r="H23" s="21" t="s">
        <v>58</v>
      </c>
      <c r="I23" s="21"/>
      <c r="J23" s="21"/>
      <c r="K23" s="21"/>
      <c r="L23" s="22"/>
    </row>
    <row r="24" customFormat="false" ht="48" hidden="false" customHeight="true" outlineLevel="0" collapsed="false">
      <c r="A24" s="20" t="s">
        <v>59</v>
      </c>
      <c r="B24" s="21" t="s">
        <v>60</v>
      </c>
      <c r="C24" s="21"/>
      <c r="D24" s="21"/>
      <c r="E24" s="21"/>
      <c r="F24" s="21"/>
      <c r="G24" s="20" t="s">
        <v>61</v>
      </c>
      <c r="H24" s="21" t="s">
        <v>62</v>
      </c>
      <c r="I24" s="21"/>
      <c r="J24" s="21"/>
      <c r="K24" s="21"/>
      <c r="L24" s="22"/>
    </row>
    <row r="25" customFormat="false" ht="48" hidden="false" customHeight="true" outlineLevel="0" collapsed="false">
      <c r="A25" s="20" t="s">
        <v>63</v>
      </c>
      <c r="B25" s="21" t="s">
        <v>64</v>
      </c>
      <c r="C25" s="21"/>
      <c r="D25" s="21"/>
      <c r="E25" s="21"/>
      <c r="F25" s="21"/>
      <c r="G25" s="20" t="s">
        <v>65</v>
      </c>
      <c r="H25" s="21" t="s">
        <v>66</v>
      </c>
      <c r="I25" s="21"/>
      <c r="J25" s="21"/>
      <c r="K25" s="21"/>
      <c r="L25" s="22"/>
    </row>
    <row r="26" customFormat="false" ht="48" hidden="false" customHeight="true" outlineLevel="0" collapsed="false">
      <c r="A26" s="20" t="s">
        <v>67</v>
      </c>
      <c r="B26" s="21" t="s">
        <v>68</v>
      </c>
      <c r="C26" s="21"/>
      <c r="D26" s="21"/>
      <c r="E26" s="21"/>
      <c r="F26" s="21"/>
      <c r="G26" s="20" t="s">
        <v>69</v>
      </c>
      <c r="H26" s="21" t="s">
        <v>70</v>
      </c>
      <c r="I26" s="21"/>
      <c r="J26" s="21"/>
      <c r="K26" s="21"/>
      <c r="L26" s="22"/>
    </row>
    <row r="27" customFormat="false" ht="48" hidden="false" customHeight="true" outlineLevel="0" collapsed="false">
      <c r="A27" s="20" t="s">
        <v>71</v>
      </c>
      <c r="B27" s="21" t="s">
        <v>72</v>
      </c>
      <c r="C27" s="21"/>
      <c r="D27" s="21"/>
      <c r="E27" s="21"/>
      <c r="F27" s="21"/>
      <c r="G27" s="20" t="s">
        <v>73</v>
      </c>
      <c r="H27" s="21" t="s">
        <v>74</v>
      </c>
      <c r="I27" s="21"/>
      <c r="J27" s="21"/>
      <c r="K27" s="21"/>
      <c r="L27" s="22"/>
    </row>
    <row r="28" customFormat="false" ht="48" hidden="false" customHeight="true" outlineLevel="0" collapsed="false">
      <c r="A28" s="20" t="s">
        <v>75</v>
      </c>
      <c r="B28" s="21" t="s">
        <v>76</v>
      </c>
      <c r="C28" s="21"/>
      <c r="D28" s="21"/>
      <c r="E28" s="21"/>
      <c r="F28" s="21"/>
      <c r="G28" s="20" t="s">
        <v>77</v>
      </c>
      <c r="H28" s="21" t="s">
        <v>78</v>
      </c>
      <c r="I28" s="21"/>
      <c r="J28" s="21"/>
      <c r="K28" s="21"/>
      <c r="L28" s="22"/>
    </row>
    <row r="30" customFormat="false" ht="24" hidden="false" customHeight="true" outlineLevel="0" collapsed="false">
      <c r="A30" s="15" t="s">
        <v>79</v>
      </c>
      <c r="B30" s="15"/>
      <c r="C30" s="15"/>
      <c r="D30" s="15"/>
      <c r="E30" s="15"/>
      <c r="F30" s="15"/>
      <c r="G30" s="15"/>
      <c r="H30" s="15"/>
      <c r="I30" s="15"/>
      <c r="J30" s="15"/>
      <c r="K30" s="15"/>
      <c r="L30" s="16"/>
    </row>
    <row r="31" customFormat="false" ht="43.5" hidden="false" customHeight="true" outlineLevel="0" collapsed="false">
      <c r="A31" s="20" t="s">
        <v>80</v>
      </c>
      <c r="B31" s="23" t="s">
        <v>81</v>
      </c>
      <c r="C31" s="23"/>
      <c r="D31" s="20" t="s">
        <v>82</v>
      </c>
      <c r="E31" s="23" t="s">
        <v>83</v>
      </c>
      <c r="F31" s="23"/>
      <c r="G31" s="20" t="s">
        <v>84</v>
      </c>
      <c r="H31" s="23" t="s">
        <v>85</v>
      </c>
      <c r="I31" s="23"/>
      <c r="J31" s="20" t="s">
        <v>86</v>
      </c>
      <c r="K31" s="23" t="s">
        <v>87</v>
      </c>
      <c r="L31" s="23"/>
    </row>
    <row r="32" customFormat="false" ht="43.5" hidden="false" customHeight="true" outlineLevel="0" collapsed="false">
      <c r="A32" s="20" t="s">
        <v>88</v>
      </c>
      <c r="B32" s="23" t="s">
        <v>89</v>
      </c>
      <c r="C32" s="23"/>
      <c r="D32" s="20" t="s">
        <v>90</v>
      </c>
      <c r="E32" s="23" t="s">
        <v>91</v>
      </c>
      <c r="F32" s="23"/>
      <c r="G32" s="20" t="s">
        <v>92</v>
      </c>
      <c r="H32" s="23" t="s">
        <v>93</v>
      </c>
      <c r="I32" s="23"/>
      <c r="J32" s="20" t="s">
        <v>94</v>
      </c>
      <c r="K32" s="23" t="s">
        <v>95</v>
      </c>
      <c r="L32" s="23"/>
    </row>
    <row r="33" customFormat="false" ht="43.5" hidden="false" customHeight="true" outlineLevel="0" collapsed="false">
      <c r="A33" s="20" t="s">
        <v>96</v>
      </c>
      <c r="B33" s="23" t="s">
        <v>97</v>
      </c>
      <c r="C33" s="23"/>
      <c r="D33" s="20" t="s">
        <v>98</v>
      </c>
      <c r="E33" s="23" t="s">
        <v>99</v>
      </c>
      <c r="F33" s="23"/>
      <c r="G33" s="20" t="s">
        <v>100</v>
      </c>
      <c r="H33" s="23" t="s">
        <v>101</v>
      </c>
      <c r="I33" s="23"/>
      <c r="J33" s="20" t="s">
        <v>102</v>
      </c>
      <c r="K33" s="23" t="s">
        <v>103</v>
      </c>
      <c r="L33" s="23"/>
    </row>
    <row r="34" customFormat="false" ht="43.5" hidden="false" customHeight="true" outlineLevel="0" collapsed="false">
      <c r="A34" s="20" t="s">
        <v>104</v>
      </c>
      <c r="B34" s="23" t="s">
        <v>105</v>
      </c>
      <c r="C34" s="23"/>
      <c r="D34" s="20" t="s">
        <v>106</v>
      </c>
      <c r="E34" s="23" t="s">
        <v>107</v>
      </c>
      <c r="F34" s="23"/>
      <c r="G34" s="20" t="s">
        <v>108</v>
      </c>
      <c r="H34" s="23" t="s">
        <v>109</v>
      </c>
      <c r="I34" s="23"/>
      <c r="J34" s="20" t="s">
        <v>110</v>
      </c>
      <c r="K34" s="23" t="s">
        <v>111</v>
      </c>
      <c r="L34" s="23"/>
    </row>
    <row r="35" customFormat="false" ht="43.5" hidden="false" customHeight="true" outlineLevel="0" collapsed="false">
      <c r="A35" s="20" t="s">
        <v>112</v>
      </c>
      <c r="B35" s="23" t="s">
        <v>113</v>
      </c>
      <c r="C35" s="23"/>
      <c r="D35" s="24"/>
      <c r="E35" s="19"/>
      <c r="F35" s="19"/>
      <c r="G35" s="24"/>
      <c r="H35" s="19"/>
      <c r="I35" s="19"/>
      <c r="J35" s="24"/>
      <c r="K35" s="19"/>
      <c r="L35" s="19"/>
    </row>
    <row r="37" customFormat="false" ht="24" hidden="false" customHeight="true" outlineLevel="0" collapsed="false">
      <c r="A37" s="15" t="s">
        <v>114</v>
      </c>
      <c r="B37" s="15"/>
      <c r="C37" s="15"/>
      <c r="D37" s="15"/>
      <c r="E37" s="15"/>
      <c r="F37" s="15"/>
      <c r="G37" s="15"/>
      <c r="H37" s="15"/>
      <c r="I37" s="15"/>
      <c r="J37" s="15"/>
      <c r="K37" s="15"/>
      <c r="L37" s="16"/>
    </row>
    <row r="38" customFormat="false" ht="39.75" hidden="false" customHeight="true" outlineLevel="0" collapsed="false">
      <c r="A38" s="20" t="s">
        <v>115</v>
      </c>
      <c r="B38" s="18" t="s">
        <v>116</v>
      </c>
      <c r="C38" s="18"/>
      <c r="D38" s="18"/>
      <c r="E38" s="18"/>
      <c r="F38" s="18"/>
      <c r="G38" s="18"/>
      <c r="H38" s="18"/>
      <c r="I38" s="18"/>
      <c r="J38" s="18"/>
      <c r="K38" s="18"/>
      <c r="L38" s="19"/>
    </row>
    <row r="39" customFormat="false" ht="39.75" hidden="false" customHeight="true" outlineLevel="0" collapsed="false">
      <c r="A39" s="20" t="s">
        <v>117</v>
      </c>
      <c r="B39" s="18" t="s">
        <v>118</v>
      </c>
      <c r="C39" s="18"/>
      <c r="D39" s="18"/>
      <c r="E39" s="18"/>
      <c r="F39" s="18"/>
      <c r="G39" s="18"/>
      <c r="H39" s="18"/>
      <c r="I39" s="18"/>
      <c r="J39" s="18"/>
      <c r="K39" s="18"/>
      <c r="L39" s="19"/>
    </row>
    <row r="40" customFormat="false" ht="39.75" hidden="false" customHeight="true" outlineLevel="0" collapsed="false">
      <c r="A40" s="20" t="s">
        <v>119</v>
      </c>
      <c r="B40" s="18" t="s">
        <v>120</v>
      </c>
      <c r="C40" s="18"/>
      <c r="D40" s="18"/>
      <c r="E40" s="18"/>
      <c r="F40" s="18"/>
      <c r="G40" s="18"/>
      <c r="H40" s="18"/>
      <c r="I40" s="18"/>
      <c r="J40" s="18"/>
      <c r="K40" s="18"/>
      <c r="L40" s="19"/>
    </row>
    <row r="41" customFormat="false" ht="39.75" hidden="false" customHeight="true" outlineLevel="0" collapsed="false">
      <c r="A41" s="20" t="s">
        <v>121</v>
      </c>
      <c r="B41" s="18" t="s">
        <v>122</v>
      </c>
      <c r="C41" s="18"/>
      <c r="D41" s="18"/>
      <c r="E41" s="18"/>
      <c r="F41" s="18"/>
      <c r="G41" s="18"/>
      <c r="H41" s="18"/>
      <c r="I41" s="18"/>
      <c r="J41" s="18"/>
      <c r="K41" s="18"/>
      <c r="L41" s="19"/>
    </row>
    <row r="42" customFormat="false" ht="39.75" hidden="false" customHeight="true" outlineLevel="0" collapsed="false">
      <c r="A42" s="20" t="s">
        <v>123</v>
      </c>
      <c r="B42" s="18" t="s">
        <v>124</v>
      </c>
      <c r="C42" s="18"/>
      <c r="D42" s="18"/>
      <c r="E42" s="18"/>
      <c r="F42" s="18"/>
      <c r="G42" s="18"/>
      <c r="H42" s="18"/>
      <c r="I42" s="18"/>
      <c r="J42" s="18"/>
      <c r="K42" s="18"/>
      <c r="L42" s="19"/>
    </row>
    <row r="43" customFormat="false" ht="39.75" hidden="false" customHeight="true" outlineLevel="0" collapsed="false">
      <c r="A43" s="20" t="s">
        <v>125</v>
      </c>
      <c r="B43" s="18" t="s">
        <v>126</v>
      </c>
      <c r="C43" s="18"/>
      <c r="D43" s="18"/>
      <c r="E43" s="18"/>
      <c r="F43" s="18"/>
      <c r="G43" s="18"/>
      <c r="H43" s="18"/>
      <c r="I43" s="18"/>
      <c r="J43" s="18"/>
      <c r="K43" s="18"/>
      <c r="L43" s="19"/>
    </row>
    <row r="45" customFormat="false" ht="24" hidden="false" customHeight="true" outlineLevel="0" collapsed="false">
      <c r="A45" s="25" t="s">
        <v>127</v>
      </c>
      <c r="B45" s="25"/>
      <c r="C45" s="25"/>
      <c r="D45" s="25"/>
      <c r="E45" s="25"/>
      <c r="F45" s="25"/>
      <c r="G45" s="25"/>
      <c r="H45" s="25"/>
      <c r="I45" s="25"/>
      <c r="J45" s="25"/>
      <c r="K45" s="25"/>
    </row>
    <row r="46" customFormat="false" ht="43.5" hidden="false" customHeight="true" outlineLevel="0" collapsed="false">
      <c r="A46" s="17" t="s">
        <v>128</v>
      </c>
      <c r="B46" s="18" t="s">
        <v>129</v>
      </c>
      <c r="C46" s="18"/>
      <c r="D46" s="18"/>
      <c r="E46" s="18"/>
      <c r="F46" s="18"/>
      <c r="G46" s="18"/>
      <c r="H46" s="18"/>
      <c r="I46" s="18"/>
      <c r="J46" s="18"/>
      <c r="K46" s="18"/>
    </row>
    <row r="47" customFormat="false" ht="43.5" hidden="false" customHeight="true" outlineLevel="0" collapsed="false">
      <c r="A47" s="17" t="s">
        <v>130</v>
      </c>
      <c r="B47" s="18" t="s">
        <v>131</v>
      </c>
      <c r="C47" s="18"/>
      <c r="D47" s="18"/>
      <c r="E47" s="18"/>
      <c r="F47" s="18"/>
      <c r="G47" s="18"/>
      <c r="H47" s="18"/>
      <c r="I47" s="18"/>
      <c r="J47" s="18"/>
      <c r="K47" s="18"/>
    </row>
    <row r="48" customFormat="false" ht="43.5" hidden="false" customHeight="true" outlineLevel="0" collapsed="false">
      <c r="A48" s="17" t="s">
        <v>132</v>
      </c>
      <c r="B48" s="18" t="s">
        <v>133</v>
      </c>
      <c r="C48" s="18"/>
      <c r="D48" s="18"/>
      <c r="E48" s="18"/>
      <c r="F48" s="18"/>
      <c r="G48" s="18"/>
      <c r="H48" s="18"/>
      <c r="I48" s="18"/>
      <c r="J48" s="18"/>
      <c r="K48" s="18"/>
    </row>
    <row r="50" customFormat="false" ht="24" hidden="false" customHeight="true" outlineLevel="0" collapsed="false">
      <c r="A50" s="25" t="s">
        <v>134</v>
      </c>
      <c r="B50" s="25"/>
      <c r="C50" s="25"/>
      <c r="D50" s="25"/>
      <c r="E50" s="25"/>
      <c r="F50" s="25"/>
      <c r="G50" s="25"/>
      <c r="H50" s="25"/>
      <c r="I50" s="25"/>
      <c r="J50" s="25"/>
      <c r="K50" s="25"/>
    </row>
    <row r="51" customFormat="false" ht="43.5" hidden="false" customHeight="true" outlineLevel="0" collapsed="false">
      <c r="A51" s="17" t="s">
        <v>135</v>
      </c>
      <c r="B51" s="18" t="s">
        <v>136</v>
      </c>
      <c r="C51" s="18"/>
      <c r="D51" s="18"/>
      <c r="E51" s="18"/>
      <c r="F51" s="18"/>
      <c r="G51" s="18"/>
      <c r="H51" s="18"/>
      <c r="I51" s="18"/>
      <c r="J51" s="18"/>
      <c r="K51" s="18"/>
    </row>
    <row r="52" customFormat="false" ht="43.5" hidden="false" customHeight="true" outlineLevel="0" collapsed="false">
      <c r="A52" s="17" t="s">
        <v>137</v>
      </c>
      <c r="B52" s="18" t="s">
        <v>138</v>
      </c>
      <c r="C52" s="18"/>
      <c r="D52" s="18"/>
      <c r="E52" s="18"/>
      <c r="F52" s="18"/>
      <c r="G52" s="18"/>
      <c r="H52" s="18"/>
      <c r="I52" s="18"/>
      <c r="J52" s="18"/>
      <c r="K52" s="18"/>
    </row>
    <row r="53" customFormat="false" ht="43.5" hidden="false" customHeight="true" outlineLevel="0" collapsed="false">
      <c r="A53" s="17" t="s">
        <v>139</v>
      </c>
      <c r="B53" s="18" t="s">
        <v>140</v>
      </c>
      <c r="C53" s="18"/>
      <c r="D53" s="18"/>
      <c r="E53" s="18"/>
      <c r="F53" s="18"/>
      <c r="G53" s="18"/>
      <c r="H53" s="18"/>
      <c r="I53" s="18"/>
      <c r="J53" s="18"/>
      <c r="K53" s="18"/>
    </row>
    <row r="55" customFormat="false" ht="24" hidden="false" customHeight="true" outlineLevel="0" collapsed="false">
      <c r="A55" s="25" t="s">
        <v>141</v>
      </c>
      <c r="B55" s="25"/>
      <c r="C55" s="25"/>
      <c r="D55" s="25"/>
      <c r="E55" s="25"/>
      <c r="F55" s="25"/>
      <c r="G55" s="25"/>
      <c r="H55" s="25"/>
      <c r="I55" s="25"/>
      <c r="J55" s="25"/>
      <c r="K55" s="25"/>
    </row>
    <row r="56" customFormat="false" ht="51.75" hidden="false" customHeight="true" outlineLevel="0" collapsed="false">
      <c r="A56" s="17" t="s">
        <v>142</v>
      </c>
      <c r="B56" s="18" t="s">
        <v>143</v>
      </c>
      <c r="C56" s="18"/>
      <c r="D56" s="18"/>
      <c r="E56" s="18"/>
      <c r="F56" s="18"/>
      <c r="G56" s="18"/>
      <c r="H56" s="18"/>
      <c r="I56" s="18"/>
      <c r="J56" s="18"/>
      <c r="K56" s="18"/>
    </row>
    <row r="57" customFormat="false" ht="51.75" hidden="false" customHeight="true" outlineLevel="0" collapsed="false">
      <c r="A57" s="17" t="s">
        <v>144</v>
      </c>
      <c r="B57" s="18" t="s">
        <v>145</v>
      </c>
      <c r="C57" s="18"/>
      <c r="D57" s="18"/>
      <c r="E57" s="18"/>
      <c r="F57" s="18"/>
      <c r="G57" s="18"/>
      <c r="H57" s="18"/>
      <c r="I57" s="18"/>
      <c r="J57" s="18"/>
      <c r="K57" s="18"/>
    </row>
    <row r="58" customFormat="false" ht="51.75" hidden="false" customHeight="true" outlineLevel="0" collapsed="false">
      <c r="A58" s="17" t="s">
        <v>146</v>
      </c>
      <c r="B58" s="18" t="s">
        <v>147</v>
      </c>
      <c r="C58" s="18"/>
      <c r="D58" s="18"/>
      <c r="E58" s="18"/>
      <c r="F58" s="18"/>
      <c r="G58" s="18"/>
      <c r="H58" s="18"/>
      <c r="I58" s="18"/>
      <c r="J58" s="18"/>
      <c r="K58" s="18"/>
    </row>
  </sheetData>
  <mergeCells count="73">
    <mergeCell ref="A1:K1"/>
    <mergeCell ref="A3:K3"/>
    <mergeCell ref="G5:K5"/>
    <mergeCell ref="H6:K6"/>
    <mergeCell ref="H7:K7"/>
    <mergeCell ref="H8:K8"/>
    <mergeCell ref="H9:K9"/>
    <mergeCell ref="H10:K10"/>
    <mergeCell ref="H11:K11"/>
    <mergeCell ref="H12:K12"/>
    <mergeCell ref="A13:K13"/>
    <mergeCell ref="B14:K14"/>
    <mergeCell ref="B15:K15"/>
    <mergeCell ref="B16:K16"/>
    <mergeCell ref="B17:K17"/>
    <mergeCell ref="B18:K18"/>
    <mergeCell ref="A20:K20"/>
    <mergeCell ref="B21:F21"/>
    <mergeCell ref="H21:K21"/>
    <mergeCell ref="B22:F22"/>
    <mergeCell ref="H22:K22"/>
    <mergeCell ref="B23:F23"/>
    <mergeCell ref="H23:K23"/>
    <mergeCell ref="B24:F24"/>
    <mergeCell ref="H24:K24"/>
    <mergeCell ref="B25:F25"/>
    <mergeCell ref="H25:K25"/>
    <mergeCell ref="B26:F26"/>
    <mergeCell ref="H26:K26"/>
    <mergeCell ref="B27:F27"/>
    <mergeCell ref="H27:K27"/>
    <mergeCell ref="B28:F28"/>
    <mergeCell ref="H28:K28"/>
    <mergeCell ref="A30:K30"/>
    <mergeCell ref="B31:C31"/>
    <mergeCell ref="E31:F31"/>
    <mergeCell ref="H31:I31"/>
    <mergeCell ref="K31:L31"/>
    <mergeCell ref="B32:C32"/>
    <mergeCell ref="E32:F32"/>
    <mergeCell ref="H32:I32"/>
    <mergeCell ref="K32:L32"/>
    <mergeCell ref="B33:C33"/>
    <mergeCell ref="E33:F33"/>
    <mergeCell ref="H33:I33"/>
    <mergeCell ref="K33:L33"/>
    <mergeCell ref="B34:C34"/>
    <mergeCell ref="E34:F34"/>
    <mergeCell ref="H34:I34"/>
    <mergeCell ref="K34:L34"/>
    <mergeCell ref="B35:C35"/>
    <mergeCell ref="E35:F35"/>
    <mergeCell ref="H35:I35"/>
    <mergeCell ref="K35:L35"/>
    <mergeCell ref="A37:K37"/>
    <mergeCell ref="B38:K38"/>
    <mergeCell ref="B39:K39"/>
    <mergeCell ref="B40:K40"/>
    <mergeCell ref="B41:K41"/>
    <mergeCell ref="B42:K42"/>
    <mergeCell ref="B43:K43"/>
    <mergeCell ref="A45:K45"/>
    <mergeCell ref="B46:K46"/>
    <mergeCell ref="B47:K47"/>
    <mergeCell ref="B48:K48"/>
    <mergeCell ref="A50:K50"/>
    <mergeCell ref="B51:K51"/>
    <mergeCell ref="B52:K52"/>
    <mergeCell ref="B53:K53"/>
    <mergeCell ref="A55:K55"/>
    <mergeCell ref="B56:K56"/>
    <mergeCell ref="B57:K57"/>
    <mergeCell ref="B58:K5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9.47265625" defaultRowHeight="15" customHeight="false" zeroHeight="false" outlineLevelRow="0" outlineLevelCol="0"/>
  <cols>
    <col collapsed="false" customWidth="true" hidden="false" outlineLevel="0" max="1" min="1" style="1" width="3.3"/>
    <col collapsed="false" customWidth="true" hidden="false" outlineLevel="0" max="2" min="2" style="1" width="30.77"/>
    <col collapsed="false" customWidth="true" hidden="false" outlineLevel="0" max="3" min="3" style="1" width="101.12"/>
  </cols>
  <sheetData>
    <row r="2" customFormat="false" ht="43.5" hidden="false" customHeight="true" outlineLevel="0" collapsed="false">
      <c r="B2" s="26" t="s">
        <v>148</v>
      </c>
      <c r="C2" s="26"/>
    </row>
    <row r="3" customFormat="false" ht="31.5" hidden="false" customHeight="true" outlineLevel="0" collapsed="false">
      <c r="B3" s="27" t="s">
        <v>149</v>
      </c>
      <c r="C3" s="28" t="s">
        <v>150</v>
      </c>
    </row>
    <row r="4" customFormat="false" ht="31.5" hidden="false" customHeight="true" outlineLevel="0" collapsed="false">
      <c r="B4" s="27" t="s">
        <v>151</v>
      </c>
      <c r="C4" s="28" t="s">
        <v>152</v>
      </c>
    </row>
    <row r="5" customFormat="false" ht="31.5" hidden="false" customHeight="true" outlineLevel="0" collapsed="false">
      <c r="B5" s="27" t="s">
        <v>153</v>
      </c>
      <c r="C5" s="28" t="s">
        <v>154</v>
      </c>
    </row>
    <row r="6" customFormat="false" ht="31.5" hidden="false" customHeight="true" outlineLevel="0" collapsed="false">
      <c r="B6" s="27"/>
      <c r="C6" s="28"/>
    </row>
    <row r="7" customFormat="false" ht="31.5" hidden="false" customHeight="true" outlineLevel="0" collapsed="false">
      <c r="B7" s="27" t="s">
        <v>155</v>
      </c>
      <c r="C7" s="28" t="s">
        <v>156</v>
      </c>
    </row>
    <row r="8" customFormat="false" ht="31.5" hidden="false" customHeight="true" outlineLevel="0" collapsed="false">
      <c r="B8" s="27" t="s">
        <v>157</v>
      </c>
      <c r="C8" s="28" t="s">
        <v>158</v>
      </c>
    </row>
    <row r="9" customFormat="false" ht="31.5" hidden="false" customHeight="true" outlineLevel="0" collapsed="false">
      <c r="B9" s="27" t="s">
        <v>159</v>
      </c>
      <c r="C9" s="28" t="s">
        <v>160</v>
      </c>
    </row>
    <row r="10" customFormat="false" ht="31.5" hidden="false" customHeight="true" outlineLevel="0" collapsed="false">
      <c r="B10" s="27"/>
      <c r="C10" s="28"/>
    </row>
    <row r="11" customFormat="false" ht="31.5" hidden="false" customHeight="true" outlineLevel="0" collapsed="false">
      <c r="B11" s="27" t="s">
        <v>161</v>
      </c>
      <c r="C11" s="28" t="s">
        <v>162</v>
      </c>
    </row>
    <row r="12" customFormat="false" ht="31.5" hidden="false" customHeight="true" outlineLevel="0" collapsed="false">
      <c r="B12" s="27" t="s">
        <v>163</v>
      </c>
      <c r="C12" s="28" t="s">
        <v>164</v>
      </c>
    </row>
    <row r="13" customFormat="false" ht="31.5" hidden="false" customHeight="true" outlineLevel="0" collapsed="false">
      <c r="B13" s="27"/>
      <c r="C13" s="28"/>
    </row>
    <row r="14" customFormat="false" ht="31.5" hidden="false" customHeight="true" outlineLevel="0" collapsed="false">
      <c r="B14" s="27" t="s">
        <v>165</v>
      </c>
      <c r="C14" s="28" t="s">
        <v>166</v>
      </c>
    </row>
  </sheetData>
  <mergeCells count="1">
    <mergeCell ref="B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5.39"/>
    <col collapsed="false" customWidth="true" hidden="false" outlineLevel="0" max="2" min="2" style="1" width="32.97"/>
    <col collapsed="false" customWidth="true" hidden="false" outlineLevel="0" max="3" min="3" style="1" width="30.77"/>
    <col collapsed="false" customWidth="true" hidden="false" outlineLevel="0" max="5" min="4" style="1" width="17.59"/>
    <col collapsed="false" customWidth="true" hidden="false" outlineLevel="0" max="6" min="6" style="1" width="8.8"/>
    <col collapsed="false" customWidth="true" hidden="false" outlineLevel="0" max="8" min="7" style="1" width="50.56"/>
    <col collapsed="false" customWidth="true" hidden="false" outlineLevel="0" max="9" min="9" style="1" width="37.37"/>
    <col collapsed="false" customWidth="true" hidden="false" outlineLevel="0" max="10" min="10" style="1" width="41.76"/>
    <col collapsed="false" customWidth="true" hidden="false" outlineLevel="0" max="11" min="11" style="1" width="35.17"/>
    <col collapsed="false" customWidth="true" hidden="false" outlineLevel="0" max="12" min="12" style="1" width="48.36"/>
    <col collapsed="false" customWidth="true" hidden="false" outlineLevel="0" max="13" min="13" style="1" width="19.79"/>
  </cols>
  <sheetData>
    <row r="1" customFormat="false" ht="33.75" hidden="false" customHeight="true" outlineLevel="0" collapsed="false">
      <c r="A1" s="29" t="s">
        <v>167</v>
      </c>
      <c r="B1" s="29" t="s">
        <v>168</v>
      </c>
      <c r="C1" s="29" t="s">
        <v>169</v>
      </c>
      <c r="D1" s="29" t="s">
        <v>170</v>
      </c>
      <c r="E1" s="29" t="s">
        <v>171</v>
      </c>
      <c r="F1" s="29" t="s">
        <v>172</v>
      </c>
      <c r="G1" s="29" t="s">
        <v>173</v>
      </c>
      <c r="H1" s="29" t="s">
        <v>174</v>
      </c>
      <c r="I1" s="29" t="s">
        <v>175</v>
      </c>
      <c r="J1" s="29" t="s">
        <v>176</v>
      </c>
      <c r="K1" s="29" t="s">
        <v>177</v>
      </c>
      <c r="L1" s="29" t="s">
        <v>178</v>
      </c>
      <c r="M1" s="29" t="s">
        <v>179</v>
      </c>
    </row>
    <row r="2" customFormat="false" ht="43.5" hidden="false" customHeight="true" outlineLevel="0" collapsed="false">
      <c r="A2" s="22" t="s">
        <v>180</v>
      </c>
      <c r="B2" s="22" t="s">
        <v>47</v>
      </c>
      <c r="C2" s="22" t="s">
        <v>47</v>
      </c>
      <c r="D2" s="22"/>
      <c r="E2" s="22" t="str">
        <f aca="false">IF(D2="","",IFERROR(VLOOKUP(D2,$A$2:$B$1656,2,FALSE()),""))</f>
        <v/>
      </c>
      <c r="F2" s="22" t="n">
        <v>1</v>
      </c>
      <c r="G2" s="22" t="s">
        <v>181</v>
      </c>
      <c r="H2" s="22" t="s">
        <v>182</v>
      </c>
      <c r="I2" s="22"/>
      <c r="J2" s="22" t="s">
        <v>183</v>
      </c>
      <c r="K2" s="22" t="s">
        <v>47</v>
      </c>
      <c r="L2" s="22" t="s">
        <v>184</v>
      </c>
      <c r="M2" s="22" t="s">
        <v>185</v>
      </c>
    </row>
    <row r="3" customFormat="false" ht="43.5" hidden="false" customHeight="true" outlineLevel="0" collapsed="false">
      <c r="A3" s="22" t="s">
        <v>186</v>
      </c>
      <c r="B3" s="22" t="s">
        <v>49</v>
      </c>
      <c r="C3" s="22" t="s">
        <v>49</v>
      </c>
      <c r="D3" s="22"/>
      <c r="E3" s="22" t="str">
        <f aca="false">IF(D3="","",IFERROR(VLOOKUP(D3,$A$2:$B$1656,2,FALSE()),""))</f>
        <v/>
      </c>
      <c r="F3" s="22" t="n">
        <v>1</v>
      </c>
      <c r="G3" s="22" t="s">
        <v>187</v>
      </c>
      <c r="H3" s="22" t="s">
        <v>182</v>
      </c>
      <c r="I3" s="22"/>
      <c r="J3" s="22" t="s">
        <v>183</v>
      </c>
      <c r="K3" s="22" t="s">
        <v>49</v>
      </c>
      <c r="L3" s="22" t="s">
        <v>184</v>
      </c>
      <c r="M3" s="22" t="s">
        <v>185</v>
      </c>
    </row>
    <row r="4" customFormat="false" ht="43.5" hidden="false" customHeight="true" outlineLevel="0" collapsed="false">
      <c r="A4" s="22" t="s">
        <v>188</v>
      </c>
      <c r="B4" s="22" t="s">
        <v>51</v>
      </c>
      <c r="C4" s="22" t="s">
        <v>51</v>
      </c>
      <c r="D4" s="22"/>
      <c r="E4" s="22" t="str">
        <f aca="false">IF(D4="","",IFERROR(VLOOKUP(D4,$A$2:$B$1656,2,FALSE()),""))</f>
        <v/>
      </c>
      <c r="F4" s="22" t="n">
        <v>1</v>
      </c>
      <c r="G4" s="22" t="s">
        <v>189</v>
      </c>
      <c r="H4" s="22" t="s">
        <v>182</v>
      </c>
      <c r="I4" s="22"/>
      <c r="J4" s="22" t="s">
        <v>183</v>
      </c>
      <c r="K4" s="22" t="s">
        <v>51</v>
      </c>
      <c r="L4" s="22" t="s">
        <v>184</v>
      </c>
      <c r="M4" s="22" t="s">
        <v>185</v>
      </c>
    </row>
    <row r="5" customFormat="false" ht="43.5" hidden="false" customHeight="true" outlineLevel="0" collapsed="false">
      <c r="A5" s="22" t="s">
        <v>190</v>
      </c>
      <c r="B5" s="22" t="s">
        <v>53</v>
      </c>
      <c r="C5" s="22" t="s">
        <v>53</v>
      </c>
      <c r="D5" s="22"/>
      <c r="E5" s="22" t="str">
        <f aca="false">IF(D5="","",IFERROR(VLOOKUP(D5,$A$2:$B$1656,2,FALSE()),""))</f>
        <v/>
      </c>
      <c r="F5" s="22" t="n">
        <v>1</v>
      </c>
      <c r="G5" s="22" t="s">
        <v>191</v>
      </c>
      <c r="H5" s="22" t="s">
        <v>182</v>
      </c>
      <c r="I5" s="22"/>
      <c r="J5" s="22" t="s">
        <v>183</v>
      </c>
      <c r="K5" s="22" t="s">
        <v>53</v>
      </c>
      <c r="L5" s="22" t="s">
        <v>184</v>
      </c>
      <c r="M5" s="22" t="s">
        <v>185</v>
      </c>
    </row>
    <row r="6" customFormat="false" ht="43.5" hidden="false" customHeight="true" outlineLevel="0" collapsed="false">
      <c r="A6" s="22" t="s">
        <v>192</v>
      </c>
      <c r="B6" s="22" t="s">
        <v>55</v>
      </c>
      <c r="C6" s="22" t="s">
        <v>55</v>
      </c>
      <c r="D6" s="22"/>
      <c r="E6" s="22" t="str">
        <f aca="false">IF(D6="","",IFERROR(VLOOKUP(D6,$A$2:$B$1656,2,FALSE()),""))</f>
        <v/>
      </c>
      <c r="F6" s="22" t="n">
        <v>1</v>
      </c>
      <c r="G6" s="22" t="s">
        <v>193</v>
      </c>
      <c r="H6" s="22" t="s">
        <v>182</v>
      </c>
      <c r="I6" s="22"/>
      <c r="J6" s="22" t="s">
        <v>183</v>
      </c>
      <c r="K6" s="22" t="s">
        <v>55</v>
      </c>
      <c r="L6" s="22" t="s">
        <v>184</v>
      </c>
      <c r="M6" s="22" t="s">
        <v>185</v>
      </c>
    </row>
    <row r="7" customFormat="false" ht="43.5" hidden="false" customHeight="true" outlineLevel="0" collapsed="false">
      <c r="A7" s="22" t="s">
        <v>194</v>
      </c>
      <c r="B7" s="22" t="s">
        <v>57</v>
      </c>
      <c r="C7" s="22" t="s">
        <v>57</v>
      </c>
      <c r="D7" s="22"/>
      <c r="E7" s="22" t="str">
        <f aca="false">IF(D7="","",IFERROR(VLOOKUP(D7,$A$2:$B$1656,2,FALSE()),""))</f>
        <v/>
      </c>
      <c r="F7" s="22" t="n">
        <v>1</v>
      </c>
      <c r="G7" s="22" t="s">
        <v>195</v>
      </c>
      <c r="H7" s="22" t="s">
        <v>182</v>
      </c>
      <c r="I7" s="22"/>
      <c r="J7" s="22" t="s">
        <v>183</v>
      </c>
      <c r="K7" s="22" t="s">
        <v>57</v>
      </c>
      <c r="L7" s="22" t="s">
        <v>184</v>
      </c>
      <c r="M7" s="22" t="s">
        <v>185</v>
      </c>
    </row>
    <row r="8" customFormat="false" ht="43.5" hidden="false" customHeight="true" outlineLevel="0" collapsed="false">
      <c r="A8" s="22" t="s">
        <v>196</v>
      </c>
      <c r="B8" s="22" t="s">
        <v>59</v>
      </c>
      <c r="C8" s="22" t="s">
        <v>59</v>
      </c>
      <c r="D8" s="22"/>
      <c r="E8" s="22" t="str">
        <f aca="false">IF(D8="","",IFERROR(VLOOKUP(D8,$A$2:$B$1656,2,FALSE()),""))</f>
        <v/>
      </c>
      <c r="F8" s="22" t="n">
        <v>1</v>
      </c>
      <c r="G8" s="22" t="s">
        <v>197</v>
      </c>
      <c r="H8" s="22" t="s">
        <v>182</v>
      </c>
      <c r="I8" s="22"/>
      <c r="J8" s="22" t="s">
        <v>183</v>
      </c>
      <c r="K8" s="22" t="s">
        <v>59</v>
      </c>
      <c r="L8" s="22" t="s">
        <v>184</v>
      </c>
      <c r="M8" s="22" t="s">
        <v>185</v>
      </c>
    </row>
    <row r="9" customFormat="false" ht="43.5" hidden="false" customHeight="true" outlineLevel="0" collapsed="false">
      <c r="A9" s="22" t="s">
        <v>198</v>
      </c>
      <c r="B9" s="22" t="s">
        <v>61</v>
      </c>
      <c r="C9" s="22" t="s">
        <v>61</v>
      </c>
      <c r="D9" s="22"/>
      <c r="E9" s="22" t="str">
        <f aca="false">IF(D9="","",IFERROR(VLOOKUP(D9,$A$2:$B$1656,2,FALSE()),""))</f>
        <v/>
      </c>
      <c r="F9" s="22" t="n">
        <v>1</v>
      </c>
      <c r="G9" s="22" t="s">
        <v>199</v>
      </c>
      <c r="H9" s="22" t="s">
        <v>182</v>
      </c>
      <c r="I9" s="22"/>
      <c r="J9" s="22" t="s">
        <v>183</v>
      </c>
      <c r="K9" s="22" t="s">
        <v>61</v>
      </c>
      <c r="L9" s="22" t="s">
        <v>184</v>
      </c>
      <c r="M9" s="22" t="s">
        <v>185</v>
      </c>
    </row>
    <row r="10" customFormat="false" ht="43.5" hidden="false" customHeight="true" outlineLevel="0" collapsed="false">
      <c r="A10" s="22" t="s">
        <v>200</v>
      </c>
      <c r="B10" s="22" t="s">
        <v>201</v>
      </c>
      <c r="C10" s="22" t="s">
        <v>47</v>
      </c>
      <c r="D10" s="22" t="s">
        <v>180</v>
      </c>
      <c r="E10" s="22" t="str">
        <f aca="false">IF(D10="","",IFERROR(VLOOKUP(D10,$A$2:$B$1656,2,FALSE()),""))</f>
        <v>People &amp; Beings</v>
      </c>
      <c r="F10" s="22" t="n">
        <v>2</v>
      </c>
      <c r="G10" s="22" t="s">
        <v>202</v>
      </c>
      <c r="H10" s="22" t="s">
        <v>203</v>
      </c>
      <c r="I10" s="22"/>
      <c r="J10" s="22" t="s">
        <v>204</v>
      </c>
      <c r="K10" s="22" t="s">
        <v>205</v>
      </c>
      <c r="L10" s="22" t="s">
        <v>184</v>
      </c>
      <c r="M10" s="22" t="s">
        <v>206</v>
      </c>
    </row>
    <row r="11" customFormat="false" ht="43.5" hidden="false" customHeight="true" outlineLevel="0" collapsed="false">
      <c r="A11" s="22" t="s">
        <v>207</v>
      </c>
      <c r="B11" s="22" t="s">
        <v>208</v>
      </c>
      <c r="C11" s="22" t="s">
        <v>47</v>
      </c>
      <c r="D11" s="22" t="s">
        <v>180</v>
      </c>
      <c r="E11" s="22" t="str">
        <f aca="false">IF(D11="","",IFERROR(VLOOKUP(D11,$A$2:$B$1656,2,FALSE()),""))</f>
        <v>People &amp; Beings</v>
      </c>
      <c r="F11" s="22" t="n">
        <v>2</v>
      </c>
      <c r="G11" s="22" t="s">
        <v>209</v>
      </c>
      <c r="H11" s="22" t="s">
        <v>203</v>
      </c>
      <c r="I11" s="22"/>
      <c r="J11" s="22" t="s">
        <v>204</v>
      </c>
      <c r="K11" s="22" t="s">
        <v>210</v>
      </c>
      <c r="L11" s="22" t="s">
        <v>184</v>
      </c>
      <c r="M11" s="22" t="s">
        <v>206</v>
      </c>
    </row>
    <row r="12" customFormat="false" ht="43.5" hidden="false" customHeight="true" outlineLevel="0" collapsed="false">
      <c r="A12" s="22" t="s">
        <v>211</v>
      </c>
      <c r="B12" s="22" t="s">
        <v>212</v>
      </c>
      <c r="C12" s="22" t="s">
        <v>47</v>
      </c>
      <c r="D12" s="22" t="s">
        <v>180</v>
      </c>
      <c r="E12" s="22" t="str">
        <f aca="false">IF(D12="","",IFERROR(VLOOKUP(D12,$A$2:$B$1656,2,FALSE()),""))</f>
        <v>People &amp; Beings</v>
      </c>
      <c r="F12" s="22" t="n">
        <v>2</v>
      </c>
      <c r="G12" s="22" t="s">
        <v>213</v>
      </c>
      <c r="H12" s="22" t="s">
        <v>203</v>
      </c>
      <c r="I12" s="22"/>
      <c r="J12" s="22" t="s">
        <v>204</v>
      </c>
      <c r="K12" s="22" t="s">
        <v>214</v>
      </c>
      <c r="L12" s="22" t="s">
        <v>184</v>
      </c>
      <c r="M12" s="22" t="s">
        <v>206</v>
      </c>
    </row>
    <row r="13" customFormat="false" ht="43.5" hidden="false" customHeight="true" outlineLevel="0" collapsed="false">
      <c r="A13" s="22" t="s">
        <v>215</v>
      </c>
      <c r="B13" s="22" t="s">
        <v>216</v>
      </c>
      <c r="C13" s="22" t="s">
        <v>47</v>
      </c>
      <c r="D13" s="22" t="s">
        <v>180</v>
      </c>
      <c r="E13" s="22" t="str">
        <f aca="false">IF(D13="","",IFERROR(VLOOKUP(D13,$A$2:$B$1656,2,FALSE()),""))</f>
        <v>People &amp; Beings</v>
      </c>
      <c r="F13" s="22" t="n">
        <v>2</v>
      </c>
      <c r="G13" s="22" t="s">
        <v>217</v>
      </c>
      <c r="H13" s="22" t="s">
        <v>203</v>
      </c>
      <c r="I13" s="22"/>
      <c r="J13" s="22" t="s">
        <v>204</v>
      </c>
      <c r="K13" s="22" t="s">
        <v>218</v>
      </c>
      <c r="L13" s="22" t="s">
        <v>184</v>
      </c>
      <c r="M13" s="22" t="s">
        <v>206</v>
      </c>
    </row>
    <row r="14" customFormat="false" ht="43.5" hidden="false" customHeight="true" outlineLevel="0" collapsed="false">
      <c r="A14" s="22" t="s">
        <v>219</v>
      </c>
      <c r="B14" s="22" t="s">
        <v>220</v>
      </c>
      <c r="C14" s="22" t="s">
        <v>47</v>
      </c>
      <c r="D14" s="22" t="s">
        <v>180</v>
      </c>
      <c r="E14" s="22" t="str">
        <f aca="false">IF(D14="","",IFERROR(VLOOKUP(D14,$A$2:$B$1656,2,FALSE()),""))</f>
        <v>People &amp; Beings</v>
      </c>
      <c r="F14" s="22" t="n">
        <v>2</v>
      </c>
      <c r="G14" s="22" t="s">
        <v>221</v>
      </c>
      <c r="H14" s="22" t="s">
        <v>203</v>
      </c>
      <c r="I14" s="22"/>
      <c r="J14" s="22" t="s">
        <v>204</v>
      </c>
      <c r="K14" s="22" t="s">
        <v>222</v>
      </c>
      <c r="L14" s="22" t="s">
        <v>184</v>
      </c>
      <c r="M14" s="22" t="s">
        <v>206</v>
      </c>
    </row>
    <row r="15" customFormat="false" ht="43.5" hidden="false" customHeight="true" outlineLevel="0" collapsed="false">
      <c r="A15" s="22" t="s">
        <v>223</v>
      </c>
      <c r="B15" s="22" t="s">
        <v>224</v>
      </c>
      <c r="C15" s="22" t="s">
        <v>47</v>
      </c>
      <c r="D15" s="22" t="s">
        <v>180</v>
      </c>
      <c r="E15" s="22" t="str">
        <f aca="false">IF(D15="","",IFERROR(VLOOKUP(D15,$A$2:$B$1656,2,FALSE()),""))</f>
        <v>People &amp; Beings</v>
      </c>
      <c r="F15" s="22" t="n">
        <v>2</v>
      </c>
      <c r="G15" s="22" t="s">
        <v>225</v>
      </c>
      <c r="H15" s="22" t="s">
        <v>203</v>
      </c>
      <c r="I15" s="22"/>
      <c r="J15" s="22" t="s">
        <v>204</v>
      </c>
      <c r="K15" s="22" t="s">
        <v>226</v>
      </c>
      <c r="L15" s="22" t="s">
        <v>184</v>
      </c>
      <c r="M15" s="22" t="s">
        <v>206</v>
      </c>
    </row>
    <row r="16" customFormat="false" ht="43.5" hidden="false" customHeight="true" outlineLevel="0" collapsed="false">
      <c r="A16" s="22" t="s">
        <v>227</v>
      </c>
      <c r="B16" s="22" t="s">
        <v>228</v>
      </c>
      <c r="C16" s="22" t="s">
        <v>47</v>
      </c>
      <c r="D16" s="22" t="s">
        <v>180</v>
      </c>
      <c r="E16" s="22" t="str">
        <f aca="false">IF(D16="","",IFERROR(VLOOKUP(D16,$A$2:$B$1656,2,FALSE()),""))</f>
        <v>People &amp; Beings</v>
      </c>
      <c r="F16" s="22" t="n">
        <v>2</v>
      </c>
      <c r="G16" s="22" t="s">
        <v>229</v>
      </c>
      <c r="H16" s="22" t="s">
        <v>203</v>
      </c>
      <c r="I16" s="22"/>
      <c r="J16" s="22" t="s">
        <v>204</v>
      </c>
      <c r="K16" s="22" t="s">
        <v>230</v>
      </c>
      <c r="L16" s="22" t="s">
        <v>184</v>
      </c>
      <c r="M16" s="22" t="s">
        <v>206</v>
      </c>
    </row>
    <row r="17" customFormat="false" ht="43.5" hidden="false" customHeight="true" outlineLevel="0" collapsed="false">
      <c r="A17" s="22" t="s">
        <v>231</v>
      </c>
      <c r="B17" s="22" t="s">
        <v>232</v>
      </c>
      <c r="C17" s="22" t="s">
        <v>47</v>
      </c>
      <c r="D17" s="22" t="s">
        <v>180</v>
      </c>
      <c r="E17" s="22" t="str">
        <f aca="false">IF(D17="","",IFERROR(VLOOKUP(D17,$A$2:$B$1656,2,FALSE()),""))</f>
        <v>People &amp; Beings</v>
      </c>
      <c r="F17" s="22" t="n">
        <v>2</v>
      </c>
      <c r="G17" s="22" t="s">
        <v>233</v>
      </c>
      <c r="H17" s="22" t="s">
        <v>203</v>
      </c>
      <c r="I17" s="22"/>
      <c r="J17" s="22" t="s">
        <v>204</v>
      </c>
      <c r="K17" s="22" t="s">
        <v>234</v>
      </c>
      <c r="L17" s="22" t="s">
        <v>184</v>
      </c>
      <c r="M17" s="22" t="s">
        <v>206</v>
      </c>
    </row>
    <row r="18" customFormat="false" ht="43.5" hidden="false" customHeight="true" outlineLevel="0" collapsed="false">
      <c r="A18" s="22" t="s">
        <v>235</v>
      </c>
      <c r="B18" s="22" t="s">
        <v>236</v>
      </c>
      <c r="C18" s="22" t="s">
        <v>47</v>
      </c>
      <c r="D18" s="22" t="s">
        <v>180</v>
      </c>
      <c r="E18" s="22" t="str">
        <f aca="false">IF(D18="","",IFERROR(VLOOKUP(D18,$A$2:$B$1656,2,FALSE()),""))</f>
        <v>People &amp; Beings</v>
      </c>
      <c r="F18" s="22" t="n">
        <v>2</v>
      </c>
      <c r="G18" s="22" t="s">
        <v>237</v>
      </c>
      <c r="H18" s="22" t="s">
        <v>203</v>
      </c>
      <c r="I18" s="22"/>
      <c r="J18" s="22" t="s">
        <v>204</v>
      </c>
      <c r="K18" s="22" t="s">
        <v>238</v>
      </c>
      <c r="L18" s="22" t="s">
        <v>184</v>
      </c>
      <c r="M18" s="22" t="s">
        <v>206</v>
      </c>
    </row>
    <row r="19" customFormat="false" ht="43.5" hidden="false" customHeight="true" outlineLevel="0" collapsed="false">
      <c r="A19" s="22" t="s">
        <v>239</v>
      </c>
      <c r="B19" s="22" t="s">
        <v>240</v>
      </c>
      <c r="C19" s="22" t="s">
        <v>47</v>
      </c>
      <c r="D19" s="22" t="s">
        <v>180</v>
      </c>
      <c r="E19" s="22" t="str">
        <f aca="false">IF(D19="","",IFERROR(VLOOKUP(D19,$A$2:$B$1656,2,FALSE()),""))</f>
        <v>People &amp; Beings</v>
      </c>
      <c r="F19" s="22" t="n">
        <v>2</v>
      </c>
      <c r="G19" s="22" t="s">
        <v>241</v>
      </c>
      <c r="H19" s="22" t="s">
        <v>203</v>
      </c>
      <c r="I19" s="22"/>
      <c r="J19" s="22" t="s">
        <v>204</v>
      </c>
      <c r="K19" s="22" t="s">
        <v>242</v>
      </c>
      <c r="L19" s="22" t="s">
        <v>184</v>
      </c>
      <c r="M19" s="22" t="s">
        <v>206</v>
      </c>
    </row>
    <row r="20" customFormat="false" ht="43.5" hidden="false" customHeight="true" outlineLevel="0" collapsed="false">
      <c r="A20" s="22" t="s">
        <v>243</v>
      </c>
      <c r="B20" s="22" t="s">
        <v>244</v>
      </c>
      <c r="C20" s="22" t="s">
        <v>47</v>
      </c>
      <c r="D20" s="22" t="s">
        <v>180</v>
      </c>
      <c r="E20" s="22" t="str">
        <f aca="false">IF(D20="","",IFERROR(VLOOKUP(D20,$A$2:$B$1656,2,FALSE()),""))</f>
        <v>People &amp; Beings</v>
      </c>
      <c r="F20" s="22" t="n">
        <v>2</v>
      </c>
      <c r="G20" s="22" t="s">
        <v>245</v>
      </c>
      <c r="H20" s="22" t="s">
        <v>203</v>
      </c>
      <c r="I20" s="22"/>
      <c r="J20" s="22" t="s">
        <v>204</v>
      </c>
      <c r="K20" s="22" t="s">
        <v>246</v>
      </c>
      <c r="L20" s="22" t="s">
        <v>184</v>
      </c>
      <c r="M20" s="22" t="s">
        <v>206</v>
      </c>
    </row>
    <row r="21" customFormat="false" ht="43.5" hidden="false" customHeight="true" outlineLevel="0" collapsed="false">
      <c r="A21" s="22" t="s">
        <v>247</v>
      </c>
      <c r="B21" s="22" t="s">
        <v>248</v>
      </c>
      <c r="C21" s="22" t="s">
        <v>47</v>
      </c>
      <c r="D21" s="22" t="s">
        <v>200</v>
      </c>
      <c r="E21" s="22" t="str">
        <f aca="false">IF(D21="","",IFERROR(VLOOKUP(D21,$A$2:$B$1656,2,FALSE()),""))</f>
        <v>Mortal and Natural Peoples</v>
      </c>
      <c r="F21" s="22" t="n">
        <v>3</v>
      </c>
      <c r="G21" s="22" t="s">
        <v>249</v>
      </c>
      <c r="H21" s="22" t="s">
        <v>250</v>
      </c>
      <c r="I21" s="22" t="s">
        <v>251</v>
      </c>
      <c r="J21" s="22" t="s">
        <v>252</v>
      </c>
      <c r="K21" s="22" t="s">
        <v>251</v>
      </c>
      <c r="L21" s="22" t="s">
        <v>184</v>
      </c>
      <c r="M21" s="22" t="s">
        <v>253</v>
      </c>
    </row>
    <row r="22" customFormat="false" ht="43.5" hidden="false" customHeight="true" outlineLevel="0" collapsed="false">
      <c r="A22" s="22" t="s">
        <v>254</v>
      </c>
      <c r="B22" s="22" t="s">
        <v>255</v>
      </c>
      <c r="C22" s="22" t="s">
        <v>47</v>
      </c>
      <c r="D22" s="22" t="s">
        <v>200</v>
      </c>
      <c r="E22" s="22" t="str">
        <f aca="false">IF(D22="","",IFERROR(VLOOKUP(D22,$A$2:$B$1656,2,FALSE()),""))</f>
        <v>Mortal and Natural Peoples</v>
      </c>
      <c r="F22" s="22" t="n">
        <v>3</v>
      </c>
      <c r="G22" s="22" t="s">
        <v>256</v>
      </c>
      <c r="H22" s="22" t="s">
        <v>250</v>
      </c>
      <c r="I22" s="22" t="s">
        <v>257</v>
      </c>
      <c r="J22" s="22" t="s">
        <v>252</v>
      </c>
      <c r="K22" s="22" t="s">
        <v>257</v>
      </c>
      <c r="L22" s="22" t="s">
        <v>258</v>
      </c>
      <c r="M22" s="22" t="s">
        <v>253</v>
      </c>
    </row>
    <row r="23" customFormat="false" ht="43.5" hidden="false" customHeight="true" outlineLevel="0" collapsed="false">
      <c r="A23" s="22" t="s">
        <v>259</v>
      </c>
      <c r="B23" s="22" t="s">
        <v>260</v>
      </c>
      <c r="C23" s="22" t="s">
        <v>47</v>
      </c>
      <c r="D23" s="22" t="s">
        <v>200</v>
      </c>
      <c r="E23" s="22" t="str">
        <f aca="false">IF(D23="","",IFERROR(VLOOKUP(D23,$A$2:$B$1656,2,FALSE()),""))</f>
        <v>Mortal and Natural Peoples</v>
      </c>
      <c r="F23" s="22" t="n">
        <v>3</v>
      </c>
      <c r="G23" s="22" t="s">
        <v>261</v>
      </c>
      <c r="H23" s="22" t="s">
        <v>250</v>
      </c>
      <c r="I23" s="22" t="s">
        <v>262</v>
      </c>
      <c r="J23" s="22" t="s">
        <v>252</v>
      </c>
      <c r="K23" s="22" t="s">
        <v>262</v>
      </c>
      <c r="L23" s="22" t="s">
        <v>184</v>
      </c>
      <c r="M23" s="22" t="s">
        <v>253</v>
      </c>
    </row>
    <row r="24" customFormat="false" ht="43.5" hidden="false" customHeight="true" outlineLevel="0" collapsed="false">
      <c r="A24" s="22" t="s">
        <v>263</v>
      </c>
      <c r="B24" s="22" t="s">
        <v>264</v>
      </c>
      <c r="C24" s="22" t="s">
        <v>47</v>
      </c>
      <c r="D24" s="22" t="s">
        <v>200</v>
      </c>
      <c r="E24" s="22" t="str">
        <f aca="false">IF(D24="","",IFERROR(VLOOKUP(D24,$A$2:$B$1656,2,FALSE()),""))</f>
        <v>Mortal and Natural Peoples</v>
      </c>
      <c r="F24" s="22" t="n">
        <v>3</v>
      </c>
      <c r="G24" s="22" t="s">
        <v>265</v>
      </c>
      <c r="H24" s="22" t="s">
        <v>250</v>
      </c>
      <c r="I24" s="22" t="s">
        <v>266</v>
      </c>
      <c r="J24" s="22" t="s">
        <v>252</v>
      </c>
      <c r="K24" s="22" t="s">
        <v>266</v>
      </c>
      <c r="L24" s="22" t="s">
        <v>184</v>
      </c>
      <c r="M24" s="22" t="s">
        <v>253</v>
      </c>
    </row>
    <row r="25" customFormat="false" ht="43.5" hidden="false" customHeight="true" outlineLevel="0" collapsed="false">
      <c r="A25" s="22" t="s">
        <v>267</v>
      </c>
      <c r="B25" s="22" t="s">
        <v>268</v>
      </c>
      <c r="C25" s="22" t="s">
        <v>47</v>
      </c>
      <c r="D25" s="22" t="s">
        <v>200</v>
      </c>
      <c r="E25" s="22" t="str">
        <f aca="false">IF(D25="","",IFERROR(VLOOKUP(D25,$A$2:$B$1656,2,FALSE()),""))</f>
        <v>Mortal and Natural Peoples</v>
      </c>
      <c r="F25" s="22" t="n">
        <v>3</v>
      </c>
      <c r="G25" s="22" t="s">
        <v>269</v>
      </c>
      <c r="H25" s="22" t="s">
        <v>250</v>
      </c>
      <c r="I25" s="22" t="s">
        <v>270</v>
      </c>
      <c r="J25" s="22" t="s">
        <v>252</v>
      </c>
      <c r="K25" s="22" t="s">
        <v>270</v>
      </c>
      <c r="L25" s="22" t="s">
        <v>184</v>
      </c>
      <c r="M25" s="22" t="s">
        <v>253</v>
      </c>
    </row>
    <row r="26" customFormat="false" ht="43.5" hidden="false" customHeight="true" outlineLevel="0" collapsed="false">
      <c r="A26" s="22" t="s">
        <v>271</v>
      </c>
      <c r="B26" s="22" t="s">
        <v>272</v>
      </c>
      <c r="C26" s="22" t="s">
        <v>47</v>
      </c>
      <c r="D26" s="22" t="s">
        <v>200</v>
      </c>
      <c r="E26" s="22" t="str">
        <f aca="false">IF(D26="","",IFERROR(VLOOKUP(D26,$A$2:$B$1656,2,FALSE()),""))</f>
        <v>Mortal and Natural Peoples</v>
      </c>
      <c r="F26" s="22" t="n">
        <v>3</v>
      </c>
      <c r="G26" s="22" t="s">
        <v>273</v>
      </c>
      <c r="H26" s="22" t="s">
        <v>250</v>
      </c>
      <c r="I26" s="22" t="s">
        <v>274</v>
      </c>
      <c r="J26" s="22" t="s">
        <v>252</v>
      </c>
      <c r="K26" s="22" t="s">
        <v>274</v>
      </c>
      <c r="L26" s="22" t="s">
        <v>275</v>
      </c>
      <c r="M26" s="22" t="s">
        <v>253</v>
      </c>
    </row>
    <row r="27" customFormat="false" ht="43.5" hidden="false" customHeight="true" outlineLevel="0" collapsed="false">
      <c r="A27" s="22" t="s">
        <v>276</v>
      </c>
      <c r="B27" s="22" t="s">
        <v>277</v>
      </c>
      <c r="C27" s="22" t="s">
        <v>47</v>
      </c>
      <c r="D27" s="22" t="s">
        <v>200</v>
      </c>
      <c r="E27" s="22" t="str">
        <f aca="false">IF(D27="","",IFERROR(VLOOKUP(D27,$A$2:$B$1656,2,FALSE()),""))</f>
        <v>Mortal and Natural Peoples</v>
      </c>
      <c r="F27" s="22" t="n">
        <v>3</v>
      </c>
      <c r="G27" s="22" t="s">
        <v>278</v>
      </c>
      <c r="H27" s="22" t="s">
        <v>250</v>
      </c>
      <c r="I27" s="22" t="s">
        <v>279</v>
      </c>
      <c r="J27" s="22" t="s">
        <v>252</v>
      </c>
      <c r="K27" s="22" t="s">
        <v>279</v>
      </c>
      <c r="L27" s="22" t="s">
        <v>184</v>
      </c>
      <c r="M27" s="22" t="s">
        <v>253</v>
      </c>
    </row>
    <row r="28" customFormat="false" ht="43.5" hidden="false" customHeight="true" outlineLevel="0" collapsed="false">
      <c r="A28" s="22" t="s">
        <v>280</v>
      </c>
      <c r="B28" s="22" t="s">
        <v>281</v>
      </c>
      <c r="C28" s="22" t="s">
        <v>47</v>
      </c>
      <c r="D28" s="22" t="s">
        <v>200</v>
      </c>
      <c r="E28" s="22" t="str">
        <f aca="false">IF(D28="","",IFERROR(VLOOKUP(D28,$A$2:$B$1656,2,FALSE()),""))</f>
        <v>Mortal and Natural Peoples</v>
      </c>
      <c r="F28" s="22" t="n">
        <v>3</v>
      </c>
      <c r="G28" s="22" t="s">
        <v>282</v>
      </c>
      <c r="H28" s="22" t="s">
        <v>250</v>
      </c>
      <c r="I28" s="22" t="s">
        <v>283</v>
      </c>
      <c r="J28" s="22" t="s">
        <v>252</v>
      </c>
      <c r="K28" s="22" t="s">
        <v>283</v>
      </c>
      <c r="L28" s="22" t="s">
        <v>184</v>
      </c>
      <c r="M28" s="22" t="s">
        <v>253</v>
      </c>
    </row>
    <row r="29" customFormat="false" ht="43.5" hidden="false" customHeight="true" outlineLevel="0" collapsed="false">
      <c r="A29" s="22" t="s">
        <v>284</v>
      </c>
      <c r="B29" s="22" t="s">
        <v>285</v>
      </c>
      <c r="C29" s="22" t="s">
        <v>47</v>
      </c>
      <c r="D29" s="22" t="s">
        <v>200</v>
      </c>
      <c r="E29" s="22" t="str">
        <f aca="false">IF(D29="","",IFERROR(VLOOKUP(D29,$A$2:$B$1656,2,FALSE()),""))</f>
        <v>Mortal and Natural Peoples</v>
      </c>
      <c r="F29" s="22" t="n">
        <v>3</v>
      </c>
      <c r="G29" s="22" t="s">
        <v>286</v>
      </c>
      <c r="H29" s="22" t="s">
        <v>250</v>
      </c>
      <c r="I29" s="22" t="s">
        <v>287</v>
      </c>
      <c r="J29" s="22" t="s">
        <v>252</v>
      </c>
      <c r="K29" s="22" t="s">
        <v>287</v>
      </c>
      <c r="L29" s="22" t="s">
        <v>184</v>
      </c>
      <c r="M29" s="22" t="s">
        <v>253</v>
      </c>
    </row>
    <row r="30" customFormat="false" ht="43.5" hidden="false" customHeight="true" outlineLevel="0" collapsed="false">
      <c r="A30" s="22" t="s">
        <v>288</v>
      </c>
      <c r="B30" s="22" t="s">
        <v>289</v>
      </c>
      <c r="C30" s="22" t="s">
        <v>47</v>
      </c>
      <c r="D30" s="22" t="s">
        <v>200</v>
      </c>
      <c r="E30" s="22" t="str">
        <f aca="false">IF(D30="","",IFERROR(VLOOKUP(D30,$A$2:$B$1656,2,FALSE()),""))</f>
        <v>Mortal and Natural Peoples</v>
      </c>
      <c r="F30" s="22" t="n">
        <v>3</v>
      </c>
      <c r="G30" s="22" t="s">
        <v>290</v>
      </c>
      <c r="H30" s="22" t="s">
        <v>250</v>
      </c>
      <c r="I30" s="22" t="s">
        <v>291</v>
      </c>
      <c r="J30" s="22" t="s">
        <v>252</v>
      </c>
      <c r="K30" s="22" t="s">
        <v>291</v>
      </c>
      <c r="L30" s="22" t="s">
        <v>292</v>
      </c>
      <c r="M30" s="22" t="s">
        <v>253</v>
      </c>
    </row>
    <row r="31" customFormat="false" ht="43.5" hidden="false" customHeight="true" outlineLevel="0" collapsed="false">
      <c r="A31" s="22" t="s">
        <v>293</v>
      </c>
      <c r="B31" s="22" t="s">
        <v>294</v>
      </c>
      <c r="C31" s="22" t="s">
        <v>47</v>
      </c>
      <c r="D31" s="22" t="s">
        <v>200</v>
      </c>
      <c r="E31" s="22" t="str">
        <f aca="false">IF(D31="","",IFERROR(VLOOKUP(D31,$A$2:$B$1656,2,FALSE()),""))</f>
        <v>Mortal and Natural Peoples</v>
      </c>
      <c r="F31" s="22" t="n">
        <v>3</v>
      </c>
      <c r="G31" s="22" t="s">
        <v>295</v>
      </c>
      <c r="H31" s="22" t="s">
        <v>250</v>
      </c>
      <c r="I31" s="22" t="s">
        <v>296</v>
      </c>
      <c r="J31" s="22" t="s">
        <v>252</v>
      </c>
      <c r="K31" s="22" t="s">
        <v>296</v>
      </c>
      <c r="L31" s="22" t="s">
        <v>184</v>
      </c>
      <c r="M31" s="22" t="s">
        <v>253</v>
      </c>
    </row>
    <row r="32" customFormat="false" ht="43.5" hidden="false" customHeight="true" outlineLevel="0" collapsed="false">
      <c r="A32" s="22" t="s">
        <v>297</v>
      </c>
      <c r="B32" s="22" t="s">
        <v>298</v>
      </c>
      <c r="C32" s="22" t="s">
        <v>47</v>
      </c>
      <c r="D32" s="22" t="s">
        <v>200</v>
      </c>
      <c r="E32" s="22" t="str">
        <f aca="false">IF(D32="","",IFERROR(VLOOKUP(D32,$A$2:$B$1656,2,FALSE()),""))</f>
        <v>Mortal and Natural Peoples</v>
      </c>
      <c r="F32" s="22" t="n">
        <v>3</v>
      </c>
      <c r="G32" s="22" t="s">
        <v>299</v>
      </c>
      <c r="H32" s="22" t="s">
        <v>250</v>
      </c>
      <c r="I32" s="22" t="s">
        <v>300</v>
      </c>
      <c r="J32" s="22" t="s">
        <v>252</v>
      </c>
      <c r="K32" s="22" t="s">
        <v>300</v>
      </c>
      <c r="L32" s="22" t="s">
        <v>184</v>
      </c>
      <c r="M32" s="22" t="s">
        <v>253</v>
      </c>
    </row>
    <row r="33" customFormat="false" ht="43.5" hidden="false" customHeight="true" outlineLevel="0" collapsed="false">
      <c r="A33" s="22" t="s">
        <v>301</v>
      </c>
      <c r="B33" s="22" t="s">
        <v>302</v>
      </c>
      <c r="C33" s="22" t="s">
        <v>47</v>
      </c>
      <c r="D33" s="22" t="s">
        <v>200</v>
      </c>
      <c r="E33" s="22" t="str">
        <f aca="false">IF(D33="","",IFERROR(VLOOKUP(D33,$A$2:$B$1656,2,FALSE()),""))</f>
        <v>Mortal and Natural Peoples</v>
      </c>
      <c r="F33" s="22" t="n">
        <v>3</v>
      </c>
      <c r="G33" s="22" t="s">
        <v>303</v>
      </c>
      <c r="H33" s="22" t="s">
        <v>250</v>
      </c>
      <c r="I33" s="22" t="s">
        <v>304</v>
      </c>
      <c r="J33" s="22" t="s">
        <v>252</v>
      </c>
      <c r="K33" s="22" t="s">
        <v>304</v>
      </c>
      <c r="L33" s="22" t="s">
        <v>305</v>
      </c>
      <c r="M33" s="22" t="s">
        <v>253</v>
      </c>
    </row>
    <row r="34" customFormat="false" ht="43.5" hidden="false" customHeight="true" outlineLevel="0" collapsed="false">
      <c r="A34" s="22" t="s">
        <v>306</v>
      </c>
      <c r="B34" s="22" t="s">
        <v>307</v>
      </c>
      <c r="C34" s="22" t="s">
        <v>47</v>
      </c>
      <c r="D34" s="22" t="s">
        <v>200</v>
      </c>
      <c r="E34" s="22" t="str">
        <f aca="false">IF(D34="","",IFERROR(VLOOKUP(D34,$A$2:$B$1656,2,FALSE()),""))</f>
        <v>Mortal and Natural Peoples</v>
      </c>
      <c r="F34" s="22" t="n">
        <v>3</v>
      </c>
      <c r="G34" s="22" t="s">
        <v>308</v>
      </c>
      <c r="H34" s="22" t="s">
        <v>250</v>
      </c>
      <c r="I34" s="22" t="s">
        <v>309</v>
      </c>
      <c r="J34" s="22" t="s">
        <v>252</v>
      </c>
      <c r="K34" s="22" t="s">
        <v>309</v>
      </c>
      <c r="L34" s="22" t="s">
        <v>184</v>
      </c>
      <c r="M34" s="22" t="s">
        <v>253</v>
      </c>
    </row>
    <row r="35" customFormat="false" ht="43.5" hidden="false" customHeight="true" outlineLevel="0" collapsed="false">
      <c r="A35" s="22" t="s">
        <v>310</v>
      </c>
      <c r="B35" s="22" t="s">
        <v>311</v>
      </c>
      <c r="C35" s="22" t="s">
        <v>47</v>
      </c>
      <c r="D35" s="22" t="s">
        <v>200</v>
      </c>
      <c r="E35" s="22" t="str">
        <f aca="false">IF(D35="","",IFERROR(VLOOKUP(D35,$A$2:$B$1656,2,FALSE()),""))</f>
        <v>Mortal and Natural Peoples</v>
      </c>
      <c r="F35" s="22" t="n">
        <v>3</v>
      </c>
      <c r="G35" s="22" t="s">
        <v>312</v>
      </c>
      <c r="H35" s="22" t="s">
        <v>250</v>
      </c>
      <c r="I35" s="22" t="s">
        <v>313</v>
      </c>
      <c r="J35" s="22" t="s">
        <v>252</v>
      </c>
      <c r="K35" s="22" t="s">
        <v>313</v>
      </c>
      <c r="L35" s="22" t="s">
        <v>184</v>
      </c>
      <c r="M35" s="22" t="s">
        <v>253</v>
      </c>
    </row>
    <row r="36" customFormat="false" ht="43.5" hidden="false" customHeight="true" outlineLevel="0" collapsed="false">
      <c r="A36" s="22" t="s">
        <v>314</v>
      </c>
      <c r="B36" s="22" t="s">
        <v>315</v>
      </c>
      <c r="C36" s="22" t="s">
        <v>47</v>
      </c>
      <c r="D36" s="22" t="s">
        <v>200</v>
      </c>
      <c r="E36" s="22" t="str">
        <f aca="false">IF(D36="","",IFERROR(VLOOKUP(D36,$A$2:$B$1656,2,FALSE()),""))</f>
        <v>Mortal and Natural Peoples</v>
      </c>
      <c r="F36" s="22" t="n">
        <v>3</v>
      </c>
      <c r="G36" s="22" t="s">
        <v>316</v>
      </c>
      <c r="H36" s="22" t="s">
        <v>250</v>
      </c>
      <c r="I36" s="22" t="s">
        <v>317</v>
      </c>
      <c r="J36" s="22" t="s">
        <v>252</v>
      </c>
      <c r="K36" s="22" t="s">
        <v>317</v>
      </c>
      <c r="L36" s="22" t="s">
        <v>184</v>
      </c>
      <c r="M36" s="22" t="s">
        <v>253</v>
      </c>
    </row>
    <row r="37" customFormat="false" ht="43.5" hidden="false" customHeight="true" outlineLevel="0" collapsed="false">
      <c r="A37" s="22" t="s">
        <v>318</v>
      </c>
      <c r="B37" s="22" t="s">
        <v>319</v>
      </c>
      <c r="C37" s="22" t="s">
        <v>47</v>
      </c>
      <c r="D37" s="22" t="s">
        <v>200</v>
      </c>
      <c r="E37" s="22" t="str">
        <f aca="false">IF(D37="","",IFERROR(VLOOKUP(D37,$A$2:$B$1656,2,FALSE()),""))</f>
        <v>Mortal and Natural Peoples</v>
      </c>
      <c r="F37" s="22" t="n">
        <v>3</v>
      </c>
      <c r="G37" s="22" t="s">
        <v>320</v>
      </c>
      <c r="H37" s="22" t="s">
        <v>250</v>
      </c>
      <c r="I37" s="22" t="s">
        <v>321</v>
      </c>
      <c r="J37" s="22" t="s">
        <v>252</v>
      </c>
      <c r="K37" s="22" t="s">
        <v>321</v>
      </c>
      <c r="L37" s="22" t="s">
        <v>184</v>
      </c>
      <c r="M37" s="22" t="s">
        <v>253</v>
      </c>
    </row>
    <row r="38" customFormat="false" ht="43.5" hidden="false" customHeight="true" outlineLevel="0" collapsed="false">
      <c r="A38" s="22" t="s">
        <v>322</v>
      </c>
      <c r="B38" s="22" t="s">
        <v>323</v>
      </c>
      <c r="C38" s="22" t="s">
        <v>47</v>
      </c>
      <c r="D38" s="22" t="s">
        <v>200</v>
      </c>
      <c r="E38" s="22" t="str">
        <f aca="false">IF(D38="","",IFERROR(VLOOKUP(D38,$A$2:$B$1656,2,FALSE()),""))</f>
        <v>Mortal and Natural Peoples</v>
      </c>
      <c r="F38" s="22" t="n">
        <v>3</v>
      </c>
      <c r="G38" s="22" t="s">
        <v>324</v>
      </c>
      <c r="H38" s="22" t="s">
        <v>250</v>
      </c>
      <c r="I38" s="22" t="s">
        <v>325</v>
      </c>
      <c r="J38" s="22" t="s">
        <v>252</v>
      </c>
      <c r="K38" s="22" t="s">
        <v>325</v>
      </c>
      <c r="L38" s="22" t="s">
        <v>184</v>
      </c>
      <c r="M38" s="22" t="s">
        <v>253</v>
      </c>
    </row>
    <row r="39" customFormat="false" ht="43.5" hidden="false" customHeight="true" outlineLevel="0" collapsed="false">
      <c r="A39" s="22" t="s">
        <v>326</v>
      </c>
      <c r="B39" s="22" t="s">
        <v>327</v>
      </c>
      <c r="C39" s="22" t="s">
        <v>47</v>
      </c>
      <c r="D39" s="22" t="s">
        <v>200</v>
      </c>
      <c r="E39" s="22" t="str">
        <f aca="false">IF(D39="","",IFERROR(VLOOKUP(D39,$A$2:$B$1656,2,FALSE()),""))</f>
        <v>Mortal and Natural Peoples</v>
      </c>
      <c r="F39" s="22" t="n">
        <v>3</v>
      </c>
      <c r="G39" s="22" t="s">
        <v>328</v>
      </c>
      <c r="H39" s="22" t="s">
        <v>250</v>
      </c>
      <c r="I39" s="22" t="s">
        <v>329</v>
      </c>
      <c r="J39" s="22" t="s">
        <v>252</v>
      </c>
      <c r="K39" s="22" t="s">
        <v>329</v>
      </c>
      <c r="L39" s="22" t="s">
        <v>184</v>
      </c>
      <c r="M39" s="22" t="s">
        <v>253</v>
      </c>
    </row>
    <row r="40" customFormat="false" ht="43.5" hidden="false" customHeight="true" outlineLevel="0" collapsed="false">
      <c r="A40" s="22" t="s">
        <v>330</v>
      </c>
      <c r="B40" s="22" t="s">
        <v>331</v>
      </c>
      <c r="C40" s="22" t="s">
        <v>47</v>
      </c>
      <c r="D40" s="22" t="s">
        <v>200</v>
      </c>
      <c r="E40" s="22" t="str">
        <f aca="false">IF(D40="","",IFERROR(VLOOKUP(D40,$A$2:$B$1656,2,FALSE()),""))</f>
        <v>Mortal and Natural Peoples</v>
      </c>
      <c r="F40" s="22" t="n">
        <v>3</v>
      </c>
      <c r="G40" s="22" t="s">
        <v>332</v>
      </c>
      <c r="H40" s="22" t="s">
        <v>250</v>
      </c>
      <c r="I40" s="22" t="s">
        <v>333</v>
      </c>
      <c r="J40" s="22" t="s">
        <v>252</v>
      </c>
      <c r="K40" s="22" t="s">
        <v>333</v>
      </c>
      <c r="L40" s="22" t="s">
        <v>184</v>
      </c>
      <c r="M40" s="22" t="s">
        <v>253</v>
      </c>
    </row>
    <row r="41" customFormat="false" ht="43.5" hidden="false" customHeight="true" outlineLevel="0" collapsed="false">
      <c r="A41" s="22" t="s">
        <v>334</v>
      </c>
      <c r="B41" s="22" t="s">
        <v>335</v>
      </c>
      <c r="C41" s="22" t="s">
        <v>47</v>
      </c>
      <c r="D41" s="22" t="s">
        <v>200</v>
      </c>
      <c r="E41" s="22" t="str">
        <f aca="false">IF(D41="","",IFERROR(VLOOKUP(D41,$A$2:$B$1656,2,FALSE()),""))</f>
        <v>Mortal and Natural Peoples</v>
      </c>
      <c r="F41" s="22" t="n">
        <v>3</v>
      </c>
      <c r="G41" s="22" t="s">
        <v>336</v>
      </c>
      <c r="H41" s="22" t="s">
        <v>250</v>
      </c>
      <c r="I41" s="22" t="s">
        <v>337</v>
      </c>
      <c r="J41" s="22" t="s">
        <v>252</v>
      </c>
      <c r="K41" s="22" t="s">
        <v>337</v>
      </c>
      <c r="L41" s="22" t="s">
        <v>184</v>
      </c>
      <c r="M41" s="22" t="s">
        <v>253</v>
      </c>
    </row>
    <row r="42" customFormat="false" ht="43.5" hidden="false" customHeight="true" outlineLevel="0" collapsed="false">
      <c r="A42" s="22" t="s">
        <v>338</v>
      </c>
      <c r="B42" s="22" t="s">
        <v>339</v>
      </c>
      <c r="C42" s="22" t="s">
        <v>47</v>
      </c>
      <c r="D42" s="22" t="s">
        <v>200</v>
      </c>
      <c r="E42" s="22" t="str">
        <f aca="false">IF(D42="","",IFERROR(VLOOKUP(D42,$A$2:$B$1656,2,FALSE()),""))</f>
        <v>Mortal and Natural Peoples</v>
      </c>
      <c r="F42" s="22" t="n">
        <v>3</v>
      </c>
      <c r="G42" s="22" t="s">
        <v>340</v>
      </c>
      <c r="H42" s="22" t="s">
        <v>250</v>
      </c>
      <c r="I42" s="22" t="s">
        <v>341</v>
      </c>
      <c r="J42" s="22" t="s">
        <v>252</v>
      </c>
      <c r="K42" s="22" t="s">
        <v>341</v>
      </c>
      <c r="L42" s="22" t="s">
        <v>184</v>
      </c>
      <c r="M42" s="22" t="s">
        <v>253</v>
      </c>
    </row>
    <row r="43" customFormat="false" ht="43.5" hidden="false" customHeight="true" outlineLevel="0" collapsed="false">
      <c r="A43" s="22" t="s">
        <v>342</v>
      </c>
      <c r="B43" s="22" t="s">
        <v>343</v>
      </c>
      <c r="C43" s="22" t="s">
        <v>47</v>
      </c>
      <c r="D43" s="22" t="s">
        <v>200</v>
      </c>
      <c r="E43" s="22" t="str">
        <f aca="false">IF(D43="","",IFERROR(VLOOKUP(D43,$A$2:$B$1656,2,FALSE()),""))</f>
        <v>Mortal and Natural Peoples</v>
      </c>
      <c r="F43" s="22" t="n">
        <v>3</v>
      </c>
      <c r="G43" s="22" t="s">
        <v>344</v>
      </c>
      <c r="H43" s="22" t="s">
        <v>250</v>
      </c>
      <c r="I43" s="22" t="s">
        <v>345</v>
      </c>
      <c r="J43" s="22" t="s">
        <v>252</v>
      </c>
      <c r="K43" s="22" t="s">
        <v>345</v>
      </c>
      <c r="L43" s="22" t="s">
        <v>184</v>
      </c>
      <c r="M43" s="22" t="s">
        <v>253</v>
      </c>
    </row>
    <row r="44" customFormat="false" ht="43.5" hidden="false" customHeight="true" outlineLevel="0" collapsed="false">
      <c r="A44" s="22" t="s">
        <v>346</v>
      </c>
      <c r="B44" s="22" t="s">
        <v>347</v>
      </c>
      <c r="C44" s="22" t="s">
        <v>47</v>
      </c>
      <c r="D44" s="22" t="s">
        <v>200</v>
      </c>
      <c r="E44" s="22" t="str">
        <f aca="false">IF(D44="","",IFERROR(VLOOKUP(D44,$A$2:$B$1656,2,FALSE()),""))</f>
        <v>Mortal and Natural Peoples</v>
      </c>
      <c r="F44" s="22" t="n">
        <v>3</v>
      </c>
      <c r="G44" s="22" t="s">
        <v>348</v>
      </c>
      <c r="H44" s="22" t="s">
        <v>250</v>
      </c>
      <c r="I44" s="22" t="s">
        <v>349</v>
      </c>
      <c r="J44" s="22" t="s">
        <v>252</v>
      </c>
      <c r="K44" s="22" t="s">
        <v>349</v>
      </c>
      <c r="L44" s="22" t="s">
        <v>184</v>
      </c>
      <c r="M44" s="22" t="s">
        <v>253</v>
      </c>
    </row>
    <row r="45" customFormat="false" ht="43.5" hidden="false" customHeight="true" outlineLevel="0" collapsed="false">
      <c r="A45" s="22" t="s">
        <v>350</v>
      </c>
      <c r="B45" s="22" t="s">
        <v>351</v>
      </c>
      <c r="C45" s="22" t="s">
        <v>47</v>
      </c>
      <c r="D45" s="22" t="s">
        <v>200</v>
      </c>
      <c r="E45" s="22" t="str">
        <f aca="false">IF(D45="","",IFERROR(VLOOKUP(D45,$A$2:$B$1656,2,FALSE()),""))</f>
        <v>Mortal and Natural Peoples</v>
      </c>
      <c r="F45" s="22" t="n">
        <v>3</v>
      </c>
      <c r="G45" s="22" t="s">
        <v>352</v>
      </c>
      <c r="H45" s="22" t="s">
        <v>250</v>
      </c>
      <c r="I45" s="22" t="s">
        <v>353</v>
      </c>
      <c r="J45" s="22" t="s">
        <v>252</v>
      </c>
      <c r="K45" s="22" t="s">
        <v>353</v>
      </c>
      <c r="L45" s="22" t="s">
        <v>184</v>
      </c>
      <c r="M45" s="22" t="s">
        <v>253</v>
      </c>
    </row>
    <row r="46" customFormat="false" ht="43.5" hidden="false" customHeight="true" outlineLevel="0" collapsed="false">
      <c r="A46" s="22" t="s">
        <v>354</v>
      </c>
      <c r="B46" s="22" t="s">
        <v>355</v>
      </c>
      <c r="C46" s="22" t="s">
        <v>47</v>
      </c>
      <c r="D46" s="22" t="s">
        <v>200</v>
      </c>
      <c r="E46" s="22" t="str">
        <f aca="false">IF(D46="","",IFERROR(VLOOKUP(D46,$A$2:$B$1656,2,FALSE()),""))</f>
        <v>Mortal and Natural Peoples</v>
      </c>
      <c r="F46" s="22" t="n">
        <v>3</v>
      </c>
      <c r="G46" s="22" t="s">
        <v>356</v>
      </c>
      <c r="H46" s="22" t="s">
        <v>250</v>
      </c>
      <c r="I46" s="22" t="s">
        <v>357</v>
      </c>
      <c r="J46" s="22" t="s">
        <v>252</v>
      </c>
      <c r="K46" s="22" t="s">
        <v>357</v>
      </c>
      <c r="L46" s="22" t="s">
        <v>184</v>
      </c>
      <c r="M46" s="22" t="s">
        <v>253</v>
      </c>
    </row>
    <row r="47" customFormat="false" ht="43.5" hidden="false" customHeight="true" outlineLevel="0" collapsed="false">
      <c r="A47" s="22" t="s">
        <v>358</v>
      </c>
      <c r="B47" s="22" t="s">
        <v>359</v>
      </c>
      <c r="C47" s="22" t="s">
        <v>47</v>
      </c>
      <c r="D47" s="22" t="s">
        <v>200</v>
      </c>
      <c r="E47" s="22" t="str">
        <f aca="false">IF(D47="","",IFERROR(VLOOKUP(D47,$A$2:$B$1656,2,FALSE()),""))</f>
        <v>Mortal and Natural Peoples</v>
      </c>
      <c r="F47" s="22" t="n">
        <v>3</v>
      </c>
      <c r="G47" s="22" t="s">
        <v>360</v>
      </c>
      <c r="H47" s="22" t="s">
        <v>250</v>
      </c>
      <c r="I47" s="22" t="s">
        <v>361</v>
      </c>
      <c r="J47" s="22" t="s">
        <v>252</v>
      </c>
      <c r="K47" s="22" t="s">
        <v>361</v>
      </c>
      <c r="L47" s="22" t="s">
        <v>184</v>
      </c>
      <c r="M47" s="22" t="s">
        <v>253</v>
      </c>
    </row>
    <row r="48" customFormat="false" ht="43.5" hidden="false" customHeight="true" outlineLevel="0" collapsed="false">
      <c r="A48" s="22" t="s">
        <v>362</v>
      </c>
      <c r="B48" s="22" t="s">
        <v>363</v>
      </c>
      <c r="C48" s="22" t="s">
        <v>47</v>
      </c>
      <c r="D48" s="22" t="s">
        <v>200</v>
      </c>
      <c r="E48" s="22" t="str">
        <f aca="false">IF(D48="","",IFERROR(VLOOKUP(D48,$A$2:$B$1656,2,FALSE()),""))</f>
        <v>Mortal and Natural Peoples</v>
      </c>
      <c r="F48" s="22" t="n">
        <v>3</v>
      </c>
      <c r="G48" s="22" t="s">
        <v>364</v>
      </c>
      <c r="H48" s="22" t="s">
        <v>250</v>
      </c>
      <c r="I48" s="22" t="s">
        <v>365</v>
      </c>
      <c r="J48" s="22" t="s">
        <v>252</v>
      </c>
      <c r="K48" s="22" t="s">
        <v>365</v>
      </c>
      <c r="L48" s="22" t="s">
        <v>184</v>
      </c>
      <c r="M48" s="22" t="s">
        <v>253</v>
      </c>
    </row>
    <row r="49" customFormat="false" ht="43.5" hidden="false" customHeight="true" outlineLevel="0" collapsed="false">
      <c r="A49" s="22" t="s">
        <v>366</v>
      </c>
      <c r="B49" s="22" t="s">
        <v>367</v>
      </c>
      <c r="C49" s="22" t="s">
        <v>47</v>
      </c>
      <c r="D49" s="22" t="s">
        <v>200</v>
      </c>
      <c r="E49" s="22" t="str">
        <f aca="false">IF(D49="","",IFERROR(VLOOKUP(D49,$A$2:$B$1656,2,FALSE()),""))</f>
        <v>Mortal and Natural Peoples</v>
      </c>
      <c r="F49" s="22" t="n">
        <v>3</v>
      </c>
      <c r="G49" s="22" t="s">
        <v>368</v>
      </c>
      <c r="H49" s="22" t="s">
        <v>250</v>
      </c>
      <c r="I49" s="22" t="s">
        <v>369</v>
      </c>
      <c r="J49" s="22" t="s">
        <v>252</v>
      </c>
      <c r="K49" s="22" t="s">
        <v>369</v>
      </c>
      <c r="L49" s="22" t="s">
        <v>184</v>
      </c>
      <c r="M49" s="22" t="s">
        <v>253</v>
      </c>
    </row>
    <row r="50" customFormat="false" ht="43.5" hidden="false" customHeight="true" outlineLevel="0" collapsed="false">
      <c r="A50" s="22" t="s">
        <v>370</v>
      </c>
      <c r="B50" s="22" t="s">
        <v>371</v>
      </c>
      <c r="C50" s="22" t="s">
        <v>47</v>
      </c>
      <c r="D50" s="22" t="s">
        <v>200</v>
      </c>
      <c r="E50" s="22" t="str">
        <f aca="false">IF(D50="","",IFERROR(VLOOKUP(D50,$A$2:$B$1656,2,FALSE()),""))</f>
        <v>Mortal and Natural Peoples</v>
      </c>
      <c r="F50" s="22" t="n">
        <v>3</v>
      </c>
      <c r="G50" s="22" t="s">
        <v>372</v>
      </c>
      <c r="H50" s="22" t="s">
        <v>250</v>
      </c>
      <c r="I50" s="22" t="s">
        <v>373</v>
      </c>
      <c r="J50" s="22" t="s">
        <v>252</v>
      </c>
      <c r="K50" s="22" t="s">
        <v>373</v>
      </c>
      <c r="L50" s="22" t="s">
        <v>184</v>
      </c>
      <c r="M50" s="22" t="s">
        <v>253</v>
      </c>
    </row>
    <row r="51" customFormat="false" ht="43.5" hidden="false" customHeight="true" outlineLevel="0" collapsed="false">
      <c r="A51" s="22" t="s">
        <v>374</v>
      </c>
      <c r="B51" s="22" t="s">
        <v>375</v>
      </c>
      <c r="C51" s="22" t="s">
        <v>47</v>
      </c>
      <c r="D51" s="22" t="s">
        <v>200</v>
      </c>
      <c r="E51" s="22" t="str">
        <f aca="false">IF(D51="","",IFERROR(VLOOKUP(D51,$A$2:$B$1656,2,FALSE()),""))</f>
        <v>Mortal and Natural Peoples</v>
      </c>
      <c r="F51" s="22" t="n">
        <v>3</v>
      </c>
      <c r="G51" s="22" t="s">
        <v>376</v>
      </c>
      <c r="H51" s="22" t="s">
        <v>250</v>
      </c>
      <c r="I51" s="22" t="s">
        <v>377</v>
      </c>
      <c r="J51" s="22" t="s">
        <v>252</v>
      </c>
      <c r="K51" s="22" t="s">
        <v>377</v>
      </c>
      <c r="L51" s="22" t="s">
        <v>378</v>
      </c>
      <c r="M51" s="22" t="s">
        <v>253</v>
      </c>
    </row>
    <row r="52" customFormat="false" ht="43.5" hidden="false" customHeight="true" outlineLevel="0" collapsed="false">
      <c r="A52" s="22" t="s">
        <v>379</v>
      </c>
      <c r="B52" s="22" t="s">
        <v>380</v>
      </c>
      <c r="C52" s="22" t="s">
        <v>47</v>
      </c>
      <c r="D52" s="22" t="s">
        <v>207</v>
      </c>
      <c r="E52" s="22" t="str">
        <f aca="false">IF(D52="","",IFERROR(VLOOKUP(D52,$A$2:$B$1656,2,FALSE()),""))</f>
        <v>Fae, Nature, and Liminal Beings</v>
      </c>
      <c r="F52" s="22" t="n">
        <v>3</v>
      </c>
      <c r="G52" s="22" t="s">
        <v>381</v>
      </c>
      <c r="H52" s="22" t="s">
        <v>250</v>
      </c>
      <c r="I52" s="22" t="s">
        <v>382</v>
      </c>
      <c r="J52" s="22" t="s">
        <v>383</v>
      </c>
      <c r="K52" s="22" t="s">
        <v>382</v>
      </c>
      <c r="L52" s="22" t="s">
        <v>184</v>
      </c>
      <c r="M52" s="22" t="s">
        <v>253</v>
      </c>
    </row>
    <row r="53" customFormat="false" ht="43.5" hidden="false" customHeight="true" outlineLevel="0" collapsed="false">
      <c r="A53" s="22" t="s">
        <v>384</v>
      </c>
      <c r="B53" s="22" t="s">
        <v>385</v>
      </c>
      <c r="C53" s="22" t="s">
        <v>47</v>
      </c>
      <c r="D53" s="22" t="s">
        <v>207</v>
      </c>
      <c r="E53" s="22" t="str">
        <f aca="false">IF(D53="","",IFERROR(VLOOKUP(D53,$A$2:$B$1656,2,FALSE()),""))</f>
        <v>Fae, Nature, and Liminal Beings</v>
      </c>
      <c r="F53" s="22" t="n">
        <v>3</v>
      </c>
      <c r="G53" s="22" t="s">
        <v>386</v>
      </c>
      <c r="H53" s="22" t="s">
        <v>250</v>
      </c>
      <c r="I53" s="22" t="s">
        <v>387</v>
      </c>
      <c r="J53" s="22" t="s">
        <v>383</v>
      </c>
      <c r="K53" s="22" t="s">
        <v>387</v>
      </c>
      <c r="L53" s="22" t="s">
        <v>184</v>
      </c>
      <c r="M53" s="22" t="s">
        <v>253</v>
      </c>
    </row>
    <row r="54" customFormat="false" ht="43.5" hidden="false" customHeight="true" outlineLevel="0" collapsed="false">
      <c r="A54" s="22" t="s">
        <v>388</v>
      </c>
      <c r="B54" s="22" t="s">
        <v>389</v>
      </c>
      <c r="C54" s="22" t="s">
        <v>47</v>
      </c>
      <c r="D54" s="22" t="s">
        <v>207</v>
      </c>
      <c r="E54" s="22" t="str">
        <f aca="false">IF(D54="","",IFERROR(VLOOKUP(D54,$A$2:$B$1656,2,FALSE()),""))</f>
        <v>Fae, Nature, and Liminal Beings</v>
      </c>
      <c r="F54" s="22" t="n">
        <v>3</v>
      </c>
      <c r="G54" s="22" t="s">
        <v>390</v>
      </c>
      <c r="H54" s="22" t="s">
        <v>250</v>
      </c>
      <c r="I54" s="22" t="s">
        <v>391</v>
      </c>
      <c r="J54" s="22" t="s">
        <v>383</v>
      </c>
      <c r="K54" s="22" t="s">
        <v>391</v>
      </c>
      <c r="L54" s="22" t="s">
        <v>184</v>
      </c>
      <c r="M54" s="22" t="s">
        <v>253</v>
      </c>
    </row>
    <row r="55" customFormat="false" ht="43.5" hidden="false" customHeight="true" outlineLevel="0" collapsed="false">
      <c r="A55" s="22" t="s">
        <v>392</v>
      </c>
      <c r="B55" s="22" t="s">
        <v>393</v>
      </c>
      <c r="C55" s="22" t="s">
        <v>47</v>
      </c>
      <c r="D55" s="22" t="s">
        <v>207</v>
      </c>
      <c r="E55" s="22" t="str">
        <f aca="false">IF(D55="","",IFERROR(VLOOKUP(D55,$A$2:$B$1656,2,FALSE()),""))</f>
        <v>Fae, Nature, and Liminal Beings</v>
      </c>
      <c r="F55" s="22" t="n">
        <v>3</v>
      </c>
      <c r="G55" s="22" t="s">
        <v>394</v>
      </c>
      <c r="H55" s="22" t="s">
        <v>250</v>
      </c>
      <c r="I55" s="22" t="s">
        <v>395</v>
      </c>
      <c r="J55" s="22" t="s">
        <v>383</v>
      </c>
      <c r="K55" s="22" t="s">
        <v>395</v>
      </c>
      <c r="L55" s="22" t="s">
        <v>184</v>
      </c>
      <c r="M55" s="22" t="s">
        <v>253</v>
      </c>
    </row>
    <row r="56" customFormat="false" ht="43.5" hidden="false" customHeight="true" outlineLevel="0" collapsed="false">
      <c r="A56" s="22" t="s">
        <v>396</v>
      </c>
      <c r="B56" s="22" t="s">
        <v>397</v>
      </c>
      <c r="C56" s="22" t="s">
        <v>47</v>
      </c>
      <c r="D56" s="22" t="s">
        <v>207</v>
      </c>
      <c r="E56" s="22" t="str">
        <f aca="false">IF(D56="","",IFERROR(VLOOKUP(D56,$A$2:$B$1656,2,FALSE()),""))</f>
        <v>Fae, Nature, and Liminal Beings</v>
      </c>
      <c r="F56" s="22" t="n">
        <v>3</v>
      </c>
      <c r="G56" s="22" t="s">
        <v>398</v>
      </c>
      <c r="H56" s="22" t="s">
        <v>250</v>
      </c>
      <c r="I56" s="22" t="s">
        <v>399</v>
      </c>
      <c r="J56" s="22" t="s">
        <v>383</v>
      </c>
      <c r="K56" s="22" t="s">
        <v>399</v>
      </c>
      <c r="L56" s="22" t="s">
        <v>184</v>
      </c>
      <c r="M56" s="22" t="s">
        <v>253</v>
      </c>
    </row>
    <row r="57" customFormat="false" ht="43.5" hidden="false" customHeight="true" outlineLevel="0" collapsed="false">
      <c r="A57" s="22" t="s">
        <v>400</v>
      </c>
      <c r="B57" s="22" t="s">
        <v>401</v>
      </c>
      <c r="C57" s="22" t="s">
        <v>47</v>
      </c>
      <c r="D57" s="22" t="s">
        <v>207</v>
      </c>
      <c r="E57" s="22" t="str">
        <f aca="false">IF(D57="","",IFERROR(VLOOKUP(D57,$A$2:$B$1656,2,FALSE()),""))</f>
        <v>Fae, Nature, and Liminal Beings</v>
      </c>
      <c r="F57" s="22" t="n">
        <v>3</v>
      </c>
      <c r="G57" s="22" t="s">
        <v>402</v>
      </c>
      <c r="H57" s="22" t="s">
        <v>250</v>
      </c>
      <c r="I57" s="22" t="s">
        <v>403</v>
      </c>
      <c r="J57" s="22" t="s">
        <v>383</v>
      </c>
      <c r="K57" s="22" t="s">
        <v>403</v>
      </c>
      <c r="L57" s="22" t="s">
        <v>184</v>
      </c>
      <c r="M57" s="22" t="s">
        <v>253</v>
      </c>
    </row>
    <row r="58" customFormat="false" ht="43.5" hidden="false" customHeight="true" outlineLevel="0" collapsed="false">
      <c r="A58" s="22" t="s">
        <v>404</v>
      </c>
      <c r="B58" s="22" t="s">
        <v>405</v>
      </c>
      <c r="C58" s="22" t="s">
        <v>47</v>
      </c>
      <c r="D58" s="22" t="s">
        <v>207</v>
      </c>
      <c r="E58" s="22" t="str">
        <f aca="false">IF(D58="","",IFERROR(VLOOKUP(D58,$A$2:$B$1656,2,FALSE()),""))</f>
        <v>Fae, Nature, and Liminal Beings</v>
      </c>
      <c r="F58" s="22" t="n">
        <v>3</v>
      </c>
      <c r="G58" s="22" t="s">
        <v>406</v>
      </c>
      <c r="H58" s="22" t="s">
        <v>250</v>
      </c>
      <c r="I58" s="22" t="s">
        <v>407</v>
      </c>
      <c r="J58" s="22" t="s">
        <v>383</v>
      </c>
      <c r="K58" s="22" t="s">
        <v>407</v>
      </c>
      <c r="L58" s="22" t="s">
        <v>184</v>
      </c>
      <c r="M58" s="22" t="s">
        <v>253</v>
      </c>
    </row>
    <row r="59" customFormat="false" ht="43.5" hidden="false" customHeight="true" outlineLevel="0" collapsed="false">
      <c r="A59" s="22" t="s">
        <v>408</v>
      </c>
      <c r="B59" s="22" t="s">
        <v>409</v>
      </c>
      <c r="C59" s="22" t="s">
        <v>47</v>
      </c>
      <c r="D59" s="22" t="s">
        <v>207</v>
      </c>
      <c r="E59" s="22" t="str">
        <f aca="false">IF(D59="","",IFERROR(VLOOKUP(D59,$A$2:$B$1656,2,FALSE()),""))</f>
        <v>Fae, Nature, and Liminal Beings</v>
      </c>
      <c r="F59" s="22" t="n">
        <v>3</v>
      </c>
      <c r="G59" s="22" t="s">
        <v>410</v>
      </c>
      <c r="H59" s="22" t="s">
        <v>250</v>
      </c>
      <c r="I59" s="22" t="s">
        <v>411</v>
      </c>
      <c r="J59" s="22" t="s">
        <v>383</v>
      </c>
      <c r="K59" s="22" t="s">
        <v>411</v>
      </c>
      <c r="L59" s="22" t="s">
        <v>184</v>
      </c>
      <c r="M59" s="22" t="s">
        <v>253</v>
      </c>
    </row>
    <row r="60" customFormat="false" ht="43.5" hidden="false" customHeight="true" outlineLevel="0" collapsed="false">
      <c r="A60" s="22" t="s">
        <v>412</v>
      </c>
      <c r="B60" s="22" t="s">
        <v>413</v>
      </c>
      <c r="C60" s="22" t="s">
        <v>47</v>
      </c>
      <c r="D60" s="22" t="s">
        <v>207</v>
      </c>
      <c r="E60" s="22" t="str">
        <f aca="false">IF(D60="","",IFERROR(VLOOKUP(D60,$A$2:$B$1656,2,FALSE()),""))</f>
        <v>Fae, Nature, and Liminal Beings</v>
      </c>
      <c r="F60" s="22" t="n">
        <v>3</v>
      </c>
      <c r="G60" s="22" t="s">
        <v>414</v>
      </c>
      <c r="H60" s="22" t="s">
        <v>250</v>
      </c>
      <c r="I60" s="22" t="s">
        <v>415</v>
      </c>
      <c r="J60" s="22" t="s">
        <v>383</v>
      </c>
      <c r="K60" s="22" t="s">
        <v>415</v>
      </c>
      <c r="L60" s="22" t="s">
        <v>416</v>
      </c>
      <c r="M60" s="22" t="s">
        <v>253</v>
      </c>
    </row>
    <row r="61" customFormat="false" ht="43.5" hidden="false" customHeight="true" outlineLevel="0" collapsed="false">
      <c r="A61" s="22" t="s">
        <v>417</v>
      </c>
      <c r="B61" s="22" t="s">
        <v>418</v>
      </c>
      <c r="C61" s="22" t="s">
        <v>47</v>
      </c>
      <c r="D61" s="22" t="s">
        <v>207</v>
      </c>
      <c r="E61" s="22" t="str">
        <f aca="false">IF(D61="","",IFERROR(VLOOKUP(D61,$A$2:$B$1656,2,FALSE()),""))</f>
        <v>Fae, Nature, and Liminal Beings</v>
      </c>
      <c r="F61" s="22" t="n">
        <v>3</v>
      </c>
      <c r="G61" s="22" t="s">
        <v>419</v>
      </c>
      <c r="H61" s="22" t="s">
        <v>250</v>
      </c>
      <c r="I61" s="22" t="s">
        <v>420</v>
      </c>
      <c r="J61" s="22" t="s">
        <v>383</v>
      </c>
      <c r="K61" s="22" t="s">
        <v>420</v>
      </c>
      <c r="L61" s="22" t="s">
        <v>184</v>
      </c>
      <c r="M61" s="22" t="s">
        <v>253</v>
      </c>
    </row>
    <row r="62" customFormat="false" ht="43.5" hidden="false" customHeight="true" outlineLevel="0" collapsed="false">
      <c r="A62" s="22" t="s">
        <v>421</v>
      </c>
      <c r="B62" s="22" t="s">
        <v>422</v>
      </c>
      <c r="C62" s="22" t="s">
        <v>47</v>
      </c>
      <c r="D62" s="22" t="s">
        <v>207</v>
      </c>
      <c r="E62" s="22" t="str">
        <f aca="false">IF(D62="","",IFERROR(VLOOKUP(D62,$A$2:$B$1656,2,FALSE()),""))</f>
        <v>Fae, Nature, and Liminal Beings</v>
      </c>
      <c r="F62" s="22" t="n">
        <v>3</v>
      </c>
      <c r="G62" s="22" t="s">
        <v>423</v>
      </c>
      <c r="H62" s="22" t="s">
        <v>250</v>
      </c>
      <c r="I62" s="22" t="s">
        <v>424</v>
      </c>
      <c r="J62" s="22" t="s">
        <v>383</v>
      </c>
      <c r="K62" s="22" t="s">
        <v>424</v>
      </c>
      <c r="L62" s="22" t="s">
        <v>425</v>
      </c>
      <c r="M62" s="22" t="s">
        <v>253</v>
      </c>
    </row>
    <row r="63" customFormat="false" ht="43.5" hidden="false" customHeight="true" outlineLevel="0" collapsed="false">
      <c r="A63" s="22" t="s">
        <v>426</v>
      </c>
      <c r="B63" s="22" t="s">
        <v>427</v>
      </c>
      <c r="C63" s="22" t="s">
        <v>47</v>
      </c>
      <c r="D63" s="22" t="s">
        <v>207</v>
      </c>
      <c r="E63" s="22" t="str">
        <f aca="false">IF(D63="","",IFERROR(VLOOKUP(D63,$A$2:$B$1656,2,FALSE()),""))</f>
        <v>Fae, Nature, and Liminal Beings</v>
      </c>
      <c r="F63" s="22" t="n">
        <v>3</v>
      </c>
      <c r="G63" s="22" t="s">
        <v>428</v>
      </c>
      <c r="H63" s="22" t="s">
        <v>250</v>
      </c>
      <c r="I63" s="22" t="s">
        <v>429</v>
      </c>
      <c r="J63" s="22" t="s">
        <v>383</v>
      </c>
      <c r="K63" s="22" t="s">
        <v>429</v>
      </c>
      <c r="L63" s="22" t="s">
        <v>184</v>
      </c>
      <c r="M63" s="22" t="s">
        <v>253</v>
      </c>
    </row>
    <row r="64" customFormat="false" ht="43.5" hidden="false" customHeight="true" outlineLevel="0" collapsed="false">
      <c r="A64" s="22" t="s">
        <v>430</v>
      </c>
      <c r="B64" s="22" t="s">
        <v>431</v>
      </c>
      <c r="C64" s="22" t="s">
        <v>47</v>
      </c>
      <c r="D64" s="22" t="s">
        <v>211</v>
      </c>
      <c r="E64" s="22" t="str">
        <f aca="false">IF(D64="","",IFERROR(VLOOKUP(D64,$A$2:$B$1656,2,FALSE()),""))</f>
        <v>Spirits and Elementals</v>
      </c>
      <c r="F64" s="22" t="n">
        <v>3</v>
      </c>
      <c r="G64" s="22" t="s">
        <v>432</v>
      </c>
      <c r="H64" s="22" t="s">
        <v>250</v>
      </c>
      <c r="I64" s="22" t="s">
        <v>433</v>
      </c>
      <c r="J64" s="22" t="s">
        <v>434</v>
      </c>
      <c r="K64" s="22" t="s">
        <v>433</v>
      </c>
      <c r="L64" s="22" t="s">
        <v>184</v>
      </c>
      <c r="M64" s="22" t="s">
        <v>253</v>
      </c>
    </row>
    <row r="65" customFormat="false" ht="43.5" hidden="false" customHeight="true" outlineLevel="0" collapsed="false">
      <c r="A65" s="22" t="s">
        <v>435</v>
      </c>
      <c r="B65" s="22" t="s">
        <v>436</v>
      </c>
      <c r="C65" s="22" t="s">
        <v>47</v>
      </c>
      <c r="D65" s="22" t="s">
        <v>211</v>
      </c>
      <c r="E65" s="22" t="str">
        <f aca="false">IF(D65="","",IFERROR(VLOOKUP(D65,$A$2:$B$1656,2,FALSE()),""))</f>
        <v>Spirits and Elementals</v>
      </c>
      <c r="F65" s="22" t="n">
        <v>3</v>
      </c>
      <c r="G65" s="22" t="s">
        <v>437</v>
      </c>
      <c r="H65" s="22" t="s">
        <v>250</v>
      </c>
      <c r="I65" s="22" t="s">
        <v>438</v>
      </c>
      <c r="J65" s="22" t="s">
        <v>434</v>
      </c>
      <c r="K65" s="22" t="s">
        <v>438</v>
      </c>
      <c r="L65" s="22" t="s">
        <v>439</v>
      </c>
      <c r="M65" s="22" t="s">
        <v>253</v>
      </c>
    </row>
    <row r="66" customFormat="false" ht="43.5" hidden="false" customHeight="true" outlineLevel="0" collapsed="false">
      <c r="A66" s="22" t="s">
        <v>440</v>
      </c>
      <c r="B66" s="22" t="s">
        <v>441</v>
      </c>
      <c r="C66" s="22" t="s">
        <v>47</v>
      </c>
      <c r="D66" s="22" t="s">
        <v>211</v>
      </c>
      <c r="E66" s="22" t="str">
        <f aca="false">IF(D66="","",IFERROR(VLOOKUP(D66,$A$2:$B$1656,2,FALSE()),""))</f>
        <v>Spirits and Elementals</v>
      </c>
      <c r="F66" s="22" t="n">
        <v>3</v>
      </c>
      <c r="G66" s="22" t="s">
        <v>442</v>
      </c>
      <c r="H66" s="22" t="s">
        <v>250</v>
      </c>
      <c r="I66" s="22" t="s">
        <v>443</v>
      </c>
      <c r="J66" s="22" t="s">
        <v>434</v>
      </c>
      <c r="K66" s="22" t="s">
        <v>443</v>
      </c>
      <c r="L66" s="22" t="s">
        <v>184</v>
      </c>
      <c r="M66" s="22" t="s">
        <v>253</v>
      </c>
    </row>
    <row r="67" customFormat="false" ht="43.5" hidden="false" customHeight="true" outlineLevel="0" collapsed="false">
      <c r="A67" s="22" t="s">
        <v>444</v>
      </c>
      <c r="B67" s="22" t="s">
        <v>445</v>
      </c>
      <c r="C67" s="22" t="s">
        <v>47</v>
      </c>
      <c r="D67" s="22" t="s">
        <v>211</v>
      </c>
      <c r="E67" s="22" t="str">
        <f aca="false">IF(D67="","",IFERROR(VLOOKUP(D67,$A$2:$B$1656,2,FALSE()),""))</f>
        <v>Spirits and Elementals</v>
      </c>
      <c r="F67" s="22" t="n">
        <v>3</v>
      </c>
      <c r="G67" s="22" t="s">
        <v>446</v>
      </c>
      <c r="H67" s="22" t="s">
        <v>250</v>
      </c>
      <c r="I67" s="22" t="s">
        <v>447</v>
      </c>
      <c r="J67" s="22" t="s">
        <v>434</v>
      </c>
      <c r="K67" s="22" t="s">
        <v>447</v>
      </c>
      <c r="L67" s="22" t="s">
        <v>184</v>
      </c>
      <c r="M67" s="22" t="s">
        <v>253</v>
      </c>
    </row>
    <row r="68" customFormat="false" ht="43.5" hidden="false" customHeight="true" outlineLevel="0" collapsed="false">
      <c r="A68" s="22" t="s">
        <v>448</v>
      </c>
      <c r="B68" s="22" t="s">
        <v>449</v>
      </c>
      <c r="C68" s="22" t="s">
        <v>47</v>
      </c>
      <c r="D68" s="22" t="s">
        <v>211</v>
      </c>
      <c r="E68" s="22" t="str">
        <f aca="false">IF(D68="","",IFERROR(VLOOKUP(D68,$A$2:$B$1656,2,FALSE()),""))</f>
        <v>Spirits and Elementals</v>
      </c>
      <c r="F68" s="22" t="n">
        <v>3</v>
      </c>
      <c r="G68" s="22" t="s">
        <v>450</v>
      </c>
      <c r="H68" s="22" t="s">
        <v>250</v>
      </c>
      <c r="I68" s="22" t="s">
        <v>451</v>
      </c>
      <c r="J68" s="22" t="s">
        <v>434</v>
      </c>
      <c r="K68" s="22" t="s">
        <v>451</v>
      </c>
      <c r="L68" s="22" t="s">
        <v>184</v>
      </c>
      <c r="M68" s="22" t="s">
        <v>253</v>
      </c>
    </row>
    <row r="69" customFormat="false" ht="43.5" hidden="false" customHeight="true" outlineLevel="0" collapsed="false">
      <c r="A69" s="22" t="s">
        <v>452</v>
      </c>
      <c r="B69" s="22" t="s">
        <v>453</v>
      </c>
      <c r="C69" s="22" t="s">
        <v>47</v>
      </c>
      <c r="D69" s="22" t="s">
        <v>211</v>
      </c>
      <c r="E69" s="22" t="str">
        <f aca="false">IF(D69="","",IFERROR(VLOOKUP(D69,$A$2:$B$1656,2,FALSE()),""))</f>
        <v>Spirits and Elementals</v>
      </c>
      <c r="F69" s="22" t="n">
        <v>3</v>
      </c>
      <c r="G69" s="22" t="s">
        <v>454</v>
      </c>
      <c r="H69" s="22" t="s">
        <v>250</v>
      </c>
      <c r="I69" s="22" t="s">
        <v>455</v>
      </c>
      <c r="J69" s="22" t="s">
        <v>434</v>
      </c>
      <c r="K69" s="22" t="s">
        <v>455</v>
      </c>
      <c r="L69" s="22" t="s">
        <v>184</v>
      </c>
      <c r="M69" s="22" t="s">
        <v>253</v>
      </c>
    </row>
    <row r="70" customFormat="false" ht="43.5" hidden="false" customHeight="true" outlineLevel="0" collapsed="false">
      <c r="A70" s="22" t="s">
        <v>456</v>
      </c>
      <c r="B70" s="22" t="s">
        <v>457</v>
      </c>
      <c r="C70" s="22" t="s">
        <v>47</v>
      </c>
      <c r="D70" s="22" t="s">
        <v>211</v>
      </c>
      <c r="E70" s="22" t="str">
        <f aca="false">IF(D70="","",IFERROR(VLOOKUP(D70,$A$2:$B$1656,2,FALSE()),""))</f>
        <v>Spirits and Elementals</v>
      </c>
      <c r="F70" s="22" t="n">
        <v>3</v>
      </c>
      <c r="G70" s="22" t="s">
        <v>458</v>
      </c>
      <c r="H70" s="22" t="s">
        <v>250</v>
      </c>
      <c r="I70" s="22" t="s">
        <v>459</v>
      </c>
      <c r="J70" s="22" t="s">
        <v>434</v>
      </c>
      <c r="K70" s="22" t="s">
        <v>459</v>
      </c>
      <c r="L70" s="22" t="s">
        <v>184</v>
      </c>
      <c r="M70" s="22" t="s">
        <v>253</v>
      </c>
    </row>
    <row r="71" customFormat="false" ht="43.5" hidden="false" customHeight="true" outlineLevel="0" collapsed="false">
      <c r="A71" s="22" t="s">
        <v>460</v>
      </c>
      <c r="B71" s="22" t="s">
        <v>461</v>
      </c>
      <c r="C71" s="22" t="s">
        <v>47</v>
      </c>
      <c r="D71" s="22" t="s">
        <v>211</v>
      </c>
      <c r="E71" s="22" t="str">
        <f aca="false">IF(D71="","",IFERROR(VLOOKUP(D71,$A$2:$B$1656,2,FALSE()),""))</f>
        <v>Spirits and Elementals</v>
      </c>
      <c r="F71" s="22" t="n">
        <v>3</v>
      </c>
      <c r="G71" s="22" t="s">
        <v>462</v>
      </c>
      <c r="H71" s="22" t="s">
        <v>250</v>
      </c>
      <c r="I71" s="22" t="s">
        <v>463</v>
      </c>
      <c r="J71" s="22" t="s">
        <v>434</v>
      </c>
      <c r="K71" s="22" t="s">
        <v>463</v>
      </c>
      <c r="L71" s="22" t="s">
        <v>184</v>
      </c>
      <c r="M71" s="22" t="s">
        <v>253</v>
      </c>
    </row>
    <row r="72" customFormat="false" ht="43.5" hidden="false" customHeight="true" outlineLevel="0" collapsed="false">
      <c r="A72" s="22" t="s">
        <v>464</v>
      </c>
      <c r="B72" s="22" t="s">
        <v>465</v>
      </c>
      <c r="C72" s="22" t="s">
        <v>47</v>
      </c>
      <c r="D72" s="22" t="s">
        <v>211</v>
      </c>
      <c r="E72" s="22" t="str">
        <f aca="false">IF(D72="","",IFERROR(VLOOKUP(D72,$A$2:$B$1656,2,FALSE()),""))</f>
        <v>Spirits and Elementals</v>
      </c>
      <c r="F72" s="22" t="n">
        <v>3</v>
      </c>
      <c r="G72" s="22" t="s">
        <v>466</v>
      </c>
      <c r="H72" s="22" t="s">
        <v>250</v>
      </c>
      <c r="I72" s="22" t="s">
        <v>467</v>
      </c>
      <c r="J72" s="22" t="s">
        <v>434</v>
      </c>
      <c r="K72" s="22" t="s">
        <v>467</v>
      </c>
      <c r="L72" s="22" t="s">
        <v>184</v>
      </c>
      <c r="M72" s="22" t="s">
        <v>253</v>
      </c>
    </row>
    <row r="73" customFormat="false" ht="43.5" hidden="false" customHeight="true" outlineLevel="0" collapsed="false">
      <c r="A73" s="22" t="s">
        <v>468</v>
      </c>
      <c r="B73" s="22" t="s">
        <v>469</v>
      </c>
      <c r="C73" s="22" t="s">
        <v>47</v>
      </c>
      <c r="D73" s="22" t="s">
        <v>211</v>
      </c>
      <c r="E73" s="22" t="str">
        <f aca="false">IF(D73="","",IFERROR(VLOOKUP(D73,$A$2:$B$1656,2,FALSE()),""))</f>
        <v>Spirits and Elementals</v>
      </c>
      <c r="F73" s="22" t="n">
        <v>3</v>
      </c>
      <c r="G73" s="22" t="s">
        <v>470</v>
      </c>
      <c r="H73" s="22" t="s">
        <v>250</v>
      </c>
      <c r="I73" s="22" t="s">
        <v>471</v>
      </c>
      <c r="J73" s="22" t="s">
        <v>434</v>
      </c>
      <c r="K73" s="22" t="s">
        <v>471</v>
      </c>
      <c r="L73" s="22" t="s">
        <v>184</v>
      </c>
      <c r="M73" s="22" t="s">
        <v>253</v>
      </c>
    </row>
    <row r="74" customFormat="false" ht="43.5" hidden="false" customHeight="true" outlineLevel="0" collapsed="false">
      <c r="A74" s="22" t="s">
        <v>472</v>
      </c>
      <c r="B74" s="22" t="s">
        <v>473</v>
      </c>
      <c r="C74" s="22" t="s">
        <v>47</v>
      </c>
      <c r="D74" s="22" t="s">
        <v>211</v>
      </c>
      <c r="E74" s="22" t="str">
        <f aca="false">IF(D74="","",IFERROR(VLOOKUP(D74,$A$2:$B$1656,2,FALSE()),""))</f>
        <v>Spirits and Elementals</v>
      </c>
      <c r="F74" s="22" t="n">
        <v>3</v>
      </c>
      <c r="G74" s="22" t="s">
        <v>474</v>
      </c>
      <c r="H74" s="22" t="s">
        <v>250</v>
      </c>
      <c r="I74" s="22" t="s">
        <v>475</v>
      </c>
      <c r="J74" s="22" t="s">
        <v>434</v>
      </c>
      <c r="K74" s="22" t="s">
        <v>475</v>
      </c>
      <c r="L74" s="22" t="s">
        <v>184</v>
      </c>
      <c r="M74" s="22" t="s">
        <v>253</v>
      </c>
    </row>
    <row r="75" customFormat="false" ht="43.5" hidden="false" customHeight="true" outlineLevel="0" collapsed="false">
      <c r="A75" s="22" t="s">
        <v>476</v>
      </c>
      <c r="B75" s="22" t="s">
        <v>477</v>
      </c>
      <c r="C75" s="22" t="s">
        <v>47</v>
      </c>
      <c r="D75" s="22" t="s">
        <v>211</v>
      </c>
      <c r="E75" s="22" t="str">
        <f aca="false">IF(D75="","",IFERROR(VLOOKUP(D75,$A$2:$B$1656,2,FALSE()),""))</f>
        <v>Spirits and Elementals</v>
      </c>
      <c r="F75" s="22" t="n">
        <v>3</v>
      </c>
      <c r="G75" s="22" t="s">
        <v>478</v>
      </c>
      <c r="H75" s="22" t="s">
        <v>250</v>
      </c>
      <c r="I75" s="22" t="s">
        <v>479</v>
      </c>
      <c r="J75" s="22" t="s">
        <v>434</v>
      </c>
      <c r="K75" s="22" t="s">
        <v>479</v>
      </c>
      <c r="L75" s="22" t="s">
        <v>480</v>
      </c>
      <c r="M75" s="22" t="s">
        <v>253</v>
      </c>
    </row>
    <row r="76" customFormat="false" ht="43.5" hidden="false" customHeight="true" outlineLevel="0" collapsed="false">
      <c r="A76" s="22" t="s">
        <v>481</v>
      </c>
      <c r="B76" s="22" t="s">
        <v>482</v>
      </c>
      <c r="C76" s="22" t="s">
        <v>47</v>
      </c>
      <c r="D76" s="22" t="s">
        <v>215</v>
      </c>
      <c r="E76" s="22" t="str">
        <f aca="false">IF(D76="","",IFERROR(VLOOKUP(D76,$A$2:$B$1656,2,FALSE()),""))</f>
        <v>Divine and Celestial Beings</v>
      </c>
      <c r="F76" s="22" t="n">
        <v>3</v>
      </c>
      <c r="G76" s="22" t="s">
        <v>483</v>
      </c>
      <c r="H76" s="22" t="s">
        <v>250</v>
      </c>
      <c r="I76" s="22" t="s">
        <v>484</v>
      </c>
      <c r="J76" s="22" t="s">
        <v>485</v>
      </c>
      <c r="K76" s="22" t="s">
        <v>484</v>
      </c>
      <c r="L76" s="22" t="s">
        <v>184</v>
      </c>
      <c r="M76" s="22" t="s">
        <v>253</v>
      </c>
    </row>
    <row r="77" customFormat="false" ht="43.5" hidden="false" customHeight="true" outlineLevel="0" collapsed="false">
      <c r="A77" s="22" t="s">
        <v>486</v>
      </c>
      <c r="B77" s="22" t="s">
        <v>487</v>
      </c>
      <c r="C77" s="22" t="s">
        <v>47</v>
      </c>
      <c r="D77" s="22" t="s">
        <v>215</v>
      </c>
      <c r="E77" s="22" t="str">
        <f aca="false">IF(D77="","",IFERROR(VLOOKUP(D77,$A$2:$B$1656,2,FALSE()),""))</f>
        <v>Divine and Celestial Beings</v>
      </c>
      <c r="F77" s="22" t="n">
        <v>3</v>
      </c>
      <c r="G77" s="22" t="s">
        <v>488</v>
      </c>
      <c r="H77" s="22" t="s">
        <v>250</v>
      </c>
      <c r="I77" s="22" t="s">
        <v>489</v>
      </c>
      <c r="J77" s="22" t="s">
        <v>485</v>
      </c>
      <c r="K77" s="22" t="s">
        <v>489</v>
      </c>
      <c r="L77" s="22" t="s">
        <v>184</v>
      </c>
      <c r="M77" s="22" t="s">
        <v>253</v>
      </c>
    </row>
    <row r="78" customFormat="false" ht="43.5" hidden="false" customHeight="true" outlineLevel="0" collapsed="false">
      <c r="A78" s="22" t="s">
        <v>490</v>
      </c>
      <c r="B78" s="22" t="s">
        <v>491</v>
      </c>
      <c r="C78" s="22" t="s">
        <v>47</v>
      </c>
      <c r="D78" s="22" t="s">
        <v>215</v>
      </c>
      <c r="E78" s="22" t="str">
        <f aca="false">IF(D78="","",IFERROR(VLOOKUP(D78,$A$2:$B$1656,2,FALSE()),""))</f>
        <v>Divine and Celestial Beings</v>
      </c>
      <c r="F78" s="22" t="n">
        <v>3</v>
      </c>
      <c r="G78" s="22" t="s">
        <v>492</v>
      </c>
      <c r="H78" s="22" t="s">
        <v>250</v>
      </c>
      <c r="I78" s="22" t="s">
        <v>493</v>
      </c>
      <c r="J78" s="22" t="s">
        <v>485</v>
      </c>
      <c r="K78" s="22" t="s">
        <v>493</v>
      </c>
      <c r="L78" s="22" t="s">
        <v>184</v>
      </c>
      <c r="M78" s="22" t="s">
        <v>253</v>
      </c>
    </row>
    <row r="79" customFormat="false" ht="43.5" hidden="false" customHeight="true" outlineLevel="0" collapsed="false">
      <c r="A79" s="22" t="s">
        <v>494</v>
      </c>
      <c r="B79" s="22" t="s">
        <v>495</v>
      </c>
      <c r="C79" s="22" t="s">
        <v>47</v>
      </c>
      <c r="D79" s="22" t="s">
        <v>215</v>
      </c>
      <c r="E79" s="22" t="str">
        <f aca="false">IF(D79="","",IFERROR(VLOOKUP(D79,$A$2:$B$1656,2,FALSE()),""))</f>
        <v>Divine and Celestial Beings</v>
      </c>
      <c r="F79" s="22" t="n">
        <v>3</v>
      </c>
      <c r="G79" s="22" t="s">
        <v>496</v>
      </c>
      <c r="H79" s="22" t="s">
        <v>250</v>
      </c>
      <c r="I79" s="22" t="s">
        <v>497</v>
      </c>
      <c r="J79" s="22" t="s">
        <v>485</v>
      </c>
      <c r="K79" s="22" t="s">
        <v>497</v>
      </c>
      <c r="L79" s="22" t="s">
        <v>184</v>
      </c>
      <c r="M79" s="22" t="s">
        <v>253</v>
      </c>
    </row>
    <row r="80" customFormat="false" ht="43.5" hidden="false" customHeight="true" outlineLevel="0" collapsed="false">
      <c r="A80" s="22" t="s">
        <v>498</v>
      </c>
      <c r="B80" s="22" t="s">
        <v>499</v>
      </c>
      <c r="C80" s="22" t="s">
        <v>47</v>
      </c>
      <c r="D80" s="22" t="s">
        <v>215</v>
      </c>
      <c r="E80" s="22" t="str">
        <f aca="false">IF(D80="","",IFERROR(VLOOKUP(D80,$A$2:$B$1656,2,FALSE()),""))</f>
        <v>Divine and Celestial Beings</v>
      </c>
      <c r="F80" s="22" t="n">
        <v>3</v>
      </c>
      <c r="G80" s="22" t="s">
        <v>500</v>
      </c>
      <c r="H80" s="22" t="s">
        <v>250</v>
      </c>
      <c r="I80" s="22" t="s">
        <v>501</v>
      </c>
      <c r="J80" s="22" t="s">
        <v>485</v>
      </c>
      <c r="K80" s="22" t="s">
        <v>501</v>
      </c>
      <c r="L80" s="22" t="s">
        <v>184</v>
      </c>
      <c r="M80" s="22" t="s">
        <v>253</v>
      </c>
    </row>
    <row r="81" customFormat="false" ht="43.5" hidden="false" customHeight="true" outlineLevel="0" collapsed="false">
      <c r="A81" s="22" t="s">
        <v>502</v>
      </c>
      <c r="B81" s="22" t="s">
        <v>503</v>
      </c>
      <c r="C81" s="22" t="s">
        <v>47</v>
      </c>
      <c r="D81" s="22" t="s">
        <v>215</v>
      </c>
      <c r="E81" s="22" t="str">
        <f aca="false">IF(D81="","",IFERROR(VLOOKUP(D81,$A$2:$B$1656,2,FALSE()),""))</f>
        <v>Divine and Celestial Beings</v>
      </c>
      <c r="F81" s="22" t="n">
        <v>3</v>
      </c>
      <c r="G81" s="22" t="s">
        <v>504</v>
      </c>
      <c r="H81" s="22" t="s">
        <v>250</v>
      </c>
      <c r="I81" s="22" t="s">
        <v>505</v>
      </c>
      <c r="J81" s="22" t="s">
        <v>485</v>
      </c>
      <c r="K81" s="22" t="s">
        <v>505</v>
      </c>
      <c r="L81" s="22" t="s">
        <v>184</v>
      </c>
      <c r="M81" s="22" t="s">
        <v>253</v>
      </c>
    </row>
    <row r="82" customFormat="false" ht="43.5" hidden="false" customHeight="true" outlineLevel="0" collapsed="false">
      <c r="A82" s="22" t="s">
        <v>506</v>
      </c>
      <c r="B82" s="22" t="s">
        <v>507</v>
      </c>
      <c r="C82" s="22" t="s">
        <v>47</v>
      </c>
      <c r="D82" s="22" t="s">
        <v>215</v>
      </c>
      <c r="E82" s="22" t="str">
        <f aca="false">IF(D82="","",IFERROR(VLOOKUP(D82,$A$2:$B$1656,2,FALSE()),""))</f>
        <v>Divine and Celestial Beings</v>
      </c>
      <c r="F82" s="22" t="n">
        <v>3</v>
      </c>
      <c r="G82" s="22" t="s">
        <v>508</v>
      </c>
      <c r="H82" s="22" t="s">
        <v>250</v>
      </c>
      <c r="I82" s="22" t="s">
        <v>509</v>
      </c>
      <c r="J82" s="22" t="s">
        <v>485</v>
      </c>
      <c r="K82" s="22" t="s">
        <v>509</v>
      </c>
      <c r="L82" s="22" t="s">
        <v>184</v>
      </c>
      <c r="M82" s="22" t="s">
        <v>253</v>
      </c>
    </row>
    <row r="83" customFormat="false" ht="43.5" hidden="false" customHeight="true" outlineLevel="0" collapsed="false">
      <c r="A83" s="22" t="s">
        <v>510</v>
      </c>
      <c r="B83" s="22" t="s">
        <v>511</v>
      </c>
      <c r="C83" s="22" t="s">
        <v>47</v>
      </c>
      <c r="D83" s="22" t="s">
        <v>215</v>
      </c>
      <c r="E83" s="22" t="str">
        <f aca="false">IF(D83="","",IFERROR(VLOOKUP(D83,$A$2:$B$1656,2,FALSE()),""))</f>
        <v>Divine and Celestial Beings</v>
      </c>
      <c r="F83" s="22" t="n">
        <v>3</v>
      </c>
      <c r="G83" s="22" t="s">
        <v>512</v>
      </c>
      <c r="H83" s="22" t="s">
        <v>250</v>
      </c>
      <c r="I83" s="22" t="s">
        <v>513</v>
      </c>
      <c r="J83" s="22" t="s">
        <v>485</v>
      </c>
      <c r="K83" s="22" t="s">
        <v>513</v>
      </c>
      <c r="L83" s="22" t="s">
        <v>184</v>
      </c>
      <c r="M83" s="22" t="s">
        <v>253</v>
      </c>
    </row>
    <row r="84" customFormat="false" ht="43.5" hidden="false" customHeight="true" outlineLevel="0" collapsed="false">
      <c r="A84" s="22" t="s">
        <v>514</v>
      </c>
      <c r="B84" s="22" t="s">
        <v>515</v>
      </c>
      <c r="C84" s="22" t="s">
        <v>47</v>
      </c>
      <c r="D84" s="22" t="s">
        <v>215</v>
      </c>
      <c r="E84" s="22" t="str">
        <f aca="false">IF(D84="","",IFERROR(VLOOKUP(D84,$A$2:$B$1656,2,FALSE()),""))</f>
        <v>Divine and Celestial Beings</v>
      </c>
      <c r="F84" s="22" t="n">
        <v>3</v>
      </c>
      <c r="G84" s="22" t="s">
        <v>516</v>
      </c>
      <c r="H84" s="22" t="s">
        <v>250</v>
      </c>
      <c r="I84" s="22" t="s">
        <v>517</v>
      </c>
      <c r="J84" s="22" t="s">
        <v>485</v>
      </c>
      <c r="K84" s="22" t="s">
        <v>517</v>
      </c>
      <c r="L84" s="22" t="s">
        <v>184</v>
      </c>
      <c r="M84" s="22" t="s">
        <v>253</v>
      </c>
    </row>
    <row r="85" customFormat="false" ht="43.5" hidden="false" customHeight="true" outlineLevel="0" collapsed="false">
      <c r="A85" s="22" t="s">
        <v>518</v>
      </c>
      <c r="B85" s="22" t="s">
        <v>519</v>
      </c>
      <c r="C85" s="22" t="s">
        <v>47</v>
      </c>
      <c r="D85" s="22" t="s">
        <v>215</v>
      </c>
      <c r="E85" s="22" t="str">
        <f aca="false">IF(D85="","",IFERROR(VLOOKUP(D85,$A$2:$B$1656,2,FALSE()),""))</f>
        <v>Divine and Celestial Beings</v>
      </c>
      <c r="F85" s="22" t="n">
        <v>3</v>
      </c>
      <c r="G85" s="22" t="s">
        <v>520</v>
      </c>
      <c r="H85" s="22" t="s">
        <v>250</v>
      </c>
      <c r="I85" s="22" t="s">
        <v>521</v>
      </c>
      <c r="J85" s="22" t="s">
        <v>485</v>
      </c>
      <c r="K85" s="22" t="s">
        <v>521</v>
      </c>
      <c r="L85" s="22" t="s">
        <v>184</v>
      </c>
      <c r="M85" s="22" t="s">
        <v>253</v>
      </c>
    </row>
    <row r="86" customFormat="false" ht="43.5" hidden="false" customHeight="true" outlineLevel="0" collapsed="false">
      <c r="A86" s="22" t="s">
        <v>522</v>
      </c>
      <c r="B86" s="22" t="s">
        <v>523</v>
      </c>
      <c r="C86" s="22" t="s">
        <v>47</v>
      </c>
      <c r="D86" s="22" t="s">
        <v>219</v>
      </c>
      <c r="E86" s="22" t="str">
        <f aca="false">IF(D86="","",IFERROR(VLOOKUP(D86,$A$2:$B$1656,2,FALSE()),""))</f>
        <v>Infernal and Corruptive Beings</v>
      </c>
      <c r="F86" s="22" t="n">
        <v>3</v>
      </c>
      <c r="G86" s="22" t="s">
        <v>524</v>
      </c>
      <c r="H86" s="22" t="s">
        <v>250</v>
      </c>
      <c r="I86" s="22" t="s">
        <v>525</v>
      </c>
      <c r="J86" s="22" t="s">
        <v>526</v>
      </c>
      <c r="K86" s="22" t="s">
        <v>525</v>
      </c>
      <c r="L86" s="22" t="s">
        <v>184</v>
      </c>
      <c r="M86" s="22" t="s">
        <v>253</v>
      </c>
    </row>
    <row r="87" customFormat="false" ht="43.5" hidden="false" customHeight="true" outlineLevel="0" collapsed="false">
      <c r="A87" s="22" t="s">
        <v>527</v>
      </c>
      <c r="B87" s="22" t="s">
        <v>528</v>
      </c>
      <c r="C87" s="22" t="s">
        <v>47</v>
      </c>
      <c r="D87" s="22" t="s">
        <v>219</v>
      </c>
      <c r="E87" s="22" t="str">
        <f aca="false">IF(D87="","",IFERROR(VLOOKUP(D87,$A$2:$B$1656,2,FALSE()),""))</f>
        <v>Infernal and Corruptive Beings</v>
      </c>
      <c r="F87" s="22" t="n">
        <v>3</v>
      </c>
      <c r="G87" s="22" t="s">
        <v>529</v>
      </c>
      <c r="H87" s="22" t="s">
        <v>250</v>
      </c>
      <c r="I87" s="22" t="s">
        <v>530</v>
      </c>
      <c r="J87" s="22" t="s">
        <v>526</v>
      </c>
      <c r="K87" s="22" t="s">
        <v>530</v>
      </c>
      <c r="L87" s="22" t="s">
        <v>184</v>
      </c>
      <c r="M87" s="22" t="s">
        <v>253</v>
      </c>
    </row>
    <row r="88" customFormat="false" ht="43.5" hidden="false" customHeight="true" outlineLevel="0" collapsed="false">
      <c r="A88" s="22" t="s">
        <v>531</v>
      </c>
      <c r="B88" s="22" t="s">
        <v>532</v>
      </c>
      <c r="C88" s="22" t="s">
        <v>47</v>
      </c>
      <c r="D88" s="22" t="s">
        <v>219</v>
      </c>
      <c r="E88" s="22" t="str">
        <f aca="false">IF(D88="","",IFERROR(VLOOKUP(D88,$A$2:$B$1656,2,FALSE()),""))</f>
        <v>Infernal and Corruptive Beings</v>
      </c>
      <c r="F88" s="22" t="n">
        <v>3</v>
      </c>
      <c r="G88" s="22" t="s">
        <v>533</v>
      </c>
      <c r="H88" s="22" t="s">
        <v>250</v>
      </c>
      <c r="I88" s="22" t="s">
        <v>534</v>
      </c>
      <c r="J88" s="22" t="s">
        <v>526</v>
      </c>
      <c r="K88" s="22" t="s">
        <v>534</v>
      </c>
      <c r="L88" s="22" t="s">
        <v>184</v>
      </c>
      <c r="M88" s="22" t="s">
        <v>253</v>
      </c>
    </row>
    <row r="89" customFormat="false" ht="43.5" hidden="false" customHeight="true" outlineLevel="0" collapsed="false">
      <c r="A89" s="22" t="s">
        <v>535</v>
      </c>
      <c r="B89" s="22" t="s">
        <v>536</v>
      </c>
      <c r="C89" s="22" t="s">
        <v>47</v>
      </c>
      <c r="D89" s="22" t="s">
        <v>219</v>
      </c>
      <c r="E89" s="22" t="str">
        <f aca="false">IF(D89="","",IFERROR(VLOOKUP(D89,$A$2:$B$1656,2,FALSE()),""))</f>
        <v>Infernal and Corruptive Beings</v>
      </c>
      <c r="F89" s="22" t="n">
        <v>3</v>
      </c>
      <c r="G89" s="22" t="s">
        <v>537</v>
      </c>
      <c r="H89" s="22" t="s">
        <v>250</v>
      </c>
      <c r="I89" s="22" t="s">
        <v>538</v>
      </c>
      <c r="J89" s="22" t="s">
        <v>526</v>
      </c>
      <c r="K89" s="22" t="s">
        <v>538</v>
      </c>
      <c r="L89" s="22" t="s">
        <v>184</v>
      </c>
      <c r="M89" s="22" t="s">
        <v>253</v>
      </c>
    </row>
    <row r="90" customFormat="false" ht="43.5" hidden="false" customHeight="true" outlineLevel="0" collapsed="false">
      <c r="A90" s="22" t="s">
        <v>539</v>
      </c>
      <c r="B90" s="22" t="s">
        <v>540</v>
      </c>
      <c r="C90" s="22" t="s">
        <v>47</v>
      </c>
      <c r="D90" s="22" t="s">
        <v>219</v>
      </c>
      <c r="E90" s="22" t="str">
        <f aca="false">IF(D90="","",IFERROR(VLOOKUP(D90,$A$2:$B$1656,2,FALSE()),""))</f>
        <v>Infernal and Corruptive Beings</v>
      </c>
      <c r="F90" s="22" t="n">
        <v>3</v>
      </c>
      <c r="G90" s="22" t="s">
        <v>541</v>
      </c>
      <c r="H90" s="22" t="s">
        <v>250</v>
      </c>
      <c r="I90" s="22" t="s">
        <v>542</v>
      </c>
      <c r="J90" s="22" t="s">
        <v>526</v>
      </c>
      <c r="K90" s="22" t="s">
        <v>542</v>
      </c>
      <c r="L90" s="22" t="s">
        <v>184</v>
      </c>
      <c r="M90" s="22" t="s">
        <v>253</v>
      </c>
    </row>
    <row r="91" customFormat="false" ht="43.5" hidden="false" customHeight="true" outlineLevel="0" collapsed="false">
      <c r="A91" s="22" t="s">
        <v>543</v>
      </c>
      <c r="B91" s="22" t="s">
        <v>544</v>
      </c>
      <c r="C91" s="22" t="s">
        <v>47</v>
      </c>
      <c r="D91" s="22" t="s">
        <v>219</v>
      </c>
      <c r="E91" s="22" t="str">
        <f aca="false">IF(D91="","",IFERROR(VLOOKUP(D91,$A$2:$B$1656,2,FALSE()),""))</f>
        <v>Infernal and Corruptive Beings</v>
      </c>
      <c r="F91" s="22" t="n">
        <v>3</v>
      </c>
      <c r="G91" s="22" t="s">
        <v>545</v>
      </c>
      <c r="H91" s="22" t="s">
        <v>250</v>
      </c>
      <c r="I91" s="22" t="s">
        <v>546</v>
      </c>
      <c r="J91" s="22" t="s">
        <v>526</v>
      </c>
      <c r="K91" s="22" t="s">
        <v>546</v>
      </c>
      <c r="L91" s="22" t="s">
        <v>184</v>
      </c>
      <c r="M91" s="22" t="s">
        <v>253</v>
      </c>
    </row>
    <row r="92" customFormat="false" ht="43.5" hidden="false" customHeight="true" outlineLevel="0" collapsed="false">
      <c r="A92" s="22" t="s">
        <v>547</v>
      </c>
      <c r="B92" s="22" t="s">
        <v>548</v>
      </c>
      <c r="C92" s="22" t="s">
        <v>47</v>
      </c>
      <c r="D92" s="22" t="s">
        <v>219</v>
      </c>
      <c r="E92" s="22" t="str">
        <f aca="false">IF(D92="","",IFERROR(VLOOKUP(D92,$A$2:$B$1656,2,FALSE()),""))</f>
        <v>Infernal and Corruptive Beings</v>
      </c>
      <c r="F92" s="22" t="n">
        <v>3</v>
      </c>
      <c r="G92" s="22" t="s">
        <v>549</v>
      </c>
      <c r="H92" s="22" t="s">
        <v>250</v>
      </c>
      <c r="I92" s="22" t="s">
        <v>550</v>
      </c>
      <c r="J92" s="22" t="s">
        <v>526</v>
      </c>
      <c r="K92" s="22" t="s">
        <v>550</v>
      </c>
      <c r="L92" s="22" t="s">
        <v>184</v>
      </c>
      <c r="M92" s="22" t="s">
        <v>253</v>
      </c>
    </row>
    <row r="93" customFormat="false" ht="43.5" hidden="false" customHeight="true" outlineLevel="0" collapsed="false">
      <c r="A93" s="22" t="s">
        <v>551</v>
      </c>
      <c r="B93" s="22" t="s">
        <v>552</v>
      </c>
      <c r="C93" s="22" t="s">
        <v>47</v>
      </c>
      <c r="D93" s="22" t="s">
        <v>219</v>
      </c>
      <c r="E93" s="22" t="str">
        <f aca="false">IF(D93="","",IFERROR(VLOOKUP(D93,$A$2:$B$1656,2,FALSE()),""))</f>
        <v>Infernal and Corruptive Beings</v>
      </c>
      <c r="F93" s="22" t="n">
        <v>3</v>
      </c>
      <c r="G93" s="22" t="s">
        <v>553</v>
      </c>
      <c r="H93" s="22" t="s">
        <v>250</v>
      </c>
      <c r="I93" s="22" t="s">
        <v>554</v>
      </c>
      <c r="J93" s="22" t="s">
        <v>526</v>
      </c>
      <c r="K93" s="22" t="s">
        <v>554</v>
      </c>
      <c r="L93" s="22" t="s">
        <v>184</v>
      </c>
      <c r="M93" s="22" t="s">
        <v>253</v>
      </c>
    </row>
    <row r="94" customFormat="false" ht="43.5" hidden="false" customHeight="true" outlineLevel="0" collapsed="false">
      <c r="A94" s="22" t="s">
        <v>555</v>
      </c>
      <c r="B94" s="22" t="s">
        <v>556</v>
      </c>
      <c r="C94" s="22" t="s">
        <v>47</v>
      </c>
      <c r="D94" s="22" t="s">
        <v>219</v>
      </c>
      <c r="E94" s="22" t="str">
        <f aca="false">IF(D94="","",IFERROR(VLOOKUP(D94,$A$2:$B$1656,2,FALSE()),""))</f>
        <v>Infernal and Corruptive Beings</v>
      </c>
      <c r="F94" s="22" t="n">
        <v>3</v>
      </c>
      <c r="G94" s="22" t="s">
        <v>557</v>
      </c>
      <c r="H94" s="22" t="s">
        <v>250</v>
      </c>
      <c r="I94" s="22" t="s">
        <v>558</v>
      </c>
      <c r="J94" s="22" t="s">
        <v>526</v>
      </c>
      <c r="K94" s="22" t="s">
        <v>558</v>
      </c>
      <c r="L94" s="22" t="s">
        <v>184</v>
      </c>
      <c r="M94" s="22" t="s">
        <v>253</v>
      </c>
    </row>
    <row r="95" customFormat="false" ht="43.5" hidden="false" customHeight="true" outlineLevel="0" collapsed="false">
      <c r="A95" s="22" t="s">
        <v>559</v>
      </c>
      <c r="B95" s="22" t="s">
        <v>560</v>
      </c>
      <c r="C95" s="22" t="s">
        <v>47</v>
      </c>
      <c r="D95" s="22" t="s">
        <v>219</v>
      </c>
      <c r="E95" s="22" t="str">
        <f aca="false">IF(D95="","",IFERROR(VLOOKUP(D95,$A$2:$B$1656,2,FALSE()),""))</f>
        <v>Infernal and Corruptive Beings</v>
      </c>
      <c r="F95" s="22" t="n">
        <v>3</v>
      </c>
      <c r="G95" s="22" t="s">
        <v>561</v>
      </c>
      <c r="H95" s="22" t="s">
        <v>250</v>
      </c>
      <c r="I95" s="22" t="s">
        <v>562</v>
      </c>
      <c r="J95" s="22" t="s">
        <v>526</v>
      </c>
      <c r="K95" s="22" t="s">
        <v>562</v>
      </c>
      <c r="L95" s="22" t="s">
        <v>563</v>
      </c>
      <c r="M95" s="22" t="s">
        <v>253</v>
      </c>
    </row>
    <row r="96" customFormat="false" ht="43.5" hidden="false" customHeight="true" outlineLevel="0" collapsed="false">
      <c r="A96" s="22" t="s">
        <v>564</v>
      </c>
      <c r="B96" s="22" t="s">
        <v>565</v>
      </c>
      <c r="C96" s="22" t="s">
        <v>47</v>
      </c>
      <c r="D96" s="22" t="s">
        <v>219</v>
      </c>
      <c r="E96" s="22" t="str">
        <f aca="false">IF(D96="","",IFERROR(VLOOKUP(D96,$A$2:$B$1656,2,FALSE()),""))</f>
        <v>Infernal and Corruptive Beings</v>
      </c>
      <c r="F96" s="22" t="n">
        <v>3</v>
      </c>
      <c r="G96" s="22" t="s">
        <v>566</v>
      </c>
      <c r="H96" s="22" t="s">
        <v>250</v>
      </c>
      <c r="I96" s="22" t="s">
        <v>567</v>
      </c>
      <c r="J96" s="22" t="s">
        <v>526</v>
      </c>
      <c r="K96" s="22" t="s">
        <v>567</v>
      </c>
      <c r="L96" s="22" t="s">
        <v>568</v>
      </c>
      <c r="M96" s="22" t="s">
        <v>253</v>
      </c>
    </row>
    <row r="97" customFormat="false" ht="43.5" hidden="false" customHeight="true" outlineLevel="0" collapsed="false">
      <c r="A97" s="22" t="s">
        <v>569</v>
      </c>
      <c r="B97" s="22" t="s">
        <v>570</v>
      </c>
      <c r="C97" s="22" t="s">
        <v>47</v>
      </c>
      <c r="D97" s="22" t="s">
        <v>223</v>
      </c>
      <c r="E97" s="22" t="str">
        <f aca="false">IF(D97="","",IFERROR(VLOOKUP(D97,$A$2:$B$1656,2,FALSE()),""))</f>
        <v>Undead Beings</v>
      </c>
      <c r="F97" s="22" t="n">
        <v>3</v>
      </c>
      <c r="G97" s="22" t="s">
        <v>571</v>
      </c>
      <c r="H97" s="22" t="s">
        <v>250</v>
      </c>
      <c r="I97" s="22" t="s">
        <v>572</v>
      </c>
      <c r="J97" s="22" t="s">
        <v>573</v>
      </c>
      <c r="K97" s="22" t="s">
        <v>572</v>
      </c>
      <c r="L97" s="22" t="s">
        <v>184</v>
      </c>
      <c r="M97" s="22" t="s">
        <v>253</v>
      </c>
    </row>
    <row r="98" customFormat="false" ht="43.5" hidden="false" customHeight="true" outlineLevel="0" collapsed="false">
      <c r="A98" s="22" t="s">
        <v>574</v>
      </c>
      <c r="B98" s="22" t="s">
        <v>575</v>
      </c>
      <c r="C98" s="22" t="s">
        <v>47</v>
      </c>
      <c r="D98" s="22" t="s">
        <v>223</v>
      </c>
      <c r="E98" s="22" t="str">
        <f aca="false">IF(D98="","",IFERROR(VLOOKUP(D98,$A$2:$B$1656,2,FALSE()),""))</f>
        <v>Undead Beings</v>
      </c>
      <c r="F98" s="22" t="n">
        <v>3</v>
      </c>
      <c r="G98" s="22" t="s">
        <v>576</v>
      </c>
      <c r="H98" s="22" t="s">
        <v>250</v>
      </c>
      <c r="I98" s="22" t="s">
        <v>577</v>
      </c>
      <c r="J98" s="22" t="s">
        <v>573</v>
      </c>
      <c r="K98" s="22" t="s">
        <v>577</v>
      </c>
      <c r="L98" s="22" t="s">
        <v>184</v>
      </c>
      <c r="M98" s="22" t="s">
        <v>253</v>
      </c>
    </row>
    <row r="99" customFormat="false" ht="43.5" hidden="false" customHeight="true" outlineLevel="0" collapsed="false">
      <c r="A99" s="22" t="s">
        <v>578</v>
      </c>
      <c r="B99" s="22" t="s">
        <v>579</v>
      </c>
      <c r="C99" s="22" t="s">
        <v>47</v>
      </c>
      <c r="D99" s="22" t="s">
        <v>223</v>
      </c>
      <c r="E99" s="22" t="str">
        <f aca="false">IF(D99="","",IFERROR(VLOOKUP(D99,$A$2:$B$1656,2,FALSE()),""))</f>
        <v>Undead Beings</v>
      </c>
      <c r="F99" s="22" t="n">
        <v>3</v>
      </c>
      <c r="G99" s="22" t="s">
        <v>580</v>
      </c>
      <c r="H99" s="22" t="s">
        <v>250</v>
      </c>
      <c r="I99" s="22" t="s">
        <v>581</v>
      </c>
      <c r="J99" s="22" t="s">
        <v>573</v>
      </c>
      <c r="K99" s="22" t="s">
        <v>581</v>
      </c>
      <c r="L99" s="22" t="s">
        <v>184</v>
      </c>
      <c r="M99" s="22" t="s">
        <v>253</v>
      </c>
    </row>
    <row r="100" customFormat="false" ht="43.5" hidden="false" customHeight="true" outlineLevel="0" collapsed="false">
      <c r="A100" s="22" t="s">
        <v>582</v>
      </c>
      <c r="B100" s="22" t="s">
        <v>583</v>
      </c>
      <c r="C100" s="22" t="s">
        <v>47</v>
      </c>
      <c r="D100" s="22" t="s">
        <v>223</v>
      </c>
      <c r="E100" s="22" t="str">
        <f aca="false">IF(D100="","",IFERROR(VLOOKUP(D100,$A$2:$B$1656,2,FALSE()),""))</f>
        <v>Undead Beings</v>
      </c>
      <c r="F100" s="22" t="n">
        <v>3</v>
      </c>
      <c r="G100" s="22" t="s">
        <v>584</v>
      </c>
      <c r="H100" s="22" t="s">
        <v>250</v>
      </c>
      <c r="I100" s="22" t="s">
        <v>585</v>
      </c>
      <c r="J100" s="22" t="s">
        <v>573</v>
      </c>
      <c r="K100" s="22" t="s">
        <v>585</v>
      </c>
      <c r="L100" s="22" t="s">
        <v>184</v>
      </c>
      <c r="M100" s="22" t="s">
        <v>253</v>
      </c>
    </row>
    <row r="101" customFormat="false" ht="43.5" hidden="false" customHeight="true" outlineLevel="0" collapsed="false">
      <c r="A101" s="22" t="s">
        <v>586</v>
      </c>
      <c r="B101" s="22" t="s">
        <v>587</v>
      </c>
      <c r="C101" s="22" t="s">
        <v>47</v>
      </c>
      <c r="D101" s="22" t="s">
        <v>223</v>
      </c>
      <c r="E101" s="22" t="str">
        <f aca="false">IF(D101="","",IFERROR(VLOOKUP(D101,$A$2:$B$1656,2,FALSE()),""))</f>
        <v>Undead Beings</v>
      </c>
      <c r="F101" s="22" t="n">
        <v>3</v>
      </c>
      <c r="G101" s="22" t="s">
        <v>588</v>
      </c>
      <c r="H101" s="22" t="s">
        <v>250</v>
      </c>
      <c r="I101" s="22" t="s">
        <v>589</v>
      </c>
      <c r="J101" s="22" t="s">
        <v>573</v>
      </c>
      <c r="K101" s="22" t="s">
        <v>589</v>
      </c>
      <c r="L101" s="22" t="s">
        <v>184</v>
      </c>
      <c r="M101" s="22" t="s">
        <v>253</v>
      </c>
    </row>
    <row r="102" customFormat="false" ht="43.5" hidden="false" customHeight="true" outlineLevel="0" collapsed="false">
      <c r="A102" s="22" t="s">
        <v>590</v>
      </c>
      <c r="B102" s="22" t="s">
        <v>591</v>
      </c>
      <c r="C102" s="22" t="s">
        <v>47</v>
      </c>
      <c r="D102" s="22" t="s">
        <v>223</v>
      </c>
      <c r="E102" s="22" t="str">
        <f aca="false">IF(D102="","",IFERROR(VLOOKUP(D102,$A$2:$B$1656,2,FALSE()),""))</f>
        <v>Undead Beings</v>
      </c>
      <c r="F102" s="22" t="n">
        <v>3</v>
      </c>
      <c r="G102" s="22" t="s">
        <v>592</v>
      </c>
      <c r="H102" s="22" t="s">
        <v>250</v>
      </c>
      <c r="I102" s="22" t="s">
        <v>593</v>
      </c>
      <c r="J102" s="22" t="s">
        <v>573</v>
      </c>
      <c r="K102" s="22" t="s">
        <v>593</v>
      </c>
      <c r="L102" s="22" t="s">
        <v>184</v>
      </c>
      <c r="M102" s="22" t="s">
        <v>253</v>
      </c>
    </row>
    <row r="103" customFormat="false" ht="43.5" hidden="false" customHeight="true" outlineLevel="0" collapsed="false">
      <c r="A103" s="22" t="s">
        <v>594</v>
      </c>
      <c r="B103" s="22" t="s">
        <v>595</v>
      </c>
      <c r="C103" s="22" t="s">
        <v>47</v>
      </c>
      <c r="D103" s="22" t="s">
        <v>223</v>
      </c>
      <c r="E103" s="22" t="str">
        <f aca="false">IF(D103="","",IFERROR(VLOOKUP(D103,$A$2:$B$1656,2,FALSE()),""))</f>
        <v>Undead Beings</v>
      </c>
      <c r="F103" s="22" t="n">
        <v>3</v>
      </c>
      <c r="G103" s="22" t="s">
        <v>596</v>
      </c>
      <c r="H103" s="22" t="s">
        <v>250</v>
      </c>
      <c r="I103" s="22" t="s">
        <v>597</v>
      </c>
      <c r="J103" s="22" t="s">
        <v>573</v>
      </c>
      <c r="K103" s="22" t="s">
        <v>597</v>
      </c>
      <c r="L103" s="22" t="s">
        <v>598</v>
      </c>
      <c r="M103" s="22" t="s">
        <v>253</v>
      </c>
    </row>
    <row r="104" customFormat="false" ht="43.5" hidden="false" customHeight="true" outlineLevel="0" collapsed="false">
      <c r="A104" s="22" t="s">
        <v>599</v>
      </c>
      <c r="B104" s="22" t="s">
        <v>600</v>
      </c>
      <c r="C104" s="22" t="s">
        <v>47</v>
      </c>
      <c r="D104" s="22" t="s">
        <v>223</v>
      </c>
      <c r="E104" s="22" t="str">
        <f aca="false">IF(D104="","",IFERROR(VLOOKUP(D104,$A$2:$B$1656,2,FALSE()),""))</f>
        <v>Undead Beings</v>
      </c>
      <c r="F104" s="22" t="n">
        <v>3</v>
      </c>
      <c r="G104" s="22" t="s">
        <v>601</v>
      </c>
      <c r="H104" s="22" t="s">
        <v>250</v>
      </c>
      <c r="I104" s="22" t="s">
        <v>602</v>
      </c>
      <c r="J104" s="22" t="s">
        <v>573</v>
      </c>
      <c r="K104" s="22" t="s">
        <v>602</v>
      </c>
      <c r="L104" s="22" t="s">
        <v>184</v>
      </c>
      <c r="M104" s="22" t="s">
        <v>253</v>
      </c>
    </row>
    <row r="105" customFormat="false" ht="43.5" hidden="false" customHeight="true" outlineLevel="0" collapsed="false">
      <c r="A105" s="22" t="s">
        <v>603</v>
      </c>
      <c r="B105" s="22" t="s">
        <v>604</v>
      </c>
      <c r="C105" s="22" t="s">
        <v>47</v>
      </c>
      <c r="D105" s="22" t="s">
        <v>223</v>
      </c>
      <c r="E105" s="22" t="str">
        <f aca="false">IF(D105="","",IFERROR(VLOOKUP(D105,$A$2:$B$1656,2,FALSE()),""))</f>
        <v>Undead Beings</v>
      </c>
      <c r="F105" s="22" t="n">
        <v>3</v>
      </c>
      <c r="G105" s="22" t="s">
        <v>605</v>
      </c>
      <c r="H105" s="22" t="s">
        <v>250</v>
      </c>
      <c r="I105" s="22" t="s">
        <v>606</v>
      </c>
      <c r="J105" s="22" t="s">
        <v>573</v>
      </c>
      <c r="K105" s="22" t="s">
        <v>606</v>
      </c>
      <c r="L105" s="22" t="s">
        <v>184</v>
      </c>
      <c r="M105" s="22" t="s">
        <v>253</v>
      </c>
    </row>
    <row r="106" customFormat="false" ht="43.5" hidden="false" customHeight="true" outlineLevel="0" collapsed="false">
      <c r="A106" s="22" t="s">
        <v>607</v>
      </c>
      <c r="B106" s="22" t="s">
        <v>608</v>
      </c>
      <c r="C106" s="22" t="s">
        <v>47</v>
      </c>
      <c r="D106" s="22" t="s">
        <v>223</v>
      </c>
      <c r="E106" s="22" t="str">
        <f aca="false">IF(D106="","",IFERROR(VLOOKUP(D106,$A$2:$B$1656,2,FALSE()),""))</f>
        <v>Undead Beings</v>
      </c>
      <c r="F106" s="22" t="n">
        <v>3</v>
      </c>
      <c r="G106" s="22" t="s">
        <v>609</v>
      </c>
      <c r="H106" s="22" t="s">
        <v>250</v>
      </c>
      <c r="I106" s="22" t="s">
        <v>610</v>
      </c>
      <c r="J106" s="22" t="s">
        <v>573</v>
      </c>
      <c r="K106" s="22" t="s">
        <v>610</v>
      </c>
      <c r="L106" s="22" t="s">
        <v>184</v>
      </c>
      <c r="M106" s="22" t="s">
        <v>253</v>
      </c>
    </row>
    <row r="107" customFormat="false" ht="43.5" hidden="false" customHeight="true" outlineLevel="0" collapsed="false">
      <c r="A107" s="22" t="s">
        <v>611</v>
      </c>
      <c r="B107" s="22" t="s">
        <v>612</v>
      </c>
      <c r="C107" s="22" t="s">
        <v>47</v>
      </c>
      <c r="D107" s="22" t="s">
        <v>223</v>
      </c>
      <c r="E107" s="22" t="str">
        <f aca="false">IF(D107="","",IFERROR(VLOOKUP(D107,$A$2:$B$1656,2,FALSE()),""))</f>
        <v>Undead Beings</v>
      </c>
      <c r="F107" s="22" t="n">
        <v>3</v>
      </c>
      <c r="G107" s="22" t="s">
        <v>613</v>
      </c>
      <c r="H107" s="22" t="s">
        <v>250</v>
      </c>
      <c r="I107" s="22" t="s">
        <v>614</v>
      </c>
      <c r="J107" s="22" t="s">
        <v>573</v>
      </c>
      <c r="K107" s="22" t="s">
        <v>614</v>
      </c>
      <c r="L107" s="22" t="s">
        <v>184</v>
      </c>
      <c r="M107" s="22" t="s">
        <v>253</v>
      </c>
    </row>
    <row r="108" customFormat="false" ht="43.5" hidden="false" customHeight="true" outlineLevel="0" collapsed="false">
      <c r="A108" s="22" t="s">
        <v>615</v>
      </c>
      <c r="B108" s="22" t="s">
        <v>616</v>
      </c>
      <c r="C108" s="22" t="s">
        <v>47</v>
      </c>
      <c r="D108" s="22" t="s">
        <v>223</v>
      </c>
      <c r="E108" s="22" t="str">
        <f aca="false">IF(D108="","",IFERROR(VLOOKUP(D108,$A$2:$B$1656,2,FALSE()),""))</f>
        <v>Undead Beings</v>
      </c>
      <c r="F108" s="22" t="n">
        <v>3</v>
      </c>
      <c r="G108" s="22" t="s">
        <v>617</v>
      </c>
      <c r="H108" s="22" t="s">
        <v>250</v>
      </c>
      <c r="I108" s="22" t="s">
        <v>618</v>
      </c>
      <c r="J108" s="22" t="s">
        <v>573</v>
      </c>
      <c r="K108" s="22" t="s">
        <v>618</v>
      </c>
      <c r="L108" s="22" t="s">
        <v>619</v>
      </c>
      <c r="M108" s="22" t="s">
        <v>253</v>
      </c>
    </row>
    <row r="109" customFormat="false" ht="43.5" hidden="false" customHeight="true" outlineLevel="0" collapsed="false">
      <c r="A109" s="22" t="s">
        <v>620</v>
      </c>
      <c r="B109" s="22" t="s">
        <v>621</v>
      </c>
      <c r="C109" s="22" t="s">
        <v>47</v>
      </c>
      <c r="D109" s="22" t="s">
        <v>223</v>
      </c>
      <c r="E109" s="22" t="str">
        <f aca="false">IF(D109="","",IFERROR(VLOOKUP(D109,$A$2:$B$1656,2,FALSE()),""))</f>
        <v>Undead Beings</v>
      </c>
      <c r="F109" s="22" t="n">
        <v>3</v>
      </c>
      <c r="G109" s="22" t="s">
        <v>622</v>
      </c>
      <c r="H109" s="22" t="s">
        <v>250</v>
      </c>
      <c r="I109" s="22" t="s">
        <v>623</v>
      </c>
      <c r="J109" s="22" t="s">
        <v>573</v>
      </c>
      <c r="K109" s="22" t="s">
        <v>623</v>
      </c>
      <c r="L109" s="22" t="s">
        <v>184</v>
      </c>
      <c r="M109" s="22" t="s">
        <v>253</v>
      </c>
    </row>
    <row r="110" customFormat="false" ht="43.5" hidden="false" customHeight="true" outlineLevel="0" collapsed="false">
      <c r="A110" s="22" t="s">
        <v>624</v>
      </c>
      <c r="B110" s="22" t="s">
        <v>625</v>
      </c>
      <c r="C110" s="22" t="s">
        <v>47</v>
      </c>
      <c r="D110" s="22" t="s">
        <v>223</v>
      </c>
      <c r="E110" s="22" t="str">
        <f aca="false">IF(D110="","",IFERROR(VLOOKUP(D110,$A$2:$B$1656,2,FALSE()),""))</f>
        <v>Undead Beings</v>
      </c>
      <c r="F110" s="22" t="n">
        <v>3</v>
      </c>
      <c r="G110" s="22" t="s">
        <v>626</v>
      </c>
      <c r="H110" s="22" t="s">
        <v>250</v>
      </c>
      <c r="I110" s="22" t="s">
        <v>627</v>
      </c>
      <c r="J110" s="22" t="s">
        <v>573</v>
      </c>
      <c r="K110" s="22" t="s">
        <v>627</v>
      </c>
      <c r="L110" s="22" t="s">
        <v>184</v>
      </c>
      <c r="M110" s="22" t="s">
        <v>253</v>
      </c>
    </row>
    <row r="111" customFormat="false" ht="43.5" hidden="false" customHeight="true" outlineLevel="0" collapsed="false">
      <c r="A111" s="22" t="s">
        <v>628</v>
      </c>
      <c r="B111" s="22" t="s">
        <v>629</v>
      </c>
      <c r="C111" s="22" t="s">
        <v>47</v>
      </c>
      <c r="D111" s="22" t="s">
        <v>223</v>
      </c>
      <c r="E111" s="22" t="str">
        <f aca="false">IF(D111="","",IFERROR(VLOOKUP(D111,$A$2:$B$1656,2,FALSE()),""))</f>
        <v>Undead Beings</v>
      </c>
      <c r="F111" s="22" t="n">
        <v>3</v>
      </c>
      <c r="G111" s="22" t="s">
        <v>630</v>
      </c>
      <c r="H111" s="22" t="s">
        <v>250</v>
      </c>
      <c r="I111" s="22" t="s">
        <v>631</v>
      </c>
      <c r="J111" s="22" t="s">
        <v>573</v>
      </c>
      <c r="K111" s="22" t="s">
        <v>631</v>
      </c>
      <c r="L111" s="22" t="s">
        <v>184</v>
      </c>
      <c r="M111" s="22" t="s">
        <v>253</v>
      </c>
    </row>
    <row r="112" customFormat="false" ht="43.5" hidden="false" customHeight="true" outlineLevel="0" collapsed="false">
      <c r="A112" s="22" t="s">
        <v>632</v>
      </c>
      <c r="B112" s="22" t="s">
        <v>633</v>
      </c>
      <c r="C112" s="22" t="s">
        <v>47</v>
      </c>
      <c r="D112" s="22" t="s">
        <v>227</v>
      </c>
      <c r="E112" s="22" t="str">
        <f aca="false">IF(D112="","",IFERROR(VLOOKUP(D112,$A$2:$B$1656,2,FALSE()),""))</f>
        <v>Constructs and Artificial Life</v>
      </c>
      <c r="F112" s="22" t="n">
        <v>3</v>
      </c>
      <c r="G112" s="22" t="s">
        <v>634</v>
      </c>
      <c r="H112" s="22" t="s">
        <v>250</v>
      </c>
      <c r="I112" s="22" t="s">
        <v>635</v>
      </c>
      <c r="J112" s="22" t="s">
        <v>636</v>
      </c>
      <c r="K112" s="22" t="s">
        <v>635</v>
      </c>
      <c r="L112" s="22" t="s">
        <v>637</v>
      </c>
      <c r="M112" s="22" t="s">
        <v>253</v>
      </c>
    </row>
    <row r="113" customFormat="false" ht="43.5" hidden="false" customHeight="true" outlineLevel="0" collapsed="false">
      <c r="A113" s="22" t="s">
        <v>638</v>
      </c>
      <c r="B113" s="22" t="s">
        <v>639</v>
      </c>
      <c r="C113" s="22" t="s">
        <v>47</v>
      </c>
      <c r="D113" s="22" t="s">
        <v>227</v>
      </c>
      <c r="E113" s="22" t="str">
        <f aca="false">IF(D113="","",IFERROR(VLOOKUP(D113,$A$2:$B$1656,2,FALSE()),""))</f>
        <v>Constructs and Artificial Life</v>
      </c>
      <c r="F113" s="22" t="n">
        <v>3</v>
      </c>
      <c r="G113" s="22" t="s">
        <v>640</v>
      </c>
      <c r="H113" s="22" t="s">
        <v>250</v>
      </c>
      <c r="I113" s="22" t="s">
        <v>641</v>
      </c>
      <c r="J113" s="22" t="s">
        <v>636</v>
      </c>
      <c r="K113" s="22" t="s">
        <v>641</v>
      </c>
      <c r="L113" s="22" t="s">
        <v>184</v>
      </c>
      <c r="M113" s="22" t="s">
        <v>253</v>
      </c>
    </row>
    <row r="114" customFormat="false" ht="43.5" hidden="false" customHeight="true" outlineLevel="0" collapsed="false">
      <c r="A114" s="22" t="s">
        <v>642</v>
      </c>
      <c r="B114" s="22" t="s">
        <v>643</v>
      </c>
      <c r="C114" s="22" t="s">
        <v>47</v>
      </c>
      <c r="D114" s="22" t="s">
        <v>227</v>
      </c>
      <c r="E114" s="22" t="str">
        <f aca="false">IF(D114="","",IFERROR(VLOOKUP(D114,$A$2:$B$1656,2,FALSE()),""))</f>
        <v>Constructs and Artificial Life</v>
      </c>
      <c r="F114" s="22" t="n">
        <v>3</v>
      </c>
      <c r="G114" s="22" t="s">
        <v>644</v>
      </c>
      <c r="H114" s="22" t="s">
        <v>250</v>
      </c>
      <c r="I114" s="22" t="s">
        <v>645</v>
      </c>
      <c r="J114" s="22" t="s">
        <v>636</v>
      </c>
      <c r="K114" s="22" t="s">
        <v>645</v>
      </c>
      <c r="L114" s="22" t="s">
        <v>646</v>
      </c>
      <c r="M114" s="22" t="s">
        <v>253</v>
      </c>
    </row>
    <row r="115" customFormat="false" ht="43.5" hidden="false" customHeight="true" outlineLevel="0" collapsed="false">
      <c r="A115" s="22" t="s">
        <v>647</v>
      </c>
      <c r="B115" s="22" t="s">
        <v>648</v>
      </c>
      <c r="C115" s="22" t="s">
        <v>47</v>
      </c>
      <c r="D115" s="22" t="s">
        <v>227</v>
      </c>
      <c r="E115" s="22" t="str">
        <f aca="false">IF(D115="","",IFERROR(VLOOKUP(D115,$A$2:$B$1656,2,FALSE()),""))</f>
        <v>Constructs and Artificial Life</v>
      </c>
      <c r="F115" s="22" t="n">
        <v>3</v>
      </c>
      <c r="G115" s="22" t="s">
        <v>649</v>
      </c>
      <c r="H115" s="22" t="s">
        <v>250</v>
      </c>
      <c r="I115" s="22" t="s">
        <v>650</v>
      </c>
      <c r="J115" s="22" t="s">
        <v>636</v>
      </c>
      <c r="K115" s="22" t="s">
        <v>650</v>
      </c>
      <c r="L115" s="22" t="s">
        <v>184</v>
      </c>
      <c r="M115" s="22" t="s">
        <v>253</v>
      </c>
    </row>
    <row r="116" customFormat="false" ht="43.5" hidden="false" customHeight="true" outlineLevel="0" collapsed="false">
      <c r="A116" s="22" t="s">
        <v>651</v>
      </c>
      <c r="B116" s="22" t="s">
        <v>652</v>
      </c>
      <c r="C116" s="22" t="s">
        <v>47</v>
      </c>
      <c r="D116" s="22" t="s">
        <v>227</v>
      </c>
      <c r="E116" s="22" t="str">
        <f aca="false">IF(D116="","",IFERROR(VLOOKUP(D116,$A$2:$B$1656,2,FALSE()),""))</f>
        <v>Constructs and Artificial Life</v>
      </c>
      <c r="F116" s="22" t="n">
        <v>3</v>
      </c>
      <c r="G116" s="22" t="s">
        <v>653</v>
      </c>
      <c r="H116" s="22" t="s">
        <v>250</v>
      </c>
      <c r="I116" s="22" t="s">
        <v>654</v>
      </c>
      <c r="J116" s="22" t="s">
        <v>636</v>
      </c>
      <c r="K116" s="22" t="s">
        <v>654</v>
      </c>
      <c r="L116" s="22" t="s">
        <v>184</v>
      </c>
      <c r="M116" s="22" t="s">
        <v>253</v>
      </c>
    </row>
    <row r="117" customFormat="false" ht="43.5" hidden="false" customHeight="true" outlineLevel="0" collapsed="false">
      <c r="A117" s="22" t="s">
        <v>655</v>
      </c>
      <c r="B117" s="22" t="s">
        <v>656</v>
      </c>
      <c r="C117" s="22" t="s">
        <v>47</v>
      </c>
      <c r="D117" s="22" t="s">
        <v>227</v>
      </c>
      <c r="E117" s="22" t="str">
        <f aca="false">IF(D117="","",IFERROR(VLOOKUP(D117,$A$2:$B$1656,2,FALSE()),""))</f>
        <v>Constructs and Artificial Life</v>
      </c>
      <c r="F117" s="22" t="n">
        <v>3</v>
      </c>
      <c r="G117" s="22" t="s">
        <v>657</v>
      </c>
      <c r="H117" s="22" t="s">
        <v>250</v>
      </c>
      <c r="I117" s="22" t="s">
        <v>658</v>
      </c>
      <c r="J117" s="22" t="s">
        <v>636</v>
      </c>
      <c r="K117" s="22" t="s">
        <v>658</v>
      </c>
      <c r="L117" s="22" t="s">
        <v>184</v>
      </c>
      <c r="M117" s="22" t="s">
        <v>253</v>
      </c>
    </row>
    <row r="118" customFormat="false" ht="43.5" hidden="false" customHeight="true" outlineLevel="0" collapsed="false">
      <c r="A118" s="22" t="s">
        <v>659</v>
      </c>
      <c r="B118" s="22" t="s">
        <v>660</v>
      </c>
      <c r="C118" s="22" t="s">
        <v>47</v>
      </c>
      <c r="D118" s="22" t="s">
        <v>227</v>
      </c>
      <c r="E118" s="22" t="str">
        <f aca="false">IF(D118="","",IFERROR(VLOOKUP(D118,$A$2:$B$1656,2,FALSE()),""))</f>
        <v>Constructs and Artificial Life</v>
      </c>
      <c r="F118" s="22" t="n">
        <v>3</v>
      </c>
      <c r="G118" s="22" t="s">
        <v>661</v>
      </c>
      <c r="H118" s="22" t="s">
        <v>250</v>
      </c>
      <c r="I118" s="22" t="s">
        <v>662</v>
      </c>
      <c r="J118" s="22" t="s">
        <v>636</v>
      </c>
      <c r="K118" s="22" t="s">
        <v>662</v>
      </c>
      <c r="L118" s="22" t="s">
        <v>184</v>
      </c>
      <c r="M118" s="22" t="s">
        <v>253</v>
      </c>
    </row>
    <row r="119" customFormat="false" ht="43.5" hidden="false" customHeight="true" outlineLevel="0" collapsed="false">
      <c r="A119" s="22" t="s">
        <v>663</v>
      </c>
      <c r="B119" s="22" t="s">
        <v>664</v>
      </c>
      <c r="C119" s="22" t="s">
        <v>47</v>
      </c>
      <c r="D119" s="22" t="s">
        <v>227</v>
      </c>
      <c r="E119" s="22" t="str">
        <f aca="false">IF(D119="","",IFERROR(VLOOKUP(D119,$A$2:$B$1656,2,FALSE()),""))</f>
        <v>Constructs and Artificial Life</v>
      </c>
      <c r="F119" s="22" t="n">
        <v>3</v>
      </c>
      <c r="G119" s="22" t="s">
        <v>665</v>
      </c>
      <c r="H119" s="22" t="s">
        <v>250</v>
      </c>
      <c r="I119" s="22" t="s">
        <v>666</v>
      </c>
      <c r="J119" s="22" t="s">
        <v>636</v>
      </c>
      <c r="K119" s="22" t="s">
        <v>666</v>
      </c>
      <c r="L119" s="22" t="s">
        <v>184</v>
      </c>
      <c r="M119" s="22" t="s">
        <v>253</v>
      </c>
    </row>
    <row r="120" customFormat="false" ht="43.5" hidden="false" customHeight="true" outlineLevel="0" collapsed="false">
      <c r="A120" s="22" t="s">
        <v>667</v>
      </c>
      <c r="B120" s="22" t="s">
        <v>668</v>
      </c>
      <c r="C120" s="22" t="s">
        <v>47</v>
      </c>
      <c r="D120" s="22" t="s">
        <v>227</v>
      </c>
      <c r="E120" s="22" t="str">
        <f aca="false">IF(D120="","",IFERROR(VLOOKUP(D120,$A$2:$B$1656,2,FALSE()),""))</f>
        <v>Constructs and Artificial Life</v>
      </c>
      <c r="F120" s="22" t="n">
        <v>3</v>
      </c>
      <c r="G120" s="22" t="s">
        <v>669</v>
      </c>
      <c r="H120" s="22" t="s">
        <v>250</v>
      </c>
      <c r="I120" s="22" t="s">
        <v>670</v>
      </c>
      <c r="J120" s="22" t="s">
        <v>636</v>
      </c>
      <c r="K120" s="22" t="s">
        <v>670</v>
      </c>
      <c r="L120" s="22" t="s">
        <v>184</v>
      </c>
      <c r="M120" s="22" t="s">
        <v>253</v>
      </c>
    </row>
    <row r="121" customFormat="false" ht="43.5" hidden="false" customHeight="true" outlineLevel="0" collapsed="false">
      <c r="A121" s="22" t="s">
        <v>671</v>
      </c>
      <c r="B121" s="22" t="s">
        <v>672</v>
      </c>
      <c r="C121" s="22" t="s">
        <v>47</v>
      </c>
      <c r="D121" s="22" t="s">
        <v>227</v>
      </c>
      <c r="E121" s="22" t="str">
        <f aca="false">IF(D121="","",IFERROR(VLOOKUP(D121,$A$2:$B$1656,2,FALSE()),""))</f>
        <v>Constructs and Artificial Life</v>
      </c>
      <c r="F121" s="22" t="n">
        <v>3</v>
      </c>
      <c r="G121" s="22" t="s">
        <v>673</v>
      </c>
      <c r="H121" s="22" t="s">
        <v>250</v>
      </c>
      <c r="I121" s="22" t="s">
        <v>674</v>
      </c>
      <c r="J121" s="22" t="s">
        <v>636</v>
      </c>
      <c r="K121" s="22" t="s">
        <v>674</v>
      </c>
      <c r="L121" s="22" t="s">
        <v>184</v>
      </c>
      <c r="M121" s="22" t="s">
        <v>253</v>
      </c>
    </row>
    <row r="122" customFormat="false" ht="43.5" hidden="false" customHeight="true" outlineLevel="0" collapsed="false">
      <c r="A122" s="22" t="s">
        <v>675</v>
      </c>
      <c r="B122" s="22" t="s">
        <v>676</v>
      </c>
      <c r="C122" s="22" t="s">
        <v>47</v>
      </c>
      <c r="D122" s="22" t="s">
        <v>227</v>
      </c>
      <c r="E122" s="22" t="str">
        <f aca="false">IF(D122="","",IFERROR(VLOOKUP(D122,$A$2:$B$1656,2,FALSE()),""))</f>
        <v>Constructs and Artificial Life</v>
      </c>
      <c r="F122" s="22" t="n">
        <v>3</v>
      </c>
      <c r="G122" s="22" t="s">
        <v>677</v>
      </c>
      <c r="H122" s="22" t="s">
        <v>250</v>
      </c>
      <c r="I122" s="22" t="s">
        <v>678</v>
      </c>
      <c r="J122" s="22" t="s">
        <v>636</v>
      </c>
      <c r="K122" s="22" t="s">
        <v>678</v>
      </c>
      <c r="L122" s="22" t="s">
        <v>184</v>
      </c>
      <c r="M122" s="22" t="s">
        <v>253</v>
      </c>
    </row>
    <row r="123" customFormat="false" ht="43.5" hidden="false" customHeight="true" outlineLevel="0" collapsed="false">
      <c r="A123" s="22" t="s">
        <v>679</v>
      </c>
      <c r="B123" s="22" t="s">
        <v>680</v>
      </c>
      <c r="C123" s="22" t="s">
        <v>47</v>
      </c>
      <c r="D123" s="22" t="s">
        <v>227</v>
      </c>
      <c r="E123" s="22" t="str">
        <f aca="false">IF(D123="","",IFERROR(VLOOKUP(D123,$A$2:$B$1656,2,FALSE()),""))</f>
        <v>Constructs and Artificial Life</v>
      </c>
      <c r="F123" s="22" t="n">
        <v>3</v>
      </c>
      <c r="G123" s="22" t="s">
        <v>681</v>
      </c>
      <c r="H123" s="22" t="s">
        <v>250</v>
      </c>
      <c r="I123" s="22" t="s">
        <v>682</v>
      </c>
      <c r="J123" s="22" t="s">
        <v>636</v>
      </c>
      <c r="K123" s="22" t="s">
        <v>682</v>
      </c>
      <c r="L123" s="22" t="s">
        <v>184</v>
      </c>
      <c r="M123" s="22" t="s">
        <v>253</v>
      </c>
    </row>
    <row r="124" customFormat="false" ht="43.5" hidden="false" customHeight="true" outlineLevel="0" collapsed="false">
      <c r="A124" s="22" t="s">
        <v>683</v>
      </c>
      <c r="B124" s="22" t="s">
        <v>684</v>
      </c>
      <c r="C124" s="22" t="s">
        <v>47</v>
      </c>
      <c r="D124" s="22" t="s">
        <v>231</v>
      </c>
      <c r="E124" s="22" t="str">
        <f aca="false">IF(D124="","",IFERROR(VLOOKUP(D124,$A$2:$B$1656,2,FALSE()),""))</f>
        <v>Dragons and Legendary Beasts</v>
      </c>
      <c r="F124" s="22" t="n">
        <v>3</v>
      </c>
      <c r="G124" s="22" t="s">
        <v>685</v>
      </c>
      <c r="H124" s="22" t="s">
        <v>250</v>
      </c>
      <c r="I124" s="22" t="s">
        <v>686</v>
      </c>
      <c r="J124" s="22" t="s">
        <v>687</v>
      </c>
      <c r="K124" s="22" t="s">
        <v>686</v>
      </c>
      <c r="L124" s="22" t="s">
        <v>184</v>
      </c>
      <c r="M124" s="22" t="s">
        <v>253</v>
      </c>
    </row>
    <row r="125" customFormat="false" ht="43.5" hidden="false" customHeight="true" outlineLevel="0" collapsed="false">
      <c r="A125" s="22" t="s">
        <v>688</v>
      </c>
      <c r="B125" s="22" t="s">
        <v>689</v>
      </c>
      <c r="C125" s="22" t="s">
        <v>47</v>
      </c>
      <c r="D125" s="22" t="s">
        <v>231</v>
      </c>
      <c r="E125" s="22" t="str">
        <f aca="false">IF(D125="","",IFERROR(VLOOKUP(D125,$A$2:$B$1656,2,FALSE()),""))</f>
        <v>Dragons and Legendary Beasts</v>
      </c>
      <c r="F125" s="22" t="n">
        <v>3</v>
      </c>
      <c r="G125" s="22" t="s">
        <v>690</v>
      </c>
      <c r="H125" s="22" t="s">
        <v>250</v>
      </c>
      <c r="I125" s="22" t="s">
        <v>691</v>
      </c>
      <c r="J125" s="22" t="s">
        <v>687</v>
      </c>
      <c r="K125" s="22" t="s">
        <v>691</v>
      </c>
      <c r="L125" s="22" t="s">
        <v>184</v>
      </c>
      <c r="M125" s="22" t="s">
        <v>253</v>
      </c>
    </row>
    <row r="126" customFormat="false" ht="43.5" hidden="false" customHeight="true" outlineLevel="0" collapsed="false">
      <c r="A126" s="22" t="s">
        <v>692</v>
      </c>
      <c r="B126" s="22" t="s">
        <v>693</v>
      </c>
      <c r="C126" s="22" t="s">
        <v>47</v>
      </c>
      <c r="D126" s="22" t="s">
        <v>231</v>
      </c>
      <c r="E126" s="22" t="str">
        <f aca="false">IF(D126="","",IFERROR(VLOOKUP(D126,$A$2:$B$1656,2,FALSE()),""))</f>
        <v>Dragons and Legendary Beasts</v>
      </c>
      <c r="F126" s="22" t="n">
        <v>3</v>
      </c>
      <c r="G126" s="22" t="s">
        <v>694</v>
      </c>
      <c r="H126" s="22" t="s">
        <v>250</v>
      </c>
      <c r="I126" s="22" t="s">
        <v>695</v>
      </c>
      <c r="J126" s="22" t="s">
        <v>687</v>
      </c>
      <c r="K126" s="22" t="s">
        <v>695</v>
      </c>
      <c r="L126" s="22" t="s">
        <v>184</v>
      </c>
      <c r="M126" s="22" t="s">
        <v>253</v>
      </c>
    </row>
    <row r="127" customFormat="false" ht="43.5" hidden="false" customHeight="true" outlineLevel="0" collapsed="false">
      <c r="A127" s="22" t="s">
        <v>696</v>
      </c>
      <c r="B127" s="22" t="s">
        <v>697</v>
      </c>
      <c r="C127" s="22" t="s">
        <v>47</v>
      </c>
      <c r="D127" s="22" t="s">
        <v>231</v>
      </c>
      <c r="E127" s="22" t="str">
        <f aca="false">IF(D127="","",IFERROR(VLOOKUP(D127,$A$2:$B$1656,2,FALSE()),""))</f>
        <v>Dragons and Legendary Beasts</v>
      </c>
      <c r="F127" s="22" t="n">
        <v>3</v>
      </c>
      <c r="G127" s="22" t="s">
        <v>698</v>
      </c>
      <c r="H127" s="22" t="s">
        <v>250</v>
      </c>
      <c r="I127" s="22" t="s">
        <v>699</v>
      </c>
      <c r="J127" s="22" t="s">
        <v>687</v>
      </c>
      <c r="K127" s="22" t="s">
        <v>699</v>
      </c>
      <c r="L127" s="22" t="s">
        <v>184</v>
      </c>
      <c r="M127" s="22" t="s">
        <v>253</v>
      </c>
    </row>
    <row r="128" customFormat="false" ht="43.5" hidden="false" customHeight="true" outlineLevel="0" collapsed="false">
      <c r="A128" s="22" t="s">
        <v>700</v>
      </c>
      <c r="B128" s="22" t="s">
        <v>701</v>
      </c>
      <c r="C128" s="22" t="s">
        <v>47</v>
      </c>
      <c r="D128" s="22" t="s">
        <v>231</v>
      </c>
      <c r="E128" s="22" t="str">
        <f aca="false">IF(D128="","",IFERROR(VLOOKUP(D128,$A$2:$B$1656,2,FALSE()),""))</f>
        <v>Dragons and Legendary Beasts</v>
      </c>
      <c r="F128" s="22" t="n">
        <v>3</v>
      </c>
      <c r="G128" s="22" t="s">
        <v>702</v>
      </c>
      <c r="H128" s="22" t="s">
        <v>250</v>
      </c>
      <c r="I128" s="22" t="s">
        <v>703</v>
      </c>
      <c r="J128" s="22" t="s">
        <v>687</v>
      </c>
      <c r="K128" s="22" t="s">
        <v>703</v>
      </c>
      <c r="L128" s="22" t="s">
        <v>184</v>
      </c>
      <c r="M128" s="22" t="s">
        <v>253</v>
      </c>
    </row>
    <row r="129" customFormat="false" ht="43.5" hidden="false" customHeight="true" outlineLevel="0" collapsed="false">
      <c r="A129" s="22" t="s">
        <v>704</v>
      </c>
      <c r="B129" s="22" t="s">
        <v>705</v>
      </c>
      <c r="C129" s="22" t="s">
        <v>47</v>
      </c>
      <c r="D129" s="22" t="s">
        <v>231</v>
      </c>
      <c r="E129" s="22" t="str">
        <f aca="false">IF(D129="","",IFERROR(VLOOKUP(D129,$A$2:$B$1656,2,FALSE()),""))</f>
        <v>Dragons and Legendary Beasts</v>
      </c>
      <c r="F129" s="22" t="n">
        <v>3</v>
      </c>
      <c r="G129" s="22" t="s">
        <v>706</v>
      </c>
      <c r="H129" s="22" t="s">
        <v>250</v>
      </c>
      <c r="I129" s="22" t="s">
        <v>707</v>
      </c>
      <c r="J129" s="22" t="s">
        <v>687</v>
      </c>
      <c r="K129" s="22" t="s">
        <v>707</v>
      </c>
      <c r="L129" s="22" t="s">
        <v>184</v>
      </c>
      <c r="M129" s="22" t="s">
        <v>253</v>
      </c>
    </row>
    <row r="130" customFormat="false" ht="43.5" hidden="false" customHeight="true" outlineLevel="0" collapsed="false">
      <c r="A130" s="22" t="s">
        <v>708</v>
      </c>
      <c r="B130" s="22" t="s">
        <v>709</v>
      </c>
      <c r="C130" s="22" t="s">
        <v>47</v>
      </c>
      <c r="D130" s="22" t="s">
        <v>231</v>
      </c>
      <c r="E130" s="22" t="str">
        <f aca="false">IF(D130="","",IFERROR(VLOOKUP(D130,$A$2:$B$1656,2,FALSE()),""))</f>
        <v>Dragons and Legendary Beasts</v>
      </c>
      <c r="F130" s="22" t="n">
        <v>3</v>
      </c>
      <c r="G130" s="22" t="s">
        <v>710</v>
      </c>
      <c r="H130" s="22" t="s">
        <v>250</v>
      </c>
      <c r="I130" s="22" t="s">
        <v>711</v>
      </c>
      <c r="J130" s="22" t="s">
        <v>687</v>
      </c>
      <c r="K130" s="22" t="s">
        <v>711</v>
      </c>
      <c r="L130" s="22" t="s">
        <v>184</v>
      </c>
      <c r="M130" s="22" t="s">
        <v>253</v>
      </c>
    </row>
    <row r="131" customFormat="false" ht="43.5" hidden="false" customHeight="true" outlineLevel="0" collapsed="false">
      <c r="A131" s="22" t="s">
        <v>712</v>
      </c>
      <c r="B131" s="22" t="s">
        <v>713</v>
      </c>
      <c r="C131" s="22" t="s">
        <v>47</v>
      </c>
      <c r="D131" s="22" t="s">
        <v>231</v>
      </c>
      <c r="E131" s="22" t="str">
        <f aca="false">IF(D131="","",IFERROR(VLOOKUP(D131,$A$2:$B$1656,2,FALSE()),""))</f>
        <v>Dragons and Legendary Beasts</v>
      </c>
      <c r="F131" s="22" t="n">
        <v>3</v>
      </c>
      <c r="G131" s="22" t="s">
        <v>714</v>
      </c>
      <c r="H131" s="22" t="s">
        <v>250</v>
      </c>
      <c r="I131" s="22" t="s">
        <v>715</v>
      </c>
      <c r="J131" s="22" t="s">
        <v>687</v>
      </c>
      <c r="K131" s="22" t="s">
        <v>715</v>
      </c>
      <c r="L131" s="22" t="s">
        <v>184</v>
      </c>
      <c r="M131" s="22" t="s">
        <v>253</v>
      </c>
    </row>
    <row r="132" customFormat="false" ht="43.5" hidden="false" customHeight="true" outlineLevel="0" collapsed="false">
      <c r="A132" s="22" t="s">
        <v>716</v>
      </c>
      <c r="B132" s="22" t="s">
        <v>717</v>
      </c>
      <c r="C132" s="22" t="s">
        <v>47</v>
      </c>
      <c r="D132" s="22" t="s">
        <v>231</v>
      </c>
      <c r="E132" s="22" t="str">
        <f aca="false">IF(D132="","",IFERROR(VLOOKUP(D132,$A$2:$B$1656,2,FALSE()),""))</f>
        <v>Dragons and Legendary Beasts</v>
      </c>
      <c r="F132" s="22" t="n">
        <v>3</v>
      </c>
      <c r="G132" s="22" t="s">
        <v>718</v>
      </c>
      <c r="H132" s="22" t="s">
        <v>250</v>
      </c>
      <c r="I132" s="22" t="s">
        <v>719</v>
      </c>
      <c r="J132" s="22" t="s">
        <v>687</v>
      </c>
      <c r="K132" s="22" t="s">
        <v>719</v>
      </c>
      <c r="L132" s="22" t="s">
        <v>184</v>
      </c>
      <c r="M132" s="22" t="s">
        <v>253</v>
      </c>
    </row>
    <row r="133" customFormat="false" ht="43.5" hidden="false" customHeight="true" outlineLevel="0" collapsed="false">
      <c r="A133" s="22" t="s">
        <v>720</v>
      </c>
      <c r="B133" s="22" t="s">
        <v>721</v>
      </c>
      <c r="C133" s="22" t="s">
        <v>47</v>
      </c>
      <c r="D133" s="22" t="s">
        <v>231</v>
      </c>
      <c r="E133" s="22" t="str">
        <f aca="false">IF(D133="","",IFERROR(VLOOKUP(D133,$A$2:$B$1656,2,FALSE()),""))</f>
        <v>Dragons and Legendary Beasts</v>
      </c>
      <c r="F133" s="22" t="n">
        <v>3</v>
      </c>
      <c r="G133" s="22" t="s">
        <v>722</v>
      </c>
      <c r="H133" s="22" t="s">
        <v>250</v>
      </c>
      <c r="I133" s="22" t="s">
        <v>723</v>
      </c>
      <c r="J133" s="22" t="s">
        <v>687</v>
      </c>
      <c r="K133" s="22" t="s">
        <v>723</v>
      </c>
      <c r="L133" s="22" t="s">
        <v>184</v>
      </c>
      <c r="M133" s="22" t="s">
        <v>253</v>
      </c>
    </row>
    <row r="134" customFormat="false" ht="43.5" hidden="false" customHeight="true" outlineLevel="0" collapsed="false">
      <c r="A134" s="22" t="s">
        <v>724</v>
      </c>
      <c r="B134" s="22" t="s">
        <v>725</v>
      </c>
      <c r="C134" s="22" t="s">
        <v>47</v>
      </c>
      <c r="D134" s="22" t="s">
        <v>231</v>
      </c>
      <c r="E134" s="22" t="str">
        <f aca="false">IF(D134="","",IFERROR(VLOOKUP(D134,$A$2:$B$1656,2,FALSE()),""))</f>
        <v>Dragons and Legendary Beasts</v>
      </c>
      <c r="F134" s="22" t="n">
        <v>3</v>
      </c>
      <c r="G134" s="22" t="s">
        <v>726</v>
      </c>
      <c r="H134" s="22" t="s">
        <v>250</v>
      </c>
      <c r="I134" s="22" t="s">
        <v>727</v>
      </c>
      <c r="J134" s="22" t="s">
        <v>687</v>
      </c>
      <c r="K134" s="22" t="s">
        <v>727</v>
      </c>
      <c r="L134" s="22" t="s">
        <v>184</v>
      </c>
      <c r="M134" s="22" t="s">
        <v>253</v>
      </c>
    </row>
    <row r="135" customFormat="false" ht="43.5" hidden="false" customHeight="true" outlineLevel="0" collapsed="false">
      <c r="A135" s="22" t="s">
        <v>728</v>
      </c>
      <c r="B135" s="22" t="s">
        <v>729</v>
      </c>
      <c r="C135" s="22" t="s">
        <v>47</v>
      </c>
      <c r="D135" s="22" t="s">
        <v>231</v>
      </c>
      <c r="E135" s="22" t="str">
        <f aca="false">IF(D135="","",IFERROR(VLOOKUP(D135,$A$2:$B$1656,2,FALSE()),""))</f>
        <v>Dragons and Legendary Beasts</v>
      </c>
      <c r="F135" s="22" t="n">
        <v>3</v>
      </c>
      <c r="G135" s="22" t="s">
        <v>730</v>
      </c>
      <c r="H135" s="22" t="s">
        <v>250</v>
      </c>
      <c r="I135" s="22" t="s">
        <v>731</v>
      </c>
      <c r="J135" s="22" t="s">
        <v>687</v>
      </c>
      <c r="K135" s="22" t="s">
        <v>731</v>
      </c>
      <c r="L135" s="22" t="s">
        <v>184</v>
      </c>
      <c r="M135" s="22" t="s">
        <v>253</v>
      </c>
    </row>
    <row r="136" customFormat="false" ht="43.5" hidden="false" customHeight="true" outlineLevel="0" collapsed="false">
      <c r="A136" s="22" t="s">
        <v>732</v>
      </c>
      <c r="B136" s="22" t="s">
        <v>733</v>
      </c>
      <c r="C136" s="22" t="s">
        <v>47</v>
      </c>
      <c r="D136" s="22" t="s">
        <v>231</v>
      </c>
      <c r="E136" s="22" t="str">
        <f aca="false">IF(D136="","",IFERROR(VLOOKUP(D136,$A$2:$B$1656,2,FALSE()),""))</f>
        <v>Dragons and Legendary Beasts</v>
      </c>
      <c r="F136" s="22" t="n">
        <v>3</v>
      </c>
      <c r="G136" s="22" t="s">
        <v>734</v>
      </c>
      <c r="H136" s="22" t="s">
        <v>250</v>
      </c>
      <c r="I136" s="22" t="s">
        <v>735</v>
      </c>
      <c r="J136" s="22" t="s">
        <v>687</v>
      </c>
      <c r="K136" s="22" t="s">
        <v>735</v>
      </c>
      <c r="L136" s="22" t="s">
        <v>184</v>
      </c>
      <c r="M136" s="22" t="s">
        <v>253</v>
      </c>
    </row>
    <row r="137" customFormat="false" ht="43.5" hidden="false" customHeight="true" outlineLevel="0" collapsed="false">
      <c r="A137" s="22" t="s">
        <v>736</v>
      </c>
      <c r="B137" s="22" t="s">
        <v>737</v>
      </c>
      <c r="C137" s="22" t="s">
        <v>47</v>
      </c>
      <c r="D137" s="22" t="s">
        <v>231</v>
      </c>
      <c r="E137" s="22" t="str">
        <f aca="false">IF(D137="","",IFERROR(VLOOKUP(D137,$A$2:$B$1656,2,FALSE()),""))</f>
        <v>Dragons and Legendary Beasts</v>
      </c>
      <c r="F137" s="22" t="n">
        <v>3</v>
      </c>
      <c r="G137" s="22" t="s">
        <v>738</v>
      </c>
      <c r="H137" s="22" t="s">
        <v>250</v>
      </c>
      <c r="I137" s="22" t="s">
        <v>739</v>
      </c>
      <c r="J137" s="22" t="s">
        <v>687</v>
      </c>
      <c r="K137" s="22" t="s">
        <v>739</v>
      </c>
      <c r="L137" s="22" t="s">
        <v>740</v>
      </c>
      <c r="M137" s="22" t="s">
        <v>253</v>
      </c>
    </row>
    <row r="138" customFormat="false" ht="43.5" hidden="false" customHeight="true" outlineLevel="0" collapsed="false">
      <c r="A138" s="22" t="s">
        <v>741</v>
      </c>
      <c r="B138" s="22" t="s">
        <v>742</v>
      </c>
      <c r="C138" s="22" t="s">
        <v>47</v>
      </c>
      <c r="D138" s="22" t="s">
        <v>231</v>
      </c>
      <c r="E138" s="22" t="str">
        <f aca="false">IF(D138="","",IFERROR(VLOOKUP(D138,$A$2:$B$1656,2,FALSE()),""))</f>
        <v>Dragons and Legendary Beasts</v>
      </c>
      <c r="F138" s="22" t="n">
        <v>3</v>
      </c>
      <c r="G138" s="22" t="s">
        <v>743</v>
      </c>
      <c r="H138" s="22" t="s">
        <v>250</v>
      </c>
      <c r="I138" s="22" t="s">
        <v>744</v>
      </c>
      <c r="J138" s="22" t="s">
        <v>687</v>
      </c>
      <c r="K138" s="22" t="s">
        <v>744</v>
      </c>
      <c r="L138" s="22" t="s">
        <v>184</v>
      </c>
      <c r="M138" s="22" t="s">
        <v>253</v>
      </c>
    </row>
    <row r="139" customFormat="false" ht="43.5" hidden="false" customHeight="true" outlineLevel="0" collapsed="false">
      <c r="A139" s="22" t="s">
        <v>745</v>
      </c>
      <c r="B139" s="22" t="s">
        <v>746</v>
      </c>
      <c r="C139" s="22" t="s">
        <v>47</v>
      </c>
      <c r="D139" s="22" t="s">
        <v>231</v>
      </c>
      <c r="E139" s="22" t="str">
        <f aca="false">IF(D139="","",IFERROR(VLOOKUP(D139,$A$2:$B$1656,2,FALSE()),""))</f>
        <v>Dragons and Legendary Beasts</v>
      </c>
      <c r="F139" s="22" t="n">
        <v>3</v>
      </c>
      <c r="G139" s="22" t="s">
        <v>747</v>
      </c>
      <c r="H139" s="22" t="s">
        <v>250</v>
      </c>
      <c r="I139" s="22" t="s">
        <v>748</v>
      </c>
      <c r="J139" s="22" t="s">
        <v>687</v>
      </c>
      <c r="K139" s="22" t="s">
        <v>748</v>
      </c>
      <c r="L139" s="22" t="s">
        <v>184</v>
      </c>
      <c r="M139" s="22" t="s">
        <v>253</v>
      </c>
    </row>
    <row r="140" customFormat="false" ht="43.5" hidden="false" customHeight="true" outlineLevel="0" collapsed="false">
      <c r="A140" s="22" t="s">
        <v>749</v>
      </c>
      <c r="B140" s="22" t="s">
        <v>750</v>
      </c>
      <c r="C140" s="22" t="s">
        <v>47</v>
      </c>
      <c r="D140" s="22" t="s">
        <v>231</v>
      </c>
      <c r="E140" s="22" t="str">
        <f aca="false">IF(D140="","",IFERROR(VLOOKUP(D140,$A$2:$B$1656,2,FALSE()),""))</f>
        <v>Dragons and Legendary Beasts</v>
      </c>
      <c r="F140" s="22" t="n">
        <v>3</v>
      </c>
      <c r="G140" s="22" t="s">
        <v>751</v>
      </c>
      <c r="H140" s="22" t="s">
        <v>250</v>
      </c>
      <c r="I140" s="22" t="s">
        <v>752</v>
      </c>
      <c r="J140" s="22" t="s">
        <v>687</v>
      </c>
      <c r="K140" s="22" t="s">
        <v>752</v>
      </c>
      <c r="L140" s="22" t="s">
        <v>184</v>
      </c>
      <c r="M140" s="22" t="s">
        <v>253</v>
      </c>
    </row>
    <row r="141" customFormat="false" ht="43.5" hidden="false" customHeight="true" outlineLevel="0" collapsed="false">
      <c r="A141" s="22" t="s">
        <v>753</v>
      </c>
      <c r="B141" s="22" t="s">
        <v>754</v>
      </c>
      <c r="C141" s="22" t="s">
        <v>47</v>
      </c>
      <c r="D141" s="22" t="s">
        <v>231</v>
      </c>
      <c r="E141" s="22" t="str">
        <f aca="false">IF(D141="","",IFERROR(VLOOKUP(D141,$A$2:$B$1656,2,FALSE()),""))</f>
        <v>Dragons and Legendary Beasts</v>
      </c>
      <c r="F141" s="22" t="n">
        <v>3</v>
      </c>
      <c r="G141" s="22" t="s">
        <v>755</v>
      </c>
      <c r="H141" s="22" t="s">
        <v>250</v>
      </c>
      <c r="I141" s="22" t="s">
        <v>756</v>
      </c>
      <c r="J141" s="22" t="s">
        <v>687</v>
      </c>
      <c r="K141" s="22" t="s">
        <v>756</v>
      </c>
      <c r="L141" s="22" t="s">
        <v>184</v>
      </c>
      <c r="M141" s="22" t="s">
        <v>253</v>
      </c>
    </row>
    <row r="142" customFormat="false" ht="43.5" hidden="false" customHeight="true" outlineLevel="0" collapsed="false">
      <c r="A142" s="22" t="s">
        <v>757</v>
      </c>
      <c r="B142" s="22" t="s">
        <v>758</v>
      </c>
      <c r="C142" s="22" t="s">
        <v>47</v>
      </c>
      <c r="D142" s="22" t="s">
        <v>231</v>
      </c>
      <c r="E142" s="22" t="str">
        <f aca="false">IF(D142="","",IFERROR(VLOOKUP(D142,$A$2:$B$1656,2,FALSE()),""))</f>
        <v>Dragons and Legendary Beasts</v>
      </c>
      <c r="F142" s="22" t="n">
        <v>3</v>
      </c>
      <c r="G142" s="22" t="s">
        <v>759</v>
      </c>
      <c r="H142" s="22" t="s">
        <v>250</v>
      </c>
      <c r="I142" s="22" t="s">
        <v>760</v>
      </c>
      <c r="J142" s="22" t="s">
        <v>687</v>
      </c>
      <c r="K142" s="22" t="s">
        <v>760</v>
      </c>
      <c r="L142" s="22" t="s">
        <v>184</v>
      </c>
      <c r="M142" s="22" t="s">
        <v>253</v>
      </c>
    </row>
    <row r="143" customFormat="false" ht="43.5" hidden="false" customHeight="true" outlineLevel="0" collapsed="false">
      <c r="A143" s="22" t="s">
        <v>761</v>
      </c>
      <c r="B143" s="22" t="s">
        <v>762</v>
      </c>
      <c r="C143" s="22" t="s">
        <v>47</v>
      </c>
      <c r="D143" s="22" t="s">
        <v>231</v>
      </c>
      <c r="E143" s="22" t="str">
        <f aca="false">IF(D143="","",IFERROR(VLOOKUP(D143,$A$2:$B$1656,2,FALSE()),""))</f>
        <v>Dragons and Legendary Beasts</v>
      </c>
      <c r="F143" s="22" t="n">
        <v>3</v>
      </c>
      <c r="G143" s="22" t="s">
        <v>763</v>
      </c>
      <c r="H143" s="22" t="s">
        <v>250</v>
      </c>
      <c r="I143" s="22" t="s">
        <v>764</v>
      </c>
      <c r="J143" s="22" t="s">
        <v>687</v>
      </c>
      <c r="K143" s="22" t="s">
        <v>764</v>
      </c>
      <c r="L143" s="22" t="s">
        <v>184</v>
      </c>
      <c r="M143" s="22" t="s">
        <v>253</v>
      </c>
    </row>
    <row r="144" customFormat="false" ht="43.5" hidden="false" customHeight="true" outlineLevel="0" collapsed="false">
      <c r="A144" s="22" t="s">
        <v>765</v>
      </c>
      <c r="B144" s="22" t="s">
        <v>766</v>
      </c>
      <c r="C144" s="22" t="s">
        <v>47</v>
      </c>
      <c r="D144" s="22" t="s">
        <v>235</v>
      </c>
      <c r="E144" s="22" t="str">
        <f aca="false">IF(D144="","",IFERROR(VLOOKUP(D144,$A$2:$B$1656,2,FALSE()),""))</f>
        <v>Plant, Fungal, Ooze, and Collective Life</v>
      </c>
      <c r="F144" s="22" t="n">
        <v>3</v>
      </c>
      <c r="G144" s="22" t="s">
        <v>767</v>
      </c>
      <c r="H144" s="22" t="s">
        <v>250</v>
      </c>
      <c r="I144" s="22" t="s">
        <v>768</v>
      </c>
      <c r="J144" s="22" t="s">
        <v>769</v>
      </c>
      <c r="K144" s="22" t="s">
        <v>768</v>
      </c>
      <c r="L144" s="22" t="s">
        <v>184</v>
      </c>
      <c r="M144" s="22" t="s">
        <v>253</v>
      </c>
    </row>
    <row r="145" customFormat="false" ht="43.5" hidden="false" customHeight="true" outlineLevel="0" collapsed="false">
      <c r="A145" s="22" t="s">
        <v>770</v>
      </c>
      <c r="B145" s="22" t="s">
        <v>771</v>
      </c>
      <c r="C145" s="22" t="s">
        <v>47</v>
      </c>
      <c r="D145" s="22" t="s">
        <v>235</v>
      </c>
      <c r="E145" s="22" t="str">
        <f aca="false">IF(D145="","",IFERROR(VLOOKUP(D145,$A$2:$B$1656,2,FALSE()),""))</f>
        <v>Plant, Fungal, Ooze, and Collective Life</v>
      </c>
      <c r="F145" s="22" t="n">
        <v>3</v>
      </c>
      <c r="G145" s="22" t="s">
        <v>772</v>
      </c>
      <c r="H145" s="22" t="s">
        <v>250</v>
      </c>
      <c r="I145" s="22" t="s">
        <v>773</v>
      </c>
      <c r="J145" s="22" t="s">
        <v>769</v>
      </c>
      <c r="K145" s="22" t="s">
        <v>773</v>
      </c>
      <c r="L145" s="22" t="s">
        <v>184</v>
      </c>
      <c r="M145" s="22" t="s">
        <v>253</v>
      </c>
    </row>
    <row r="146" customFormat="false" ht="43.5" hidden="false" customHeight="true" outlineLevel="0" collapsed="false">
      <c r="A146" s="22" t="s">
        <v>774</v>
      </c>
      <c r="B146" s="22" t="s">
        <v>775</v>
      </c>
      <c r="C146" s="22" t="s">
        <v>47</v>
      </c>
      <c r="D146" s="22" t="s">
        <v>235</v>
      </c>
      <c r="E146" s="22" t="str">
        <f aca="false">IF(D146="","",IFERROR(VLOOKUP(D146,$A$2:$B$1656,2,FALSE()),""))</f>
        <v>Plant, Fungal, Ooze, and Collective Life</v>
      </c>
      <c r="F146" s="22" t="n">
        <v>3</v>
      </c>
      <c r="G146" s="22" t="s">
        <v>776</v>
      </c>
      <c r="H146" s="22" t="s">
        <v>250</v>
      </c>
      <c r="I146" s="22" t="s">
        <v>777</v>
      </c>
      <c r="J146" s="22" t="s">
        <v>769</v>
      </c>
      <c r="K146" s="22" t="s">
        <v>777</v>
      </c>
      <c r="L146" s="22" t="s">
        <v>184</v>
      </c>
      <c r="M146" s="22" t="s">
        <v>253</v>
      </c>
    </row>
    <row r="147" customFormat="false" ht="43.5" hidden="false" customHeight="true" outlineLevel="0" collapsed="false">
      <c r="A147" s="22" t="s">
        <v>778</v>
      </c>
      <c r="B147" s="22" t="s">
        <v>779</v>
      </c>
      <c r="C147" s="22" t="s">
        <v>47</v>
      </c>
      <c r="D147" s="22" t="s">
        <v>235</v>
      </c>
      <c r="E147" s="22" t="str">
        <f aca="false">IF(D147="","",IFERROR(VLOOKUP(D147,$A$2:$B$1656,2,FALSE()),""))</f>
        <v>Plant, Fungal, Ooze, and Collective Life</v>
      </c>
      <c r="F147" s="22" t="n">
        <v>3</v>
      </c>
      <c r="G147" s="22" t="s">
        <v>780</v>
      </c>
      <c r="H147" s="22" t="s">
        <v>250</v>
      </c>
      <c r="I147" s="22" t="s">
        <v>781</v>
      </c>
      <c r="J147" s="22" t="s">
        <v>769</v>
      </c>
      <c r="K147" s="22" t="s">
        <v>781</v>
      </c>
      <c r="L147" s="22" t="s">
        <v>184</v>
      </c>
      <c r="M147" s="22" t="s">
        <v>253</v>
      </c>
    </row>
    <row r="148" customFormat="false" ht="43.5" hidden="false" customHeight="true" outlineLevel="0" collapsed="false">
      <c r="A148" s="22" t="s">
        <v>782</v>
      </c>
      <c r="B148" s="22" t="s">
        <v>783</v>
      </c>
      <c r="C148" s="22" t="s">
        <v>47</v>
      </c>
      <c r="D148" s="22" t="s">
        <v>235</v>
      </c>
      <c r="E148" s="22" t="str">
        <f aca="false">IF(D148="","",IFERROR(VLOOKUP(D148,$A$2:$B$1656,2,FALSE()),""))</f>
        <v>Plant, Fungal, Ooze, and Collective Life</v>
      </c>
      <c r="F148" s="22" t="n">
        <v>3</v>
      </c>
      <c r="G148" s="22" t="s">
        <v>784</v>
      </c>
      <c r="H148" s="22" t="s">
        <v>250</v>
      </c>
      <c r="I148" s="22" t="s">
        <v>785</v>
      </c>
      <c r="J148" s="22" t="s">
        <v>769</v>
      </c>
      <c r="K148" s="22" t="s">
        <v>785</v>
      </c>
      <c r="L148" s="22" t="s">
        <v>184</v>
      </c>
      <c r="M148" s="22" t="s">
        <v>253</v>
      </c>
    </row>
    <row r="149" customFormat="false" ht="43.5" hidden="false" customHeight="true" outlineLevel="0" collapsed="false">
      <c r="A149" s="22" t="s">
        <v>786</v>
      </c>
      <c r="B149" s="22" t="s">
        <v>787</v>
      </c>
      <c r="C149" s="22" t="s">
        <v>47</v>
      </c>
      <c r="D149" s="22" t="s">
        <v>235</v>
      </c>
      <c r="E149" s="22" t="str">
        <f aca="false">IF(D149="","",IFERROR(VLOOKUP(D149,$A$2:$B$1656,2,FALSE()),""))</f>
        <v>Plant, Fungal, Ooze, and Collective Life</v>
      </c>
      <c r="F149" s="22" t="n">
        <v>3</v>
      </c>
      <c r="G149" s="22" t="s">
        <v>788</v>
      </c>
      <c r="H149" s="22" t="s">
        <v>250</v>
      </c>
      <c r="I149" s="22" t="s">
        <v>789</v>
      </c>
      <c r="J149" s="22" t="s">
        <v>769</v>
      </c>
      <c r="K149" s="22" t="s">
        <v>789</v>
      </c>
      <c r="L149" s="22" t="s">
        <v>184</v>
      </c>
      <c r="M149" s="22" t="s">
        <v>253</v>
      </c>
    </row>
    <row r="150" customFormat="false" ht="43.5" hidden="false" customHeight="true" outlineLevel="0" collapsed="false">
      <c r="A150" s="22" t="s">
        <v>790</v>
      </c>
      <c r="B150" s="22" t="s">
        <v>791</v>
      </c>
      <c r="C150" s="22" t="s">
        <v>47</v>
      </c>
      <c r="D150" s="22" t="s">
        <v>235</v>
      </c>
      <c r="E150" s="22" t="str">
        <f aca="false">IF(D150="","",IFERROR(VLOOKUP(D150,$A$2:$B$1656,2,FALSE()),""))</f>
        <v>Plant, Fungal, Ooze, and Collective Life</v>
      </c>
      <c r="F150" s="22" t="n">
        <v>3</v>
      </c>
      <c r="G150" s="22" t="s">
        <v>792</v>
      </c>
      <c r="H150" s="22" t="s">
        <v>250</v>
      </c>
      <c r="I150" s="22" t="s">
        <v>793</v>
      </c>
      <c r="J150" s="22" t="s">
        <v>769</v>
      </c>
      <c r="K150" s="22" t="s">
        <v>793</v>
      </c>
      <c r="L150" s="22" t="s">
        <v>184</v>
      </c>
      <c r="M150" s="22" t="s">
        <v>253</v>
      </c>
    </row>
    <row r="151" customFormat="false" ht="43.5" hidden="false" customHeight="true" outlineLevel="0" collapsed="false">
      <c r="A151" s="22" t="s">
        <v>794</v>
      </c>
      <c r="B151" s="22" t="s">
        <v>795</v>
      </c>
      <c r="C151" s="22" t="s">
        <v>47</v>
      </c>
      <c r="D151" s="22" t="s">
        <v>235</v>
      </c>
      <c r="E151" s="22" t="str">
        <f aca="false">IF(D151="","",IFERROR(VLOOKUP(D151,$A$2:$B$1656,2,FALSE()),""))</f>
        <v>Plant, Fungal, Ooze, and Collective Life</v>
      </c>
      <c r="F151" s="22" t="n">
        <v>3</v>
      </c>
      <c r="G151" s="22" t="s">
        <v>796</v>
      </c>
      <c r="H151" s="22" t="s">
        <v>250</v>
      </c>
      <c r="I151" s="22" t="s">
        <v>797</v>
      </c>
      <c r="J151" s="22" t="s">
        <v>769</v>
      </c>
      <c r="K151" s="22" t="s">
        <v>797</v>
      </c>
      <c r="L151" s="22" t="s">
        <v>184</v>
      </c>
      <c r="M151" s="22" t="s">
        <v>253</v>
      </c>
    </row>
    <row r="152" customFormat="false" ht="43.5" hidden="false" customHeight="true" outlineLevel="0" collapsed="false">
      <c r="A152" s="22" t="s">
        <v>798</v>
      </c>
      <c r="B152" s="22" t="s">
        <v>799</v>
      </c>
      <c r="C152" s="22" t="s">
        <v>47</v>
      </c>
      <c r="D152" s="22" t="s">
        <v>235</v>
      </c>
      <c r="E152" s="22" t="str">
        <f aca="false">IF(D152="","",IFERROR(VLOOKUP(D152,$A$2:$B$1656,2,FALSE()),""))</f>
        <v>Plant, Fungal, Ooze, and Collective Life</v>
      </c>
      <c r="F152" s="22" t="n">
        <v>3</v>
      </c>
      <c r="G152" s="22" t="s">
        <v>800</v>
      </c>
      <c r="H152" s="22" t="s">
        <v>250</v>
      </c>
      <c r="I152" s="22" t="s">
        <v>801</v>
      </c>
      <c r="J152" s="22" t="s">
        <v>769</v>
      </c>
      <c r="K152" s="22" t="s">
        <v>801</v>
      </c>
      <c r="L152" s="22" t="s">
        <v>184</v>
      </c>
      <c r="M152" s="22" t="s">
        <v>253</v>
      </c>
    </row>
    <row r="153" customFormat="false" ht="43.5" hidden="false" customHeight="true" outlineLevel="0" collapsed="false">
      <c r="A153" s="22" t="s">
        <v>802</v>
      </c>
      <c r="B153" s="22" t="s">
        <v>803</v>
      </c>
      <c r="C153" s="22" t="s">
        <v>47</v>
      </c>
      <c r="D153" s="22" t="s">
        <v>235</v>
      </c>
      <c r="E153" s="22" t="str">
        <f aca="false">IF(D153="","",IFERROR(VLOOKUP(D153,$A$2:$B$1656,2,FALSE()),""))</f>
        <v>Plant, Fungal, Ooze, and Collective Life</v>
      </c>
      <c r="F153" s="22" t="n">
        <v>3</v>
      </c>
      <c r="G153" s="22" t="s">
        <v>804</v>
      </c>
      <c r="H153" s="22" t="s">
        <v>250</v>
      </c>
      <c r="I153" s="22" t="s">
        <v>805</v>
      </c>
      <c r="J153" s="22" t="s">
        <v>769</v>
      </c>
      <c r="K153" s="22" t="s">
        <v>805</v>
      </c>
      <c r="L153" s="22" t="s">
        <v>184</v>
      </c>
      <c r="M153" s="22" t="s">
        <v>253</v>
      </c>
    </row>
    <row r="154" customFormat="false" ht="43.5" hidden="false" customHeight="true" outlineLevel="0" collapsed="false">
      <c r="A154" s="22" t="s">
        <v>806</v>
      </c>
      <c r="B154" s="22" t="s">
        <v>807</v>
      </c>
      <c r="C154" s="22" t="s">
        <v>47</v>
      </c>
      <c r="D154" s="22" t="s">
        <v>239</v>
      </c>
      <c r="E154" s="22" t="str">
        <f aca="false">IF(D154="","",IFERROR(VLOOKUP(D154,$A$2:$B$1656,2,FALSE()),""))</f>
        <v>Shapeshifters, Hybrids, and Mutable Peoples</v>
      </c>
      <c r="F154" s="22" t="n">
        <v>3</v>
      </c>
      <c r="G154" s="22" t="s">
        <v>808</v>
      </c>
      <c r="H154" s="22" t="s">
        <v>250</v>
      </c>
      <c r="I154" s="22" t="s">
        <v>809</v>
      </c>
      <c r="J154" s="22" t="s">
        <v>810</v>
      </c>
      <c r="K154" s="22" t="s">
        <v>809</v>
      </c>
      <c r="L154" s="22" t="s">
        <v>184</v>
      </c>
      <c r="M154" s="22" t="s">
        <v>253</v>
      </c>
    </row>
    <row r="155" customFormat="false" ht="43.5" hidden="false" customHeight="true" outlineLevel="0" collapsed="false">
      <c r="A155" s="22" t="s">
        <v>811</v>
      </c>
      <c r="B155" s="22" t="s">
        <v>812</v>
      </c>
      <c r="C155" s="22" t="s">
        <v>47</v>
      </c>
      <c r="D155" s="22" t="s">
        <v>239</v>
      </c>
      <c r="E155" s="22" t="str">
        <f aca="false">IF(D155="","",IFERROR(VLOOKUP(D155,$A$2:$B$1656,2,FALSE()),""))</f>
        <v>Shapeshifters, Hybrids, and Mutable Peoples</v>
      </c>
      <c r="F155" s="22" t="n">
        <v>3</v>
      </c>
      <c r="G155" s="22" t="s">
        <v>813</v>
      </c>
      <c r="H155" s="22" t="s">
        <v>250</v>
      </c>
      <c r="I155" s="22" t="s">
        <v>814</v>
      </c>
      <c r="J155" s="22" t="s">
        <v>810</v>
      </c>
      <c r="K155" s="22" t="s">
        <v>814</v>
      </c>
      <c r="L155" s="22" t="s">
        <v>184</v>
      </c>
      <c r="M155" s="22" t="s">
        <v>253</v>
      </c>
    </row>
    <row r="156" customFormat="false" ht="43.5" hidden="false" customHeight="true" outlineLevel="0" collapsed="false">
      <c r="A156" s="22" t="s">
        <v>815</v>
      </c>
      <c r="B156" s="22" t="s">
        <v>816</v>
      </c>
      <c r="C156" s="22" t="s">
        <v>47</v>
      </c>
      <c r="D156" s="22" t="s">
        <v>239</v>
      </c>
      <c r="E156" s="22" t="str">
        <f aca="false">IF(D156="","",IFERROR(VLOOKUP(D156,$A$2:$B$1656,2,FALSE()),""))</f>
        <v>Shapeshifters, Hybrids, and Mutable Peoples</v>
      </c>
      <c r="F156" s="22" t="n">
        <v>3</v>
      </c>
      <c r="G156" s="22" t="s">
        <v>817</v>
      </c>
      <c r="H156" s="22" t="s">
        <v>250</v>
      </c>
      <c r="I156" s="22" t="s">
        <v>818</v>
      </c>
      <c r="J156" s="22" t="s">
        <v>810</v>
      </c>
      <c r="K156" s="22" t="s">
        <v>818</v>
      </c>
      <c r="L156" s="22" t="s">
        <v>184</v>
      </c>
      <c r="M156" s="22" t="s">
        <v>253</v>
      </c>
    </row>
    <row r="157" customFormat="false" ht="43.5" hidden="false" customHeight="true" outlineLevel="0" collapsed="false">
      <c r="A157" s="22" t="s">
        <v>819</v>
      </c>
      <c r="B157" s="22" t="s">
        <v>820</v>
      </c>
      <c r="C157" s="22" t="s">
        <v>47</v>
      </c>
      <c r="D157" s="22" t="s">
        <v>239</v>
      </c>
      <c r="E157" s="22" t="str">
        <f aca="false">IF(D157="","",IFERROR(VLOOKUP(D157,$A$2:$B$1656,2,FALSE()),""))</f>
        <v>Shapeshifters, Hybrids, and Mutable Peoples</v>
      </c>
      <c r="F157" s="22" t="n">
        <v>3</v>
      </c>
      <c r="G157" s="22" t="s">
        <v>821</v>
      </c>
      <c r="H157" s="22" t="s">
        <v>250</v>
      </c>
      <c r="I157" s="22" t="s">
        <v>822</v>
      </c>
      <c r="J157" s="22" t="s">
        <v>810</v>
      </c>
      <c r="K157" s="22" t="s">
        <v>822</v>
      </c>
      <c r="L157" s="22" t="s">
        <v>184</v>
      </c>
      <c r="M157" s="22" t="s">
        <v>253</v>
      </c>
    </row>
    <row r="158" customFormat="false" ht="43.5" hidden="false" customHeight="true" outlineLevel="0" collapsed="false">
      <c r="A158" s="22" t="s">
        <v>823</v>
      </c>
      <c r="B158" s="22" t="s">
        <v>824</v>
      </c>
      <c r="C158" s="22" t="s">
        <v>47</v>
      </c>
      <c r="D158" s="22" t="s">
        <v>239</v>
      </c>
      <c r="E158" s="22" t="str">
        <f aca="false">IF(D158="","",IFERROR(VLOOKUP(D158,$A$2:$B$1656,2,FALSE()),""))</f>
        <v>Shapeshifters, Hybrids, and Mutable Peoples</v>
      </c>
      <c r="F158" s="22" t="n">
        <v>3</v>
      </c>
      <c r="G158" s="22" t="s">
        <v>825</v>
      </c>
      <c r="H158" s="22" t="s">
        <v>250</v>
      </c>
      <c r="I158" s="22" t="s">
        <v>826</v>
      </c>
      <c r="J158" s="22" t="s">
        <v>810</v>
      </c>
      <c r="K158" s="22" t="s">
        <v>826</v>
      </c>
      <c r="L158" s="22" t="s">
        <v>184</v>
      </c>
      <c r="M158" s="22" t="s">
        <v>253</v>
      </c>
    </row>
    <row r="159" customFormat="false" ht="43.5" hidden="false" customHeight="true" outlineLevel="0" collapsed="false">
      <c r="A159" s="22" t="s">
        <v>827</v>
      </c>
      <c r="B159" s="22" t="s">
        <v>828</v>
      </c>
      <c r="C159" s="22" t="s">
        <v>47</v>
      </c>
      <c r="D159" s="22" t="s">
        <v>239</v>
      </c>
      <c r="E159" s="22" t="str">
        <f aca="false">IF(D159="","",IFERROR(VLOOKUP(D159,$A$2:$B$1656,2,FALSE()),""))</f>
        <v>Shapeshifters, Hybrids, and Mutable Peoples</v>
      </c>
      <c r="F159" s="22" t="n">
        <v>3</v>
      </c>
      <c r="G159" s="22" t="s">
        <v>829</v>
      </c>
      <c r="H159" s="22" t="s">
        <v>250</v>
      </c>
      <c r="I159" s="22" t="s">
        <v>830</v>
      </c>
      <c r="J159" s="22" t="s">
        <v>810</v>
      </c>
      <c r="K159" s="22" t="s">
        <v>830</v>
      </c>
      <c r="L159" s="22" t="s">
        <v>184</v>
      </c>
      <c r="M159" s="22" t="s">
        <v>253</v>
      </c>
    </row>
    <row r="160" customFormat="false" ht="43.5" hidden="false" customHeight="true" outlineLevel="0" collapsed="false">
      <c r="A160" s="22" t="s">
        <v>831</v>
      </c>
      <c r="B160" s="22" t="s">
        <v>832</v>
      </c>
      <c r="C160" s="22" t="s">
        <v>47</v>
      </c>
      <c r="D160" s="22" t="s">
        <v>239</v>
      </c>
      <c r="E160" s="22" t="str">
        <f aca="false">IF(D160="","",IFERROR(VLOOKUP(D160,$A$2:$B$1656,2,FALSE()),""))</f>
        <v>Shapeshifters, Hybrids, and Mutable Peoples</v>
      </c>
      <c r="F160" s="22" t="n">
        <v>3</v>
      </c>
      <c r="G160" s="22" t="s">
        <v>833</v>
      </c>
      <c r="H160" s="22" t="s">
        <v>250</v>
      </c>
      <c r="I160" s="22" t="s">
        <v>834</v>
      </c>
      <c r="J160" s="22" t="s">
        <v>810</v>
      </c>
      <c r="K160" s="22" t="s">
        <v>834</v>
      </c>
      <c r="L160" s="22" t="s">
        <v>184</v>
      </c>
      <c r="M160" s="22" t="s">
        <v>253</v>
      </c>
    </row>
    <row r="161" customFormat="false" ht="43.5" hidden="false" customHeight="true" outlineLevel="0" collapsed="false">
      <c r="A161" s="22" t="s">
        <v>835</v>
      </c>
      <c r="B161" s="22" t="s">
        <v>836</v>
      </c>
      <c r="C161" s="22" t="s">
        <v>47</v>
      </c>
      <c r="D161" s="22" t="s">
        <v>239</v>
      </c>
      <c r="E161" s="22" t="str">
        <f aca="false">IF(D161="","",IFERROR(VLOOKUP(D161,$A$2:$B$1656,2,FALSE()),""))</f>
        <v>Shapeshifters, Hybrids, and Mutable Peoples</v>
      </c>
      <c r="F161" s="22" t="n">
        <v>3</v>
      </c>
      <c r="G161" s="22" t="s">
        <v>837</v>
      </c>
      <c r="H161" s="22" t="s">
        <v>250</v>
      </c>
      <c r="I161" s="22" t="s">
        <v>838</v>
      </c>
      <c r="J161" s="22" t="s">
        <v>810</v>
      </c>
      <c r="K161" s="22" t="s">
        <v>838</v>
      </c>
      <c r="L161" s="22" t="s">
        <v>184</v>
      </c>
      <c r="M161" s="22" t="s">
        <v>253</v>
      </c>
    </row>
    <row r="162" customFormat="false" ht="43.5" hidden="false" customHeight="true" outlineLevel="0" collapsed="false">
      <c r="A162" s="22" t="s">
        <v>839</v>
      </c>
      <c r="B162" s="22" t="s">
        <v>840</v>
      </c>
      <c r="C162" s="22" t="s">
        <v>47</v>
      </c>
      <c r="D162" s="22" t="s">
        <v>239</v>
      </c>
      <c r="E162" s="22" t="str">
        <f aca="false">IF(D162="","",IFERROR(VLOOKUP(D162,$A$2:$B$1656,2,FALSE()),""))</f>
        <v>Shapeshifters, Hybrids, and Mutable Peoples</v>
      </c>
      <c r="F162" s="22" t="n">
        <v>3</v>
      </c>
      <c r="G162" s="22" t="s">
        <v>841</v>
      </c>
      <c r="H162" s="22" t="s">
        <v>250</v>
      </c>
      <c r="I162" s="22" t="s">
        <v>842</v>
      </c>
      <c r="J162" s="22" t="s">
        <v>810</v>
      </c>
      <c r="K162" s="22" t="s">
        <v>842</v>
      </c>
      <c r="L162" s="22" t="s">
        <v>843</v>
      </c>
      <c r="M162" s="22" t="s">
        <v>253</v>
      </c>
    </row>
    <row r="163" customFormat="false" ht="43.5" hidden="false" customHeight="true" outlineLevel="0" collapsed="false">
      <c r="A163" s="22" t="s">
        <v>844</v>
      </c>
      <c r="B163" s="22" t="s">
        <v>845</v>
      </c>
      <c r="C163" s="22" t="s">
        <v>47</v>
      </c>
      <c r="D163" s="22" t="s">
        <v>239</v>
      </c>
      <c r="E163" s="22" t="str">
        <f aca="false">IF(D163="","",IFERROR(VLOOKUP(D163,$A$2:$B$1656,2,FALSE()),""))</f>
        <v>Shapeshifters, Hybrids, and Mutable Peoples</v>
      </c>
      <c r="F163" s="22" t="n">
        <v>3</v>
      </c>
      <c r="G163" s="22" t="s">
        <v>846</v>
      </c>
      <c r="H163" s="22" t="s">
        <v>250</v>
      </c>
      <c r="I163" s="22" t="s">
        <v>847</v>
      </c>
      <c r="J163" s="22" t="s">
        <v>810</v>
      </c>
      <c r="K163" s="22" t="s">
        <v>847</v>
      </c>
      <c r="L163" s="22" t="s">
        <v>184</v>
      </c>
      <c r="M163" s="22" t="s">
        <v>253</v>
      </c>
    </row>
    <row r="164" customFormat="false" ht="43.5" hidden="false" customHeight="true" outlineLevel="0" collapsed="false">
      <c r="A164" s="22" t="s">
        <v>848</v>
      </c>
      <c r="B164" s="22" t="s">
        <v>849</v>
      </c>
      <c r="C164" s="22" t="s">
        <v>47</v>
      </c>
      <c r="D164" s="22" t="s">
        <v>239</v>
      </c>
      <c r="E164" s="22" t="str">
        <f aca="false">IF(D164="","",IFERROR(VLOOKUP(D164,$A$2:$B$1656,2,FALSE()),""))</f>
        <v>Shapeshifters, Hybrids, and Mutable Peoples</v>
      </c>
      <c r="F164" s="22" t="n">
        <v>3</v>
      </c>
      <c r="G164" s="22" t="s">
        <v>850</v>
      </c>
      <c r="H164" s="22" t="s">
        <v>250</v>
      </c>
      <c r="I164" s="22" t="s">
        <v>851</v>
      </c>
      <c r="J164" s="22" t="s">
        <v>810</v>
      </c>
      <c r="K164" s="22" t="s">
        <v>851</v>
      </c>
      <c r="L164" s="22" t="s">
        <v>184</v>
      </c>
      <c r="M164" s="22" t="s">
        <v>253</v>
      </c>
    </row>
    <row r="165" customFormat="false" ht="43.5" hidden="false" customHeight="true" outlineLevel="0" collapsed="false">
      <c r="A165" s="22" t="s">
        <v>852</v>
      </c>
      <c r="B165" s="22" t="s">
        <v>853</v>
      </c>
      <c r="C165" s="22" t="s">
        <v>47</v>
      </c>
      <c r="D165" s="22" t="s">
        <v>239</v>
      </c>
      <c r="E165" s="22" t="str">
        <f aca="false">IF(D165="","",IFERROR(VLOOKUP(D165,$A$2:$B$1656,2,FALSE()),""))</f>
        <v>Shapeshifters, Hybrids, and Mutable Peoples</v>
      </c>
      <c r="F165" s="22" t="n">
        <v>3</v>
      </c>
      <c r="G165" s="22" t="s">
        <v>854</v>
      </c>
      <c r="H165" s="22" t="s">
        <v>250</v>
      </c>
      <c r="I165" s="22" t="s">
        <v>855</v>
      </c>
      <c r="J165" s="22" t="s">
        <v>810</v>
      </c>
      <c r="K165" s="22" t="s">
        <v>855</v>
      </c>
      <c r="L165" s="22" t="s">
        <v>184</v>
      </c>
      <c r="M165" s="22" t="s">
        <v>253</v>
      </c>
    </row>
    <row r="166" customFormat="false" ht="43.5" hidden="false" customHeight="true" outlineLevel="0" collapsed="false">
      <c r="A166" s="22" t="s">
        <v>856</v>
      </c>
      <c r="B166" s="22" t="s">
        <v>857</v>
      </c>
      <c r="C166" s="22" t="s">
        <v>47</v>
      </c>
      <c r="D166" s="22" t="s">
        <v>243</v>
      </c>
      <c r="E166" s="22" t="str">
        <f aca="false">IF(D166="","",IFERROR(VLOOKUP(D166,$A$2:$B$1656,2,FALSE()),""))</f>
        <v>Cosmic, Aberrant, and Otherworldly Beings</v>
      </c>
      <c r="F166" s="22" t="n">
        <v>3</v>
      </c>
      <c r="G166" s="22" t="s">
        <v>858</v>
      </c>
      <c r="H166" s="22" t="s">
        <v>250</v>
      </c>
      <c r="I166" s="22" t="s">
        <v>859</v>
      </c>
      <c r="J166" s="22" t="s">
        <v>860</v>
      </c>
      <c r="K166" s="22" t="s">
        <v>859</v>
      </c>
      <c r="L166" s="22" t="s">
        <v>184</v>
      </c>
      <c r="M166" s="22" t="s">
        <v>253</v>
      </c>
    </row>
    <row r="167" customFormat="false" ht="43.5" hidden="false" customHeight="true" outlineLevel="0" collapsed="false">
      <c r="A167" s="22" t="s">
        <v>861</v>
      </c>
      <c r="B167" s="22" t="s">
        <v>862</v>
      </c>
      <c r="C167" s="22" t="s">
        <v>47</v>
      </c>
      <c r="D167" s="22" t="s">
        <v>243</v>
      </c>
      <c r="E167" s="22" t="str">
        <f aca="false">IF(D167="","",IFERROR(VLOOKUP(D167,$A$2:$B$1656,2,FALSE()),""))</f>
        <v>Cosmic, Aberrant, and Otherworldly Beings</v>
      </c>
      <c r="F167" s="22" t="n">
        <v>3</v>
      </c>
      <c r="G167" s="22" t="s">
        <v>863</v>
      </c>
      <c r="H167" s="22" t="s">
        <v>250</v>
      </c>
      <c r="I167" s="22" t="s">
        <v>864</v>
      </c>
      <c r="J167" s="22" t="s">
        <v>860</v>
      </c>
      <c r="K167" s="22" t="s">
        <v>864</v>
      </c>
      <c r="L167" s="22" t="s">
        <v>184</v>
      </c>
      <c r="M167" s="22" t="s">
        <v>253</v>
      </c>
    </row>
    <row r="168" customFormat="false" ht="43.5" hidden="false" customHeight="true" outlineLevel="0" collapsed="false">
      <c r="A168" s="22" t="s">
        <v>865</v>
      </c>
      <c r="B168" s="22" t="s">
        <v>866</v>
      </c>
      <c r="C168" s="22" t="s">
        <v>47</v>
      </c>
      <c r="D168" s="22" t="s">
        <v>243</v>
      </c>
      <c r="E168" s="22" t="str">
        <f aca="false">IF(D168="","",IFERROR(VLOOKUP(D168,$A$2:$B$1656,2,FALSE()),""))</f>
        <v>Cosmic, Aberrant, and Otherworldly Beings</v>
      </c>
      <c r="F168" s="22" t="n">
        <v>3</v>
      </c>
      <c r="G168" s="22" t="s">
        <v>867</v>
      </c>
      <c r="H168" s="22" t="s">
        <v>250</v>
      </c>
      <c r="I168" s="22" t="s">
        <v>868</v>
      </c>
      <c r="J168" s="22" t="s">
        <v>860</v>
      </c>
      <c r="K168" s="22" t="s">
        <v>868</v>
      </c>
      <c r="L168" s="22" t="s">
        <v>184</v>
      </c>
      <c r="M168" s="22" t="s">
        <v>253</v>
      </c>
    </row>
    <row r="169" customFormat="false" ht="43.5" hidden="false" customHeight="true" outlineLevel="0" collapsed="false">
      <c r="A169" s="22" t="s">
        <v>869</v>
      </c>
      <c r="B169" s="22" t="s">
        <v>870</v>
      </c>
      <c r="C169" s="22" t="s">
        <v>47</v>
      </c>
      <c r="D169" s="22" t="s">
        <v>243</v>
      </c>
      <c r="E169" s="22" t="str">
        <f aca="false">IF(D169="","",IFERROR(VLOOKUP(D169,$A$2:$B$1656,2,FALSE()),""))</f>
        <v>Cosmic, Aberrant, and Otherworldly Beings</v>
      </c>
      <c r="F169" s="22" t="n">
        <v>3</v>
      </c>
      <c r="G169" s="22" t="s">
        <v>871</v>
      </c>
      <c r="H169" s="22" t="s">
        <v>250</v>
      </c>
      <c r="I169" s="22" t="s">
        <v>872</v>
      </c>
      <c r="J169" s="22" t="s">
        <v>860</v>
      </c>
      <c r="K169" s="22" t="s">
        <v>872</v>
      </c>
      <c r="L169" s="22" t="s">
        <v>184</v>
      </c>
      <c r="M169" s="22" t="s">
        <v>253</v>
      </c>
    </row>
    <row r="170" customFormat="false" ht="43.5" hidden="false" customHeight="true" outlineLevel="0" collapsed="false">
      <c r="A170" s="22" t="s">
        <v>873</v>
      </c>
      <c r="B170" s="22" t="s">
        <v>874</v>
      </c>
      <c r="C170" s="22" t="s">
        <v>47</v>
      </c>
      <c r="D170" s="22" t="s">
        <v>243</v>
      </c>
      <c r="E170" s="22" t="str">
        <f aca="false">IF(D170="","",IFERROR(VLOOKUP(D170,$A$2:$B$1656,2,FALSE()),""))</f>
        <v>Cosmic, Aberrant, and Otherworldly Beings</v>
      </c>
      <c r="F170" s="22" t="n">
        <v>3</v>
      </c>
      <c r="G170" s="22" t="s">
        <v>875</v>
      </c>
      <c r="H170" s="22" t="s">
        <v>250</v>
      </c>
      <c r="I170" s="22" t="s">
        <v>876</v>
      </c>
      <c r="J170" s="22" t="s">
        <v>860</v>
      </c>
      <c r="K170" s="22" t="s">
        <v>876</v>
      </c>
      <c r="L170" s="22" t="s">
        <v>184</v>
      </c>
      <c r="M170" s="22" t="s">
        <v>253</v>
      </c>
    </row>
    <row r="171" customFormat="false" ht="43.5" hidden="false" customHeight="true" outlineLevel="0" collapsed="false">
      <c r="A171" s="22" t="s">
        <v>877</v>
      </c>
      <c r="B171" s="22" t="s">
        <v>878</v>
      </c>
      <c r="C171" s="22" t="s">
        <v>47</v>
      </c>
      <c r="D171" s="22" t="s">
        <v>243</v>
      </c>
      <c r="E171" s="22" t="str">
        <f aca="false">IF(D171="","",IFERROR(VLOOKUP(D171,$A$2:$B$1656,2,FALSE()),""))</f>
        <v>Cosmic, Aberrant, and Otherworldly Beings</v>
      </c>
      <c r="F171" s="22" t="n">
        <v>3</v>
      </c>
      <c r="G171" s="22" t="s">
        <v>879</v>
      </c>
      <c r="H171" s="22" t="s">
        <v>250</v>
      </c>
      <c r="I171" s="22" t="s">
        <v>880</v>
      </c>
      <c r="J171" s="22" t="s">
        <v>860</v>
      </c>
      <c r="K171" s="22" t="s">
        <v>880</v>
      </c>
      <c r="L171" s="22" t="s">
        <v>184</v>
      </c>
      <c r="M171" s="22" t="s">
        <v>253</v>
      </c>
    </row>
    <row r="172" customFormat="false" ht="43.5" hidden="false" customHeight="true" outlineLevel="0" collapsed="false">
      <c r="A172" s="22" t="s">
        <v>881</v>
      </c>
      <c r="B172" s="22" t="s">
        <v>882</v>
      </c>
      <c r="C172" s="22" t="s">
        <v>47</v>
      </c>
      <c r="D172" s="22" t="s">
        <v>243</v>
      </c>
      <c r="E172" s="22" t="str">
        <f aca="false">IF(D172="","",IFERROR(VLOOKUP(D172,$A$2:$B$1656,2,FALSE()),""))</f>
        <v>Cosmic, Aberrant, and Otherworldly Beings</v>
      </c>
      <c r="F172" s="22" t="n">
        <v>3</v>
      </c>
      <c r="G172" s="22" t="s">
        <v>883</v>
      </c>
      <c r="H172" s="22" t="s">
        <v>250</v>
      </c>
      <c r="I172" s="22" t="s">
        <v>884</v>
      </c>
      <c r="J172" s="22" t="s">
        <v>860</v>
      </c>
      <c r="K172" s="22" t="s">
        <v>884</v>
      </c>
      <c r="L172" s="22" t="s">
        <v>184</v>
      </c>
      <c r="M172" s="22" t="s">
        <v>253</v>
      </c>
    </row>
    <row r="173" customFormat="false" ht="43.5" hidden="false" customHeight="true" outlineLevel="0" collapsed="false">
      <c r="A173" s="22" t="s">
        <v>885</v>
      </c>
      <c r="B173" s="22" t="s">
        <v>886</v>
      </c>
      <c r="C173" s="22" t="s">
        <v>47</v>
      </c>
      <c r="D173" s="22" t="s">
        <v>243</v>
      </c>
      <c r="E173" s="22" t="str">
        <f aca="false">IF(D173="","",IFERROR(VLOOKUP(D173,$A$2:$B$1656,2,FALSE()),""))</f>
        <v>Cosmic, Aberrant, and Otherworldly Beings</v>
      </c>
      <c r="F173" s="22" t="n">
        <v>3</v>
      </c>
      <c r="G173" s="22" t="s">
        <v>887</v>
      </c>
      <c r="H173" s="22" t="s">
        <v>250</v>
      </c>
      <c r="I173" s="22" t="s">
        <v>888</v>
      </c>
      <c r="J173" s="22" t="s">
        <v>860</v>
      </c>
      <c r="K173" s="22" t="s">
        <v>888</v>
      </c>
      <c r="L173" s="22" t="s">
        <v>184</v>
      </c>
      <c r="M173" s="22" t="s">
        <v>253</v>
      </c>
    </row>
    <row r="174" customFormat="false" ht="43.5" hidden="false" customHeight="true" outlineLevel="0" collapsed="false">
      <c r="A174" s="22" t="s">
        <v>889</v>
      </c>
      <c r="B174" s="22" t="s">
        <v>890</v>
      </c>
      <c r="C174" s="22" t="s">
        <v>47</v>
      </c>
      <c r="D174" s="22" t="s">
        <v>243</v>
      </c>
      <c r="E174" s="22" t="str">
        <f aca="false">IF(D174="","",IFERROR(VLOOKUP(D174,$A$2:$B$1656,2,FALSE()),""))</f>
        <v>Cosmic, Aberrant, and Otherworldly Beings</v>
      </c>
      <c r="F174" s="22" t="n">
        <v>3</v>
      </c>
      <c r="G174" s="22" t="s">
        <v>891</v>
      </c>
      <c r="H174" s="22" t="s">
        <v>250</v>
      </c>
      <c r="I174" s="22" t="s">
        <v>892</v>
      </c>
      <c r="J174" s="22" t="s">
        <v>860</v>
      </c>
      <c r="K174" s="22" t="s">
        <v>892</v>
      </c>
      <c r="L174" s="22" t="s">
        <v>184</v>
      </c>
      <c r="M174" s="22" t="s">
        <v>253</v>
      </c>
    </row>
    <row r="175" customFormat="false" ht="43.5" hidden="false" customHeight="true" outlineLevel="0" collapsed="false">
      <c r="A175" s="22" t="s">
        <v>893</v>
      </c>
      <c r="B175" s="22" t="s">
        <v>894</v>
      </c>
      <c r="C175" s="22" t="s">
        <v>47</v>
      </c>
      <c r="D175" s="22" t="s">
        <v>243</v>
      </c>
      <c r="E175" s="22" t="str">
        <f aca="false">IF(D175="","",IFERROR(VLOOKUP(D175,$A$2:$B$1656,2,FALSE()),""))</f>
        <v>Cosmic, Aberrant, and Otherworldly Beings</v>
      </c>
      <c r="F175" s="22" t="n">
        <v>3</v>
      </c>
      <c r="G175" s="22" t="s">
        <v>895</v>
      </c>
      <c r="H175" s="22" t="s">
        <v>250</v>
      </c>
      <c r="I175" s="22" t="s">
        <v>896</v>
      </c>
      <c r="J175" s="22" t="s">
        <v>860</v>
      </c>
      <c r="K175" s="22" t="s">
        <v>896</v>
      </c>
      <c r="L175" s="22" t="s">
        <v>184</v>
      </c>
      <c r="M175" s="22" t="s">
        <v>253</v>
      </c>
    </row>
    <row r="176" customFormat="false" ht="43.5" hidden="false" customHeight="true" outlineLevel="0" collapsed="false">
      <c r="A176" s="22" t="s">
        <v>897</v>
      </c>
      <c r="B176" s="22" t="s">
        <v>898</v>
      </c>
      <c r="C176" s="22" t="s">
        <v>47</v>
      </c>
      <c r="D176" s="22" t="s">
        <v>243</v>
      </c>
      <c r="E176" s="22" t="str">
        <f aca="false">IF(D176="","",IFERROR(VLOOKUP(D176,$A$2:$B$1656,2,FALSE()),""))</f>
        <v>Cosmic, Aberrant, and Otherworldly Beings</v>
      </c>
      <c r="F176" s="22" t="n">
        <v>3</v>
      </c>
      <c r="G176" s="22" t="s">
        <v>899</v>
      </c>
      <c r="H176" s="22" t="s">
        <v>250</v>
      </c>
      <c r="I176" s="22" t="s">
        <v>900</v>
      </c>
      <c r="J176" s="22" t="s">
        <v>860</v>
      </c>
      <c r="K176" s="22" t="s">
        <v>900</v>
      </c>
      <c r="L176" s="22" t="s">
        <v>184</v>
      </c>
      <c r="M176" s="22" t="s">
        <v>253</v>
      </c>
    </row>
    <row r="177" customFormat="false" ht="43.5" hidden="false" customHeight="true" outlineLevel="0" collapsed="false">
      <c r="A177" s="22" t="s">
        <v>901</v>
      </c>
      <c r="B177" s="22" t="s">
        <v>902</v>
      </c>
      <c r="C177" s="22" t="s">
        <v>47</v>
      </c>
      <c r="D177" s="22" t="s">
        <v>243</v>
      </c>
      <c r="E177" s="22" t="str">
        <f aca="false">IF(D177="","",IFERROR(VLOOKUP(D177,$A$2:$B$1656,2,FALSE()),""))</f>
        <v>Cosmic, Aberrant, and Otherworldly Beings</v>
      </c>
      <c r="F177" s="22" t="n">
        <v>3</v>
      </c>
      <c r="G177" s="22" t="s">
        <v>903</v>
      </c>
      <c r="H177" s="22" t="s">
        <v>250</v>
      </c>
      <c r="I177" s="22" t="s">
        <v>904</v>
      </c>
      <c r="J177" s="22" t="s">
        <v>860</v>
      </c>
      <c r="K177" s="22" t="s">
        <v>904</v>
      </c>
      <c r="L177" s="22" t="s">
        <v>184</v>
      </c>
      <c r="M177" s="22" t="s">
        <v>253</v>
      </c>
    </row>
    <row r="178" customFormat="false" ht="43.5" hidden="false" customHeight="true" outlineLevel="0" collapsed="false">
      <c r="A178" s="22" t="s">
        <v>905</v>
      </c>
      <c r="B178" s="22" t="s">
        <v>906</v>
      </c>
      <c r="C178" s="22" t="s">
        <v>49</v>
      </c>
      <c r="D178" s="22" t="s">
        <v>186</v>
      </c>
      <c r="E178" s="22" t="str">
        <f aca="false">IF(D178="","",IFERROR(VLOOKUP(D178,$A$2:$B$1656,2,FALSE()),""))</f>
        <v>Roles &amp; Vocations</v>
      </c>
      <c r="F178" s="22" t="n">
        <v>2</v>
      </c>
      <c r="G178" s="22" t="s">
        <v>907</v>
      </c>
      <c r="H178" s="22" t="s">
        <v>908</v>
      </c>
      <c r="I178" s="22"/>
      <c r="J178" s="22" t="s">
        <v>909</v>
      </c>
      <c r="K178" s="22" t="s">
        <v>906</v>
      </c>
      <c r="L178" s="22" t="s">
        <v>184</v>
      </c>
      <c r="M178" s="22" t="s">
        <v>206</v>
      </c>
    </row>
    <row r="179" customFormat="false" ht="43.5" hidden="false" customHeight="true" outlineLevel="0" collapsed="false">
      <c r="A179" s="22" t="s">
        <v>910</v>
      </c>
      <c r="B179" s="22" t="s">
        <v>911</v>
      </c>
      <c r="C179" s="22" t="s">
        <v>49</v>
      </c>
      <c r="D179" s="22" t="s">
        <v>186</v>
      </c>
      <c r="E179" s="22" t="str">
        <f aca="false">IF(D179="","",IFERROR(VLOOKUP(D179,$A$2:$B$1656,2,FALSE()),""))</f>
        <v>Roles &amp; Vocations</v>
      </c>
      <c r="F179" s="22" t="n">
        <v>2</v>
      </c>
      <c r="G179" s="22" t="s">
        <v>912</v>
      </c>
      <c r="H179" s="22" t="s">
        <v>908</v>
      </c>
      <c r="I179" s="22"/>
      <c r="J179" s="22" t="s">
        <v>909</v>
      </c>
      <c r="K179" s="22" t="s">
        <v>911</v>
      </c>
      <c r="L179" s="22" t="s">
        <v>184</v>
      </c>
      <c r="M179" s="22" t="s">
        <v>206</v>
      </c>
    </row>
    <row r="180" customFormat="false" ht="43.5" hidden="false" customHeight="true" outlineLevel="0" collapsed="false">
      <c r="A180" s="22" t="s">
        <v>913</v>
      </c>
      <c r="B180" s="22" t="s">
        <v>914</v>
      </c>
      <c r="C180" s="22" t="s">
        <v>49</v>
      </c>
      <c r="D180" s="22" t="s">
        <v>186</v>
      </c>
      <c r="E180" s="22" t="str">
        <f aca="false">IF(D180="","",IFERROR(VLOOKUP(D180,$A$2:$B$1656,2,FALSE()),""))</f>
        <v>Roles &amp; Vocations</v>
      </c>
      <c r="F180" s="22" t="n">
        <v>2</v>
      </c>
      <c r="G180" s="22" t="s">
        <v>915</v>
      </c>
      <c r="H180" s="22" t="s">
        <v>908</v>
      </c>
      <c r="I180" s="22"/>
      <c r="J180" s="22" t="s">
        <v>909</v>
      </c>
      <c r="K180" s="22" t="s">
        <v>914</v>
      </c>
      <c r="L180" s="22" t="s">
        <v>184</v>
      </c>
      <c r="M180" s="22" t="s">
        <v>206</v>
      </c>
    </row>
    <row r="181" customFormat="false" ht="43.5" hidden="false" customHeight="true" outlineLevel="0" collapsed="false">
      <c r="A181" s="22" t="s">
        <v>916</v>
      </c>
      <c r="B181" s="22" t="s">
        <v>917</v>
      </c>
      <c r="C181" s="22" t="s">
        <v>49</v>
      </c>
      <c r="D181" s="22" t="s">
        <v>186</v>
      </c>
      <c r="E181" s="22" t="str">
        <f aca="false">IF(D181="","",IFERROR(VLOOKUP(D181,$A$2:$B$1656,2,FALSE()),""))</f>
        <v>Roles &amp; Vocations</v>
      </c>
      <c r="F181" s="22" t="n">
        <v>2</v>
      </c>
      <c r="G181" s="22" t="s">
        <v>918</v>
      </c>
      <c r="H181" s="22" t="s">
        <v>908</v>
      </c>
      <c r="I181" s="22"/>
      <c r="J181" s="22" t="s">
        <v>909</v>
      </c>
      <c r="K181" s="22" t="s">
        <v>917</v>
      </c>
      <c r="L181" s="22" t="s">
        <v>184</v>
      </c>
      <c r="M181" s="22" t="s">
        <v>206</v>
      </c>
    </row>
    <row r="182" customFormat="false" ht="43.5" hidden="false" customHeight="true" outlineLevel="0" collapsed="false">
      <c r="A182" s="22" t="s">
        <v>919</v>
      </c>
      <c r="B182" s="22" t="s">
        <v>920</v>
      </c>
      <c r="C182" s="22" t="s">
        <v>49</v>
      </c>
      <c r="D182" s="22" t="s">
        <v>186</v>
      </c>
      <c r="E182" s="22" t="str">
        <f aca="false">IF(D182="","",IFERROR(VLOOKUP(D182,$A$2:$B$1656,2,FALSE()),""))</f>
        <v>Roles &amp; Vocations</v>
      </c>
      <c r="F182" s="22" t="n">
        <v>2</v>
      </c>
      <c r="G182" s="22" t="s">
        <v>921</v>
      </c>
      <c r="H182" s="22" t="s">
        <v>908</v>
      </c>
      <c r="I182" s="22"/>
      <c r="J182" s="22" t="s">
        <v>909</v>
      </c>
      <c r="K182" s="22" t="s">
        <v>920</v>
      </c>
      <c r="L182" s="22" t="s">
        <v>184</v>
      </c>
      <c r="M182" s="22" t="s">
        <v>206</v>
      </c>
    </row>
    <row r="183" customFormat="false" ht="43.5" hidden="false" customHeight="true" outlineLevel="0" collapsed="false">
      <c r="A183" s="22" t="s">
        <v>922</v>
      </c>
      <c r="B183" s="22" t="s">
        <v>923</v>
      </c>
      <c r="C183" s="22" t="s">
        <v>49</v>
      </c>
      <c r="D183" s="22" t="s">
        <v>186</v>
      </c>
      <c r="E183" s="22" t="str">
        <f aca="false">IF(D183="","",IFERROR(VLOOKUP(D183,$A$2:$B$1656,2,FALSE()),""))</f>
        <v>Roles &amp; Vocations</v>
      </c>
      <c r="F183" s="22" t="n">
        <v>2</v>
      </c>
      <c r="G183" s="22" t="s">
        <v>924</v>
      </c>
      <c r="H183" s="22" t="s">
        <v>908</v>
      </c>
      <c r="I183" s="22"/>
      <c r="J183" s="22" t="s">
        <v>909</v>
      </c>
      <c r="K183" s="22" t="s">
        <v>923</v>
      </c>
      <c r="L183" s="22" t="s">
        <v>184</v>
      </c>
      <c r="M183" s="22" t="s">
        <v>206</v>
      </c>
    </row>
    <row r="184" customFormat="false" ht="43.5" hidden="false" customHeight="true" outlineLevel="0" collapsed="false">
      <c r="A184" s="22" t="s">
        <v>925</v>
      </c>
      <c r="B184" s="22" t="s">
        <v>926</v>
      </c>
      <c r="C184" s="22" t="s">
        <v>49</v>
      </c>
      <c r="D184" s="22" t="s">
        <v>186</v>
      </c>
      <c r="E184" s="22" t="str">
        <f aca="false">IF(D184="","",IFERROR(VLOOKUP(D184,$A$2:$B$1656,2,FALSE()),""))</f>
        <v>Roles &amp; Vocations</v>
      </c>
      <c r="F184" s="22" t="n">
        <v>2</v>
      </c>
      <c r="G184" s="22" t="s">
        <v>927</v>
      </c>
      <c r="H184" s="22" t="s">
        <v>908</v>
      </c>
      <c r="I184" s="22"/>
      <c r="J184" s="22" t="s">
        <v>909</v>
      </c>
      <c r="K184" s="22" t="s">
        <v>926</v>
      </c>
      <c r="L184" s="22" t="s">
        <v>184</v>
      </c>
      <c r="M184" s="22" t="s">
        <v>206</v>
      </c>
    </row>
    <row r="185" customFormat="false" ht="43.5" hidden="false" customHeight="true" outlineLevel="0" collapsed="false">
      <c r="A185" s="22" t="s">
        <v>928</v>
      </c>
      <c r="B185" s="22" t="s">
        <v>929</v>
      </c>
      <c r="C185" s="22" t="s">
        <v>49</v>
      </c>
      <c r="D185" s="22" t="s">
        <v>186</v>
      </c>
      <c r="E185" s="22" t="str">
        <f aca="false">IF(D185="","",IFERROR(VLOOKUP(D185,$A$2:$B$1656,2,FALSE()),""))</f>
        <v>Roles &amp; Vocations</v>
      </c>
      <c r="F185" s="22" t="n">
        <v>2</v>
      </c>
      <c r="G185" s="22" t="s">
        <v>930</v>
      </c>
      <c r="H185" s="22" t="s">
        <v>908</v>
      </c>
      <c r="I185" s="22"/>
      <c r="J185" s="22" t="s">
        <v>909</v>
      </c>
      <c r="K185" s="22" t="s">
        <v>929</v>
      </c>
      <c r="L185" s="22" t="s">
        <v>184</v>
      </c>
      <c r="M185" s="22" t="s">
        <v>206</v>
      </c>
    </row>
    <row r="186" customFormat="false" ht="43.5" hidden="false" customHeight="true" outlineLevel="0" collapsed="false">
      <c r="A186" s="22" t="s">
        <v>931</v>
      </c>
      <c r="B186" s="22" t="s">
        <v>932</v>
      </c>
      <c r="C186" s="22" t="s">
        <v>49</v>
      </c>
      <c r="D186" s="22" t="s">
        <v>186</v>
      </c>
      <c r="E186" s="22" t="str">
        <f aca="false">IF(D186="","",IFERROR(VLOOKUP(D186,$A$2:$B$1656,2,FALSE()),""))</f>
        <v>Roles &amp; Vocations</v>
      </c>
      <c r="F186" s="22" t="n">
        <v>2</v>
      </c>
      <c r="G186" s="22" t="s">
        <v>933</v>
      </c>
      <c r="H186" s="22" t="s">
        <v>908</v>
      </c>
      <c r="I186" s="22"/>
      <c r="J186" s="22" t="s">
        <v>909</v>
      </c>
      <c r="K186" s="22" t="s">
        <v>932</v>
      </c>
      <c r="L186" s="22" t="s">
        <v>184</v>
      </c>
      <c r="M186" s="22" t="s">
        <v>206</v>
      </c>
    </row>
    <row r="187" customFormat="false" ht="43.5" hidden="false" customHeight="true" outlineLevel="0" collapsed="false">
      <c r="A187" s="22" t="s">
        <v>934</v>
      </c>
      <c r="B187" s="22" t="s">
        <v>935</v>
      </c>
      <c r="C187" s="22" t="s">
        <v>49</v>
      </c>
      <c r="D187" s="22" t="s">
        <v>905</v>
      </c>
      <c r="E187" s="22" t="str">
        <f aca="false">IF(D187="","",IFERROR(VLOOKUP(D187,$A$2:$B$1656,2,FALSE()),""))</f>
        <v>Martial Roles</v>
      </c>
      <c r="F187" s="22" t="n">
        <v>3</v>
      </c>
      <c r="G187" s="22" t="s">
        <v>936</v>
      </c>
      <c r="H187" s="22" t="s">
        <v>937</v>
      </c>
      <c r="I187" s="22" t="s">
        <v>938</v>
      </c>
      <c r="J187" s="22" t="s">
        <v>939</v>
      </c>
      <c r="K187" s="22" t="s">
        <v>938</v>
      </c>
      <c r="L187" s="22" t="s">
        <v>184</v>
      </c>
      <c r="M187" s="22" t="s">
        <v>253</v>
      </c>
    </row>
    <row r="188" customFormat="false" ht="43.5" hidden="false" customHeight="true" outlineLevel="0" collapsed="false">
      <c r="A188" s="22" t="s">
        <v>940</v>
      </c>
      <c r="B188" s="22" t="s">
        <v>941</v>
      </c>
      <c r="C188" s="22" t="s">
        <v>49</v>
      </c>
      <c r="D188" s="22" t="s">
        <v>905</v>
      </c>
      <c r="E188" s="22" t="str">
        <f aca="false">IF(D188="","",IFERROR(VLOOKUP(D188,$A$2:$B$1656,2,FALSE()),""))</f>
        <v>Martial Roles</v>
      </c>
      <c r="F188" s="22" t="n">
        <v>3</v>
      </c>
      <c r="G188" s="22" t="s">
        <v>942</v>
      </c>
      <c r="H188" s="22" t="s">
        <v>937</v>
      </c>
      <c r="I188" s="22" t="s">
        <v>943</v>
      </c>
      <c r="J188" s="22" t="s">
        <v>939</v>
      </c>
      <c r="K188" s="22" t="s">
        <v>943</v>
      </c>
      <c r="L188" s="22" t="s">
        <v>184</v>
      </c>
      <c r="M188" s="22" t="s">
        <v>253</v>
      </c>
    </row>
    <row r="189" customFormat="false" ht="43.5" hidden="false" customHeight="true" outlineLevel="0" collapsed="false">
      <c r="A189" s="22" t="s">
        <v>944</v>
      </c>
      <c r="B189" s="22" t="s">
        <v>945</v>
      </c>
      <c r="C189" s="22" t="s">
        <v>49</v>
      </c>
      <c r="D189" s="22" t="s">
        <v>905</v>
      </c>
      <c r="E189" s="22" t="str">
        <f aca="false">IF(D189="","",IFERROR(VLOOKUP(D189,$A$2:$B$1656,2,FALSE()),""))</f>
        <v>Martial Roles</v>
      </c>
      <c r="F189" s="22" t="n">
        <v>3</v>
      </c>
      <c r="G189" s="22" t="s">
        <v>946</v>
      </c>
      <c r="H189" s="22" t="s">
        <v>937</v>
      </c>
      <c r="I189" s="22" t="s">
        <v>947</v>
      </c>
      <c r="J189" s="22" t="s">
        <v>939</v>
      </c>
      <c r="K189" s="22" t="s">
        <v>947</v>
      </c>
      <c r="L189" s="22" t="s">
        <v>184</v>
      </c>
      <c r="M189" s="22" t="s">
        <v>253</v>
      </c>
    </row>
    <row r="190" customFormat="false" ht="43.5" hidden="false" customHeight="true" outlineLevel="0" collapsed="false">
      <c r="A190" s="22" t="s">
        <v>948</v>
      </c>
      <c r="B190" s="22" t="s">
        <v>949</v>
      </c>
      <c r="C190" s="22" t="s">
        <v>49</v>
      </c>
      <c r="D190" s="22" t="s">
        <v>905</v>
      </c>
      <c r="E190" s="22" t="str">
        <f aca="false">IF(D190="","",IFERROR(VLOOKUP(D190,$A$2:$B$1656,2,FALSE()),""))</f>
        <v>Martial Roles</v>
      </c>
      <c r="F190" s="22" t="n">
        <v>3</v>
      </c>
      <c r="G190" s="22" t="s">
        <v>950</v>
      </c>
      <c r="H190" s="22" t="s">
        <v>937</v>
      </c>
      <c r="I190" s="22" t="s">
        <v>951</v>
      </c>
      <c r="J190" s="22" t="s">
        <v>939</v>
      </c>
      <c r="K190" s="22" t="s">
        <v>951</v>
      </c>
      <c r="L190" s="22" t="s">
        <v>184</v>
      </c>
      <c r="M190" s="22" t="s">
        <v>253</v>
      </c>
    </row>
    <row r="191" customFormat="false" ht="43.5" hidden="false" customHeight="true" outlineLevel="0" collapsed="false">
      <c r="A191" s="22" t="s">
        <v>952</v>
      </c>
      <c r="B191" s="22" t="s">
        <v>953</v>
      </c>
      <c r="C191" s="22" t="s">
        <v>49</v>
      </c>
      <c r="D191" s="22" t="s">
        <v>905</v>
      </c>
      <c r="E191" s="22" t="str">
        <f aca="false">IF(D191="","",IFERROR(VLOOKUP(D191,$A$2:$B$1656,2,FALSE()),""))</f>
        <v>Martial Roles</v>
      </c>
      <c r="F191" s="22" t="n">
        <v>3</v>
      </c>
      <c r="G191" s="22" t="s">
        <v>954</v>
      </c>
      <c r="H191" s="22" t="s">
        <v>937</v>
      </c>
      <c r="I191" s="22" t="s">
        <v>955</v>
      </c>
      <c r="J191" s="22" t="s">
        <v>939</v>
      </c>
      <c r="K191" s="22" t="s">
        <v>955</v>
      </c>
      <c r="L191" s="22" t="s">
        <v>184</v>
      </c>
      <c r="M191" s="22" t="s">
        <v>253</v>
      </c>
    </row>
    <row r="192" customFormat="false" ht="43.5" hidden="false" customHeight="true" outlineLevel="0" collapsed="false">
      <c r="A192" s="22" t="s">
        <v>956</v>
      </c>
      <c r="B192" s="22" t="s">
        <v>957</v>
      </c>
      <c r="C192" s="22" t="s">
        <v>49</v>
      </c>
      <c r="D192" s="22" t="s">
        <v>905</v>
      </c>
      <c r="E192" s="22" t="str">
        <f aca="false">IF(D192="","",IFERROR(VLOOKUP(D192,$A$2:$B$1656,2,FALSE()),""))</f>
        <v>Martial Roles</v>
      </c>
      <c r="F192" s="22" t="n">
        <v>3</v>
      </c>
      <c r="G192" s="22" t="s">
        <v>958</v>
      </c>
      <c r="H192" s="22" t="s">
        <v>937</v>
      </c>
      <c r="I192" s="22" t="s">
        <v>959</v>
      </c>
      <c r="J192" s="22" t="s">
        <v>939</v>
      </c>
      <c r="K192" s="22" t="s">
        <v>959</v>
      </c>
      <c r="L192" s="22" t="s">
        <v>184</v>
      </c>
      <c r="M192" s="22" t="s">
        <v>253</v>
      </c>
    </row>
    <row r="193" customFormat="false" ht="43.5" hidden="false" customHeight="true" outlineLevel="0" collapsed="false">
      <c r="A193" s="22" t="s">
        <v>960</v>
      </c>
      <c r="B193" s="22" t="s">
        <v>961</v>
      </c>
      <c r="C193" s="22" t="s">
        <v>49</v>
      </c>
      <c r="D193" s="22" t="s">
        <v>905</v>
      </c>
      <c r="E193" s="22" t="str">
        <f aca="false">IF(D193="","",IFERROR(VLOOKUP(D193,$A$2:$B$1656,2,FALSE()),""))</f>
        <v>Martial Roles</v>
      </c>
      <c r="F193" s="22" t="n">
        <v>3</v>
      </c>
      <c r="G193" s="22" t="s">
        <v>962</v>
      </c>
      <c r="H193" s="22" t="s">
        <v>937</v>
      </c>
      <c r="I193" s="22" t="s">
        <v>963</v>
      </c>
      <c r="J193" s="22" t="s">
        <v>939</v>
      </c>
      <c r="K193" s="22" t="s">
        <v>963</v>
      </c>
      <c r="L193" s="22" t="s">
        <v>184</v>
      </c>
      <c r="M193" s="22" t="s">
        <v>253</v>
      </c>
    </row>
    <row r="194" customFormat="false" ht="43.5" hidden="false" customHeight="true" outlineLevel="0" collapsed="false">
      <c r="A194" s="22" t="s">
        <v>964</v>
      </c>
      <c r="B194" s="22" t="s">
        <v>965</v>
      </c>
      <c r="C194" s="22" t="s">
        <v>49</v>
      </c>
      <c r="D194" s="22" t="s">
        <v>905</v>
      </c>
      <c r="E194" s="22" t="str">
        <f aca="false">IF(D194="","",IFERROR(VLOOKUP(D194,$A$2:$B$1656,2,FALSE()),""))</f>
        <v>Martial Roles</v>
      </c>
      <c r="F194" s="22" t="n">
        <v>3</v>
      </c>
      <c r="G194" s="22" t="s">
        <v>966</v>
      </c>
      <c r="H194" s="22" t="s">
        <v>937</v>
      </c>
      <c r="I194" s="22" t="s">
        <v>967</v>
      </c>
      <c r="J194" s="22" t="s">
        <v>939</v>
      </c>
      <c r="K194" s="22" t="s">
        <v>967</v>
      </c>
      <c r="L194" s="22" t="s">
        <v>184</v>
      </c>
      <c r="M194" s="22" t="s">
        <v>253</v>
      </c>
    </row>
    <row r="195" customFormat="false" ht="43.5" hidden="false" customHeight="true" outlineLevel="0" collapsed="false">
      <c r="A195" s="22" t="s">
        <v>968</v>
      </c>
      <c r="B195" s="22" t="s">
        <v>969</v>
      </c>
      <c r="C195" s="22" t="s">
        <v>49</v>
      </c>
      <c r="D195" s="22" t="s">
        <v>905</v>
      </c>
      <c r="E195" s="22" t="str">
        <f aca="false">IF(D195="","",IFERROR(VLOOKUP(D195,$A$2:$B$1656,2,FALSE()),""))</f>
        <v>Martial Roles</v>
      </c>
      <c r="F195" s="22" t="n">
        <v>3</v>
      </c>
      <c r="G195" s="22" t="s">
        <v>970</v>
      </c>
      <c r="H195" s="22" t="s">
        <v>937</v>
      </c>
      <c r="I195" s="22" t="s">
        <v>971</v>
      </c>
      <c r="J195" s="22" t="s">
        <v>939</v>
      </c>
      <c r="K195" s="22" t="s">
        <v>971</v>
      </c>
      <c r="L195" s="22" t="s">
        <v>184</v>
      </c>
      <c r="M195" s="22" t="s">
        <v>253</v>
      </c>
    </row>
    <row r="196" customFormat="false" ht="43.5" hidden="false" customHeight="true" outlineLevel="0" collapsed="false">
      <c r="A196" s="22" t="s">
        <v>972</v>
      </c>
      <c r="B196" s="22" t="s">
        <v>973</v>
      </c>
      <c r="C196" s="22" t="s">
        <v>49</v>
      </c>
      <c r="D196" s="22" t="s">
        <v>905</v>
      </c>
      <c r="E196" s="22" t="str">
        <f aca="false">IF(D196="","",IFERROR(VLOOKUP(D196,$A$2:$B$1656,2,FALSE()),""))</f>
        <v>Martial Roles</v>
      </c>
      <c r="F196" s="22" t="n">
        <v>3</v>
      </c>
      <c r="G196" s="22" t="s">
        <v>974</v>
      </c>
      <c r="H196" s="22" t="s">
        <v>937</v>
      </c>
      <c r="I196" s="22" t="s">
        <v>975</v>
      </c>
      <c r="J196" s="22" t="s">
        <v>939</v>
      </c>
      <c r="K196" s="22" t="s">
        <v>975</v>
      </c>
      <c r="L196" s="22" t="s">
        <v>184</v>
      </c>
      <c r="M196" s="22" t="s">
        <v>253</v>
      </c>
    </row>
    <row r="197" customFormat="false" ht="43.5" hidden="false" customHeight="true" outlineLevel="0" collapsed="false">
      <c r="A197" s="22" t="s">
        <v>976</v>
      </c>
      <c r="B197" s="22" t="s">
        <v>977</v>
      </c>
      <c r="C197" s="22" t="s">
        <v>49</v>
      </c>
      <c r="D197" s="22" t="s">
        <v>905</v>
      </c>
      <c r="E197" s="22" t="str">
        <f aca="false">IF(D197="","",IFERROR(VLOOKUP(D197,$A$2:$B$1656,2,FALSE()),""))</f>
        <v>Martial Roles</v>
      </c>
      <c r="F197" s="22" t="n">
        <v>3</v>
      </c>
      <c r="G197" s="22" t="s">
        <v>978</v>
      </c>
      <c r="H197" s="22" t="s">
        <v>937</v>
      </c>
      <c r="I197" s="22" t="s">
        <v>979</v>
      </c>
      <c r="J197" s="22" t="s">
        <v>939</v>
      </c>
      <c r="K197" s="22" t="s">
        <v>979</v>
      </c>
      <c r="L197" s="22" t="s">
        <v>980</v>
      </c>
      <c r="M197" s="22" t="s">
        <v>253</v>
      </c>
    </row>
    <row r="198" customFormat="false" ht="43.5" hidden="false" customHeight="true" outlineLevel="0" collapsed="false">
      <c r="A198" s="22" t="s">
        <v>981</v>
      </c>
      <c r="B198" s="22" t="s">
        <v>982</v>
      </c>
      <c r="C198" s="22" t="s">
        <v>49</v>
      </c>
      <c r="D198" s="22" t="s">
        <v>905</v>
      </c>
      <c r="E198" s="22" t="str">
        <f aca="false">IF(D198="","",IFERROR(VLOOKUP(D198,$A$2:$B$1656,2,FALSE()),""))</f>
        <v>Martial Roles</v>
      </c>
      <c r="F198" s="22" t="n">
        <v>3</v>
      </c>
      <c r="G198" s="22" t="s">
        <v>983</v>
      </c>
      <c r="H198" s="22" t="s">
        <v>937</v>
      </c>
      <c r="I198" s="22" t="s">
        <v>984</v>
      </c>
      <c r="J198" s="22" t="s">
        <v>939</v>
      </c>
      <c r="K198" s="22" t="s">
        <v>984</v>
      </c>
      <c r="L198" s="22" t="s">
        <v>985</v>
      </c>
      <c r="M198" s="22" t="s">
        <v>253</v>
      </c>
    </row>
    <row r="199" customFormat="false" ht="43.5" hidden="false" customHeight="true" outlineLevel="0" collapsed="false">
      <c r="A199" s="22" t="s">
        <v>986</v>
      </c>
      <c r="B199" s="22" t="s">
        <v>987</v>
      </c>
      <c r="C199" s="22" t="s">
        <v>49</v>
      </c>
      <c r="D199" s="22" t="s">
        <v>905</v>
      </c>
      <c r="E199" s="22" t="str">
        <f aca="false">IF(D199="","",IFERROR(VLOOKUP(D199,$A$2:$B$1656,2,FALSE()),""))</f>
        <v>Martial Roles</v>
      </c>
      <c r="F199" s="22" t="n">
        <v>3</v>
      </c>
      <c r="G199" s="22" t="s">
        <v>988</v>
      </c>
      <c r="H199" s="22" t="s">
        <v>937</v>
      </c>
      <c r="I199" s="22" t="s">
        <v>989</v>
      </c>
      <c r="J199" s="22" t="s">
        <v>939</v>
      </c>
      <c r="K199" s="22" t="s">
        <v>989</v>
      </c>
      <c r="L199" s="22" t="s">
        <v>184</v>
      </c>
      <c r="M199" s="22" t="s">
        <v>253</v>
      </c>
    </row>
    <row r="200" customFormat="false" ht="43.5" hidden="false" customHeight="true" outlineLevel="0" collapsed="false">
      <c r="A200" s="22" t="s">
        <v>990</v>
      </c>
      <c r="B200" s="22" t="s">
        <v>991</v>
      </c>
      <c r="C200" s="22" t="s">
        <v>49</v>
      </c>
      <c r="D200" s="22" t="s">
        <v>905</v>
      </c>
      <c r="E200" s="22" t="str">
        <f aca="false">IF(D200="","",IFERROR(VLOOKUP(D200,$A$2:$B$1656,2,FALSE()),""))</f>
        <v>Martial Roles</v>
      </c>
      <c r="F200" s="22" t="n">
        <v>3</v>
      </c>
      <c r="G200" s="22" t="s">
        <v>992</v>
      </c>
      <c r="H200" s="22" t="s">
        <v>937</v>
      </c>
      <c r="I200" s="22" t="s">
        <v>993</v>
      </c>
      <c r="J200" s="22" t="s">
        <v>939</v>
      </c>
      <c r="K200" s="22" t="s">
        <v>993</v>
      </c>
      <c r="L200" s="22" t="s">
        <v>184</v>
      </c>
      <c r="M200" s="22" t="s">
        <v>253</v>
      </c>
    </row>
    <row r="201" customFormat="false" ht="43.5" hidden="false" customHeight="true" outlineLevel="0" collapsed="false">
      <c r="A201" s="22" t="s">
        <v>994</v>
      </c>
      <c r="B201" s="22" t="s">
        <v>995</v>
      </c>
      <c r="C201" s="22" t="s">
        <v>49</v>
      </c>
      <c r="D201" s="22" t="s">
        <v>905</v>
      </c>
      <c r="E201" s="22" t="str">
        <f aca="false">IF(D201="","",IFERROR(VLOOKUP(D201,$A$2:$B$1656,2,FALSE()),""))</f>
        <v>Martial Roles</v>
      </c>
      <c r="F201" s="22" t="n">
        <v>3</v>
      </c>
      <c r="G201" s="22" t="s">
        <v>996</v>
      </c>
      <c r="H201" s="22" t="s">
        <v>937</v>
      </c>
      <c r="I201" s="22" t="s">
        <v>997</v>
      </c>
      <c r="J201" s="22" t="s">
        <v>939</v>
      </c>
      <c r="K201" s="22" t="s">
        <v>997</v>
      </c>
      <c r="L201" s="22" t="s">
        <v>184</v>
      </c>
      <c r="M201" s="22" t="s">
        <v>253</v>
      </c>
    </row>
    <row r="202" customFormat="false" ht="43.5" hidden="false" customHeight="true" outlineLevel="0" collapsed="false">
      <c r="A202" s="22" t="s">
        <v>998</v>
      </c>
      <c r="B202" s="22" t="s">
        <v>999</v>
      </c>
      <c r="C202" s="22" t="s">
        <v>49</v>
      </c>
      <c r="D202" s="22" t="s">
        <v>905</v>
      </c>
      <c r="E202" s="22" t="str">
        <f aca="false">IF(D202="","",IFERROR(VLOOKUP(D202,$A$2:$B$1656,2,FALSE()),""))</f>
        <v>Martial Roles</v>
      </c>
      <c r="F202" s="22" t="n">
        <v>3</v>
      </c>
      <c r="G202" s="22" t="s">
        <v>1000</v>
      </c>
      <c r="H202" s="22" t="s">
        <v>937</v>
      </c>
      <c r="I202" s="22" t="s">
        <v>1001</v>
      </c>
      <c r="J202" s="22" t="s">
        <v>939</v>
      </c>
      <c r="K202" s="22" t="s">
        <v>1001</v>
      </c>
      <c r="L202" s="22" t="s">
        <v>184</v>
      </c>
      <c r="M202" s="22" t="s">
        <v>253</v>
      </c>
    </row>
    <row r="203" customFormat="false" ht="43.5" hidden="false" customHeight="true" outlineLevel="0" collapsed="false">
      <c r="A203" s="22" t="s">
        <v>1002</v>
      </c>
      <c r="B203" s="22" t="s">
        <v>1003</v>
      </c>
      <c r="C203" s="22" t="s">
        <v>49</v>
      </c>
      <c r="D203" s="22" t="s">
        <v>905</v>
      </c>
      <c r="E203" s="22" t="str">
        <f aca="false">IF(D203="","",IFERROR(VLOOKUP(D203,$A$2:$B$1656,2,FALSE()),""))</f>
        <v>Martial Roles</v>
      </c>
      <c r="F203" s="22" t="n">
        <v>3</v>
      </c>
      <c r="G203" s="22" t="s">
        <v>1004</v>
      </c>
      <c r="H203" s="22" t="s">
        <v>937</v>
      </c>
      <c r="I203" s="22" t="s">
        <v>1005</v>
      </c>
      <c r="J203" s="22" t="s">
        <v>939</v>
      </c>
      <c r="K203" s="22" t="s">
        <v>1005</v>
      </c>
      <c r="L203" s="22" t="s">
        <v>184</v>
      </c>
      <c r="M203" s="22" t="s">
        <v>253</v>
      </c>
    </row>
    <row r="204" customFormat="false" ht="43.5" hidden="false" customHeight="true" outlineLevel="0" collapsed="false">
      <c r="A204" s="22" t="s">
        <v>1006</v>
      </c>
      <c r="B204" s="22" t="s">
        <v>1007</v>
      </c>
      <c r="C204" s="22" t="s">
        <v>49</v>
      </c>
      <c r="D204" s="22" t="s">
        <v>905</v>
      </c>
      <c r="E204" s="22" t="str">
        <f aca="false">IF(D204="","",IFERROR(VLOOKUP(D204,$A$2:$B$1656,2,FALSE()),""))</f>
        <v>Martial Roles</v>
      </c>
      <c r="F204" s="22" t="n">
        <v>3</v>
      </c>
      <c r="G204" s="22" t="s">
        <v>1008</v>
      </c>
      <c r="H204" s="22" t="s">
        <v>937</v>
      </c>
      <c r="I204" s="22" t="s">
        <v>1009</v>
      </c>
      <c r="J204" s="22" t="s">
        <v>939</v>
      </c>
      <c r="K204" s="22" t="s">
        <v>1009</v>
      </c>
      <c r="L204" s="22" t="s">
        <v>184</v>
      </c>
      <c r="M204" s="22" t="s">
        <v>253</v>
      </c>
    </row>
    <row r="205" customFormat="false" ht="43.5" hidden="false" customHeight="true" outlineLevel="0" collapsed="false">
      <c r="A205" s="22" t="s">
        <v>1010</v>
      </c>
      <c r="B205" s="22" t="s">
        <v>1011</v>
      </c>
      <c r="C205" s="22" t="s">
        <v>49</v>
      </c>
      <c r="D205" s="22" t="s">
        <v>905</v>
      </c>
      <c r="E205" s="22" t="str">
        <f aca="false">IF(D205="","",IFERROR(VLOOKUP(D205,$A$2:$B$1656,2,FALSE()),""))</f>
        <v>Martial Roles</v>
      </c>
      <c r="F205" s="22" t="n">
        <v>3</v>
      </c>
      <c r="G205" s="22" t="s">
        <v>1012</v>
      </c>
      <c r="H205" s="22" t="s">
        <v>937</v>
      </c>
      <c r="I205" s="22" t="s">
        <v>1013</v>
      </c>
      <c r="J205" s="22" t="s">
        <v>939</v>
      </c>
      <c r="K205" s="22" t="s">
        <v>1013</v>
      </c>
      <c r="L205" s="22" t="s">
        <v>184</v>
      </c>
      <c r="M205" s="22" t="s">
        <v>253</v>
      </c>
    </row>
    <row r="206" customFormat="false" ht="43.5" hidden="false" customHeight="true" outlineLevel="0" collapsed="false">
      <c r="A206" s="22" t="s">
        <v>1014</v>
      </c>
      <c r="B206" s="22" t="s">
        <v>1015</v>
      </c>
      <c r="C206" s="22" t="s">
        <v>49</v>
      </c>
      <c r="D206" s="22" t="s">
        <v>905</v>
      </c>
      <c r="E206" s="22" t="str">
        <f aca="false">IF(D206="","",IFERROR(VLOOKUP(D206,$A$2:$B$1656,2,FALSE()),""))</f>
        <v>Martial Roles</v>
      </c>
      <c r="F206" s="22" t="n">
        <v>3</v>
      </c>
      <c r="G206" s="22" t="s">
        <v>1016</v>
      </c>
      <c r="H206" s="22" t="s">
        <v>937</v>
      </c>
      <c r="I206" s="22" t="s">
        <v>1017</v>
      </c>
      <c r="J206" s="22" t="s">
        <v>939</v>
      </c>
      <c r="K206" s="22" t="s">
        <v>1017</v>
      </c>
      <c r="L206" s="22" t="s">
        <v>1018</v>
      </c>
      <c r="M206" s="22" t="s">
        <v>253</v>
      </c>
    </row>
    <row r="207" customFormat="false" ht="43.5" hidden="false" customHeight="true" outlineLevel="0" collapsed="false">
      <c r="A207" s="22" t="s">
        <v>1019</v>
      </c>
      <c r="B207" s="22" t="s">
        <v>1020</v>
      </c>
      <c r="C207" s="22" t="s">
        <v>49</v>
      </c>
      <c r="D207" s="22" t="s">
        <v>905</v>
      </c>
      <c r="E207" s="22" t="str">
        <f aca="false">IF(D207="","",IFERROR(VLOOKUP(D207,$A$2:$B$1656,2,FALSE()),""))</f>
        <v>Martial Roles</v>
      </c>
      <c r="F207" s="22" t="n">
        <v>3</v>
      </c>
      <c r="G207" s="22" t="s">
        <v>1021</v>
      </c>
      <c r="H207" s="22" t="s">
        <v>937</v>
      </c>
      <c r="I207" s="22" t="s">
        <v>1022</v>
      </c>
      <c r="J207" s="22" t="s">
        <v>939</v>
      </c>
      <c r="K207" s="22" t="s">
        <v>1022</v>
      </c>
      <c r="L207" s="22" t="s">
        <v>184</v>
      </c>
      <c r="M207" s="22" t="s">
        <v>253</v>
      </c>
    </row>
    <row r="208" customFormat="false" ht="43.5" hidden="false" customHeight="true" outlineLevel="0" collapsed="false">
      <c r="A208" s="22" t="s">
        <v>1023</v>
      </c>
      <c r="B208" s="22" t="s">
        <v>1024</v>
      </c>
      <c r="C208" s="22" t="s">
        <v>49</v>
      </c>
      <c r="D208" s="22" t="s">
        <v>905</v>
      </c>
      <c r="E208" s="22" t="str">
        <f aca="false">IF(D208="","",IFERROR(VLOOKUP(D208,$A$2:$B$1656,2,FALSE()),""))</f>
        <v>Martial Roles</v>
      </c>
      <c r="F208" s="22" t="n">
        <v>3</v>
      </c>
      <c r="G208" s="22" t="s">
        <v>1025</v>
      </c>
      <c r="H208" s="22" t="s">
        <v>937</v>
      </c>
      <c r="I208" s="22" t="s">
        <v>1026</v>
      </c>
      <c r="J208" s="22" t="s">
        <v>939</v>
      </c>
      <c r="K208" s="22" t="s">
        <v>1026</v>
      </c>
      <c r="L208" s="22" t="s">
        <v>184</v>
      </c>
      <c r="M208" s="22" t="s">
        <v>253</v>
      </c>
    </row>
    <row r="209" customFormat="false" ht="43.5" hidden="false" customHeight="true" outlineLevel="0" collapsed="false">
      <c r="A209" s="22" t="s">
        <v>1027</v>
      </c>
      <c r="B209" s="22" t="s">
        <v>1028</v>
      </c>
      <c r="C209" s="22" t="s">
        <v>49</v>
      </c>
      <c r="D209" s="22" t="s">
        <v>905</v>
      </c>
      <c r="E209" s="22" t="str">
        <f aca="false">IF(D209="","",IFERROR(VLOOKUP(D209,$A$2:$B$1656,2,FALSE()),""))</f>
        <v>Martial Roles</v>
      </c>
      <c r="F209" s="22" t="n">
        <v>3</v>
      </c>
      <c r="G209" s="22" t="s">
        <v>1029</v>
      </c>
      <c r="H209" s="22" t="s">
        <v>937</v>
      </c>
      <c r="I209" s="22" t="s">
        <v>1030</v>
      </c>
      <c r="J209" s="22" t="s">
        <v>939</v>
      </c>
      <c r="K209" s="22" t="s">
        <v>1030</v>
      </c>
      <c r="L209" s="22" t="s">
        <v>184</v>
      </c>
      <c r="M209" s="22" t="s">
        <v>253</v>
      </c>
    </row>
    <row r="210" customFormat="false" ht="43.5" hidden="false" customHeight="true" outlineLevel="0" collapsed="false">
      <c r="A210" s="22" t="s">
        <v>1031</v>
      </c>
      <c r="B210" s="22" t="s">
        <v>1032</v>
      </c>
      <c r="C210" s="22" t="s">
        <v>49</v>
      </c>
      <c r="D210" s="22" t="s">
        <v>905</v>
      </c>
      <c r="E210" s="22" t="str">
        <f aca="false">IF(D210="","",IFERROR(VLOOKUP(D210,$A$2:$B$1656,2,FALSE()),""))</f>
        <v>Martial Roles</v>
      </c>
      <c r="F210" s="22" t="n">
        <v>3</v>
      </c>
      <c r="G210" s="22" t="s">
        <v>1033</v>
      </c>
      <c r="H210" s="22" t="s">
        <v>937</v>
      </c>
      <c r="I210" s="22" t="s">
        <v>1034</v>
      </c>
      <c r="J210" s="22" t="s">
        <v>939</v>
      </c>
      <c r="K210" s="22" t="s">
        <v>1034</v>
      </c>
      <c r="L210" s="22" t="s">
        <v>184</v>
      </c>
      <c r="M210" s="22" t="s">
        <v>253</v>
      </c>
    </row>
    <row r="211" customFormat="false" ht="43.5" hidden="false" customHeight="true" outlineLevel="0" collapsed="false">
      <c r="A211" s="22" t="s">
        <v>1035</v>
      </c>
      <c r="B211" s="22" t="s">
        <v>1036</v>
      </c>
      <c r="C211" s="22" t="s">
        <v>49</v>
      </c>
      <c r="D211" s="22" t="s">
        <v>905</v>
      </c>
      <c r="E211" s="22" t="str">
        <f aca="false">IF(D211="","",IFERROR(VLOOKUP(D211,$A$2:$B$1656,2,FALSE()),""))</f>
        <v>Martial Roles</v>
      </c>
      <c r="F211" s="22" t="n">
        <v>3</v>
      </c>
      <c r="G211" s="22" t="s">
        <v>1037</v>
      </c>
      <c r="H211" s="22" t="s">
        <v>937</v>
      </c>
      <c r="I211" s="22" t="s">
        <v>1038</v>
      </c>
      <c r="J211" s="22" t="s">
        <v>939</v>
      </c>
      <c r="K211" s="22" t="s">
        <v>1038</v>
      </c>
      <c r="L211" s="22" t="s">
        <v>184</v>
      </c>
      <c r="M211" s="22" t="s">
        <v>253</v>
      </c>
    </row>
    <row r="212" customFormat="false" ht="43.5" hidden="false" customHeight="true" outlineLevel="0" collapsed="false">
      <c r="A212" s="22" t="s">
        <v>1039</v>
      </c>
      <c r="B212" s="22" t="s">
        <v>1040</v>
      </c>
      <c r="C212" s="22" t="s">
        <v>49</v>
      </c>
      <c r="D212" s="22" t="s">
        <v>905</v>
      </c>
      <c r="E212" s="22" t="str">
        <f aca="false">IF(D212="","",IFERROR(VLOOKUP(D212,$A$2:$B$1656,2,FALSE()),""))</f>
        <v>Martial Roles</v>
      </c>
      <c r="F212" s="22" t="n">
        <v>3</v>
      </c>
      <c r="G212" s="22" t="s">
        <v>1041</v>
      </c>
      <c r="H212" s="22" t="s">
        <v>937</v>
      </c>
      <c r="I212" s="22" t="s">
        <v>1042</v>
      </c>
      <c r="J212" s="22" t="s">
        <v>939</v>
      </c>
      <c r="K212" s="22" t="s">
        <v>1042</v>
      </c>
      <c r="L212" s="22" t="s">
        <v>184</v>
      </c>
      <c r="M212" s="22" t="s">
        <v>253</v>
      </c>
    </row>
    <row r="213" customFormat="false" ht="43.5" hidden="false" customHeight="true" outlineLevel="0" collapsed="false">
      <c r="A213" s="22" t="s">
        <v>1043</v>
      </c>
      <c r="B213" s="22" t="s">
        <v>1044</v>
      </c>
      <c r="C213" s="22" t="s">
        <v>49</v>
      </c>
      <c r="D213" s="22" t="s">
        <v>905</v>
      </c>
      <c r="E213" s="22" t="str">
        <f aca="false">IF(D213="","",IFERROR(VLOOKUP(D213,$A$2:$B$1656,2,FALSE()),""))</f>
        <v>Martial Roles</v>
      </c>
      <c r="F213" s="22" t="n">
        <v>3</v>
      </c>
      <c r="G213" s="22" t="s">
        <v>1045</v>
      </c>
      <c r="H213" s="22" t="s">
        <v>937</v>
      </c>
      <c r="I213" s="22" t="s">
        <v>1046</v>
      </c>
      <c r="J213" s="22" t="s">
        <v>939</v>
      </c>
      <c r="K213" s="22" t="s">
        <v>1046</v>
      </c>
      <c r="L213" s="22" t="s">
        <v>184</v>
      </c>
      <c r="M213" s="22" t="s">
        <v>253</v>
      </c>
    </row>
    <row r="214" customFormat="false" ht="43.5" hidden="false" customHeight="true" outlineLevel="0" collapsed="false">
      <c r="A214" s="22" t="s">
        <v>1047</v>
      </c>
      <c r="B214" s="22" t="s">
        <v>1048</v>
      </c>
      <c r="C214" s="22" t="s">
        <v>49</v>
      </c>
      <c r="D214" s="22" t="s">
        <v>905</v>
      </c>
      <c r="E214" s="22" t="str">
        <f aca="false">IF(D214="","",IFERROR(VLOOKUP(D214,$A$2:$B$1656,2,FALSE()),""))</f>
        <v>Martial Roles</v>
      </c>
      <c r="F214" s="22" t="n">
        <v>3</v>
      </c>
      <c r="G214" s="22" t="s">
        <v>1049</v>
      </c>
      <c r="H214" s="22" t="s">
        <v>937</v>
      </c>
      <c r="I214" s="22" t="s">
        <v>1050</v>
      </c>
      <c r="J214" s="22" t="s">
        <v>939</v>
      </c>
      <c r="K214" s="22" t="s">
        <v>1050</v>
      </c>
      <c r="L214" s="22" t="s">
        <v>184</v>
      </c>
      <c r="M214" s="22" t="s">
        <v>253</v>
      </c>
    </row>
    <row r="215" customFormat="false" ht="43.5" hidden="false" customHeight="true" outlineLevel="0" collapsed="false">
      <c r="A215" s="22" t="s">
        <v>1051</v>
      </c>
      <c r="B215" s="22" t="s">
        <v>1052</v>
      </c>
      <c r="C215" s="22" t="s">
        <v>49</v>
      </c>
      <c r="D215" s="22" t="s">
        <v>905</v>
      </c>
      <c r="E215" s="22" t="str">
        <f aca="false">IF(D215="","",IFERROR(VLOOKUP(D215,$A$2:$B$1656,2,FALSE()),""))</f>
        <v>Martial Roles</v>
      </c>
      <c r="F215" s="22" t="n">
        <v>3</v>
      </c>
      <c r="G215" s="22" t="s">
        <v>1053</v>
      </c>
      <c r="H215" s="22" t="s">
        <v>937</v>
      </c>
      <c r="I215" s="22" t="s">
        <v>1054</v>
      </c>
      <c r="J215" s="22" t="s">
        <v>939</v>
      </c>
      <c r="K215" s="22" t="s">
        <v>1054</v>
      </c>
      <c r="L215" s="22" t="s">
        <v>184</v>
      </c>
      <c r="M215" s="22" t="s">
        <v>253</v>
      </c>
    </row>
    <row r="216" customFormat="false" ht="43.5" hidden="false" customHeight="true" outlineLevel="0" collapsed="false">
      <c r="A216" s="22" t="s">
        <v>1055</v>
      </c>
      <c r="B216" s="22" t="s">
        <v>1056</v>
      </c>
      <c r="C216" s="22" t="s">
        <v>49</v>
      </c>
      <c r="D216" s="22" t="s">
        <v>905</v>
      </c>
      <c r="E216" s="22" t="str">
        <f aca="false">IF(D216="","",IFERROR(VLOOKUP(D216,$A$2:$B$1656,2,FALSE()),""))</f>
        <v>Martial Roles</v>
      </c>
      <c r="F216" s="22" t="n">
        <v>3</v>
      </c>
      <c r="G216" s="22" t="s">
        <v>1057</v>
      </c>
      <c r="H216" s="22" t="s">
        <v>937</v>
      </c>
      <c r="I216" s="22" t="s">
        <v>1058</v>
      </c>
      <c r="J216" s="22" t="s">
        <v>939</v>
      </c>
      <c r="K216" s="22" t="s">
        <v>1058</v>
      </c>
      <c r="L216" s="22" t="s">
        <v>184</v>
      </c>
      <c r="M216" s="22" t="s">
        <v>253</v>
      </c>
    </row>
    <row r="217" customFormat="false" ht="43.5" hidden="false" customHeight="true" outlineLevel="0" collapsed="false">
      <c r="A217" s="22" t="s">
        <v>1059</v>
      </c>
      <c r="B217" s="22" t="s">
        <v>1060</v>
      </c>
      <c r="C217" s="22" t="s">
        <v>49</v>
      </c>
      <c r="D217" s="22" t="s">
        <v>905</v>
      </c>
      <c r="E217" s="22" t="str">
        <f aca="false">IF(D217="","",IFERROR(VLOOKUP(D217,$A$2:$B$1656,2,FALSE()),""))</f>
        <v>Martial Roles</v>
      </c>
      <c r="F217" s="22" t="n">
        <v>3</v>
      </c>
      <c r="G217" s="22" t="s">
        <v>1061</v>
      </c>
      <c r="H217" s="22" t="s">
        <v>937</v>
      </c>
      <c r="I217" s="22" t="s">
        <v>1062</v>
      </c>
      <c r="J217" s="22" t="s">
        <v>939</v>
      </c>
      <c r="K217" s="22" t="s">
        <v>1062</v>
      </c>
      <c r="L217" s="22" t="s">
        <v>184</v>
      </c>
      <c r="M217" s="22" t="s">
        <v>253</v>
      </c>
    </row>
    <row r="218" customFormat="false" ht="43.5" hidden="false" customHeight="true" outlineLevel="0" collapsed="false">
      <c r="A218" s="22" t="s">
        <v>1063</v>
      </c>
      <c r="B218" s="22" t="s">
        <v>1064</v>
      </c>
      <c r="C218" s="22" t="s">
        <v>49</v>
      </c>
      <c r="D218" s="22" t="s">
        <v>905</v>
      </c>
      <c r="E218" s="22" t="str">
        <f aca="false">IF(D218="","",IFERROR(VLOOKUP(D218,$A$2:$B$1656,2,FALSE()),""))</f>
        <v>Martial Roles</v>
      </c>
      <c r="F218" s="22" t="n">
        <v>3</v>
      </c>
      <c r="G218" s="22" t="s">
        <v>1065</v>
      </c>
      <c r="H218" s="22" t="s">
        <v>937</v>
      </c>
      <c r="I218" s="22" t="s">
        <v>1066</v>
      </c>
      <c r="J218" s="22" t="s">
        <v>939</v>
      </c>
      <c r="K218" s="22" t="s">
        <v>1066</v>
      </c>
      <c r="L218" s="22" t="s">
        <v>184</v>
      </c>
      <c r="M218" s="22" t="s">
        <v>253</v>
      </c>
    </row>
    <row r="219" customFormat="false" ht="43.5" hidden="false" customHeight="true" outlineLevel="0" collapsed="false">
      <c r="A219" s="22" t="s">
        <v>1067</v>
      </c>
      <c r="B219" s="22" t="s">
        <v>1068</v>
      </c>
      <c r="C219" s="22" t="s">
        <v>49</v>
      </c>
      <c r="D219" s="22" t="s">
        <v>905</v>
      </c>
      <c r="E219" s="22" t="str">
        <f aca="false">IF(D219="","",IFERROR(VLOOKUP(D219,$A$2:$B$1656,2,FALSE()),""))</f>
        <v>Martial Roles</v>
      </c>
      <c r="F219" s="22" t="n">
        <v>3</v>
      </c>
      <c r="G219" s="22" t="s">
        <v>1069</v>
      </c>
      <c r="H219" s="22" t="s">
        <v>937</v>
      </c>
      <c r="I219" s="22" t="s">
        <v>1070</v>
      </c>
      <c r="J219" s="22" t="s">
        <v>939</v>
      </c>
      <c r="K219" s="22" t="s">
        <v>1070</v>
      </c>
      <c r="L219" s="22" t="s">
        <v>184</v>
      </c>
      <c r="M219" s="22" t="s">
        <v>253</v>
      </c>
    </row>
    <row r="220" customFormat="false" ht="43.5" hidden="false" customHeight="true" outlineLevel="0" collapsed="false">
      <c r="A220" s="22" t="s">
        <v>1071</v>
      </c>
      <c r="B220" s="22" t="s">
        <v>1072</v>
      </c>
      <c r="C220" s="22" t="s">
        <v>49</v>
      </c>
      <c r="D220" s="22" t="s">
        <v>905</v>
      </c>
      <c r="E220" s="22" t="str">
        <f aca="false">IF(D220="","",IFERROR(VLOOKUP(D220,$A$2:$B$1656,2,FALSE()),""))</f>
        <v>Martial Roles</v>
      </c>
      <c r="F220" s="22" t="n">
        <v>3</v>
      </c>
      <c r="G220" s="22" t="s">
        <v>1073</v>
      </c>
      <c r="H220" s="22" t="s">
        <v>937</v>
      </c>
      <c r="I220" s="22" t="s">
        <v>1074</v>
      </c>
      <c r="J220" s="22" t="s">
        <v>939</v>
      </c>
      <c r="K220" s="22" t="s">
        <v>1074</v>
      </c>
      <c r="L220" s="22" t="s">
        <v>184</v>
      </c>
      <c r="M220" s="22" t="s">
        <v>253</v>
      </c>
    </row>
    <row r="221" customFormat="false" ht="43.5" hidden="false" customHeight="true" outlineLevel="0" collapsed="false">
      <c r="A221" s="22" t="s">
        <v>1075</v>
      </c>
      <c r="B221" s="22" t="s">
        <v>1076</v>
      </c>
      <c r="C221" s="22" t="s">
        <v>49</v>
      </c>
      <c r="D221" s="22" t="s">
        <v>905</v>
      </c>
      <c r="E221" s="22" t="str">
        <f aca="false">IF(D221="","",IFERROR(VLOOKUP(D221,$A$2:$B$1656,2,FALSE()),""))</f>
        <v>Martial Roles</v>
      </c>
      <c r="F221" s="22" t="n">
        <v>3</v>
      </c>
      <c r="G221" s="22" t="s">
        <v>1077</v>
      </c>
      <c r="H221" s="22" t="s">
        <v>937</v>
      </c>
      <c r="I221" s="22" t="s">
        <v>1078</v>
      </c>
      <c r="J221" s="22" t="s">
        <v>939</v>
      </c>
      <c r="K221" s="22" t="s">
        <v>1078</v>
      </c>
      <c r="L221" s="22" t="s">
        <v>184</v>
      </c>
      <c r="M221" s="22" t="s">
        <v>253</v>
      </c>
    </row>
    <row r="222" customFormat="false" ht="43.5" hidden="false" customHeight="true" outlineLevel="0" collapsed="false">
      <c r="A222" s="22" t="s">
        <v>1079</v>
      </c>
      <c r="B222" s="22" t="s">
        <v>1080</v>
      </c>
      <c r="C222" s="22" t="s">
        <v>49</v>
      </c>
      <c r="D222" s="22" t="s">
        <v>905</v>
      </c>
      <c r="E222" s="22" t="str">
        <f aca="false">IF(D222="","",IFERROR(VLOOKUP(D222,$A$2:$B$1656,2,FALSE()),""))</f>
        <v>Martial Roles</v>
      </c>
      <c r="F222" s="22" t="n">
        <v>3</v>
      </c>
      <c r="G222" s="22" t="s">
        <v>1081</v>
      </c>
      <c r="H222" s="22" t="s">
        <v>937</v>
      </c>
      <c r="I222" s="22" t="s">
        <v>1082</v>
      </c>
      <c r="J222" s="22" t="s">
        <v>939</v>
      </c>
      <c r="K222" s="22" t="s">
        <v>1082</v>
      </c>
      <c r="L222" s="22" t="s">
        <v>184</v>
      </c>
      <c r="M222" s="22" t="s">
        <v>253</v>
      </c>
    </row>
    <row r="223" customFormat="false" ht="43.5" hidden="false" customHeight="true" outlineLevel="0" collapsed="false">
      <c r="A223" s="22" t="s">
        <v>1083</v>
      </c>
      <c r="B223" s="22" t="s">
        <v>1084</v>
      </c>
      <c r="C223" s="22" t="s">
        <v>49</v>
      </c>
      <c r="D223" s="22" t="s">
        <v>905</v>
      </c>
      <c r="E223" s="22" t="str">
        <f aca="false">IF(D223="","",IFERROR(VLOOKUP(D223,$A$2:$B$1656,2,FALSE()),""))</f>
        <v>Martial Roles</v>
      </c>
      <c r="F223" s="22" t="n">
        <v>3</v>
      </c>
      <c r="G223" s="22" t="s">
        <v>1085</v>
      </c>
      <c r="H223" s="22" t="s">
        <v>937</v>
      </c>
      <c r="I223" s="22" t="s">
        <v>1086</v>
      </c>
      <c r="J223" s="22" t="s">
        <v>939</v>
      </c>
      <c r="K223" s="22" t="s">
        <v>1086</v>
      </c>
      <c r="L223" s="22" t="s">
        <v>184</v>
      </c>
      <c r="M223" s="22" t="s">
        <v>253</v>
      </c>
    </row>
    <row r="224" customFormat="false" ht="43.5" hidden="false" customHeight="true" outlineLevel="0" collapsed="false">
      <c r="A224" s="22" t="s">
        <v>1087</v>
      </c>
      <c r="B224" s="22" t="s">
        <v>1088</v>
      </c>
      <c r="C224" s="22" t="s">
        <v>49</v>
      </c>
      <c r="D224" s="22" t="s">
        <v>905</v>
      </c>
      <c r="E224" s="22" t="str">
        <f aca="false">IF(D224="","",IFERROR(VLOOKUP(D224,$A$2:$B$1656,2,FALSE()),""))</f>
        <v>Martial Roles</v>
      </c>
      <c r="F224" s="22" t="n">
        <v>3</v>
      </c>
      <c r="G224" s="22" t="s">
        <v>1089</v>
      </c>
      <c r="H224" s="22" t="s">
        <v>937</v>
      </c>
      <c r="I224" s="22" t="s">
        <v>1090</v>
      </c>
      <c r="J224" s="22" t="s">
        <v>939</v>
      </c>
      <c r="K224" s="22" t="s">
        <v>1090</v>
      </c>
      <c r="L224" s="22" t="s">
        <v>184</v>
      </c>
      <c r="M224" s="22" t="s">
        <v>253</v>
      </c>
    </row>
    <row r="225" customFormat="false" ht="43.5" hidden="false" customHeight="true" outlineLevel="0" collapsed="false">
      <c r="A225" s="22" t="s">
        <v>1091</v>
      </c>
      <c r="B225" s="22" t="s">
        <v>1092</v>
      </c>
      <c r="C225" s="22" t="s">
        <v>49</v>
      </c>
      <c r="D225" s="22" t="s">
        <v>905</v>
      </c>
      <c r="E225" s="22" t="str">
        <f aca="false">IF(D225="","",IFERROR(VLOOKUP(D225,$A$2:$B$1656,2,FALSE()),""))</f>
        <v>Martial Roles</v>
      </c>
      <c r="F225" s="22" t="n">
        <v>3</v>
      </c>
      <c r="G225" s="22" t="s">
        <v>1093</v>
      </c>
      <c r="H225" s="22" t="s">
        <v>937</v>
      </c>
      <c r="I225" s="22" t="s">
        <v>1094</v>
      </c>
      <c r="J225" s="22" t="s">
        <v>939</v>
      </c>
      <c r="K225" s="22" t="s">
        <v>1094</v>
      </c>
      <c r="L225" s="22" t="s">
        <v>184</v>
      </c>
      <c r="M225" s="22" t="s">
        <v>253</v>
      </c>
    </row>
    <row r="226" customFormat="false" ht="43.5" hidden="false" customHeight="true" outlineLevel="0" collapsed="false">
      <c r="A226" s="22" t="s">
        <v>1095</v>
      </c>
      <c r="B226" s="22" t="s">
        <v>1096</v>
      </c>
      <c r="C226" s="22" t="s">
        <v>49</v>
      </c>
      <c r="D226" s="22" t="s">
        <v>905</v>
      </c>
      <c r="E226" s="22" t="str">
        <f aca="false">IF(D226="","",IFERROR(VLOOKUP(D226,$A$2:$B$1656,2,FALSE()),""))</f>
        <v>Martial Roles</v>
      </c>
      <c r="F226" s="22" t="n">
        <v>3</v>
      </c>
      <c r="G226" s="22" t="s">
        <v>1097</v>
      </c>
      <c r="H226" s="22" t="s">
        <v>937</v>
      </c>
      <c r="I226" s="22" t="s">
        <v>1098</v>
      </c>
      <c r="J226" s="22" t="s">
        <v>939</v>
      </c>
      <c r="K226" s="22" t="s">
        <v>1098</v>
      </c>
      <c r="L226" s="22" t="s">
        <v>184</v>
      </c>
      <c r="M226" s="22" t="s">
        <v>253</v>
      </c>
    </row>
    <row r="227" customFormat="false" ht="43.5" hidden="false" customHeight="true" outlineLevel="0" collapsed="false">
      <c r="A227" s="22" t="s">
        <v>1099</v>
      </c>
      <c r="B227" s="22" t="s">
        <v>1100</v>
      </c>
      <c r="C227" s="22" t="s">
        <v>49</v>
      </c>
      <c r="D227" s="22" t="s">
        <v>905</v>
      </c>
      <c r="E227" s="22" t="str">
        <f aca="false">IF(D227="","",IFERROR(VLOOKUP(D227,$A$2:$B$1656,2,FALSE()),""))</f>
        <v>Martial Roles</v>
      </c>
      <c r="F227" s="22" t="n">
        <v>3</v>
      </c>
      <c r="G227" s="22" t="s">
        <v>1101</v>
      </c>
      <c r="H227" s="22" t="s">
        <v>937</v>
      </c>
      <c r="I227" s="22" t="s">
        <v>1102</v>
      </c>
      <c r="J227" s="22" t="s">
        <v>939</v>
      </c>
      <c r="K227" s="22" t="s">
        <v>1102</v>
      </c>
      <c r="L227" s="22" t="s">
        <v>184</v>
      </c>
      <c r="M227" s="22" t="s">
        <v>253</v>
      </c>
    </row>
    <row r="228" customFormat="false" ht="43.5" hidden="false" customHeight="true" outlineLevel="0" collapsed="false">
      <c r="A228" s="22" t="s">
        <v>1103</v>
      </c>
      <c r="B228" s="22" t="s">
        <v>1104</v>
      </c>
      <c r="C228" s="22" t="s">
        <v>49</v>
      </c>
      <c r="D228" s="22" t="s">
        <v>905</v>
      </c>
      <c r="E228" s="22" t="str">
        <f aca="false">IF(D228="","",IFERROR(VLOOKUP(D228,$A$2:$B$1656,2,FALSE()),""))</f>
        <v>Martial Roles</v>
      </c>
      <c r="F228" s="22" t="n">
        <v>3</v>
      </c>
      <c r="G228" s="22" t="s">
        <v>1105</v>
      </c>
      <c r="H228" s="22" t="s">
        <v>937</v>
      </c>
      <c r="I228" s="22" t="s">
        <v>1106</v>
      </c>
      <c r="J228" s="22" t="s">
        <v>939</v>
      </c>
      <c r="K228" s="22" t="s">
        <v>1106</v>
      </c>
      <c r="L228" s="22" t="s">
        <v>184</v>
      </c>
      <c r="M228" s="22" t="s">
        <v>253</v>
      </c>
    </row>
    <row r="229" customFormat="false" ht="43.5" hidden="false" customHeight="true" outlineLevel="0" collapsed="false">
      <c r="A229" s="22" t="s">
        <v>1107</v>
      </c>
      <c r="B229" s="22" t="s">
        <v>1108</v>
      </c>
      <c r="C229" s="22" t="s">
        <v>49</v>
      </c>
      <c r="D229" s="22" t="s">
        <v>905</v>
      </c>
      <c r="E229" s="22" t="str">
        <f aca="false">IF(D229="","",IFERROR(VLOOKUP(D229,$A$2:$B$1656,2,FALSE()),""))</f>
        <v>Martial Roles</v>
      </c>
      <c r="F229" s="22" t="n">
        <v>3</v>
      </c>
      <c r="G229" s="22" t="s">
        <v>1109</v>
      </c>
      <c r="H229" s="22" t="s">
        <v>937</v>
      </c>
      <c r="I229" s="22" t="s">
        <v>1110</v>
      </c>
      <c r="J229" s="22" t="s">
        <v>939</v>
      </c>
      <c r="K229" s="22" t="s">
        <v>1110</v>
      </c>
      <c r="L229" s="22" t="s">
        <v>184</v>
      </c>
      <c r="M229" s="22" t="s">
        <v>253</v>
      </c>
    </row>
    <row r="230" customFormat="false" ht="43.5" hidden="false" customHeight="true" outlineLevel="0" collapsed="false">
      <c r="A230" s="22" t="s">
        <v>1111</v>
      </c>
      <c r="B230" s="22" t="s">
        <v>1112</v>
      </c>
      <c r="C230" s="22" t="s">
        <v>49</v>
      </c>
      <c r="D230" s="22" t="s">
        <v>905</v>
      </c>
      <c r="E230" s="22" t="str">
        <f aca="false">IF(D230="","",IFERROR(VLOOKUP(D230,$A$2:$B$1656,2,FALSE()),""))</f>
        <v>Martial Roles</v>
      </c>
      <c r="F230" s="22" t="n">
        <v>3</v>
      </c>
      <c r="G230" s="22" t="s">
        <v>1113</v>
      </c>
      <c r="H230" s="22" t="s">
        <v>937</v>
      </c>
      <c r="I230" s="22" t="s">
        <v>1114</v>
      </c>
      <c r="J230" s="22" t="s">
        <v>939</v>
      </c>
      <c r="K230" s="22" t="s">
        <v>1114</v>
      </c>
      <c r="L230" s="22" t="s">
        <v>184</v>
      </c>
      <c r="M230" s="22" t="s">
        <v>253</v>
      </c>
    </row>
    <row r="231" customFormat="false" ht="43.5" hidden="false" customHeight="true" outlineLevel="0" collapsed="false">
      <c r="A231" s="22" t="s">
        <v>1115</v>
      </c>
      <c r="B231" s="22" t="s">
        <v>1116</v>
      </c>
      <c r="C231" s="22" t="s">
        <v>49</v>
      </c>
      <c r="D231" s="22" t="s">
        <v>905</v>
      </c>
      <c r="E231" s="22" t="str">
        <f aca="false">IF(D231="","",IFERROR(VLOOKUP(D231,$A$2:$B$1656,2,FALSE()),""))</f>
        <v>Martial Roles</v>
      </c>
      <c r="F231" s="22" t="n">
        <v>3</v>
      </c>
      <c r="G231" s="22" t="s">
        <v>1117</v>
      </c>
      <c r="H231" s="22" t="s">
        <v>937</v>
      </c>
      <c r="I231" s="22" t="s">
        <v>1118</v>
      </c>
      <c r="J231" s="22" t="s">
        <v>939</v>
      </c>
      <c r="K231" s="22" t="s">
        <v>1118</v>
      </c>
      <c r="L231" s="22" t="s">
        <v>184</v>
      </c>
      <c r="M231" s="22" t="s">
        <v>253</v>
      </c>
    </row>
    <row r="232" customFormat="false" ht="43.5" hidden="false" customHeight="true" outlineLevel="0" collapsed="false">
      <c r="A232" s="22" t="s">
        <v>1119</v>
      </c>
      <c r="B232" s="22" t="s">
        <v>1120</v>
      </c>
      <c r="C232" s="22" t="s">
        <v>49</v>
      </c>
      <c r="D232" s="22" t="s">
        <v>905</v>
      </c>
      <c r="E232" s="22" t="str">
        <f aca="false">IF(D232="","",IFERROR(VLOOKUP(D232,$A$2:$B$1656,2,FALSE()),""))</f>
        <v>Martial Roles</v>
      </c>
      <c r="F232" s="22" t="n">
        <v>3</v>
      </c>
      <c r="G232" s="22" t="s">
        <v>1121</v>
      </c>
      <c r="H232" s="22" t="s">
        <v>937</v>
      </c>
      <c r="I232" s="22" t="s">
        <v>1122</v>
      </c>
      <c r="J232" s="22" t="s">
        <v>939</v>
      </c>
      <c r="K232" s="22" t="s">
        <v>1122</v>
      </c>
      <c r="L232" s="22" t="s">
        <v>184</v>
      </c>
      <c r="M232" s="22" t="s">
        <v>253</v>
      </c>
    </row>
    <row r="233" customFormat="false" ht="43.5" hidden="false" customHeight="true" outlineLevel="0" collapsed="false">
      <c r="A233" s="22" t="s">
        <v>1123</v>
      </c>
      <c r="B233" s="22" t="s">
        <v>1124</v>
      </c>
      <c r="C233" s="22" t="s">
        <v>49</v>
      </c>
      <c r="D233" s="22" t="s">
        <v>905</v>
      </c>
      <c r="E233" s="22" t="str">
        <f aca="false">IF(D233="","",IFERROR(VLOOKUP(D233,$A$2:$B$1656,2,FALSE()),""))</f>
        <v>Martial Roles</v>
      </c>
      <c r="F233" s="22" t="n">
        <v>3</v>
      </c>
      <c r="G233" s="22" t="s">
        <v>1125</v>
      </c>
      <c r="H233" s="22" t="s">
        <v>937</v>
      </c>
      <c r="I233" s="22" t="s">
        <v>1126</v>
      </c>
      <c r="J233" s="22" t="s">
        <v>939</v>
      </c>
      <c r="K233" s="22" t="s">
        <v>1126</v>
      </c>
      <c r="L233" s="22" t="s">
        <v>184</v>
      </c>
      <c r="M233" s="22" t="s">
        <v>253</v>
      </c>
    </row>
    <row r="234" customFormat="false" ht="43.5" hidden="false" customHeight="true" outlineLevel="0" collapsed="false">
      <c r="A234" s="22" t="s">
        <v>1127</v>
      </c>
      <c r="B234" s="22" t="s">
        <v>1128</v>
      </c>
      <c r="C234" s="22" t="s">
        <v>49</v>
      </c>
      <c r="D234" s="22" t="s">
        <v>905</v>
      </c>
      <c r="E234" s="22" t="str">
        <f aca="false">IF(D234="","",IFERROR(VLOOKUP(D234,$A$2:$B$1656,2,FALSE()),""))</f>
        <v>Martial Roles</v>
      </c>
      <c r="F234" s="22" t="n">
        <v>3</v>
      </c>
      <c r="G234" s="22" t="s">
        <v>1129</v>
      </c>
      <c r="H234" s="22" t="s">
        <v>937</v>
      </c>
      <c r="I234" s="22" t="s">
        <v>1130</v>
      </c>
      <c r="J234" s="22" t="s">
        <v>939</v>
      </c>
      <c r="K234" s="22" t="s">
        <v>1130</v>
      </c>
      <c r="L234" s="22" t="s">
        <v>184</v>
      </c>
      <c r="M234" s="22" t="s">
        <v>253</v>
      </c>
    </row>
    <row r="235" customFormat="false" ht="43.5" hidden="false" customHeight="true" outlineLevel="0" collapsed="false">
      <c r="A235" s="22" t="s">
        <v>1131</v>
      </c>
      <c r="B235" s="22" t="s">
        <v>1132</v>
      </c>
      <c r="C235" s="22" t="s">
        <v>49</v>
      </c>
      <c r="D235" s="22" t="s">
        <v>905</v>
      </c>
      <c r="E235" s="22" t="str">
        <f aca="false">IF(D235="","",IFERROR(VLOOKUP(D235,$A$2:$B$1656,2,FALSE()),""))</f>
        <v>Martial Roles</v>
      </c>
      <c r="F235" s="22" t="n">
        <v>3</v>
      </c>
      <c r="G235" s="22" t="s">
        <v>1133</v>
      </c>
      <c r="H235" s="22" t="s">
        <v>937</v>
      </c>
      <c r="I235" s="22" t="s">
        <v>1134</v>
      </c>
      <c r="J235" s="22" t="s">
        <v>939</v>
      </c>
      <c r="K235" s="22" t="s">
        <v>1134</v>
      </c>
      <c r="L235" s="22" t="s">
        <v>184</v>
      </c>
      <c r="M235" s="22" t="s">
        <v>253</v>
      </c>
    </row>
    <row r="236" customFormat="false" ht="43.5" hidden="false" customHeight="true" outlineLevel="0" collapsed="false">
      <c r="A236" s="22" t="s">
        <v>1135</v>
      </c>
      <c r="B236" s="22" t="s">
        <v>1136</v>
      </c>
      <c r="C236" s="22" t="s">
        <v>49</v>
      </c>
      <c r="D236" s="22" t="s">
        <v>905</v>
      </c>
      <c r="E236" s="22" t="str">
        <f aca="false">IF(D236="","",IFERROR(VLOOKUP(D236,$A$2:$B$1656,2,FALSE()),""))</f>
        <v>Martial Roles</v>
      </c>
      <c r="F236" s="22" t="n">
        <v>3</v>
      </c>
      <c r="G236" s="22" t="s">
        <v>1137</v>
      </c>
      <c r="H236" s="22" t="s">
        <v>937</v>
      </c>
      <c r="I236" s="22" t="s">
        <v>1138</v>
      </c>
      <c r="J236" s="22" t="s">
        <v>939</v>
      </c>
      <c r="K236" s="22" t="s">
        <v>1138</v>
      </c>
      <c r="L236" s="22" t="s">
        <v>184</v>
      </c>
      <c r="M236" s="22" t="s">
        <v>253</v>
      </c>
    </row>
    <row r="237" customFormat="false" ht="43.5" hidden="false" customHeight="true" outlineLevel="0" collapsed="false">
      <c r="A237" s="22" t="s">
        <v>1139</v>
      </c>
      <c r="B237" s="22" t="s">
        <v>1140</v>
      </c>
      <c r="C237" s="22" t="s">
        <v>49</v>
      </c>
      <c r="D237" s="22" t="s">
        <v>910</v>
      </c>
      <c r="E237" s="22" t="str">
        <f aca="false">IF(D237="","",IFERROR(VLOOKUP(D237,$A$2:$B$1656,2,FALSE()),""))</f>
        <v>Rogue and Underworld Roles</v>
      </c>
      <c r="F237" s="22" t="n">
        <v>3</v>
      </c>
      <c r="G237" s="22" t="s">
        <v>1141</v>
      </c>
      <c r="H237" s="22" t="s">
        <v>937</v>
      </c>
      <c r="I237" s="22" t="s">
        <v>1142</v>
      </c>
      <c r="J237" s="22" t="s">
        <v>1143</v>
      </c>
      <c r="K237" s="22" t="s">
        <v>1142</v>
      </c>
      <c r="L237" s="22" t="s">
        <v>184</v>
      </c>
      <c r="M237" s="22" t="s">
        <v>253</v>
      </c>
    </row>
    <row r="238" customFormat="false" ht="43.5" hidden="false" customHeight="true" outlineLevel="0" collapsed="false">
      <c r="A238" s="22" t="s">
        <v>1144</v>
      </c>
      <c r="B238" s="22" t="s">
        <v>1145</v>
      </c>
      <c r="C238" s="22" t="s">
        <v>49</v>
      </c>
      <c r="D238" s="22" t="s">
        <v>910</v>
      </c>
      <c r="E238" s="22" t="str">
        <f aca="false">IF(D238="","",IFERROR(VLOOKUP(D238,$A$2:$B$1656,2,FALSE()),""))</f>
        <v>Rogue and Underworld Roles</v>
      </c>
      <c r="F238" s="22" t="n">
        <v>3</v>
      </c>
      <c r="G238" s="22" t="s">
        <v>1146</v>
      </c>
      <c r="H238" s="22" t="s">
        <v>937</v>
      </c>
      <c r="I238" s="22" t="s">
        <v>1147</v>
      </c>
      <c r="J238" s="22" t="s">
        <v>1143</v>
      </c>
      <c r="K238" s="22" t="s">
        <v>1147</v>
      </c>
      <c r="L238" s="22" t="s">
        <v>184</v>
      </c>
      <c r="M238" s="22" t="s">
        <v>253</v>
      </c>
    </row>
    <row r="239" customFormat="false" ht="43.5" hidden="false" customHeight="true" outlineLevel="0" collapsed="false">
      <c r="A239" s="22" t="s">
        <v>1148</v>
      </c>
      <c r="B239" s="22" t="s">
        <v>1149</v>
      </c>
      <c r="C239" s="22" t="s">
        <v>49</v>
      </c>
      <c r="D239" s="22" t="s">
        <v>910</v>
      </c>
      <c r="E239" s="22" t="str">
        <f aca="false">IF(D239="","",IFERROR(VLOOKUP(D239,$A$2:$B$1656,2,FALSE()),""))</f>
        <v>Rogue and Underworld Roles</v>
      </c>
      <c r="F239" s="22" t="n">
        <v>3</v>
      </c>
      <c r="G239" s="22" t="s">
        <v>1150</v>
      </c>
      <c r="H239" s="22" t="s">
        <v>937</v>
      </c>
      <c r="I239" s="22" t="s">
        <v>1151</v>
      </c>
      <c r="J239" s="22" t="s">
        <v>1143</v>
      </c>
      <c r="K239" s="22" t="s">
        <v>1151</v>
      </c>
      <c r="L239" s="22" t="s">
        <v>184</v>
      </c>
      <c r="M239" s="22" t="s">
        <v>253</v>
      </c>
    </row>
    <row r="240" customFormat="false" ht="43.5" hidden="false" customHeight="true" outlineLevel="0" collapsed="false">
      <c r="A240" s="22" t="s">
        <v>1152</v>
      </c>
      <c r="B240" s="22" t="s">
        <v>1153</v>
      </c>
      <c r="C240" s="22" t="s">
        <v>49</v>
      </c>
      <c r="D240" s="22" t="s">
        <v>910</v>
      </c>
      <c r="E240" s="22" t="str">
        <f aca="false">IF(D240="","",IFERROR(VLOOKUP(D240,$A$2:$B$1656,2,FALSE()),""))</f>
        <v>Rogue and Underworld Roles</v>
      </c>
      <c r="F240" s="22" t="n">
        <v>3</v>
      </c>
      <c r="G240" s="22" t="s">
        <v>1154</v>
      </c>
      <c r="H240" s="22" t="s">
        <v>937</v>
      </c>
      <c r="I240" s="22" t="s">
        <v>1155</v>
      </c>
      <c r="J240" s="22" t="s">
        <v>1143</v>
      </c>
      <c r="K240" s="22" t="s">
        <v>1155</v>
      </c>
      <c r="L240" s="22" t="s">
        <v>184</v>
      </c>
      <c r="M240" s="22" t="s">
        <v>253</v>
      </c>
    </row>
    <row r="241" customFormat="false" ht="43.5" hidden="false" customHeight="true" outlineLevel="0" collapsed="false">
      <c r="A241" s="22" t="s">
        <v>1156</v>
      </c>
      <c r="B241" s="22" t="s">
        <v>1157</v>
      </c>
      <c r="C241" s="22" t="s">
        <v>49</v>
      </c>
      <c r="D241" s="22" t="s">
        <v>910</v>
      </c>
      <c r="E241" s="22" t="str">
        <f aca="false">IF(D241="","",IFERROR(VLOOKUP(D241,$A$2:$B$1656,2,FALSE()),""))</f>
        <v>Rogue and Underworld Roles</v>
      </c>
      <c r="F241" s="22" t="n">
        <v>3</v>
      </c>
      <c r="G241" s="22" t="s">
        <v>1158</v>
      </c>
      <c r="H241" s="22" t="s">
        <v>937</v>
      </c>
      <c r="I241" s="22" t="s">
        <v>1159</v>
      </c>
      <c r="J241" s="22" t="s">
        <v>1143</v>
      </c>
      <c r="K241" s="22" t="s">
        <v>1159</v>
      </c>
      <c r="L241" s="22" t="s">
        <v>184</v>
      </c>
      <c r="M241" s="22" t="s">
        <v>253</v>
      </c>
    </row>
    <row r="242" customFormat="false" ht="43.5" hidden="false" customHeight="true" outlineLevel="0" collapsed="false">
      <c r="A242" s="22" t="s">
        <v>1160</v>
      </c>
      <c r="B242" s="22" t="s">
        <v>1161</v>
      </c>
      <c r="C242" s="22" t="s">
        <v>49</v>
      </c>
      <c r="D242" s="22" t="s">
        <v>910</v>
      </c>
      <c r="E242" s="22" t="str">
        <f aca="false">IF(D242="","",IFERROR(VLOOKUP(D242,$A$2:$B$1656,2,FALSE()),""))</f>
        <v>Rogue and Underworld Roles</v>
      </c>
      <c r="F242" s="22" t="n">
        <v>3</v>
      </c>
      <c r="G242" s="22" t="s">
        <v>1162</v>
      </c>
      <c r="H242" s="22" t="s">
        <v>937</v>
      </c>
      <c r="I242" s="22" t="s">
        <v>1163</v>
      </c>
      <c r="J242" s="22" t="s">
        <v>1143</v>
      </c>
      <c r="K242" s="22" t="s">
        <v>1163</v>
      </c>
      <c r="L242" s="22" t="s">
        <v>184</v>
      </c>
      <c r="M242" s="22" t="s">
        <v>253</v>
      </c>
    </row>
    <row r="243" customFormat="false" ht="43.5" hidden="false" customHeight="true" outlineLevel="0" collapsed="false">
      <c r="A243" s="22" t="s">
        <v>1164</v>
      </c>
      <c r="B243" s="22" t="s">
        <v>1165</v>
      </c>
      <c r="C243" s="22" t="s">
        <v>49</v>
      </c>
      <c r="D243" s="22" t="s">
        <v>910</v>
      </c>
      <c r="E243" s="22" t="str">
        <f aca="false">IF(D243="","",IFERROR(VLOOKUP(D243,$A$2:$B$1656,2,FALSE()),""))</f>
        <v>Rogue and Underworld Roles</v>
      </c>
      <c r="F243" s="22" t="n">
        <v>3</v>
      </c>
      <c r="G243" s="22" t="s">
        <v>1166</v>
      </c>
      <c r="H243" s="22" t="s">
        <v>937</v>
      </c>
      <c r="I243" s="22" t="s">
        <v>1167</v>
      </c>
      <c r="J243" s="22" t="s">
        <v>1143</v>
      </c>
      <c r="K243" s="22" t="s">
        <v>1167</v>
      </c>
      <c r="L243" s="22" t="s">
        <v>184</v>
      </c>
      <c r="M243" s="22" t="s">
        <v>253</v>
      </c>
    </row>
    <row r="244" customFormat="false" ht="43.5" hidden="false" customHeight="true" outlineLevel="0" collapsed="false">
      <c r="A244" s="22" t="s">
        <v>1168</v>
      </c>
      <c r="B244" s="22" t="s">
        <v>1169</v>
      </c>
      <c r="C244" s="22" t="s">
        <v>49</v>
      </c>
      <c r="D244" s="22" t="s">
        <v>910</v>
      </c>
      <c r="E244" s="22" t="str">
        <f aca="false">IF(D244="","",IFERROR(VLOOKUP(D244,$A$2:$B$1656,2,FALSE()),""))</f>
        <v>Rogue and Underworld Roles</v>
      </c>
      <c r="F244" s="22" t="n">
        <v>3</v>
      </c>
      <c r="G244" s="22" t="s">
        <v>1170</v>
      </c>
      <c r="H244" s="22" t="s">
        <v>937</v>
      </c>
      <c r="I244" s="22" t="s">
        <v>1171</v>
      </c>
      <c r="J244" s="22" t="s">
        <v>1143</v>
      </c>
      <c r="K244" s="22" t="s">
        <v>1171</v>
      </c>
      <c r="L244" s="22" t="s">
        <v>184</v>
      </c>
      <c r="M244" s="22" t="s">
        <v>253</v>
      </c>
    </row>
    <row r="245" customFormat="false" ht="43.5" hidden="false" customHeight="true" outlineLevel="0" collapsed="false">
      <c r="A245" s="22" t="s">
        <v>1172</v>
      </c>
      <c r="B245" s="22" t="s">
        <v>1173</v>
      </c>
      <c r="C245" s="22" t="s">
        <v>49</v>
      </c>
      <c r="D245" s="22" t="s">
        <v>910</v>
      </c>
      <c r="E245" s="22" t="str">
        <f aca="false">IF(D245="","",IFERROR(VLOOKUP(D245,$A$2:$B$1656,2,FALSE()),""))</f>
        <v>Rogue and Underworld Roles</v>
      </c>
      <c r="F245" s="22" t="n">
        <v>3</v>
      </c>
      <c r="G245" s="22" t="s">
        <v>1174</v>
      </c>
      <c r="H245" s="22" t="s">
        <v>937</v>
      </c>
      <c r="I245" s="22" t="s">
        <v>1175</v>
      </c>
      <c r="J245" s="22" t="s">
        <v>1143</v>
      </c>
      <c r="K245" s="22" t="s">
        <v>1175</v>
      </c>
      <c r="L245" s="22" t="s">
        <v>184</v>
      </c>
      <c r="M245" s="22" t="s">
        <v>253</v>
      </c>
    </row>
    <row r="246" customFormat="false" ht="43.5" hidden="false" customHeight="true" outlineLevel="0" collapsed="false">
      <c r="A246" s="22" t="s">
        <v>1176</v>
      </c>
      <c r="B246" s="22" t="s">
        <v>1177</v>
      </c>
      <c r="C246" s="22" t="s">
        <v>49</v>
      </c>
      <c r="D246" s="22" t="s">
        <v>910</v>
      </c>
      <c r="E246" s="22" t="str">
        <f aca="false">IF(D246="","",IFERROR(VLOOKUP(D246,$A$2:$B$1656,2,FALSE()),""))</f>
        <v>Rogue and Underworld Roles</v>
      </c>
      <c r="F246" s="22" t="n">
        <v>3</v>
      </c>
      <c r="G246" s="22" t="s">
        <v>1178</v>
      </c>
      <c r="H246" s="22" t="s">
        <v>937</v>
      </c>
      <c r="I246" s="22" t="s">
        <v>1179</v>
      </c>
      <c r="J246" s="22" t="s">
        <v>1143</v>
      </c>
      <c r="K246" s="22" t="s">
        <v>1179</v>
      </c>
      <c r="L246" s="22" t="s">
        <v>1180</v>
      </c>
      <c r="M246" s="22" t="s">
        <v>253</v>
      </c>
    </row>
    <row r="247" customFormat="false" ht="43.5" hidden="false" customHeight="true" outlineLevel="0" collapsed="false">
      <c r="A247" s="22" t="s">
        <v>1181</v>
      </c>
      <c r="B247" s="22" t="s">
        <v>1182</v>
      </c>
      <c r="C247" s="22" t="s">
        <v>49</v>
      </c>
      <c r="D247" s="22" t="s">
        <v>910</v>
      </c>
      <c r="E247" s="22" t="str">
        <f aca="false">IF(D247="","",IFERROR(VLOOKUP(D247,$A$2:$B$1656,2,FALSE()),""))</f>
        <v>Rogue and Underworld Roles</v>
      </c>
      <c r="F247" s="22" t="n">
        <v>3</v>
      </c>
      <c r="G247" s="22" t="s">
        <v>1183</v>
      </c>
      <c r="H247" s="22" t="s">
        <v>937</v>
      </c>
      <c r="I247" s="22" t="s">
        <v>1184</v>
      </c>
      <c r="J247" s="22" t="s">
        <v>1143</v>
      </c>
      <c r="K247" s="22" t="s">
        <v>1184</v>
      </c>
      <c r="L247" s="22" t="s">
        <v>184</v>
      </c>
      <c r="M247" s="22" t="s">
        <v>253</v>
      </c>
    </row>
    <row r="248" customFormat="false" ht="43.5" hidden="false" customHeight="true" outlineLevel="0" collapsed="false">
      <c r="A248" s="22" t="s">
        <v>1185</v>
      </c>
      <c r="B248" s="22" t="s">
        <v>1186</v>
      </c>
      <c r="C248" s="22" t="s">
        <v>49</v>
      </c>
      <c r="D248" s="22" t="s">
        <v>910</v>
      </c>
      <c r="E248" s="22" t="str">
        <f aca="false">IF(D248="","",IFERROR(VLOOKUP(D248,$A$2:$B$1656,2,FALSE()),""))</f>
        <v>Rogue and Underworld Roles</v>
      </c>
      <c r="F248" s="22" t="n">
        <v>3</v>
      </c>
      <c r="G248" s="22" t="s">
        <v>1187</v>
      </c>
      <c r="H248" s="22" t="s">
        <v>937</v>
      </c>
      <c r="I248" s="22" t="s">
        <v>1188</v>
      </c>
      <c r="J248" s="22" t="s">
        <v>1143</v>
      </c>
      <c r="K248" s="22" t="s">
        <v>1188</v>
      </c>
      <c r="L248" s="22" t="s">
        <v>184</v>
      </c>
      <c r="M248" s="22" t="s">
        <v>253</v>
      </c>
    </row>
    <row r="249" customFormat="false" ht="43.5" hidden="false" customHeight="true" outlineLevel="0" collapsed="false">
      <c r="A249" s="22" t="s">
        <v>1189</v>
      </c>
      <c r="B249" s="22" t="s">
        <v>1190</v>
      </c>
      <c r="C249" s="22" t="s">
        <v>49</v>
      </c>
      <c r="D249" s="22" t="s">
        <v>910</v>
      </c>
      <c r="E249" s="22" t="str">
        <f aca="false">IF(D249="","",IFERROR(VLOOKUP(D249,$A$2:$B$1656,2,FALSE()),""))</f>
        <v>Rogue and Underworld Roles</v>
      </c>
      <c r="F249" s="22" t="n">
        <v>3</v>
      </c>
      <c r="G249" s="22" t="s">
        <v>1191</v>
      </c>
      <c r="H249" s="22" t="s">
        <v>937</v>
      </c>
      <c r="I249" s="22" t="s">
        <v>1192</v>
      </c>
      <c r="J249" s="22" t="s">
        <v>1143</v>
      </c>
      <c r="K249" s="22" t="s">
        <v>1192</v>
      </c>
      <c r="L249" s="22" t="s">
        <v>184</v>
      </c>
      <c r="M249" s="22" t="s">
        <v>253</v>
      </c>
    </row>
    <row r="250" customFormat="false" ht="43.5" hidden="false" customHeight="true" outlineLevel="0" collapsed="false">
      <c r="A250" s="22" t="s">
        <v>1193</v>
      </c>
      <c r="B250" s="22" t="s">
        <v>1194</v>
      </c>
      <c r="C250" s="22" t="s">
        <v>49</v>
      </c>
      <c r="D250" s="22" t="s">
        <v>910</v>
      </c>
      <c r="E250" s="22" t="str">
        <f aca="false">IF(D250="","",IFERROR(VLOOKUP(D250,$A$2:$B$1656,2,FALSE()),""))</f>
        <v>Rogue and Underworld Roles</v>
      </c>
      <c r="F250" s="22" t="n">
        <v>3</v>
      </c>
      <c r="G250" s="22" t="s">
        <v>1195</v>
      </c>
      <c r="H250" s="22" t="s">
        <v>937</v>
      </c>
      <c r="I250" s="22" t="s">
        <v>1196</v>
      </c>
      <c r="J250" s="22" t="s">
        <v>1143</v>
      </c>
      <c r="K250" s="22" t="s">
        <v>1196</v>
      </c>
      <c r="L250" s="22" t="s">
        <v>184</v>
      </c>
      <c r="M250" s="22" t="s">
        <v>253</v>
      </c>
    </row>
    <row r="251" customFormat="false" ht="43.5" hidden="false" customHeight="true" outlineLevel="0" collapsed="false">
      <c r="A251" s="22" t="s">
        <v>1197</v>
      </c>
      <c r="B251" s="22" t="s">
        <v>1198</v>
      </c>
      <c r="C251" s="22" t="s">
        <v>49</v>
      </c>
      <c r="D251" s="22" t="s">
        <v>910</v>
      </c>
      <c r="E251" s="22" t="str">
        <f aca="false">IF(D251="","",IFERROR(VLOOKUP(D251,$A$2:$B$1656,2,FALSE()),""))</f>
        <v>Rogue and Underworld Roles</v>
      </c>
      <c r="F251" s="22" t="n">
        <v>3</v>
      </c>
      <c r="G251" s="22" t="s">
        <v>1199</v>
      </c>
      <c r="H251" s="22" t="s">
        <v>937</v>
      </c>
      <c r="I251" s="22" t="s">
        <v>1200</v>
      </c>
      <c r="J251" s="22" t="s">
        <v>1143</v>
      </c>
      <c r="K251" s="22" t="s">
        <v>1200</v>
      </c>
      <c r="L251" s="22" t="s">
        <v>184</v>
      </c>
      <c r="M251" s="22" t="s">
        <v>253</v>
      </c>
    </row>
    <row r="252" customFormat="false" ht="43.5" hidden="false" customHeight="true" outlineLevel="0" collapsed="false">
      <c r="A252" s="22" t="s">
        <v>1201</v>
      </c>
      <c r="B252" s="22" t="s">
        <v>1202</v>
      </c>
      <c r="C252" s="22" t="s">
        <v>49</v>
      </c>
      <c r="D252" s="22" t="s">
        <v>910</v>
      </c>
      <c r="E252" s="22" t="str">
        <f aca="false">IF(D252="","",IFERROR(VLOOKUP(D252,$A$2:$B$1656,2,FALSE()),""))</f>
        <v>Rogue and Underworld Roles</v>
      </c>
      <c r="F252" s="22" t="n">
        <v>3</v>
      </c>
      <c r="G252" s="22" t="s">
        <v>1203</v>
      </c>
      <c r="H252" s="22" t="s">
        <v>937</v>
      </c>
      <c r="I252" s="22" t="s">
        <v>1204</v>
      </c>
      <c r="J252" s="22" t="s">
        <v>1143</v>
      </c>
      <c r="K252" s="22" t="s">
        <v>1204</v>
      </c>
      <c r="L252" s="22" t="s">
        <v>184</v>
      </c>
      <c r="M252" s="22" t="s">
        <v>253</v>
      </c>
    </row>
    <row r="253" customFormat="false" ht="43.5" hidden="false" customHeight="true" outlineLevel="0" collapsed="false">
      <c r="A253" s="22" t="s">
        <v>1205</v>
      </c>
      <c r="B253" s="22" t="s">
        <v>1206</v>
      </c>
      <c r="C253" s="22" t="s">
        <v>49</v>
      </c>
      <c r="D253" s="22" t="s">
        <v>910</v>
      </c>
      <c r="E253" s="22" t="str">
        <f aca="false">IF(D253="","",IFERROR(VLOOKUP(D253,$A$2:$B$1656,2,FALSE()),""))</f>
        <v>Rogue and Underworld Roles</v>
      </c>
      <c r="F253" s="22" t="n">
        <v>3</v>
      </c>
      <c r="G253" s="22" t="s">
        <v>1207</v>
      </c>
      <c r="H253" s="22" t="s">
        <v>937</v>
      </c>
      <c r="I253" s="22" t="s">
        <v>1208</v>
      </c>
      <c r="J253" s="22" t="s">
        <v>1143</v>
      </c>
      <c r="K253" s="22" t="s">
        <v>1208</v>
      </c>
      <c r="L253" s="22" t="s">
        <v>184</v>
      </c>
      <c r="M253" s="22" t="s">
        <v>253</v>
      </c>
    </row>
    <row r="254" customFormat="false" ht="43.5" hidden="false" customHeight="true" outlineLevel="0" collapsed="false">
      <c r="A254" s="22" t="s">
        <v>1209</v>
      </c>
      <c r="B254" s="22" t="s">
        <v>1210</v>
      </c>
      <c r="C254" s="22" t="s">
        <v>49</v>
      </c>
      <c r="D254" s="22" t="s">
        <v>910</v>
      </c>
      <c r="E254" s="22" t="str">
        <f aca="false">IF(D254="","",IFERROR(VLOOKUP(D254,$A$2:$B$1656,2,FALSE()),""))</f>
        <v>Rogue and Underworld Roles</v>
      </c>
      <c r="F254" s="22" t="n">
        <v>3</v>
      </c>
      <c r="G254" s="22" t="s">
        <v>1211</v>
      </c>
      <c r="H254" s="22" t="s">
        <v>937</v>
      </c>
      <c r="I254" s="22" t="s">
        <v>1212</v>
      </c>
      <c r="J254" s="22" t="s">
        <v>1143</v>
      </c>
      <c r="K254" s="22" t="s">
        <v>1212</v>
      </c>
      <c r="L254" s="22" t="s">
        <v>184</v>
      </c>
      <c r="M254" s="22" t="s">
        <v>253</v>
      </c>
    </row>
    <row r="255" customFormat="false" ht="43.5" hidden="false" customHeight="true" outlineLevel="0" collapsed="false">
      <c r="A255" s="22" t="s">
        <v>1213</v>
      </c>
      <c r="B255" s="22" t="s">
        <v>1214</v>
      </c>
      <c r="C255" s="22" t="s">
        <v>49</v>
      </c>
      <c r="D255" s="22" t="s">
        <v>910</v>
      </c>
      <c r="E255" s="22" t="str">
        <f aca="false">IF(D255="","",IFERROR(VLOOKUP(D255,$A$2:$B$1656,2,FALSE()),""))</f>
        <v>Rogue and Underworld Roles</v>
      </c>
      <c r="F255" s="22" t="n">
        <v>3</v>
      </c>
      <c r="G255" s="22" t="s">
        <v>1215</v>
      </c>
      <c r="H255" s="22" t="s">
        <v>937</v>
      </c>
      <c r="I255" s="22" t="s">
        <v>1216</v>
      </c>
      <c r="J255" s="22" t="s">
        <v>1143</v>
      </c>
      <c r="K255" s="22" t="s">
        <v>1216</v>
      </c>
      <c r="L255" s="22" t="s">
        <v>184</v>
      </c>
      <c r="M255" s="22" t="s">
        <v>253</v>
      </c>
    </row>
    <row r="256" customFormat="false" ht="43.5" hidden="false" customHeight="true" outlineLevel="0" collapsed="false">
      <c r="A256" s="22" t="s">
        <v>1217</v>
      </c>
      <c r="B256" s="22" t="s">
        <v>1218</v>
      </c>
      <c r="C256" s="22" t="s">
        <v>49</v>
      </c>
      <c r="D256" s="22" t="s">
        <v>910</v>
      </c>
      <c r="E256" s="22" t="str">
        <f aca="false">IF(D256="","",IFERROR(VLOOKUP(D256,$A$2:$B$1656,2,FALSE()),""))</f>
        <v>Rogue and Underworld Roles</v>
      </c>
      <c r="F256" s="22" t="n">
        <v>3</v>
      </c>
      <c r="G256" s="22" t="s">
        <v>1219</v>
      </c>
      <c r="H256" s="22" t="s">
        <v>937</v>
      </c>
      <c r="I256" s="22" t="s">
        <v>1220</v>
      </c>
      <c r="J256" s="22" t="s">
        <v>1143</v>
      </c>
      <c r="K256" s="22" t="s">
        <v>1220</v>
      </c>
      <c r="L256" s="22" t="s">
        <v>184</v>
      </c>
      <c r="M256" s="22" t="s">
        <v>253</v>
      </c>
    </row>
    <row r="257" customFormat="false" ht="43.5" hidden="false" customHeight="true" outlineLevel="0" collapsed="false">
      <c r="A257" s="22" t="s">
        <v>1221</v>
      </c>
      <c r="B257" s="22" t="s">
        <v>1222</v>
      </c>
      <c r="C257" s="22" t="s">
        <v>49</v>
      </c>
      <c r="D257" s="22" t="s">
        <v>910</v>
      </c>
      <c r="E257" s="22" t="str">
        <f aca="false">IF(D257="","",IFERROR(VLOOKUP(D257,$A$2:$B$1656,2,FALSE()),""))</f>
        <v>Rogue and Underworld Roles</v>
      </c>
      <c r="F257" s="22" t="n">
        <v>3</v>
      </c>
      <c r="G257" s="22" t="s">
        <v>1223</v>
      </c>
      <c r="H257" s="22" t="s">
        <v>937</v>
      </c>
      <c r="I257" s="22" t="s">
        <v>1224</v>
      </c>
      <c r="J257" s="22" t="s">
        <v>1143</v>
      </c>
      <c r="K257" s="22" t="s">
        <v>1224</v>
      </c>
      <c r="L257" s="22" t="s">
        <v>184</v>
      </c>
      <c r="M257" s="22" t="s">
        <v>253</v>
      </c>
    </row>
    <row r="258" customFormat="false" ht="43.5" hidden="false" customHeight="true" outlineLevel="0" collapsed="false">
      <c r="A258" s="22" t="s">
        <v>1225</v>
      </c>
      <c r="B258" s="22" t="s">
        <v>1226</v>
      </c>
      <c r="C258" s="22" t="s">
        <v>49</v>
      </c>
      <c r="D258" s="22" t="s">
        <v>910</v>
      </c>
      <c r="E258" s="22" t="str">
        <f aca="false">IF(D258="","",IFERROR(VLOOKUP(D258,$A$2:$B$1656,2,FALSE()),""))</f>
        <v>Rogue and Underworld Roles</v>
      </c>
      <c r="F258" s="22" t="n">
        <v>3</v>
      </c>
      <c r="G258" s="22" t="s">
        <v>1227</v>
      </c>
      <c r="H258" s="22" t="s">
        <v>937</v>
      </c>
      <c r="I258" s="22" t="s">
        <v>1228</v>
      </c>
      <c r="J258" s="22" t="s">
        <v>1143</v>
      </c>
      <c r="K258" s="22" t="s">
        <v>1228</v>
      </c>
      <c r="L258" s="22" t="s">
        <v>184</v>
      </c>
      <c r="M258" s="22" t="s">
        <v>253</v>
      </c>
    </row>
    <row r="259" customFormat="false" ht="43.5" hidden="false" customHeight="true" outlineLevel="0" collapsed="false">
      <c r="A259" s="22" t="s">
        <v>1229</v>
      </c>
      <c r="B259" s="22" t="s">
        <v>1230</v>
      </c>
      <c r="C259" s="22" t="s">
        <v>49</v>
      </c>
      <c r="D259" s="22" t="s">
        <v>910</v>
      </c>
      <c r="E259" s="22" t="str">
        <f aca="false">IF(D259="","",IFERROR(VLOOKUP(D259,$A$2:$B$1656,2,FALSE()),""))</f>
        <v>Rogue and Underworld Roles</v>
      </c>
      <c r="F259" s="22" t="n">
        <v>3</v>
      </c>
      <c r="G259" s="22" t="s">
        <v>1231</v>
      </c>
      <c r="H259" s="22" t="s">
        <v>937</v>
      </c>
      <c r="I259" s="22" t="s">
        <v>1232</v>
      </c>
      <c r="J259" s="22" t="s">
        <v>1143</v>
      </c>
      <c r="K259" s="22" t="s">
        <v>1232</v>
      </c>
      <c r="L259" s="22" t="s">
        <v>184</v>
      </c>
      <c r="M259" s="22" t="s">
        <v>253</v>
      </c>
    </row>
    <row r="260" customFormat="false" ht="43.5" hidden="false" customHeight="true" outlineLevel="0" collapsed="false">
      <c r="A260" s="22" t="s">
        <v>1233</v>
      </c>
      <c r="B260" s="22" t="s">
        <v>1234</v>
      </c>
      <c r="C260" s="22" t="s">
        <v>49</v>
      </c>
      <c r="D260" s="22" t="s">
        <v>913</v>
      </c>
      <c r="E260" s="22" t="str">
        <f aca="false">IF(D260="","",IFERROR(VLOOKUP(D260,$A$2:$B$1656,2,FALSE()),""))</f>
        <v>Arcane and Scholarly Magic Roles</v>
      </c>
      <c r="F260" s="22" t="n">
        <v>3</v>
      </c>
      <c r="G260" s="22" t="s">
        <v>1235</v>
      </c>
      <c r="H260" s="22" t="s">
        <v>937</v>
      </c>
      <c r="I260" s="22" t="s">
        <v>1236</v>
      </c>
      <c r="J260" s="22" t="s">
        <v>1237</v>
      </c>
      <c r="K260" s="22" t="s">
        <v>1236</v>
      </c>
      <c r="L260" s="22" t="s">
        <v>184</v>
      </c>
      <c r="M260" s="22" t="s">
        <v>253</v>
      </c>
    </row>
    <row r="261" customFormat="false" ht="43.5" hidden="false" customHeight="true" outlineLevel="0" collapsed="false">
      <c r="A261" s="22" t="s">
        <v>1238</v>
      </c>
      <c r="B261" s="22" t="s">
        <v>1239</v>
      </c>
      <c r="C261" s="22" t="s">
        <v>49</v>
      </c>
      <c r="D261" s="22" t="s">
        <v>913</v>
      </c>
      <c r="E261" s="22" t="str">
        <f aca="false">IF(D261="","",IFERROR(VLOOKUP(D261,$A$2:$B$1656,2,FALSE()),""))</f>
        <v>Arcane and Scholarly Magic Roles</v>
      </c>
      <c r="F261" s="22" t="n">
        <v>3</v>
      </c>
      <c r="G261" s="22" t="s">
        <v>1240</v>
      </c>
      <c r="H261" s="22" t="s">
        <v>937</v>
      </c>
      <c r="I261" s="22" t="s">
        <v>1241</v>
      </c>
      <c r="J261" s="22" t="s">
        <v>1237</v>
      </c>
      <c r="K261" s="22" t="s">
        <v>1241</v>
      </c>
      <c r="L261" s="22" t="s">
        <v>184</v>
      </c>
      <c r="M261" s="22" t="s">
        <v>253</v>
      </c>
    </row>
    <row r="262" customFormat="false" ht="43.5" hidden="false" customHeight="true" outlineLevel="0" collapsed="false">
      <c r="A262" s="22" t="s">
        <v>1242</v>
      </c>
      <c r="B262" s="22" t="s">
        <v>1243</v>
      </c>
      <c r="C262" s="22" t="s">
        <v>49</v>
      </c>
      <c r="D262" s="22" t="s">
        <v>913</v>
      </c>
      <c r="E262" s="22" t="str">
        <f aca="false">IF(D262="","",IFERROR(VLOOKUP(D262,$A$2:$B$1656,2,FALSE()),""))</f>
        <v>Arcane and Scholarly Magic Roles</v>
      </c>
      <c r="F262" s="22" t="n">
        <v>3</v>
      </c>
      <c r="G262" s="22" t="s">
        <v>1244</v>
      </c>
      <c r="H262" s="22" t="s">
        <v>937</v>
      </c>
      <c r="I262" s="22" t="s">
        <v>1245</v>
      </c>
      <c r="J262" s="22" t="s">
        <v>1237</v>
      </c>
      <c r="K262" s="22" t="s">
        <v>1245</v>
      </c>
      <c r="L262" s="22" t="s">
        <v>1246</v>
      </c>
      <c r="M262" s="22" t="s">
        <v>253</v>
      </c>
    </row>
    <row r="263" customFormat="false" ht="43.5" hidden="false" customHeight="true" outlineLevel="0" collapsed="false">
      <c r="A263" s="22" t="s">
        <v>1247</v>
      </c>
      <c r="B263" s="22" t="s">
        <v>1248</v>
      </c>
      <c r="C263" s="22" t="s">
        <v>49</v>
      </c>
      <c r="D263" s="22" t="s">
        <v>913</v>
      </c>
      <c r="E263" s="22" t="str">
        <f aca="false">IF(D263="","",IFERROR(VLOOKUP(D263,$A$2:$B$1656,2,FALSE()),""))</f>
        <v>Arcane and Scholarly Magic Roles</v>
      </c>
      <c r="F263" s="22" t="n">
        <v>3</v>
      </c>
      <c r="G263" s="22" t="s">
        <v>1249</v>
      </c>
      <c r="H263" s="22" t="s">
        <v>937</v>
      </c>
      <c r="I263" s="22" t="s">
        <v>1250</v>
      </c>
      <c r="J263" s="22" t="s">
        <v>1237</v>
      </c>
      <c r="K263" s="22" t="s">
        <v>1250</v>
      </c>
      <c r="L263" s="22" t="s">
        <v>184</v>
      </c>
      <c r="M263" s="22" t="s">
        <v>253</v>
      </c>
    </row>
    <row r="264" customFormat="false" ht="43.5" hidden="false" customHeight="true" outlineLevel="0" collapsed="false">
      <c r="A264" s="22" t="s">
        <v>1251</v>
      </c>
      <c r="B264" s="22" t="s">
        <v>1252</v>
      </c>
      <c r="C264" s="22" t="s">
        <v>49</v>
      </c>
      <c r="D264" s="22" t="s">
        <v>913</v>
      </c>
      <c r="E264" s="22" t="str">
        <f aca="false">IF(D264="","",IFERROR(VLOOKUP(D264,$A$2:$B$1656,2,FALSE()),""))</f>
        <v>Arcane and Scholarly Magic Roles</v>
      </c>
      <c r="F264" s="22" t="n">
        <v>3</v>
      </c>
      <c r="G264" s="22" t="s">
        <v>1253</v>
      </c>
      <c r="H264" s="22" t="s">
        <v>937</v>
      </c>
      <c r="I264" s="22" t="s">
        <v>1254</v>
      </c>
      <c r="J264" s="22" t="s">
        <v>1237</v>
      </c>
      <c r="K264" s="22" t="s">
        <v>1254</v>
      </c>
      <c r="L264" s="22" t="s">
        <v>184</v>
      </c>
      <c r="M264" s="22" t="s">
        <v>253</v>
      </c>
    </row>
    <row r="265" customFormat="false" ht="43.5" hidden="false" customHeight="true" outlineLevel="0" collapsed="false">
      <c r="A265" s="22" t="s">
        <v>1255</v>
      </c>
      <c r="B265" s="22" t="s">
        <v>1256</v>
      </c>
      <c r="C265" s="22" t="s">
        <v>49</v>
      </c>
      <c r="D265" s="22" t="s">
        <v>913</v>
      </c>
      <c r="E265" s="22" t="str">
        <f aca="false">IF(D265="","",IFERROR(VLOOKUP(D265,$A$2:$B$1656,2,FALSE()),""))</f>
        <v>Arcane and Scholarly Magic Roles</v>
      </c>
      <c r="F265" s="22" t="n">
        <v>3</v>
      </c>
      <c r="G265" s="22" t="s">
        <v>1257</v>
      </c>
      <c r="H265" s="22" t="s">
        <v>937</v>
      </c>
      <c r="I265" s="22" t="s">
        <v>1258</v>
      </c>
      <c r="J265" s="22" t="s">
        <v>1237</v>
      </c>
      <c r="K265" s="22" t="s">
        <v>1258</v>
      </c>
      <c r="L265" s="22" t="s">
        <v>184</v>
      </c>
      <c r="M265" s="22" t="s">
        <v>253</v>
      </c>
    </row>
    <row r="266" customFormat="false" ht="43.5" hidden="false" customHeight="true" outlineLevel="0" collapsed="false">
      <c r="A266" s="22" t="s">
        <v>1259</v>
      </c>
      <c r="B266" s="22" t="s">
        <v>1260</v>
      </c>
      <c r="C266" s="22" t="s">
        <v>49</v>
      </c>
      <c r="D266" s="22" t="s">
        <v>913</v>
      </c>
      <c r="E266" s="22" t="str">
        <f aca="false">IF(D266="","",IFERROR(VLOOKUP(D266,$A$2:$B$1656,2,FALSE()),""))</f>
        <v>Arcane and Scholarly Magic Roles</v>
      </c>
      <c r="F266" s="22" t="n">
        <v>3</v>
      </c>
      <c r="G266" s="22" t="s">
        <v>1261</v>
      </c>
      <c r="H266" s="22" t="s">
        <v>937</v>
      </c>
      <c r="I266" s="22" t="s">
        <v>1262</v>
      </c>
      <c r="J266" s="22" t="s">
        <v>1237</v>
      </c>
      <c r="K266" s="22" t="s">
        <v>1262</v>
      </c>
      <c r="L266" s="22" t="s">
        <v>184</v>
      </c>
      <c r="M266" s="22" t="s">
        <v>253</v>
      </c>
    </row>
    <row r="267" customFormat="false" ht="43.5" hidden="false" customHeight="true" outlineLevel="0" collapsed="false">
      <c r="A267" s="22" t="s">
        <v>1263</v>
      </c>
      <c r="B267" s="22" t="s">
        <v>1264</v>
      </c>
      <c r="C267" s="22" t="s">
        <v>49</v>
      </c>
      <c r="D267" s="22" t="s">
        <v>913</v>
      </c>
      <c r="E267" s="22" t="str">
        <f aca="false">IF(D267="","",IFERROR(VLOOKUP(D267,$A$2:$B$1656,2,FALSE()),""))</f>
        <v>Arcane and Scholarly Magic Roles</v>
      </c>
      <c r="F267" s="22" t="n">
        <v>3</v>
      </c>
      <c r="G267" s="22" t="s">
        <v>1265</v>
      </c>
      <c r="H267" s="22" t="s">
        <v>937</v>
      </c>
      <c r="I267" s="22" t="s">
        <v>1266</v>
      </c>
      <c r="J267" s="22" t="s">
        <v>1237</v>
      </c>
      <c r="K267" s="22" t="s">
        <v>1266</v>
      </c>
      <c r="L267" s="22" t="s">
        <v>184</v>
      </c>
      <c r="M267" s="22" t="s">
        <v>253</v>
      </c>
    </row>
    <row r="268" customFormat="false" ht="43.5" hidden="false" customHeight="true" outlineLevel="0" collapsed="false">
      <c r="A268" s="22" t="s">
        <v>1267</v>
      </c>
      <c r="B268" s="22" t="s">
        <v>1268</v>
      </c>
      <c r="C268" s="22" t="s">
        <v>49</v>
      </c>
      <c r="D268" s="22" t="s">
        <v>913</v>
      </c>
      <c r="E268" s="22" t="str">
        <f aca="false">IF(D268="","",IFERROR(VLOOKUP(D268,$A$2:$B$1656,2,FALSE()),""))</f>
        <v>Arcane and Scholarly Magic Roles</v>
      </c>
      <c r="F268" s="22" t="n">
        <v>3</v>
      </c>
      <c r="G268" s="22" t="s">
        <v>1269</v>
      </c>
      <c r="H268" s="22" t="s">
        <v>937</v>
      </c>
      <c r="I268" s="22" t="s">
        <v>1270</v>
      </c>
      <c r="J268" s="22" t="s">
        <v>1237</v>
      </c>
      <c r="K268" s="22" t="s">
        <v>1270</v>
      </c>
      <c r="L268" s="22" t="s">
        <v>184</v>
      </c>
      <c r="M268" s="22" t="s">
        <v>253</v>
      </c>
    </row>
    <row r="269" customFormat="false" ht="43.5" hidden="false" customHeight="true" outlineLevel="0" collapsed="false">
      <c r="A269" s="22" t="s">
        <v>1271</v>
      </c>
      <c r="B269" s="22" t="s">
        <v>1272</v>
      </c>
      <c r="C269" s="22" t="s">
        <v>49</v>
      </c>
      <c r="D269" s="22" t="s">
        <v>913</v>
      </c>
      <c r="E269" s="22" t="str">
        <f aca="false">IF(D269="","",IFERROR(VLOOKUP(D269,$A$2:$B$1656,2,FALSE()),""))</f>
        <v>Arcane and Scholarly Magic Roles</v>
      </c>
      <c r="F269" s="22" t="n">
        <v>3</v>
      </c>
      <c r="G269" s="22" t="s">
        <v>1273</v>
      </c>
      <c r="H269" s="22" t="s">
        <v>937</v>
      </c>
      <c r="I269" s="22" t="s">
        <v>1274</v>
      </c>
      <c r="J269" s="22" t="s">
        <v>1237</v>
      </c>
      <c r="K269" s="22" t="s">
        <v>1274</v>
      </c>
      <c r="L269" s="22" t="s">
        <v>184</v>
      </c>
      <c r="M269" s="22" t="s">
        <v>253</v>
      </c>
    </row>
    <row r="270" customFormat="false" ht="43.5" hidden="false" customHeight="true" outlineLevel="0" collapsed="false">
      <c r="A270" s="22" t="s">
        <v>1275</v>
      </c>
      <c r="B270" s="22" t="s">
        <v>1276</v>
      </c>
      <c r="C270" s="22" t="s">
        <v>49</v>
      </c>
      <c r="D270" s="22" t="s">
        <v>913</v>
      </c>
      <c r="E270" s="22" t="str">
        <f aca="false">IF(D270="","",IFERROR(VLOOKUP(D270,$A$2:$B$1656,2,FALSE()),""))</f>
        <v>Arcane and Scholarly Magic Roles</v>
      </c>
      <c r="F270" s="22" t="n">
        <v>3</v>
      </c>
      <c r="G270" s="22" t="s">
        <v>1277</v>
      </c>
      <c r="H270" s="22" t="s">
        <v>937</v>
      </c>
      <c r="I270" s="22" t="s">
        <v>1278</v>
      </c>
      <c r="J270" s="22" t="s">
        <v>1237</v>
      </c>
      <c r="K270" s="22" t="s">
        <v>1278</v>
      </c>
      <c r="L270" s="22" t="s">
        <v>184</v>
      </c>
      <c r="M270" s="22" t="s">
        <v>253</v>
      </c>
    </row>
    <row r="271" customFormat="false" ht="43.5" hidden="false" customHeight="true" outlineLevel="0" collapsed="false">
      <c r="A271" s="22" t="s">
        <v>1279</v>
      </c>
      <c r="B271" s="22" t="s">
        <v>1280</v>
      </c>
      <c r="C271" s="22" t="s">
        <v>49</v>
      </c>
      <c r="D271" s="22" t="s">
        <v>913</v>
      </c>
      <c r="E271" s="22" t="str">
        <f aca="false">IF(D271="","",IFERROR(VLOOKUP(D271,$A$2:$B$1656,2,FALSE()),""))</f>
        <v>Arcane and Scholarly Magic Roles</v>
      </c>
      <c r="F271" s="22" t="n">
        <v>3</v>
      </c>
      <c r="G271" s="22" t="s">
        <v>1281</v>
      </c>
      <c r="H271" s="22" t="s">
        <v>937</v>
      </c>
      <c r="I271" s="22" t="s">
        <v>1282</v>
      </c>
      <c r="J271" s="22" t="s">
        <v>1237</v>
      </c>
      <c r="K271" s="22" t="s">
        <v>1282</v>
      </c>
      <c r="L271" s="22" t="s">
        <v>184</v>
      </c>
      <c r="M271" s="22" t="s">
        <v>253</v>
      </c>
    </row>
    <row r="272" customFormat="false" ht="43.5" hidden="false" customHeight="true" outlineLevel="0" collapsed="false">
      <c r="A272" s="22" t="s">
        <v>1283</v>
      </c>
      <c r="B272" s="22" t="s">
        <v>1284</v>
      </c>
      <c r="C272" s="22" t="s">
        <v>49</v>
      </c>
      <c r="D272" s="22" t="s">
        <v>913</v>
      </c>
      <c r="E272" s="22" t="str">
        <f aca="false">IF(D272="","",IFERROR(VLOOKUP(D272,$A$2:$B$1656,2,FALSE()),""))</f>
        <v>Arcane and Scholarly Magic Roles</v>
      </c>
      <c r="F272" s="22" t="n">
        <v>3</v>
      </c>
      <c r="G272" s="22" t="s">
        <v>1285</v>
      </c>
      <c r="H272" s="22" t="s">
        <v>937</v>
      </c>
      <c r="I272" s="22" t="s">
        <v>1286</v>
      </c>
      <c r="J272" s="22" t="s">
        <v>1237</v>
      </c>
      <c r="K272" s="22" t="s">
        <v>1286</v>
      </c>
      <c r="L272" s="22" t="s">
        <v>184</v>
      </c>
      <c r="M272" s="22" t="s">
        <v>253</v>
      </c>
    </row>
    <row r="273" customFormat="false" ht="43.5" hidden="false" customHeight="true" outlineLevel="0" collapsed="false">
      <c r="A273" s="22" t="s">
        <v>1287</v>
      </c>
      <c r="B273" s="22" t="s">
        <v>1288</v>
      </c>
      <c r="C273" s="22" t="s">
        <v>49</v>
      </c>
      <c r="D273" s="22" t="s">
        <v>913</v>
      </c>
      <c r="E273" s="22" t="str">
        <f aca="false">IF(D273="","",IFERROR(VLOOKUP(D273,$A$2:$B$1656,2,FALSE()),""))</f>
        <v>Arcane and Scholarly Magic Roles</v>
      </c>
      <c r="F273" s="22" t="n">
        <v>3</v>
      </c>
      <c r="G273" s="22" t="s">
        <v>1289</v>
      </c>
      <c r="H273" s="22" t="s">
        <v>937</v>
      </c>
      <c r="I273" s="22" t="s">
        <v>1290</v>
      </c>
      <c r="J273" s="22" t="s">
        <v>1237</v>
      </c>
      <c r="K273" s="22" t="s">
        <v>1290</v>
      </c>
      <c r="L273" s="22" t="s">
        <v>184</v>
      </c>
      <c r="M273" s="22" t="s">
        <v>253</v>
      </c>
    </row>
    <row r="274" customFormat="false" ht="43.5" hidden="false" customHeight="true" outlineLevel="0" collapsed="false">
      <c r="A274" s="22" t="s">
        <v>1291</v>
      </c>
      <c r="B274" s="22" t="s">
        <v>1292</v>
      </c>
      <c r="C274" s="22" t="s">
        <v>49</v>
      </c>
      <c r="D274" s="22" t="s">
        <v>913</v>
      </c>
      <c r="E274" s="22" t="str">
        <f aca="false">IF(D274="","",IFERROR(VLOOKUP(D274,$A$2:$B$1656,2,FALSE()),""))</f>
        <v>Arcane and Scholarly Magic Roles</v>
      </c>
      <c r="F274" s="22" t="n">
        <v>3</v>
      </c>
      <c r="G274" s="22" t="s">
        <v>1293</v>
      </c>
      <c r="H274" s="22" t="s">
        <v>937</v>
      </c>
      <c r="I274" s="22" t="s">
        <v>1294</v>
      </c>
      <c r="J274" s="22" t="s">
        <v>1237</v>
      </c>
      <c r="K274" s="22" t="s">
        <v>1294</v>
      </c>
      <c r="L274" s="22" t="s">
        <v>184</v>
      </c>
      <c r="M274" s="22" t="s">
        <v>253</v>
      </c>
    </row>
    <row r="275" customFormat="false" ht="43.5" hidden="false" customHeight="true" outlineLevel="0" collapsed="false">
      <c r="A275" s="22" t="s">
        <v>1295</v>
      </c>
      <c r="B275" s="22" t="s">
        <v>1296</v>
      </c>
      <c r="C275" s="22" t="s">
        <v>49</v>
      </c>
      <c r="D275" s="22" t="s">
        <v>913</v>
      </c>
      <c r="E275" s="22" t="str">
        <f aca="false">IF(D275="","",IFERROR(VLOOKUP(D275,$A$2:$B$1656,2,FALSE()),""))</f>
        <v>Arcane and Scholarly Magic Roles</v>
      </c>
      <c r="F275" s="22" t="n">
        <v>3</v>
      </c>
      <c r="G275" s="22" t="s">
        <v>1297</v>
      </c>
      <c r="H275" s="22" t="s">
        <v>937</v>
      </c>
      <c r="I275" s="22" t="s">
        <v>1298</v>
      </c>
      <c r="J275" s="22" t="s">
        <v>1237</v>
      </c>
      <c r="K275" s="22" t="s">
        <v>1298</v>
      </c>
      <c r="L275" s="22" t="s">
        <v>184</v>
      </c>
      <c r="M275" s="22" t="s">
        <v>253</v>
      </c>
    </row>
    <row r="276" customFormat="false" ht="43.5" hidden="false" customHeight="true" outlineLevel="0" collapsed="false">
      <c r="A276" s="22" t="s">
        <v>1299</v>
      </c>
      <c r="B276" s="22" t="s">
        <v>1300</v>
      </c>
      <c r="C276" s="22" t="s">
        <v>49</v>
      </c>
      <c r="D276" s="22" t="s">
        <v>913</v>
      </c>
      <c r="E276" s="22" t="str">
        <f aca="false">IF(D276="","",IFERROR(VLOOKUP(D276,$A$2:$B$1656,2,FALSE()),""))</f>
        <v>Arcane and Scholarly Magic Roles</v>
      </c>
      <c r="F276" s="22" t="n">
        <v>3</v>
      </c>
      <c r="G276" s="22" t="s">
        <v>1301</v>
      </c>
      <c r="H276" s="22" t="s">
        <v>937</v>
      </c>
      <c r="I276" s="22" t="s">
        <v>1302</v>
      </c>
      <c r="J276" s="22" t="s">
        <v>1237</v>
      </c>
      <c r="K276" s="22" t="s">
        <v>1302</v>
      </c>
      <c r="L276" s="22" t="s">
        <v>184</v>
      </c>
      <c r="M276" s="22" t="s">
        <v>253</v>
      </c>
    </row>
    <row r="277" customFormat="false" ht="43.5" hidden="false" customHeight="true" outlineLevel="0" collapsed="false">
      <c r="A277" s="22" t="s">
        <v>1303</v>
      </c>
      <c r="B277" s="22" t="s">
        <v>1304</v>
      </c>
      <c r="C277" s="22" t="s">
        <v>49</v>
      </c>
      <c r="D277" s="22" t="s">
        <v>913</v>
      </c>
      <c r="E277" s="22" t="str">
        <f aca="false">IF(D277="","",IFERROR(VLOOKUP(D277,$A$2:$B$1656,2,FALSE()),""))</f>
        <v>Arcane and Scholarly Magic Roles</v>
      </c>
      <c r="F277" s="22" t="n">
        <v>3</v>
      </c>
      <c r="G277" s="22" t="s">
        <v>1305</v>
      </c>
      <c r="H277" s="22" t="s">
        <v>937</v>
      </c>
      <c r="I277" s="22" t="s">
        <v>1306</v>
      </c>
      <c r="J277" s="22" t="s">
        <v>1237</v>
      </c>
      <c r="K277" s="22" t="s">
        <v>1306</v>
      </c>
      <c r="L277" s="22" t="s">
        <v>184</v>
      </c>
      <c r="M277" s="22" t="s">
        <v>253</v>
      </c>
    </row>
    <row r="278" customFormat="false" ht="43.5" hidden="false" customHeight="true" outlineLevel="0" collapsed="false">
      <c r="A278" s="22" t="s">
        <v>1307</v>
      </c>
      <c r="B278" s="22" t="s">
        <v>1308</v>
      </c>
      <c r="C278" s="22" t="s">
        <v>49</v>
      </c>
      <c r="D278" s="22" t="s">
        <v>913</v>
      </c>
      <c r="E278" s="22" t="str">
        <f aca="false">IF(D278="","",IFERROR(VLOOKUP(D278,$A$2:$B$1656,2,FALSE()),""))</f>
        <v>Arcane and Scholarly Magic Roles</v>
      </c>
      <c r="F278" s="22" t="n">
        <v>3</v>
      </c>
      <c r="G278" s="22" t="s">
        <v>1309</v>
      </c>
      <c r="H278" s="22" t="s">
        <v>937</v>
      </c>
      <c r="I278" s="22" t="s">
        <v>1310</v>
      </c>
      <c r="J278" s="22" t="s">
        <v>1237</v>
      </c>
      <c r="K278" s="22" t="s">
        <v>1310</v>
      </c>
      <c r="L278" s="22" t="s">
        <v>184</v>
      </c>
      <c r="M278" s="22" t="s">
        <v>253</v>
      </c>
    </row>
    <row r="279" customFormat="false" ht="43.5" hidden="false" customHeight="true" outlineLevel="0" collapsed="false">
      <c r="A279" s="22" t="s">
        <v>1311</v>
      </c>
      <c r="B279" s="22" t="s">
        <v>1312</v>
      </c>
      <c r="C279" s="22" t="s">
        <v>49</v>
      </c>
      <c r="D279" s="22" t="s">
        <v>913</v>
      </c>
      <c r="E279" s="22" t="str">
        <f aca="false">IF(D279="","",IFERROR(VLOOKUP(D279,$A$2:$B$1656,2,FALSE()),""))</f>
        <v>Arcane and Scholarly Magic Roles</v>
      </c>
      <c r="F279" s="22" t="n">
        <v>3</v>
      </c>
      <c r="G279" s="22" t="s">
        <v>1313</v>
      </c>
      <c r="H279" s="22" t="s">
        <v>937</v>
      </c>
      <c r="I279" s="22" t="s">
        <v>1314</v>
      </c>
      <c r="J279" s="22" t="s">
        <v>1237</v>
      </c>
      <c r="K279" s="22" t="s">
        <v>1314</v>
      </c>
      <c r="L279" s="22" t="s">
        <v>184</v>
      </c>
      <c r="M279" s="22" t="s">
        <v>253</v>
      </c>
    </row>
    <row r="280" customFormat="false" ht="43.5" hidden="false" customHeight="true" outlineLevel="0" collapsed="false">
      <c r="A280" s="22" t="s">
        <v>1315</v>
      </c>
      <c r="B280" s="22" t="s">
        <v>1316</v>
      </c>
      <c r="C280" s="22" t="s">
        <v>49</v>
      </c>
      <c r="D280" s="22" t="s">
        <v>913</v>
      </c>
      <c r="E280" s="22" t="str">
        <f aca="false">IF(D280="","",IFERROR(VLOOKUP(D280,$A$2:$B$1656,2,FALSE()),""))</f>
        <v>Arcane and Scholarly Magic Roles</v>
      </c>
      <c r="F280" s="22" t="n">
        <v>3</v>
      </c>
      <c r="G280" s="22" t="s">
        <v>1317</v>
      </c>
      <c r="H280" s="22" t="s">
        <v>937</v>
      </c>
      <c r="I280" s="22" t="s">
        <v>1318</v>
      </c>
      <c r="J280" s="22" t="s">
        <v>1237</v>
      </c>
      <c r="K280" s="22" t="s">
        <v>1318</v>
      </c>
      <c r="L280" s="22" t="s">
        <v>184</v>
      </c>
      <c r="M280" s="22" t="s">
        <v>253</v>
      </c>
    </row>
    <row r="281" customFormat="false" ht="43.5" hidden="false" customHeight="true" outlineLevel="0" collapsed="false">
      <c r="A281" s="22" t="s">
        <v>1319</v>
      </c>
      <c r="B281" s="22" t="s">
        <v>1320</v>
      </c>
      <c r="C281" s="22" t="s">
        <v>49</v>
      </c>
      <c r="D281" s="22" t="s">
        <v>913</v>
      </c>
      <c r="E281" s="22" t="str">
        <f aca="false">IF(D281="","",IFERROR(VLOOKUP(D281,$A$2:$B$1656,2,FALSE()),""))</f>
        <v>Arcane and Scholarly Magic Roles</v>
      </c>
      <c r="F281" s="22" t="n">
        <v>3</v>
      </c>
      <c r="G281" s="22" t="s">
        <v>1321</v>
      </c>
      <c r="H281" s="22" t="s">
        <v>937</v>
      </c>
      <c r="I281" s="22" t="s">
        <v>1322</v>
      </c>
      <c r="J281" s="22" t="s">
        <v>1237</v>
      </c>
      <c r="K281" s="22" t="s">
        <v>1322</v>
      </c>
      <c r="L281" s="22" t="s">
        <v>184</v>
      </c>
      <c r="M281" s="22" t="s">
        <v>253</v>
      </c>
    </row>
    <row r="282" customFormat="false" ht="43.5" hidden="false" customHeight="true" outlineLevel="0" collapsed="false">
      <c r="A282" s="22" t="s">
        <v>1323</v>
      </c>
      <c r="B282" s="22" t="s">
        <v>1324</v>
      </c>
      <c r="C282" s="22" t="s">
        <v>49</v>
      </c>
      <c r="D282" s="22" t="s">
        <v>913</v>
      </c>
      <c r="E282" s="22" t="str">
        <f aca="false">IF(D282="","",IFERROR(VLOOKUP(D282,$A$2:$B$1656,2,FALSE()),""))</f>
        <v>Arcane and Scholarly Magic Roles</v>
      </c>
      <c r="F282" s="22" t="n">
        <v>3</v>
      </c>
      <c r="G282" s="22" t="s">
        <v>1325</v>
      </c>
      <c r="H282" s="22" t="s">
        <v>937</v>
      </c>
      <c r="I282" s="22" t="s">
        <v>1326</v>
      </c>
      <c r="J282" s="22" t="s">
        <v>1237</v>
      </c>
      <c r="K282" s="22" t="s">
        <v>1326</v>
      </c>
      <c r="L282" s="22" t="s">
        <v>184</v>
      </c>
      <c r="M282" s="22" t="s">
        <v>253</v>
      </c>
    </row>
    <row r="283" customFormat="false" ht="43.5" hidden="false" customHeight="true" outlineLevel="0" collapsed="false">
      <c r="A283" s="22" t="s">
        <v>1327</v>
      </c>
      <c r="B283" s="22" t="s">
        <v>1328</v>
      </c>
      <c r="C283" s="22" t="s">
        <v>49</v>
      </c>
      <c r="D283" s="22" t="s">
        <v>913</v>
      </c>
      <c r="E283" s="22" t="str">
        <f aca="false">IF(D283="","",IFERROR(VLOOKUP(D283,$A$2:$B$1656,2,FALSE()),""))</f>
        <v>Arcane and Scholarly Magic Roles</v>
      </c>
      <c r="F283" s="22" t="n">
        <v>3</v>
      </c>
      <c r="G283" s="22" t="s">
        <v>1329</v>
      </c>
      <c r="H283" s="22" t="s">
        <v>937</v>
      </c>
      <c r="I283" s="22" t="s">
        <v>1330</v>
      </c>
      <c r="J283" s="22" t="s">
        <v>1237</v>
      </c>
      <c r="K283" s="22" t="s">
        <v>1330</v>
      </c>
      <c r="L283" s="22" t="s">
        <v>1331</v>
      </c>
      <c r="M283" s="22" t="s">
        <v>253</v>
      </c>
    </row>
    <row r="284" customFormat="false" ht="43.5" hidden="false" customHeight="true" outlineLevel="0" collapsed="false">
      <c r="A284" s="22" t="s">
        <v>1332</v>
      </c>
      <c r="B284" s="22" t="s">
        <v>1333</v>
      </c>
      <c r="C284" s="22" t="s">
        <v>49</v>
      </c>
      <c r="D284" s="22" t="s">
        <v>913</v>
      </c>
      <c r="E284" s="22" t="str">
        <f aca="false">IF(D284="","",IFERROR(VLOOKUP(D284,$A$2:$B$1656,2,FALSE()),""))</f>
        <v>Arcane and Scholarly Magic Roles</v>
      </c>
      <c r="F284" s="22" t="n">
        <v>3</v>
      </c>
      <c r="G284" s="22" t="s">
        <v>1334</v>
      </c>
      <c r="H284" s="22" t="s">
        <v>937</v>
      </c>
      <c r="I284" s="22" t="s">
        <v>1335</v>
      </c>
      <c r="J284" s="22" t="s">
        <v>1237</v>
      </c>
      <c r="K284" s="22" t="s">
        <v>1335</v>
      </c>
      <c r="L284" s="22" t="s">
        <v>184</v>
      </c>
      <c r="M284" s="22" t="s">
        <v>253</v>
      </c>
    </row>
    <row r="285" customFormat="false" ht="43.5" hidden="false" customHeight="true" outlineLevel="0" collapsed="false">
      <c r="A285" s="22" t="s">
        <v>1336</v>
      </c>
      <c r="B285" s="22" t="s">
        <v>1337</v>
      </c>
      <c r="C285" s="22" t="s">
        <v>49</v>
      </c>
      <c r="D285" s="22" t="s">
        <v>913</v>
      </c>
      <c r="E285" s="22" t="str">
        <f aca="false">IF(D285="","",IFERROR(VLOOKUP(D285,$A$2:$B$1656,2,FALSE()),""))</f>
        <v>Arcane and Scholarly Magic Roles</v>
      </c>
      <c r="F285" s="22" t="n">
        <v>3</v>
      </c>
      <c r="G285" s="22" t="s">
        <v>1338</v>
      </c>
      <c r="H285" s="22" t="s">
        <v>937</v>
      </c>
      <c r="I285" s="22" t="s">
        <v>1339</v>
      </c>
      <c r="J285" s="22" t="s">
        <v>1237</v>
      </c>
      <c r="K285" s="22" t="s">
        <v>1339</v>
      </c>
      <c r="L285" s="22" t="s">
        <v>184</v>
      </c>
      <c r="M285" s="22" t="s">
        <v>253</v>
      </c>
    </row>
    <row r="286" customFormat="false" ht="43.5" hidden="false" customHeight="true" outlineLevel="0" collapsed="false">
      <c r="A286" s="22" t="s">
        <v>1340</v>
      </c>
      <c r="B286" s="22" t="s">
        <v>1341</v>
      </c>
      <c r="C286" s="22" t="s">
        <v>49</v>
      </c>
      <c r="D286" s="22" t="s">
        <v>913</v>
      </c>
      <c r="E286" s="22" t="str">
        <f aca="false">IF(D286="","",IFERROR(VLOOKUP(D286,$A$2:$B$1656,2,FALSE()),""))</f>
        <v>Arcane and Scholarly Magic Roles</v>
      </c>
      <c r="F286" s="22" t="n">
        <v>3</v>
      </c>
      <c r="G286" s="22" t="s">
        <v>1342</v>
      </c>
      <c r="H286" s="22" t="s">
        <v>937</v>
      </c>
      <c r="I286" s="22" t="s">
        <v>1343</v>
      </c>
      <c r="J286" s="22" t="s">
        <v>1237</v>
      </c>
      <c r="K286" s="22" t="s">
        <v>1343</v>
      </c>
      <c r="L286" s="22" t="s">
        <v>184</v>
      </c>
      <c r="M286" s="22" t="s">
        <v>253</v>
      </c>
    </row>
    <row r="287" customFormat="false" ht="43.5" hidden="false" customHeight="true" outlineLevel="0" collapsed="false">
      <c r="A287" s="22" t="s">
        <v>1344</v>
      </c>
      <c r="B287" s="22" t="s">
        <v>1345</v>
      </c>
      <c r="C287" s="22" t="s">
        <v>49</v>
      </c>
      <c r="D287" s="22" t="s">
        <v>913</v>
      </c>
      <c r="E287" s="22" t="str">
        <f aca="false">IF(D287="","",IFERROR(VLOOKUP(D287,$A$2:$B$1656,2,FALSE()),""))</f>
        <v>Arcane and Scholarly Magic Roles</v>
      </c>
      <c r="F287" s="22" t="n">
        <v>3</v>
      </c>
      <c r="G287" s="22" t="s">
        <v>1346</v>
      </c>
      <c r="H287" s="22" t="s">
        <v>937</v>
      </c>
      <c r="I287" s="22" t="s">
        <v>1347</v>
      </c>
      <c r="J287" s="22" t="s">
        <v>1237</v>
      </c>
      <c r="K287" s="22" t="s">
        <v>1347</v>
      </c>
      <c r="L287" s="22" t="s">
        <v>184</v>
      </c>
      <c r="M287" s="22" t="s">
        <v>253</v>
      </c>
    </row>
    <row r="288" customFormat="false" ht="43.5" hidden="false" customHeight="true" outlineLevel="0" collapsed="false">
      <c r="A288" s="22" t="s">
        <v>1348</v>
      </c>
      <c r="B288" s="22" t="s">
        <v>1349</v>
      </c>
      <c r="C288" s="22" t="s">
        <v>49</v>
      </c>
      <c r="D288" s="22" t="s">
        <v>913</v>
      </c>
      <c r="E288" s="22" t="str">
        <f aca="false">IF(D288="","",IFERROR(VLOOKUP(D288,$A$2:$B$1656,2,FALSE()),""))</f>
        <v>Arcane and Scholarly Magic Roles</v>
      </c>
      <c r="F288" s="22" t="n">
        <v>3</v>
      </c>
      <c r="G288" s="22" t="s">
        <v>1350</v>
      </c>
      <c r="H288" s="22" t="s">
        <v>937</v>
      </c>
      <c r="I288" s="22" t="s">
        <v>1351</v>
      </c>
      <c r="J288" s="22" t="s">
        <v>1237</v>
      </c>
      <c r="K288" s="22" t="s">
        <v>1351</v>
      </c>
      <c r="L288" s="22" t="s">
        <v>184</v>
      </c>
      <c r="M288" s="22" t="s">
        <v>253</v>
      </c>
    </row>
    <row r="289" customFormat="false" ht="43.5" hidden="false" customHeight="true" outlineLevel="0" collapsed="false">
      <c r="A289" s="22" t="s">
        <v>1352</v>
      </c>
      <c r="B289" s="22" t="s">
        <v>1353</v>
      </c>
      <c r="C289" s="22" t="s">
        <v>49</v>
      </c>
      <c r="D289" s="22" t="s">
        <v>913</v>
      </c>
      <c r="E289" s="22" t="str">
        <f aca="false">IF(D289="","",IFERROR(VLOOKUP(D289,$A$2:$B$1656,2,FALSE()),""))</f>
        <v>Arcane and Scholarly Magic Roles</v>
      </c>
      <c r="F289" s="22" t="n">
        <v>3</v>
      </c>
      <c r="G289" s="22" t="s">
        <v>1354</v>
      </c>
      <c r="H289" s="22" t="s">
        <v>937</v>
      </c>
      <c r="I289" s="22" t="s">
        <v>1355</v>
      </c>
      <c r="J289" s="22" t="s">
        <v>1237</v>
      </c>
      <c r="K289" s="22" t="s">
        <v>1355</v>
      </c>
      <c r="L289" s="22" t="s">
        <v>184</v>
      </c>
      <c r="M289" s="22" t="s">
        <v>253</v>
      </c>
    </row>
    <row r="290" customFormat="false" ht="43.5" hidden="false" customHeight="true" outlineLevel="0" collapsed="false">
      <c r="A290" s="22" t="s">
        <v>1356</v>
      </c>
      <c r="B290" s="22" t="s">
        <v>1357</v>
      </c>
      <c r="C290" s="22" t="s">
        <v>49</v>
      </c>
      <c r="D290" s="22" t="s">
        <v>913</v>
      </c>
      <c r="E290" s="22" t="str">
        <f aca="false">IF(D290="","",IFERROR(VLOOKUP(D290,$A$2:$B$1656,2,FALSE()),""))</f>
        <v>Arcane and Scholarly Magic Roles</v>
      </c>
      <c r="F290" s="22" t="n">
        <v>3</v>
      </c>
      <c r="G290" s="22" t="s">
        <v>1358</v>
      </c>
      <c r="H290" s="22" t="s">
        <v>937</v>
      </c>
      <c r="I290" s="22" t="s">
        <v>1359</v>
      </c>
      <c r="J290" s="22" t="s">
        <v>1237</v>
      </c>
      <c r="K290" s="22" t="s">
        <v>1359</v>
      </c>
      <c r="L290" s="22" t="s">
        <v>184</v>
      </c>
      <c r="M290" s="22" t="s">
        <v>253</v>
      </c>
    </row>
    <row r="291" customFormat="false" ht="43.5" hidden="false" customHeight="true" outlineLevel="0" collapsed="false">
      <c r="A291" s="22" t="s">
        <v>1360</v>
      </c>
      <c r="B291" s="22" t="s">
        <v>1361</v>
      </c>
      <c r="C291" s="22" t="s">
        <v>49</v>
      </c>
      <c r="D291" s="22" t="s">
        <v>913</v>
      </c>
      <c r="E291" s="22" t="str">
        <f aca="false">IF(D291="","",IFERROR(VLOOKUP(D291,$A$2:$B$1656,2,FALSE()),""))</f>
        <v>Arcane and Scholarly Magic Roles</v>
      </c>
      <c r="F291" s="22" t="n">
        <v>3</v>
      </c>
      <c r="G291" s="22" t="s">
        <v>1362</v>
      </c>
      <c r="H291" s="22" t="s">
        <v>937</v>
      </c>
      <c r="I291" s="22" t="s">
        <v>1363</v>
      </c>
      <c r="J291" s="22" t="s">
        <v>1237</v>
      </c>
      <c r="K291" s="22" t="s">
        <v>1363</v>
      </c>
      <c r="L291" s="22" t="s">
        <v>184</v>
      </c>
      <c r="M291" s="22" t="s">
        <v>253</v>
      </c>
    </row>
    <row r="292" customFormat="false" ht="43.5" hidden="false" customHeight="true" outlineLevel="0" collapsed="false">
      <c r="A292" s="22" t="s">
        <v>1364</v>
      </c>
      <c r="B292" s="22" t="s">
        <v>1365</v>
      </c>
      <c r="C292" s="22" t="s">
        <v>49</v>
      </c>
      <c r="D292" s="22" t="s">
        <v>913</v>
      </c>
      <c r="E292" s="22" t="str">
        <f aca="false">IF(D292="","",IFERROR(VLOOKUP(D292,$A$2:$B$1656,2,FALSE()),""))</f>
        <v>Arcane and Scholarly Magic Roles</v>
      </c>
      <c r="F292" s="22" t="n">
        <v>3</v>
      </c>
      <c r="G292" s="22" t="s">
        <v>1366</v>
      </c>
      <c r="H292" s="22" t="s">
        <v>937</v>
      </c>
      <c r="I292" s="22" t="s">
        <v>1367</v>
      </c>
      <c r="J292" s="22" t="s">
        <v>1237</v>
      </c>
      <c r="K292" s="22" t="s">
        <v>1367</v>
      </c>
      <c r="L292" s="22" t="s">
        <v>184</v>
      </c>
      <c r="M292" s="22" t="s">
        <v>253</v>
      </c>
    </row>
    <row r="293" customFormat="false" ht="43.5" hidden="false" customHeight="true" outlineLevel="0" collapsed="false">
      <c r="A293" s="22" t="s">
        <v>1368</v>
      </c>
      <c r="B293" s="22" t="s">
        <v>1369</v>
      </c>
      <c r="C293" s="22" t="s">
        <v>49</v>
      </c>
      <c r="D293" s="22" t="s">
        <v>913</v>
      </c>
      <c r="E293" s="22" t="str">
        <f aca="false">IF(D293="","",IFERROR(VLOOKUP(D293,$A$2:$B$1656,2,FALSE()),""))</f>
        <v>Arcane and Scholarly Magic Roles</v>
      </c>
      <c r="F293" s="22" t="n">
        <v>3</v>
      </c>
      <c r="G293" s="22" t="s">
        <v>1370</v>
      </c>
      <c r="H293" s="22" t="s">
        <v>937</v>
      </c>
      <c r="I293" s="22" t="s">
        <v>1371</v>
      </c>
      <c r="J293" s="22" t="s">
        <v>1237</v>
      </c>
      <c r="K293" s="22" t="s">
        <v>1371</v>
      </c>
      <c r="L293" s="22" t="s">
        <v>184</v>
      </c>
      <c r="M293" s="22" t="s">
        <v>253</v>
      </c>
    </row>
    <row r="294" customFormat="false" ht="43.5" hidden="false" customHeight="true" outlineLevel="0" collapsed="false">
      <c r="A294" s="22" t="s">
        <v>1372</v>
      </c>
      <c r="B294" s="22" t="s">
        <v>1373</v>
      </c>
      <c r="C294" s="22" t="s">
        <v>49</v>
      </c>
      <c r="D294" s="22" t="s">
        <v>913</v>
      </c>
      <c r="E294" s="22" t="str">
        <f aca="false">IF(D294="","",IFERROR(VLOOKUP(D294,$A$2:$B$1656,2,FALSE()),""))</f>
        <v>Arcane and Scholarly Magic Roles</v>
      </c>
      <c r="F294" s="22" t="n">
        <v>3</v>
      </c>
      <c r="G294" s="22" t="s">
        <v>1374</v>
      </c>
      <c r="H294" s="22" t="s">
        <v>937</v>
      </c>
      <c r="I294" s="22" t="s">
        <v>1375</v>
      </c>
      <c r="J294" s="22" t="s">
        <v>1237</v>
      </c>
      <c r="K294" s="22" t="s">
        <v>1375</v>
      </c>
      <c r="L294" s="22" t="s">
        <v>184</v>
      </c>
      <c r="M294" s="22" t="s">
        <v>253</v>
      </c>
    </row>
    <row r="295" customFormat="false" ht="43.5" hidden="false" customHeight="true" outlineLevel="0" collapsed="false">
      <c r="A295" s="22" t="s">
        <v>1376</v>
      </c>
      <c r="B295" s="22" t="s">
        <v>1377</v>
      </c>
      <c r="C295" s="22" t="s">
        <v>49</v>
      </c>
      <c r="D295" s="22" t="s">
        <v>913</v>
      </c>
      <c r="E295" s="22" t="str">
        <f aca="false">IF(D295="","",IFERROR(VLOOKUP(D295,$A$2:$B$1656,2,FALSE()),""))</f>
        <v>Arcane and Scholarly Magic Roles</v>
      </c>
      <c r="F295" s="22" t="n">
        <v>3</v>
      </c>
      <c r="G295" s="22" t="s">
        <v>1378</v>
      </c>
      <c r="H295" s="22" t="s">
        <v>937</v>
      </c>
      <c r="I295" s="22" t="s">
        <v>1379</v>
      </c>
      <c r="J295" s="22" t="s">
        <v>1237</v>
      </c>
      <c r="K295" s="22" t="s">
        <v>1379</v>
      </c>
      <c r="L295" s="22" t="s">
        <v>184</v>
      </c>
      <c r="M295" s="22" t="s">
        <v>253</v>
      </c>
    </row>
    <row r="296" customFormat="false" ht="43.5" hidden="false" customHeight="true" outlineLevel="0" collapsed="false">
      <c r="A296" s="22" t="s">
        <v>1380</v>
      </c>
      <c r="B296" s="22" t="s">
        <v>1381</v>
      </c>
      <c r="C296" s="22" t="s">
        <v>49</v>
      </c>
      <c r="D296" s="22" t="s">
        <v>913</v>
      </c>
      <c r="E296" s="22" t="str">
        <f aca="false">IF(D296="","",IFERROR(VLOOKUP(D296,$A$2:$B$1656,2,FALSE()),""))</f>
        <v>Arcane and Scholarly Magic Roles</v>
      </c>
      <c r="F296" s="22" t="n">
        <v>3</v>
      </c>
      <c r="G296" s="22" t="s">
        <v>1382</v>
      </c>
      <c r="H296" s="22" t="s">
        <v>937</v>
      </c>
      <c r="I296" s="22" t="s">
        <v>1383</v>
      </c>
      <c r="J296" s="22" t="s">
        <v>1237</v>
      </c>
      <c r="K296" s="22" t="s">
        <v>1383</v>
      </c>
      <c r="L296" s="22" t="s">
        <v>184</v>
      </c>
      <c r="M296" s="22" t="s">
        <v>253</v>
      </c>
    </row>
    <row r="297" customFormat="false" ht="43.5" hidden="false" customHeight="true" outlineLevel="0" collapsed="false">
      <c r="A297" s="22" t="s">
        <v>1384</v>
      </c>
      <c r="B297" s="22" t="s">
        <v>1385</v>
      </c>
      <c r="C297" s="22" t="s">
        <v>49</v>
      </c>
      <c r="D297" s="22" t="s">
        <v>913</v>
      </c>
      <c r="E297" s="22" t="str">
        <f aca="false">IF(D297="","",IFERROR(VLOOKUP(D297,$A$2:$B$1656,2,FALSE()),""))</f>
        <v>Arcane and Scholarly Magic Roles</v>
      </c>
      <c r="F297" s="22" t="n">
        <v>3</v>
      </c>
      <c r="G297" s="22" t="s">
        <v>1386</v>
      </c>
      <c r="H297" s="22" t="s">
        <v>937</v>
      </c>
      <c r="I297" s="22" t="s">
        <v>1387</v>
      </c>
      <c r="J297" s="22" t="s">
        <v>1237</v>
      </c>
      <c r="K297" s="22" t="s">
        <v>1387</v>
      </c>
      <c r="L297" s="22" t="s">
        <v>184</v>
      </c>
      <c r="M297" s="22" t="s">
        <v>253</v>
      </c>
    </row>
    <row r="298" customFormat="false" ht="43.5" hidden="false" customHeight="true" outlineLevel="0" collapsed="false">
      <c r="A298" s="22" t="s">
        <v>1388</v>
      </c>
      <c r="B298" s="22" t="s">
        <v>1389</v>
      </c>
      <c r="C298" s="22" t="s">
        <v>49</v>
      </c>
      <c r="D298" s="22" t="s">
        <v>913</v>
      </c>
      <c r="E298" s="22" t="str">
        <f aca="false">IF(D298="","",IFERROR(VLOOKUP(D298,$A$2:$B$1656,2,FALSE()),""))</f>
        <v>Arcane and Scholarly Magic Roles</v>
      </c>
      <c r="F298" s="22" t="n">
        <v>3</v>
      </c>
      <c r="G298" s="22" t="s">
        <v>1390</v>
      </c>
      <c r="H298" s="22" t="s">
        <v>937</v>
      </c>
      <c r="I298" s="22" t="s">
        <v>1391</v>
      </c>
      <c r="J298" s="22" t="s">
        <v>1237</v>
      </c>
      <c r="K298" s="22" t="s">
        <v>1391</v>
      </c>
      <c r="L298" s="22" t="s">
        <v>184</v>
      </c>
      <c r="M298" s="22" t="s">
        <v>253</v>
      </c>
    </row>
    <row r="299" customFormat="false" ht="43.5" hidden="false" customHeight="true" outlineLevel="0" collapsed="false">
      <c r="A299" s="22" t="s">
        <v>1392</v>
      </c>
      <c r="B299" s="22" t="s">
        <v>1393</v>
      </c>
      <c r="C299" s="22" t="s">
        <v>49</v>
      </c>
      <c r="D299" s="22" t="s">
        <v>913</v>
      </c>
      <c r="E299" s="22" t="str">
        <f aca="false">IF(D299="","",IFERROR(VLOOKUP(D299,$A$2:$B$1656,2,FALSE()),""))</f>
        <v>Arcane and Scholarly Magic Roles</v>
      </c>
      <c r="F299" s="22" t="n">
        <v>3</v>
      </c>
      <c r="G299" s="22" t="s">
        <v>1394</v>
      </c>
      <c r="H299" s="22" t="s">
        <v>937</v>
      </c>
      <c r="I299" s="22" t="s">
        <v>1395</v>
      </c>
      <c r="J299" s="22" t="s">
        <v>1237</v>
      </c>
      <c r="K299" s="22" t="s">
        <v>1395</v>
      </c>
      <c r="L299" s="22" t="s">
        <v>184</v>
      </c>
      <c r="M299" s="22" t="s">
        <v>253</v>
      </c>
    </row>
    <row r="300" customFormat="false" ht="43.5" hidden="false" customHeight="true" outlineLevel="0" collapsed="false">
      <c r="A300" s="22" t="s">
        <v>1396</v>
      </c>
      <c r="B300" s="22" t="s">
        <v>1397</v>
      </c>
      <c r="C300" s="22" t="s">
        <v>49</v>
      </c>
      <c r="D300" s="22" t="s">
        <v>913</v>
      </c>
      <c r="E300" s="22" t="str">
        <f aca="false">IF(D300="","",IFERROR(VLOOKUP(D300,$A$2:$B$1656,2,FALSE()),""))</f>
        <v>Arcane and Scholarly Magic Roles</v>
      </c>
      <c r="F300" s="22" t="n">
        <v>3</v>
      </c>
      <c r="G300" s="22" t="s">
        <v>1398</v>
      </c>
      <c r="H300" s="22" t="s">
        <v>937</v>
      </c>
      <c r="I300" s="22" t="s">
        <v>1399</v>
      </c>
      <c r="J300" s="22" t="s">
        <v>1237</v>
      </c>
      <c r="K300" s="22" t="s">
        <v>1399</v>
      </c>
      <c r="L300" s="22" t="s">
        <v>184</v>
      </c>
      <c r="M300" s="22" t="s">
        <v>253</v>
      </c>
    </row>
    <row r="301" customFormat="false" ht="43.5" hidden="false" customHeight="true" outlineLevel="0" collapsed="false">
      <c r="A301" s="22" t="s">
        <v>1400</v>
      </c>
      <c r="B301" s="22" t="s">
        <v>1401</v>
      </c>
      <c r="C301" s="22" t="s">
        <v>49</v>
      </c>
      <c r="D301" s="22" t="s">
        <v>913</v>
      </c>
      <c r="E301" s="22" t="str">
        <f aca="false">IF(D301="","",IFERROR(VLOOKUP(D301,$A$2:$B$1656,2,FALSE()),""))</f>
        <v>Arcane and Scholarly Magic Roles</v>
      </c>
      <c r="F301" s="22" t="n">
        <v>3</v>
      </c>
      <c r="G301" s="22" t="s">
        <v>1402</v>
      </c>
      <c r="H301" s="22" t="s">
        <v>937</v>
      </c>
      <c r="I301" s="22" t="s">
        <v>1403</v>
      </c>
      <c r="J301" s="22" t="s">
        <v>1237</v>
      </c>
      <c r="K301" s="22" t="s">
        <v>1403</v>
      </c>
      <c r="L301" s="22" t="s">
        <v>184</v>
      </c>
      <c r="M301" s="22" t="s">
        <v>253</v>
      </c>
    </row>
    <row r="302" customFormat="false" ht="43.5" hidden="false" customHeight="true" outlineLevel="0" collapsed="false">
      <c r="A302" s="22" t="s">
        <v>1404</v>
      </c>
      <c r="B302" s="22" t="s">
        <v>1405</v>
      </c>
      <c r="C302" s="22" t="s">
        <v>49</v>
      </c>
      <c r="D302" s="22" t="s">
        <v>913</v>
      </c>
      <c r="E302" s="22" t="str">
        <f aca="false">IF(D302="","",IFERROR(VLOOKUP(D302,$A$2:$B$1656,2,FALSE()),""))</f>
        <v>Arcane and Scholarly Magic Roles</v>
      </c>
      <c r="F302" s="22" t="n">
        <v>3</v>
      </c>
      <c r="G302" s="22" t="s">
        <v>1406</v>
      </c>
      <c r="H302" s="22" t="s">
        <v>937</v>
      </c>
      <c r="I302" s="22" t="s">
        <v>1407</v>
      </c>
      <c r="J302" s="22" t="s">
        <v>1237</v>
      </c>
      <c r="K302" s="22" t="s">
        <v>1407</v>
      </c>
      <c r="L302" s="22" t="s">
        <v>184</v>
      </c>
      <c r="M302" s="22" t="s">
        <v>253</v>
      </c>
    </row>
    <row r="303" customFormat="false" ht="43.5" hidden="false" customHeight="true" outlineLevel="0" collapsed="false">
      <c r="A303" s="22" t="s">
        <v>1408</v>
      </c>
      <c r="B303" s="22" t="s">
        <v>1409</v>
      </c>
      <c r="C303" s="22" t="s">
        <v>49</v>
      </c>
      <c r="D303" s="22" t="s">
        <v>913</v>
      </c>
      <c r="E303" s="22" t="str">
        <f aca="false">IF(D303="","",IFERROR(VLOOKUP(D303,$A$2:$B$1656,2,FALSE()),""))</f>
        <v>Arcane and Scholarly Magic Roles</v>
      </c>
      <c r="F303" s="22" t="n">
        <v>3</v>
      </c>
      <c r="G303" s="22" t="s">
        <v>1410</v>
      </c>
      <c r="H303" s="22" t="s">
        <v>937</v>
      </c>
      <c r="I303" s="22" t="s">
        <v>1411</v>
      </c>
      <c r="J303" s="22" t="s">
        <v>1237</v>
      </c>
      <c r="K303" s="22" t="s">
        <v>1411</v>
      </c>
      <c r="L303" s="22" t="s">
        <v>184</v>
      </c>
      <c r="M303" s="22" t="s">
        <v>253</v>
      </c>
    </row>
    <row r="304" customFormat="false" ht="43.5" hidden="false" customHeight="true" outlineLevel="0" collapsed="false">
      <c r="A304" s="22" t="s">
        <v>1412</v>
      </c>
      <c r="B304" s="22" t="s">
        <v>1413</v>
      </c>
      <c r="C304" s="22" t="s">
        <v>49</v>
      </c>
      <c r="D304" s="22" t="s">
        <v>913</v>
      </c>
      <c r="E304" s="22" t="str">
        <f aca="false">IF(D304="","",IFERROR(VLOOKUP(D304,$A$2:$B$1656,2,FALSE()),""))</f>
        <v>Arcane and Scholarly Magic Roles</v>
      </c>
      <c r="F304" s="22" t="n">
        <v>3</v>
      </c>
      <c r="G304" s="22" t="s">
        <v>1414</v>
      </c>
      <c r="H304" s="22" t="s">
        <v>937</v>
      </c>
      <c r="I304" s="22" t="s">
        <v>1415</v>
      </c>
      <c r="J304" s="22" t="s">
        <v>1237</v>
      </c>
      <c r="K304" s="22" t="s">
        <v>1415</v>
      </c>
      <c r="L304" s="22" t="s">
        <v>184</v>
      </c>
      <c r="M304" s="22" t="s">
        <v>253</v>
      </c>
    </row>
    <row r="305" customFormat="false" ht="43.5" hidden="false" customHeight="true" outlineLevel="0" collapsed="false">
      <c r="A305" s="22" t="s">
        <v>1416</v>
      </c>
      <c r="B305" s="22" t="s">
        <v>1417</v>
      </c>
      <c r="C305" s="22" t="s">
        <v>49</v>
      </c>
      <c r="D305" s="22" t="s">
        <v>913</v>
      </c>
      <c r="E305" s="22" t="str">
        <f aca="false">IF(D305="","",IFERROR(VLOOKUP(D305,$A$2:$B$1656,2,FALSE()),""))</f>
        <v>Arcane and Scholarly Magic Roles</v>
      </c>
      <c r="F305" s="22" t="n">
        <v>3</v>
      </c>
      <c r="G305" s="22" t="s">
        <v>1418</v>
      </c>
      <c r="H305" s="22" t="s">
        <v>937</v>
      </c>
      <c r="I305" s="22" t="s">
        <v>1419</v>
      </c>
      <c r="J305" s="22" t="s">
        <v>1237</v>
      </c>
      <c r="K305" s="22" t="s">
        <v>1419</v>
      </c>
      <c r="L305" s="22" t="s">
        <v>184</v>
      </c>
      <c r="M305" s="22" t="s">
        <v>253</v>
      </c>
    </row>
    <row r="306" customFormat="false" ht="43.5" hidden="false" customHeight="true" outlineLevel="0" collapsed="false">
      <c r="A306" s="22" t="s">
        <v>1420</v>
      </c>
      <c r="B306" s="22" t="s">
        <v>1421</v>
      </c>
      <c r="C306" s="22" t="s">
        <v>49</v>
      </c>
      <c r="D306" s="22" t="s">
        <v>913</v>
      </c>
      <c r="E306" s="22" t="str">
        <f aca="false">IF(D306="","",IFERROR(VLOOKUP(D306,$A$2:$B$1656,2,FALSE()),""))</f>
        <v>Arcane and Scholarly Magic Roles</v>
      </c>
      <c r="F306" s="22" t="n">
        <v>3</v>
      </c>
      <c r="G306" s="22" t="s">
        <v>1422</v>
      </c>
      <c r="H306" s="22" t="s">
        <v>937</v>
      </c>
      <c r="I306" s="22" t="s">
        <v>1423</v>
      </c>
      <c r="J306" s="22" t="s">
        <v>1237</v>
      </c>
      <c r="K306" s="22" t="s">
        <v>1423</v>
      </c>
      <c r="L306" s="22" t="s">
        <v>184</v>
      </c>
      <c r="M306" s="22" t="s">
        <v>253</v>
      </c>
    </row>
    <row r="307" customFormat="false" ht="43.5" hidden="false" customHeight="true" outlineLevel="0" collapsed="false">
      <c r="A307" s="22" t="s">
        <v>1424</v>
      </c>
      <c r="B307" s="22" t="s">
        <v>1425</v>
      </c>
      <c r="C307" s="22" t="s">
        <v>49</v>
      </c>
      <c r="D307" s="22" t="s">
        <v>913</v>
      </c>
      <c r="E307" s="22" t="str">
        <f aca="false">IF(D307="","",IFERROR(VLOOKUP(D307,$A$2:$B$1656,2,FALSE()),""))</f>
        <v>Arcane and Scholarly Magic Roles</v>
      </c>
      <c r="F307" s="22" t="n">
        <v>3</v>
      </c>
      <c r="G307" s="22" t="s">
        <v>1426</v>
      </c>
      <c r="H307" s="22" t="s">
        <v>937</v>
      </c>
      <c r="I307" s="22" t="s">
        <v>1427</v>
      </c>
      <c r="J307" s="22" t="s">
        <v>1237</v>
      </c>
      <c r="K307" s="22" t="s">
        <v>1427</v>
      </c>
      <c r="L307" s="22" t="s">
        <v>184</v>
      </c>
      <c r="M307" s="22" t="s">
        <v>253</v>
      </c>
    </row>
    <row r="308" customFormat="false" ht="43.5" hidden="false" customHeight="true" outlineLevel="0" collapsed="false">
      <c r="A308" s="22" t="s">
        <v>1428</v>
      </c>
      <c r="B308" s="22" t="s">
        <v>1429</v>
      </c>
      <c r="C308" s="22" t="s">
        <v>49</v>
      </c>
      <c r="D308" s="22" t="s">
        <v>913</v>
      </c>
      <c r="E308" s="22" t="str">
        <f aca="false">IF(D308="","",IFERROR(VLOOKUP(D308,$A$2:$B$1656,2,FALSE()),""))</f>
        <v>Arcane and Scholarly Magic Roles</v>
      </c>
      <c r="F308" s="22" t="n">
        <v>3</v>
      </c>
      <c r="G308" s="22" t="s">
        <v>1430</v>
      </c>
      <c r="H308" s="22" t="s">
        <v>937</v>
      </c>
      <c r="I308" s="22" t="s">
        <v>1431</v>
      </c>
      <c r="J308" s="22" t="s">
        <v>1237</v>
      </c>
      <c r="K308" s="22" t="s">
        <v>1431</v>
      </c>
      <c r="L308" s="22" t="s">
        <v>184</v>
      </c>
      <c r="M308" s="22" t="s">
        <v>253</v>
      </c>
    </row>
    <row r="309" customFormat="false" ht="43.5" hidden="false" customHeight="true" outlineLevel="0" collapsed="false">
      <c r="A309" s="22" t="s">
        <v>1432</v>
      </c>
      <c r="B309" s="22" t="s">
        <v>1433</v>
      </c>
      <c r="C309" s="22" t="s">
        <v>49</v>
      </c>
      <c r="D309" s="22" t="s">
        <v>913</v>
      </c>
      <c r="E309" s="22" t="str">
        <f aca="false">IF(D309="","",IFERROR(VLOOKUP(D309,$A$2:$B$1656,2,FALSE()),""))</f>
        <v>Arcane and Scholarly Magic Roles</v>
      </c>
      <c r="F309" s="22" t="n">
        <v>3</v>
      </c>
      <c r="G309" s="22" t="s">
        <v>1434</v>
      </c>
      <c r="H309" s="22" t="s">
        <v>937</v>
      </c>
      <c r="I309" s="22" t="s">
        <v>1435</v>
      </c>
      <c r="J309" s="22" t="s">
        <v>1237</v>
      </c>
      <c r="K309" s="22" t="s">
        <v>1435</v>
      </c>
      <c r="L309" s="22" t="s">
        <v>184</v>
      </c>
      <c r="M309" s="22" t="s">
        <v>253</v>
      </c>
    </row>
    <row r="310" customFormat="false" ht="43.5" hidden="false" customHeight="true" outlineLevel="0" collapsed="false">
      <c r="A310" s="22" t="s">
        <v>1436</v>
      </c>
      <c r="B310" s="22" t="s">
        <v>1437</v>
      </c>
      <c r="C310" s="22" t="s">
        <v>49</v>
      </c>
      <c r="D310" s="22" t="s">
        <v>913</v>
      </c>
      <c r="E310" s="22" t="str">
        <f aca="false">IF(D310="","",IFERROR(VLOOKUP(D310,$A$2:$B$1656,2,FALSE()),""))</f>
        <v>Arcane and Scholarly Magic Roles</v>
      </c>
      <c r="F310" s="22" t="n">
        <v>3</v>
      </c>
      <c r="G310" s="22" t="s">
        <v>1438</v>
      </c>
      <c r="H310" s="22" t="s">
        <v>937</v>
      </c>
      <c r="I310" s="22" t="s">
        <v>1439</v>
      </c>
      <c r="J310" s="22" t="s">
        <v>1237</v>
      </c>
      <c r="K310" s="22" t="s">
        <v>1439</v>
      </c>
      <c r="L310" s="22" t="s">
        <v>184</v>
      </c>
      <c r="M310" s="22" t="s">
        <v>253</v>
      </c>
    </row>
    <row r="311" customFormat="false" ht="43.5" hidden="false" customHeight="true" outlineLevel="0" collapsed="false">
      <c r="A311" s="22" t="s">
        <v>1440</v>
      </c>
      <c r="B311" s="22" t="s">
        <v>1441</v>
      </c>
      <c r="C311" s="22" t="s">
        <v>49</v>
      </c>
      <c r="D311" s="22" t="s">
        <v>913</v>
      </c>
      <c r="E311" s="22" t="str">
        <f aca="false">IF(D311="","",IFERROR(VLOOKUP(D311,$A$2:$B$1656,2,FALSE()),""))</f>
        <v>Arcane and Scholarly Magic Roles</v>
      </c>
      <c r="F311" s="22" t="n">
        <v>3</v>
      </c>
      <c r="G311" s="22" t="s">
        <v>1442</v>
      </c>
      <c r="H311" s="22" t="s">
        <v>937</v>
      </c>
      <c r="I311" s="22" t="s">
        <v>1443</v>
      </c>
      <c r="J311" s="22" t="s">
        <v>1237</v>
      </c>
      <c r="K311" s="22" t="s">
        <v>1443</v>
      </c>
      <c r="L311" s="22" t="s">
        <v>184</v>
      </c>
      <c r="M311" s="22" t="s">
        <v>253</v>
      </c>
    </row>
    <row r="312" customFormat="false" ht="43.5" hidden="false" customHeight="true" outlineLevel="0" collapsed="false">
      <c r="A312" s="22" t="s">
        <v>1444</v>
      </c>
      <c r="B312" s="22" t="s">
        <v>1445</v>
      </c>
      <c r="C312" s="22" t="s">
        <v>49</v>
      </c>
      <c r="D312" s="22" t="s">
        <v>913</v>
      </c>
      <c r="E312" s="22" t="str">
        <f aca="false">IF(D312="","",IFERROR(VLOOKUP(D312,$A$2:$B$1656,2,FALSE()),""))</f>
        <v>Arcane and Scholarly Magic Roles</v>
      </c>
      <c r="F312" s="22" t="n">
        <v>3</v>
      </c>
      <c r="G312" s="22" t="s">
        <v>1446</v>
      </c>
      <c r="H312" s="22" t="s">
        <v>937</v>
      </c>
      <c r="I312" s="22" t="s">
        <v>1447</v>
      </c>
      <c r="J312" s="22" t="s">
        <v>1237</v>
      </c>
      <c r="K312" s="22" t="s">
        <v>1447</v>
      </c>
      <c r="L312" s="22" t="s">
        <v>184</v>
      </c>
      <c r="M312" s="22" t="s">
        <v>253</v>
      </c>
    </row>
    <row r="313" customFormat="false" ht="43.5" hidden="false" customHeight="true" outlineLevel="0" collapsed="false">
      <c r="A313" s="22" t="s">
        <v>1448</v>
      </c>
      <c r="B313" s="22" t="s">
        <v>1449</v>
      </c>
      <c r="C313" s="22" t="s">
        <v>49</v>
      </c>
      <c r="D313" s="22" t="s">
        <v>913</v>
      </c>
      <c r="E313" s="22" t="str">
        <f aca="false">IF(D313="","",IFERROR(VLOOKUP(D313,$A$2:$B$1656,2,FALSE()),""))</f>
        <v>Arcane and Scholarly Magic Roles</v>
      </c>
      <c r="F313" s="22" t="n">
        <v>3</v>
      </c>
      <c r="G313" s="22" t="s">
        <v>1450</v>
      </c>
      <c r="H313" s="22" t="s">
        <v>937</v>
      </c>
      <c r="I313" s="22" t="s">
        <v>1451</v>
      </c>
      <c r="J313" s="22" t="s">
        <v>1237</v>
      </c>
      <c r="K313" s="22" t="s">
        <v>1451</v>
      </c>
      <c r="L313" s="22" t="s">
        <v>184</v>
      </c>
      <c r="M313" s="22" t="s">
        <v>253</v>
      </c>
    </row>
    <row r="314" customFormat="false" ht="43.5" hidden="false" customHeight="true" outlineLevel="0" collapsed="false">
      <c r="A314" s="22" t="s">
        <v>1452</v>
      </c>
      <c r="B314" s="22" t="s">
        <v>1453</v>
      </c>
      <c r="C314" s="22" t="s">
        <v>49</v>
      </c>
      <c r="D314" s="22" t="s">
        <v>916</v>
      </c>
      <c r="E314" s="22" t="str">
        <f aca="false">IF(D314="","",IFERROR(VLOOKUP(D314,$A$2:$B$1656,2,FALSE()),""))</f>
        <v>Divine and Religious Roles</v>
      </c>
      <c r="F314" s="22" t="n">
        <v>3</v>
      </c>
      <c r="G314" s="22" t="s">
        <v>1454</v>
      </c>
      <c r="H314" s="22" t="s">
        <v>937</v>
      </c>
      <c r="I314" s="22" t="s">
        <v>1455</v>
      </c>
      <c r="J314" s="22" t="s">
        <v>1456</v>
      </c>
      <c r="K314" s="22" t="s">
        <v>1455</v>
      </c>
      <c r="L314" s="22" t="s">
        <v>184</v>
      </c>
      <c r="M314" s="22" t="s">
        <v>253</v>
      </c>
    </row>
    <row r="315" customFormat="false" ht="43.5" hidden="false" customHeight="true" outlineLevel="0" collapsed="false">
      <c r="A315" s="22" t="s">
        <v>1457</v>
      </c>
      <c r="B315" s="22" t="s">
        <v>1458</v>
      </c>
      <c r="C315" s="22" t="s">
        <v>49</v>
      </c>
      <c r="D315" s="22" t="s">
        <v>916</v>
      </c>
      <c r="E315" s="22" t="str">
        <f aca="false">IF(D315="","",IFERROR(VLOOKUP(D315,$A$2:$B$1656,2,FALSE()),""))</f>
        <v>Divine and Religious Roles</v>
      </c>
      <c r="F315" s="22" t="n">
        <v>3</v>
      </c>
      <c r="G315" s="22" t="s">
        <v>1459</v>
      </c>
      <c r="H315" s="22" t="s">
        <v>937</v>
      </c>
      <c r="I315" s="22" t="s">
        <v>1460</v>
      </c>
      <c r="J315" s="22" t="s">
        <v>1456</v>
      </c>
      <c r="K315" s="22" t="s">
        <v>1460</v>
      </c>
      <c r="L315" s="22" t="s">
        <v>184</v>
      </c>
      <c r="M315" s="22" t="s">
        <v>253</v>
      </c>
    </row>
    <row r="316" customFormat="false" ht="43.5" hidden="false" customHeight="true" outlineLevel="0" collapsed="false">
      <c r="A316" s="22" t="s">
        <v>1461</v>
      </c>
      <c r="B316" s="22" t="s">
        <v>1462</v>
      </c>
      <c r="C316" s="22" t="s">
        <v>49</v>
      </c>
      <c r="D316" s="22" t="s">
        <v>916</v>
      </c>
      <c r="E316" s="22" t="str">
        <f aca="false">IF(D316="","",IFERROR(VLOOKUP(D316,$A$2:$B$1656,2,FALSE()),""))</f>
        <v>Divine and Religious Roles</v>
      </c>
      <c r="F316" s="22" t="n">
        <v>3</v>
      </c>
      <c r="G316" s="22" t="s">
        <v>1463</v>
      </c>
      <c r="H316" s="22" t="s">
        <v>937</v>
      </c>
      <c r="I316" s="22" t="s">
        <v>1464</v>
      </c>
      <c r="J316" s="22" t="s">
        <v>1456</v>
      </c>
      <c r="K316" s="22" t="s">
        <v>1464</v>
      </c>
      <c r="L316" s="22" t="s">
        <v>184</v>
      </c>
      <c r="M316" s="22" t="s">
        <v>253</v>
      </c>
    </row>
    <row r="317" customFormat="false" ht="43.5" hidden="false" customHeight="true" outlineLevel="0" collapsed="false">
      <c r="A317" s="22" t="s">
        <v>1465</v>
      </c>
      <c r="B317" s="22" t="s">
        <v>1466</v>
      </c>
      <c r="C317" s="22" t="s">
        <v>49</v>
      </c>
      <c r="D317" s="22" t="s">
        <v>916</v>
      </c>
      <c r="E317" s="22" t="str">
        <f aca="false">IF(D317="","",IFERROR(VLOOKUP(D317,$A$2:$B$1656,2,FALSE()),""))</f>
        <v>Divine and Religious Roles</v>
      </c>
      <c r="F317" s="22" t="n">
        <v>3</v>
      </c>
      <c r="G317" s="22" t="s">
        <v>1467</v>
      </c>
      <c r="H317" s="22" t="s">
        <v>937</v>
      </c>
      <c r="I317" s="22" t="s">
        <v>1468</v>
      </c>
      <c r="J317" s="22" t="s">
        <v>1456</v>
      </c>
      <c r="K317" s="22" t="s">
        <v>1468</v>
      </c>
      <c r="L317" s="22" t="s">
        <v>184</v>
      </c>
      <c r="M317" s="22" t="s">
        <v>253</v>
      </c>
    </row>
    <row r="318" customFormat="false" ht="43.5" hidden="false" customHeight="true" outlineLevel="0" collapsed="false">
      <c r="A318" s="22" t="s">
        <v>1469</v>
      </c>
      <c r="B318" s="22" t="s">
        <v>1470</v>
      </c>
      <c r="C318" s="22" t="s">
        <v>49</v>
      </c>
      <c r="D318" s="22" t="s">
        <v>916</v>
      </c>
      <c r="E318" s="22" t="str">
        <f aca="false">IF(D318="","",IFERROR(VLOOKUP(D318,$A$2:$B$1656,2,FALSE()),""))</f>
        <v>Divine and Religious Roles</v>
      </c>
      <c r="F318" s="22" t="n">
        <v>3</v>
      </c>
      <c r="G318" s="22" t="s">
        <v>1471</v>
      </c>
      <c r="H318" s="22" t="s">
        <v>937</v>
      </c>
      <c r="I318" s="22" t="s">
        <v>1472</v>
      </c>
      <c r="J318" s="22" t="s">
        <v>1456</v>
      </c>
      <c r="K318" s="22" t="s">
        <v>1472</v>
      </c>
      <c r="L318" s="22" t="s">
        <v>184</v>
      </c>
      <c r="M318" s="22" t="s">
        <v>253</v>
      </c>
    </row>
    <row r="319" customFormat="false" ht="43.5" hidden="false" customHeight="true" outlineLevel="0" collapsed="false">
      <c r="A319" s="22" t="s">
        <v>1473</v>
      </c>
      <c r="B319" s="22" t="s">
        <v>1474</v>
      </c>
      <c r="C319" s="22" t="s">
        <v>49</v>
      </c>
      <c r="D319" s="22" t="s">
        <v>916</v>
      </c>
      <c r="E319" s="22" t="str">
        <f aca="false">IF(D319="","",IFERROR(VLOOKUP(D319,$A$2:$B$1656,2,FALSE()),""))</f>
        <v>Divine and Religious Roles</v>
      </c>
      <c r="F319" s="22" t="n">
        <v>3</v>
      </c>
      <c r="G319" s="22" t="s">
        <v>1475</v>
      </c>
      <c r="H319" s="22" t="s">
        <v>937</v>
      </c>
      <c r="I319" s="22" t="s">
        <v>1476</v>
      </c>
      <c r="J319" s="22" t="s">
        <v>1456</v>
      </c>
      <c r="K319" s="22" t="s">
        <v>1476</v>
      </c>
      <c r="L319" s="22" t="s">
        <v>184</v>
      </c>
      <c r="M319" s="22" t="s">
        <v>253</v>
      </c>
    </row>
    <row r="320" customFormat="false" ht="43.5" hidden="false" customHeight="true" outlineLevel="0" collapsed="false">
      <c r="A320" s="22" t="s">
        <v>1477</v>
      </c>
      <c r="B320" s="22" t="s">
        <v>1478</v>
      </c>
      <c r="C320" s="22" t="s">
        <v>49</v>
      </c>
      <c r="D320" s="22" t="s">
        <v>916</v>
      </c>
      <c r="E320" s="22" t="str">
        <f aca="false">IF(D320="","",IFERROR(VLOOKUP(D320,$A$2:$B$1656,2,FALSE()),""))</f>
        <v>Divine and Religious Roles</v>
      </c>
      <c r="F320" s="22" t="n">
        <v>3</v>
      </c>
      <c r="G320" s="22" t="s">
        <v>1479</v>
      </c>
      <c r="H320" s="22" t="s">
        <v>937</v>
      </c>
      <c r="I320" s="22" t="s">
        <v>1480</v>
      </c>
      <c r="J320" s="22" t="s">
        <v>1456</v>
      </c>
      <c r="K320" s="22" t="s">
        <v>1480</v>
      </c>
      <c r="L320" s="22" t="s">
        <v>184</v>
      </c>
      <c r="M320" s="22" t="s">
        <v>253</v>
      </c>
    </row>
    <row r="321" customFormat="false" ht="43.5" hidden="false" customHeight="true" outlineLevel="0" collapsed="false">
      <c r="A321" s="22" t="s">
        <v>1481</v>
      </c>
      <c r="B321" s="22" t="s">
        <v>1482</v>
      </c>
      <c r="C321" s="22" t="s">
        <v>49</v>
      </c>
      <c r="D321" s="22" t="s">
        <v>916</v>
      </c>
      <c r="E321" s="22" t="str">
        <f aca="false">IF(D321="","",IFERROR(VLOOKUP(D321,$A$2:$B$1656,2,FALSE()),""))</f>
        <v>Divine and Religious Roles</v>
      </c>
      <c r="F321" s="22" t="n">
        <v>3</v>
      </c>
      <c r="G321" s="22" t="s">
        <v>1483</v>
      </c>
      <c r="H321" s="22" t="s">
        <v>937</v>
      </c>
      <c r="I321" s="22" t="s">
        <v>1484</v>
      </c>
      <c r="J321" s="22" t="s">
        <v>1456</v>
      </c>
      <c r="K321" s="22" t="s">
        <v>1484</v>
      </c>
      <c r="L321" s="22" t="s">
        <v>184</v>
      </c>
      <c r="M321" s="22" t="s">
        <v>253</v>
      </c>
    </row>
    <row r="322" customFormat="false" ht="43.5" hidden="false" customHeight="true" outlineLevel="0" collapsed="false">
      <c r="A322" s="22" t="s">
        <v>1485</v>
      </c>
      <c r="B322" s="22" t="s">
        <v>1486</v>
      </c>
      <c r="C322" s="22" t="s">
        <v>49</v>
      </c>
      <c r="D322" s="22" t="s">
        <v>916</v>
      </c>
      <c r="E322" s="22" t="str">
        <f aca="false">IF(D322="","",IFERROR(VLOOKUP(D322,$A$2:$B$1656,2,FALSE()),""))</f>
        <v>Divine and Religious Roles</v>
      </c>
      <c r="F322" s="22" t="n">
        <v>3</v>
      </c>
      <c r="G322" s="22" t="s">
        <v>1487</v>
      </c>
      <c r="H322" s="22" t="s">
        <v>937</v>
      </c>
      <c r="I322" s="22" t="s">
        <v>1488</v>
      </c>
      <c r="J322" s="22" t="s">
        <v>1456</v>
      </c>
      <c r="K322" s="22" t="s">
        <v>1488</v>
      </c>
      <c r="L322" s="22" t="s">
        <v>184</v>
      </c>
      <c r="M322" s="22" t="s">
        <v>253</v>
      </c>
    </row>
    <row r="323" customFormat="false" ht="43.5" hidden="false" customHeight="true" outlineLevel="0" collapsed="false">
      <c r="A323" s="22" t="s">
        <v>1489</v>
      </c>
      <c r="B323" s="22" t="s">
        <v>1490</v>
      </c>
      <c r="C323" s="22" t="s">
        <v>49</v>
      </c>
      <c r="D323" s="22" t="s">
        <v>916</v>
      </c>
      <c r="E323" s="22" t="str">
        <f aca="false">IF(D323="","",IFERROR(VLOOKUP(D323,$A$2:$B$1656,2,FALSE()),""))</f>
        <v>Divine and Religious Roles</v>
      </c>
      <c r="F323" s="22" t="n">
        <v>3</v>
      </c>
      <c r="G323" s="22" t="s">
        <v>1491</v>
      </c>
      <c r="H323" s="22" t="s">
        <v>937</v>
      </c>
      <c r="I323" s="22" t="s">
        <v>1492</v>
      </c>
      <c r="J323" s="22" t="s">
        <v>1456</v>
      </c>
      <c r="K323" s="22" t="s">
        <v>1492</v>
      </c>
      <c r="L323" s="22" t="s">
        <v>184</v>
      </c>
      <c r="M323" s="22" t="s">
        <v>253</v>
      </c>
    </row>
    <row r="324" customFormat="false" ht="43.5" hidden="false" customHeight="true" outlineLevel="0" collapsed="false">
      <c r="A324" s="22" t="s">
        <v>1493</v>
      </c>
      <c r="B324" s="22" t="s">
        <v>1494</v>
      </c>
      <c r="C324" s="22" t="s">
        <v>49</v>
      </c>
      <c r="D324" s="22" t="s">
        <v>916</v>
      </c>
      <c r="E324" s="22" t="str">
        <f aca="false">IF(D324="","",IFERROR(VLOOKUP(D324,$A$2:$B$1656,2,FALSE()),""))</f>
        <v>Divine and Religious Roles</v>
      </c>
      <c r="F324" s="22" t="n">
        <v>3</v>
      </c>
      <c r="G324" s="22" t="s">
        <v>1495</v>
      </c>
      <c r="H324" s="22" t="s">
        <v>937</v>
      </c>
      <c r="I324" s="22" t="s">
        <v>1496</v>
      </c>
      <c r="J324" s="22" t="s">
        <v>1456</v>
      </c>
      <c r="K324" s="22" t="s">
        <v>1496</v>
      </c>
      <c r="L324" s="22" t="s">
        <v>1497</v>
      </c>
      <c r="M324" s="22" t="s">
        <v>253</v>
      </c>
    </row>
    <row r="325" customFormat="false" ht="43.5" hidden="false" customHeight="true" outlineLevel="0" collapsed="false">
      <c r="A325" s="22" t="s">
        <v>1498</v>
      </c>
      <c r="B325" s="22" t="s">
        <v>1499</v>
      </c>
      <c r="C325" s="22" t="s">
        <v>49</v>
      </c>
      <c r="D325" s="22" t="s">
        <v>916</v>
      </c>
      <c r="E325" s="22" t="str">
        <f aca="false">IF(D325="","",IFERROR(VLOOKUP(D325,$A$2:$B$1656,2,FALSE()),""))</f>
        <v>Divine and Religious Roles</v>
      </c>
      <c r="F325" s="22" t="n">
        <v>3</v>
      </c>
      <c r="G325" s="22" t="s">
        <v>1500</v>
      </c>
      <c r="H325" s="22" t="s">
        <v>937</v>
      </c>
      <c r="I325" s="22" t="s">
        <v>1501</v>
      </c>
      <c r="J325" s="22" t="s">
        <v>1456</v>
      </c>
      <c r="K325" s="22" t="s">
        <v>1501</v>
      </c>
      <c r="L325" s="22" t="s">
        <v>1502</v>
      </c>
      <c r="M325" s="22" t="s">
        <v>253</v>
      </c>
    </row>
    <row r="326" customFormat="false" ht="43.5" hidden="false" customHeight="true" outlineLevel="0" collapsed="false">
      <c r="A326" s="22" t="s">
        <v>1503</v>
      </c>
      <c r="B326" s="22" t="s">
        <v>1504</v>
      </c>
      <c r="C326" s="22" t="s">
        <v>49</v>
      </c>
      <c r="D326" s="22" t="s">
        <v>916</v>
      </c>
      <c r="E326" s="22" t="str">
        <f aca="false">IF(D326="","",IFERROR(VLOOKUP(D326,$A$2:$B$1656,2,FALSE()),""))</f>
        <v>Divine and Religious Roles</v>
      </c>
      <c r="F326" s="22" t="n">
        <v>3</v>
      </c>
      <c r="G326" s="22" t="s">
        <v>1505</v>
      </c>
      <c r="H326" s="22" t="s">
        <v>937</v>
      </c>
      <c r="I326" s="22" t="s">
        <v>1506</v>
      </c>
      <c r="J326" s="22" t="s">
        <v>1456</v>
      </c>
      <c r="K326" s="22" t="s">
        <v>1506</v>
      </c>
      <c r="L326" s="22" t="s">
        <v>184</v>
      </c>
      <c r="M326" s="22" t="s">
        <v>253</v>
      </c>
    </row>
    <row r="327" customFormat="false" ht="43.5" hidden="false" customHeight="true" outlineLevel="0" collapsed="false">
      <c r="A327" s="22" t="s">
        <v>1507</v>
      </c>
      <c r="B327" s="22" t="s">
        <v>1508</v>
      </c>
      <c r="C327" s="22" t="s">
        <v>49</v>
      </c>
      <c r="D327" s="22" t="s">
        <v>916</v>
      </c>
      <c r="E327" s="22" t="str">
        <f aca="false">IF(D327="","",IFERROR(VLOOKUP(D327,$A$2:$B$1656,2,FALSE()),""))</f>
        <v>Divine and Religious Roles</v>
      </c>
      <c r="F327" s="22" t="n">
        <v>3</v>
      </c>
      <c r="G327" s="22" t="s">
        <v>1509</v>
      </c>
      <c r="H327" s="22" t="s">
        <v>937</v>
      </c>
      <c r="I327" s="22" t="s">
        <v>1510</v>
      </c>
      <c r="J327" s="22" t="s">
        <v>1456</v>
      </c>
      <c r="K327" s="22" t="s">
        <v>1510</v>
      </c>
      <c r="L327" s="22" t="s">
        <v>184</v>
      </c>
      <c r="M327" s="22" t="s">
        <v>253</v>
      </c>
    </row>
    <row r="328" customFormat="false" ht="43.5" hidden="false" customHeight="true" outlineLevel="0" collapsed="false">
      <c r="A328" s="22" t="s">
        <v>1511</v>
      </c>
      <c r="B328" s="22" t="s">
        <v>1512</v>
      </c>
      <c r="C328" s="22" t="s">
        <v>49</v>
      </c>
      <c r="D328" s="22" t="s">
        <v>916</v>
      </c>
      <c r="E328" s="22" t="str">
        <f aca="false">IF(D328="","",IFERROR(VLOOKUP(D328,$A$2:$B$1656,2,FALSE()),""))</f>
        <v>Divine and Religious Roles</v>
      </c>
      <c r="F328" s="22" t="n">
        <v>3</v>
      </c>
      <c r="G328" s="22" t="s">
        <v>1513</v>
      </c>
      <c r="H328" s="22" t="s">
        <v>937</v>
      </c>
      <c r="I328" s="22" t="s">
        <v>1514</v>
      </c>
      <c r="J328" s="22" t="s">
        <v>1456</v>
      </c>
      <c r="K328" s="22" t="s">
        <v>1514</v>
      </c>
      <c r="L328" s="22" t="s">
        <v>184</v>
      </c>
      <c r="M328" s="22" t="s">
        <v>253</v>
      </c>
    </row>
    <row r="329" customFormat="false" ht="43.5" hidden="false" customHeight="true" outlineLevel="0" collapsed="false">
      <c r="A329" s="22" t="s">
        <v>1515</v>
      </c>
      <c r="B329" s="22" t="s">
        <v>1516</v>
      </c>
      <c r="C329" s="22" t="s">
        <v>49</v>
      </c>
      <c r="D329" s="22" t="s">
        <v>916</v>
      </c>
      <c r="E329" s="22" t="str">
        <f aca="false">IF(D329="","",IFERROR(VLOOKUP(D329,$A$2:$B$1656,2,FALSE()),""))</f>
        <v>Divine and Religious Roles</v>
      </c>
      <c r="F329" s="22" t="n">
        <v>3</v>
      </c>
      <c r="G329" s="22" t="s">
        <v>1517</v>
      </c>
      <c r="H329" s="22" t="s">
        <v>937</v>
      </c>
      <c r="I329" s="22" t="s">
        <v>1518</v>
      </c>
      <c r="J329" s="22" t="s">
        <v>1456</v>
      </c>
      <c r="K329" s="22" t="s">
        <v>1518</v>
      </c>
      <c r="L329" s="22" t="s">
        <v>184</v>
      </c>
      <c r="M329" s="22" t="s">
        <v>253</v>
      </c>
    </row>
    <row r="330" customFormat="false" ht="43.5" hidden="false" customHeight="true" outlineLevel="0" collapsed="false">
      <c r="A330" s="22" t="s">
        <v>1519</v>
      </c>
      <c r="B330" s="22" t="s">
        <v>1520</v>
      </c>
      <c r="C330" s="22" t="s">
        <v>49</v>
      </c>
      <c r="D330" s="22" t="s">
        <v>916</v>
      </c>
      <c r="E330" s="22" t="str">
        <f aca="false">IF(D330="","",IFERROR(VLOOKUP(D330,$A$2:$B$1656,2,FALSE()),""))</f>
        <v>Divine and Religious Roles</v>
      </c>
      <c r="F330" s="22" t="n">
        <v>3</v>
      </c>
      <c r="G330" s="22" t="s">
        <v>1521</v>
      </c>
      <c r="H330" s="22" t="s">
        <v>937</v>
      </c>
      <c r="I330" s="22" t="s">
        <v>1522</v>
      </c>
      <c r="J330" s="22" t="s">
        <v>1456</v>
      </c>
      <c r="K330" s="22" t="s">
        <v>1522</v>
      </c>
      <c r="L330" s="22" t="s">
        <v>184</v>
      </c>
      <c r="M330" s="22" t="s">
        <v>253</v>
      </c>
    </row>
    <row r="331" customFormat="false" ht="43.5" hidden="false" customHeight="true" outlineLevel="0" collapsed="false">
      <c r="A331" s="22" t="s">
        <v>1523</v>
      </c>
      <c r="B331" s="22" t="s">
        <v>1524</v>
      </c>
      <c r="C331" s="22" t="s">
        <v>49</v>
      </c>
      <c r="D331" s="22" t="s">
        <v>916</v>
      </c>
      <c r="E331" s="22" t="str">
        <f aca="false">IF(D331="","",IFERROR(VLOOKUP(D331,$A$2:$B$1656,2,FALSE()),""))</f>
        <v>Divine and Religious Roles</v>
      </c>
      <c r="F331" s="22" t="n">
        <v>3</v>
      </c>
      <c r="G331" s="22" t="s">
        <v>1525</v>
      </c>
      <c r="H331" s="22" t="s">
        <v>937</v>
      </c>
      <c r="I331" s="22" t="s">
        <v>1526</v>
      </c>
      <c r="J331" s="22" t="s">
        <v>1456</v>
      </c>
      <c r="K331" s="22" t="s">
        <v>1526</v>
      </c>
      <c r="L331" s="22" t="s">
        <v>184</v>
      </c>
      <c r="M331" s="22" t="s">
        <v>253</v>
      </c>
    </row>
    <row r="332" customFormat="false" ht="43.5" hidden="false" customHeight="true" outlineLevel="0" collapsed="false">
      <c r="A332" s="22" t="s">
        <v>1527</v>
      </c>
      <c r="B332" s="22" t="s">
        <v>1528</v>
      </c>
      <c r="C332" s="22" t="s">
        <v>49</v>
      </c>
      <c r="D332" s="22" t="s">
        <v>916</v>
      </c>
      <c r="E332" s="22" t="str">
        <f aca="false">IF(D332="","",IFERROR(VLOOKUP(D332,$A$2:$B$1656,2,FALSE()),""))</f>
        <v>Divine and Religious Roles</v>
      </c>
      <c r="F332" s="22" t="n">
        <v>3</v>
      </c>
      <c r="G332" s="22" t="s">
        <v>1529</v>
      </c>
      <c r="H332" s="22" t="s">
        <v>937</v>
      </c>
      <c r="I332" s="22" t="s">
        <v>1530</v>
      </c>
      <c r="J332" s="22" t="s">
        <v>1456</v>
      </c>
      <c r="K332" s="22" t="s">
        <v>1530</v>
      </c>
      <c r="L332" s="22" t="s">
        <v>184</v>
      </c>
      <c r="M332" s="22" t="s">
        <v>253</v>
      </c>
    </row>
    <row r="333" customFormat="false" ht="43.5" hidden="false" customHeight="true" outlineLevel="0" collapsed="false">
      <c r="A333" s="22" t="s">
        <v>1531</v>
      </c>
      <c r="B333" s="22" t="s">
        <v>1532</v>
      </c>
      <c r="C333" s="22" t="s">
        <v>49</v>
      </c>
      <c r="D333" s="22" t="s">
        <v>916</v>
      </c>
      <c r="E333" s="22" t="str">
        <f aca="false">IF(D333="","",IFERROR(VLOOKUP(D333,$A$2:$B$1656,2,FALSE()),""))</f>
        <v>Divine and Religious Roles</v>
      </c>
      <c r="F333" s="22" t="n">
        <v>3</v>
      </c>
      <c r="G333" s="22" t="s">
        <v>1533</v>
      </c>
      <c r="H333" s="22" t="s">
        <v>937</v>
      </c>
      <c r="I333" s="22" t="s">
        <v>1534</v>
      </c>
      <c r="J333" s="22" t="s">
        <v>1456</v>
      </c>
      <c r="K333" s="22" t="s">
        <v>1534</v>
      </c>
      <c r="L333" s="22" t="s">
        <v>184</v>
      </c>
      <c r="M333" s="22" t="s">
        <v>253</v>
      </c>
    </row>
    <row r="334" customFormat="false" ht="43.5" hidden="false" customHeight="true" outlineLevel="0" collapsed="false">
      <c r="A334" s="22" t="s">
        <v>1535</v>
      </c>
      <c r="B334" s="22" t="s">
        <v>1536</v>
      </c>
      <c r="C334" s="22" t="s">
        <v>49</v>
      </c>
      <c r="D334" s="22" t="s">
        <v>916</v>
      </c>
      <c r="E334" s="22" t="str">
        <f aca="false">IF(D334="","",IFERROR(VLOOKUP(D334,$A$2:$B$1656,2,FALSE()),""))</f>
        <v>Divine and Religious Roles</v>
      </c>
      <c r="F334" s="22" t="n">
        <v>3</v>
      </c>
      <c r="G334" s="22" t="s">
        <v>1537</v>
      </c>
      <c r="H334" s="22" t="s">
        <v>937</v>
      </c>
      <c r="I334" s="22" t="s">
        <v>1538</v>
      </c>
      <c r="J334" s="22" t="s">
        <v>1456</v>
      </c>
      <c r="K334" s="22" t="s">
        <v>1538</v>
      </c>
      <c r="L334" s="22" t="s">
        <v>184</v>
      </c>
      <c r="M334" s="22" t="s">
        <v>253</v>
      </c>
    </row>
    <row r="335" customFormat="false" ht="43.5" hidden="false" customHeight="true" outlineLevel="0" collapsed="false">
      <c r="A335" s="22" t="s">
        <v>1539</v>
      </c>
      <c r="B335" s="22" t="s">
        <v>1540</v>
      </c>
      <c r="C335" s="22" t="s">
        <v>49</v>
      </c>
      <c r="D335" s="22" t="s">
        <v>916</v>
      </c>
      <c r="E335" s="22" t="str">
        <f aca="false">IF(D335="","",IFERROR(VLOOKUP(D335,$A$2:$B$1656,2,FALSE()),""))</f>
        <v>Divine and Religious Roles</v>
      </c>
      <c r="F335" s="22" t="n">
        <v>3</v>
      </c>
      <c r="G335" s="22" t="s">
        <v>1541</v>
      </c>
      <c r="H335" s="22" t="s">
        <v>937</v>
      </c>
      <c r="I335" s="22" t="s">
        <v>1542</v>
      </c>
      <c r="J335" s="22" t="s">
        <v>1456</v>
      </c>
      <c r="K335" s="22" t="s">
        <v>1542</v>
      </c>
      <c r="L335" s="22" t="s">
        <v>184</v>
      </c>
      <c r="M335" s="22" t="s">
        <v>253</v>
      </c>
    </row>
    <row r="336" customFormat="false" ht="43.5" hidden="false" customHeight="true" outlineLevel="0" collapsed="false">
      <c r="A336" s="22" t="s">
        <v>1543</v>
      </c>
      <c r="B336" s="22" t="s">
        <v>1544</v>
      </c>
      <c r="C336" s="22" t="s">
        <v>49</v>
      </c>
      <c r="D336" s="22" t="s">
        <v>916</v>
      </c>
      <c r="E336" s="22" t="str">
        <f aca="false">IF(D336="","",IFERROR(VLOOKUP(D336,$A$2:$B$1656,2,FALSE()),""))</f>
        <v>Divine and Religious Roles</v>
      </c>
      <c r="F336" s="22" t="n">
        <v>3</v>
      </c>
      <c r="G336" s="22" t="s">
        <v>1545</v>
      </c>
      <c r="H336" s="22" t="s">
        <v>937</v>
      </c>
      <c r="I336" s="22" t="s">
        <v>1546</v>
      </c>
      <c r="J336" s="22" t="s">
        <v>1456</v>
      </c>
      <c r="K336" s="22" t="s">
        <v>1546</v>
      </c>
      <c r="L336" s="22" t="s">
        <v>184</v>
      </c>
      <c r="M336" s="22" t="s">
        <v>253</v>
      </c>
    </row>
    <row r="337" customFormat="false" ht="43.5" hidden="false" customHeight="true" outlineLevel="0" collapsed="false">
      <c r="A337" s="22" t="s">
        <v>1547</v>
      </c>
      <c r="B337" s="22" t="s">
        <v>1548</v>
      </c>
      <c r="C337" s="22" t="s">
        <v>49</v>
      </c>
      <c r="D337" s="22" t="s">
        <v>916</v>
      </c>
      <c r="E337" s="22" t="str">
        <f aca="false">IF(D337="","",IFERROR(VLOOKUP(D337,$A$2:$B$1656,2,FALSE()),""))</f>
        <v>Divine and Religious Roles</v>
      </c>
      <c r="F337" s="22" t="n">
        <v>3</v>
      </c>
      <c r="G337" s="22" t="s">
        <v>1549</v>
      </c>
      <c r="H337" s="22" t="s">
        <v>937</v>
      </c>
      <c r="I337" s="22" t="s">
        <v>1550</v>
      </c>
      <c r="J337" s="22" t="s">
        <v>1456</v>
      </c>
      <c r="K337" s="22" t="s">
        <v>1550</v>
      </c>
      <c r="L337" s="22" t="s">
        <v>184</v>
      </c>
      <c r="M337" s="22" t="s">
        <v>253</v>
      </c>
    </row>
    <row r="338" customFormat="false" ht="43.5" hidden="false" customHeight="true" outlineLevel="0" collapsed="false">
      <c r="A338" s="22" t="s">
        <v>1551</v>
      </c>
      <c r="B338" s="22" t="s">
        <v>1552</v>
      </c>
      <c r="C338" s="22" t="s">
        <v>49</v>
      </c>
      <c r="D338" s="22" t="s">
        <v>916</v>
      </c>
      <c r="E338" s="22" t="str">
        <f aca="false">IF(D338="","",IFERROR(VLOOKUP(D338,$A$2:$B$1656,2,FALSE()),""))</f>
        <v>Divine and Religious Roles</v>
      </c>
      <c r="F338" s="22" t="n">
        <v>3</v>
      </c>
      <c r="G338" s="22" t="s">
        <v>1553</v>
      </c>
      <c r="H338" s="22" t="s">
        <v>937</v>
      </c>
      <c r="I338" s="22" t="s">
        <v>1554</v>
      </c>
      <c r="J338" s="22" t="s">
        <v>1456</v>
      </c>
      <c r="K338" s="22" t="s">
        <v>1554</v>
      </c>
      <c r="L338" s="22" t="s">
        <v>184</v>
      </c>
      <c r="M338" s="22" t="s">
        <v>253</v>
      </c>
    </row>
    <row r="339" customFormat="false" ht="43.5" hidden="false" customHeight="true" outlineLevel="0" collapsed="false">
      <c r="A339" s="22" t="s">
        <v>1555</v>
      </c>
      <c r="B339" s="22" t="s">
        <v>1556</v>
      </c>
      <c r="C339" s="22" t="s">
        <v>49</v>
      </c>
      <c r="D339" s="22" t="s">
        <v>919</v>
      </c>
      <c r="E339" s="22" t="str">
        <f aca="false">IF(D339="","",IFERROR(VLOOKUP(D339,$A$2:$B$1656,2,FALSE()),""))</f>
        <v>Nature and Spirit Roles</v>
      </c>
      <c r="F339" s="22" t="n">
        <v>3</v>
      </c>
      <c r="G339" s="22" t="s">
        <v>1557</v>
      </c>
      <c r="H339" s="22" t="s">
        <v>937</v>
      </c>
      <c r="I339" s="22" t="s">
        <v>1558</v>
      </c>
      <c r="J339" s="22" t="s">
        <v>1559</v>
      </c>
      <c r="K339" s="22" t="s">
        <v>1558</v>
      </c>
      <c r="L339" s="22" t="s">
        <v>1560</v>
      </c>
      <c r="M339" s="22" t="s">
        <v>253</v>
      </c>
    </row>
    <row r="340" customFormat="false" ht="43.5" hidden="false" customHeight="true" outlineLevel="0" collapsed="false">
      <c r="A340" s="22" t="s">
        <v>1561</v>
      </c>
      <c r="B340" s="22" t="s">
        <v>1562</v>
      </c>
      <c r="C340" s="22" t="s">
        <v>49</v>
      </c>
      <c r="D340" s="22" t="s">
        <v>919</v>
      </c>
      <c r="E340" s="22" t="str">
        <f aca="false">IF(D340="","",IFERROR(VLOOKUP(D340,$A$2:$B$1656,2,FALSE()),""))</f>
        <v>Nature and Spirit Roles</v>
      </c>
      <c r="F340" s="22" t="n">
        <v>3</v>
      </c>
      <c r="G340" s="22" t="s">
        <v>1563</v>
      </c>
      <c r="H340" s="22" t="s">
        <v>937</v>
      </c>
      <c r="I340" s="22" t="s">
        <v>1564</v>
      </c>
      <c r="J340" s="22" t="s">
        <v>1559</v>
      </c>
      <c r="K340" s="22" t="s">
        <v>1564</v>
      </c>
      <c r="L340" s="22" t="s">
        <v>1565</v>
      </c>
      <c r="M340" s="22" t="s">
        <v>253</v>
      </c>
    </row>
    <row r="341" customFormat="false" ht="43.5" hidden="false" customHeight="true" outlineLevel="0" collapsed="false">
      <c r="A341" s="22" t="s">
        <v>1566</v>
      </c>
      <c r="B341" s="22" t="s">
        <v>1567</v>
      </c>
      <c r="C341" s="22" t="s">
        <v>49</v>
      </c>
      <c r="D341" s="22" t="s">
        <v>919</v>
      </c>
      <c r="E341" s="22" t="str">
        <f aca="false">IF(D341="","",IFERROR(VLOOKUP(D341,$A$2:$B$1656,2,FALSE()),""))</f>
        <v>Nature and Spirit Roles</v>
      </c>
      <c r="F341" s="22" t="n">
        <v>3</v>
      </c>
      <c r="G341" s="22" t="s">
        <v>1568</v>
      </c>
      <c r="H341" s="22" t="s">
        <v>937</v>
      </c>
      <c r="I341" s="22" t="s">
        <v>1569</v>
      </c>
      <c r="J341" s="22" t="s">
        <v>1559</v>
      </c>
      <c r="K341" s="22" t="s">
        <v>1569</v>
      </c>
      <c r="L341" s="22" t="s">
        <v>184</v>
      </c>
      <c r="M341" s="22" t="s">
        <v>253</v>
      </c>
    </row>
    <row r="342" customFormat="false" ht="43.5" hidden="false" customHeight="true" outlineLevel="0" collapsed="false">
      <c r="A342" s="22" t="s">
        <v>1570</v>
      </c>
      <c r="B342" s="22" t="s">
        <v>1571</v>
      </c>
      <c r="C342" s="22" t="s">
        <v>49</v>
      </c>
      <c r="D342" s="22" t="s">
        <v>919</v>
      </c>
      <c r="E342" s="22" t="str">
        <f aca="false">IF(D342="","",IFERROR(VLOOKUP(D342,$A$2:$B$1656,2,FALSE()),""))</f>
        <v>Nature and Spirit Roles</v>
      </c>
      <c r="F342" s="22" t="n">
        <v>3</v>
      </c>
      <c r="G342" s="22" t="s">
        <v>1572</v>
      </c>
      <c r="H342" s="22" t="s">
        <v>937</v>
      </c>
      <c r="I342" s="22" t="s">
        <v>1573</v>
      </c>
      <c r="J342" s="22" t="s">
        <v>1559</v>
      </c>
      <c r="K342" s="22" t="s">
        <v>1573</v>
      </c>
      <c r="L342" s="22" t="s">
        <v>184</v>
      </c>
      <c r="M342" s="22" t="s">
        <v>253</v>
      </c>
    </row>
    <row r="343" customFormat="false" ht="43.5" hidden="false" customHeight="true" outlineLevel="0" collapsed="false">
      <c r="A343" s="22" t="s">
        <v>1574</v>
      </c>
      <c r="B343" s="22" t="s">
        <v>1575</v>
      </c>
      <c r="C343" s="22" t="s">
        <v>49</v>
      </c>
      <c r="D343" s="22" t="s">
        <v>919</v>
      </c>
      <c r="E343" s="22" t="str">
        <f aca="false">IF(D343="","",IFERROR(VLOOKUP(D343,$A$2:$B$1656,2,FALSE()),""))</f>
        <v>Nature and Spirit Roles</v>
      </c>
      <c r="F343" s="22" t="n">
        <v>3</v>
      </c>
      <c r="G343" s="22" t="s">
        <v>1576</v>
      </c>
      <c r="H343" s="22" t="s">
        <v>937</v>
      </c>
      <c r="I343" s="22" t="s">
        <v>1577</v>
      </c>
      <c r="J343" s="22" t="s">
        <v>1559</v>
      </c>
      <c r="K343" s="22" t="s">
        <v>1577</v>
      </c>
      <c r="L343" s="22" t="s">
        <v>184</v>
      </c>
      <c r="M343" s="22" t="s">
        <v>253</v>
      </c>
    </row>
    <row r="344" customFormat="false" ht="43.5" hidden="false" customHeight="true" outlineLevel="0" collapsed="false">
      <c r="A344" s="22" t="s">
        <v>1578</v>
      </c>
      <c r="B344" s="22" t="s">
        <v>1579</v>
      </c>
      <c r="C344" s="22" t="s">
        <v>49</v>
      </c>
      <c r="D344" s="22" t="s">
        <v>919</v>
      </c>
      <c r="E344" s="22" t="str">
        <f aca="false">IF(D344="","",IFERROR(VLOOKUP(D344,$A$2:$B$1656,2,FALSE()),""))</f>
        <v>Nature and Spirit Roles</v>
      </c>
      <c r="F344" s="22" t="n">
        <v>3</v>
      </c>
      <c r="G344" s="22" t="s">
        <v>1580</v>
      </c>
      <c r="H344" s="22" t="s">
        <v>937</v>
      </c>
      <c r="I344" s="22" t="s">
        <v>1581</v>
      </c>
      <c r="J344" s="22" t="s">
        <v>1559</v>
      </c>
      <c r="K344" s="22" t="s">
        <v>1581</v>
      </c>
      <c r="L344" s="22" t="s">
        <v>1582</v>
      </c>
      <c r="M344" s="22" t="s">
        <v>253</v>
      </c>
    </row>
    <row r="345" customFormat="false" ht="43.5" hidden="false" customHeight="true" outlineLevel="0" collapsed="false">
      <c r="A345" s="22" t="s">
        <v>1583</v>
      </c>
      <c r="B345" s="22" t="s">
        <v>1584</v>
      </c>
      <c r="C345" s="22" t="s">
        <v>49</v>
      </c>
      <c r="D345" s="22" t="s">
        <v>919</v>
      </c>
      <c r="E345" s="22" t="str">
        <f aca="false">IF(D345="","",IFERROR(VLOOKUP(D345,$A$2:$B$1656,2,FALSE()),""))</f>
        <v>Nature and Spirit Roles</v>
      </c>
      <c r="F345" s="22" t="n">
        <v>3</v>
      </c>
      <c r="G345" s="22" t="s">
        <v>1585</v>
      </c>
      <c r="H345" s="22" t="s">
        <v>937</v>
      </c>
      <c r="I345" s="22" t="s">
        <v>1586</v>
      </c>
      <c r="J345" s="22" t="s">
        <v>1559</v>
      </c>
      <c r="K345" s="22" t="s">
        <v>1586</v>
      </c>
      <c r="L345" s="22" t="s">
        <v>184</v>
      </c>
      <c r="M345" s="22" t="s">
        <v>253</v>
      </c>
    </row>
    <row r="346" customFormat="false" ht="43.5" hidden="false" customHeight="true" outlineLevel="0" collapsed="false">
      <c r="A346" s="22" t="s">
        <v>1587</v>
      </c>
      <c r="B346" s="22" t="s">
        <v>1588</v>
      </c>
      <c r="C346" s="22" t="s">
        <v>49</v>
      </c>
      <c r="D346" s="22" t="s">
        <v>919</v>
      </c>
      <c r="E346" s="22" t="str">
        <f aca="false">IF(D346="","",IFERROR(VLOOKUP(D346,$A$2:$B$1656,2,FALSE()),""))</f>
        <v>Nature and Spirit Roles</v>
      </c>
      <c r="F346" s="22" t="n">
        <v>3</v>
      </c>
      <c r="G346" s="22" t="s">
        <v>1589</v>
      </c>
      <c r="H346" s="22" t="s">
        <v>937</v>
      </c>
      <c r="I346" s="22" t="s">
        <v>1590</v>
      </c>
      <c r="J346" s="22" t="s">
        <v>1559</v>
      </c>
      <c r="K346" s="22" t="s">
        <v>1590</v>
      </c>
      <c r="L346" s="22" t="s">
        <v>184</v>
      </c>
      <c r="M346" s="22" t="s">
        <v>253</v>
      </c>
    </row>
    <row r="347" customFormat="false" ht="43.5" hidden="false" customHeight="true" outlineLevel="0" collapsed="false">
      <c r="A347" s="22" t="s">
        <v>1591</v>
      </c>
      <c r="B347" s="22" t="s">
        <v>1592</v>
      </c>
      <c r="C347" s="22" t="s">
        <v>49</v>
      </c>
      <c r="D347" s="22" t="s">
        <v>919</v>
      </c>
      <c r="E347" s="22" t="str">
        <f aca="false">IF(D347="","",IFERROR(VLOOKUP(D347,$A$2:$B$1656,2,FALSE()),""))</f>
        <v>Nature and Spirit Roles</v>
      </c>
      <c r="F347" s="22" t="n">
        <v>3</v>
      </c>
      <c r="G347" s="22" t="s">
        <v>1593</v>
      </c>
      <c r="H347" s="22" t="s">
        <v>937</v>
      </c>
      <c r="I347" s="22" t="s">
        <v>1594</v>
      </c>
      <c r="J347" s="22" t="s">
        <v>1559</v>
      </c>
      <c r="K347" s="22" t="s">
        <v>1594</v>
      </c>
      <c r="L347" s="22" t="s">
        <v>184</v>
      </c>
      <c r="M347" s="22" t="s">
        <v>253</v>
      </c>
    </row>
    <row r="348" customFormat="false" ht="43.5" hidden="false" customHeight="true" outlineLevel="0" collapsed="false">
      <c r="A348" s="22" t="s">
        <v>1595</v>
      </c>
      <c r="B348" s="22" t="s">
        <v>1596</v>
      </c>
      <c r="C348" s="22" t="s">
        <v>49</v>
      </c>
      <c r="D348" s="22" t="s">
        <v>919</v>
      </c>
      <c r="E348" s="22" t="str">
        <f aca="false">IF(D348="","",IFERROR(VLOOKUP(D348,$A$2:$B$1656,2,FALSE()),""))</f>
        <v>Nature and Spirit Roles</v>
      </c>
      <c r="F348" s="22" t="n">
        <v>3</v>
      </c>
      <c r="G348" s="22" t="s">
        <v>1597</v>
      </c>
      <c r="H348" s="22" t="s">
        <v>937</v>
      </c>
      <c r="I348" s="22" t="s">
        <v>1598</v>
      </c>
      <c r="J348" s="22" t="s">
        <v>1559</v>
      </c>
      <c r="K348" s="22" t="s">
        <v>1598</v>
      </c>
      <c r="L348" s="22" t="s">
        <v>184</v>
      </c>
      <c r="M348" s="22" t="s">
        <v>253</v>
      </c>
    </row>
    <row r="349" customFormat="false" ht="43.5" hidden="false" customHeight="true" outlineLevel="0" collapsed="false">
      <c r="A349" s="22" t="s">
        <v>1599</v>
      </c>
      <c r="B349" s="22" t="s">
        <v>1600</v>
      </c>
      <c r="C349" s="22" t="s">
        <v>49</v>
      </c>
      <c r="D349" s="22" t="s">
        <v>919</v>
      </c>
      <c r="E349" s="22" t="str">
        <f aca="false">IF(D349="","",IFERROR(VLOOKUP(D349,$A$2:$B$1656,2,FALSE()),""))</f>
        <v>Nature and Spirit Roles</v>
      </c>
      <c r="F349" s="22" t="n">
        <v>3</v>
      </c>
      <c r="G349" s="22" t="s">
        <v>1601</v>
      </c>
      <c r="H349" s="22" t="s">
        <v>937</v>
      </c>
      <c r="I349" s="22" t="s">
        <v>1602</v>
      </c>
      <c r="J349" s="22" t="s">
        <v>1559</v>
      </c>
      <c r="K349" s="22" t="s">
        <v>1602</v>
      </c>
      <c r="L349" s="22" t="s">
        <v>184</v>
      </c>
      <c r="M349" s="22" t="s">
        <v>253</v>
      </c>
    </row>
    <row r="350" customFormat="false" ht="43.5" hidden="false" customHeight="true" outlineLevel="0" collapsed="false">
      <c r="A350" s="22" t="s">
        <v>1603</v>
      </c>
      <c r="B350" s="22" t="s">
        <v>1604</v>
      </c>
      <c r="C350" s="22" t="s">
        <v>49</v>
      </c>
      <c r="D350" s="22" t="s">
        <v>919</v>
      </c>
      <c r="E350" s="22" t="str">
        <f aca="false">IF(D350="","",IFERROR(VLOOKUP(D350,$A$2:$B$1656,2,FALSE()),""))</f>
        <v>Nature and Spirit Roles</v>
      </c>
      <c r="F350" s="22" t="n">
        <v>3</v>
      </c>
      <c r="G350" s="22" t="s">
        <v>1605</v>
      </c>
      <c r="H350" s="22" t="s">
        <v>937</v>
      </c>
      <c r="I350" s="22" t="s">
        <v>1606</v>
      </c>
      <c r="J350" s="22" t="s">
        <v>1559</v>
      </c>
      <c r="K350" s="22" t="s">
        <v>1606</v>
      </c>
      <c r="L350" s="22" t="s">
        <v>184</v>
      </c>
      <c r="M350" s="22" t="s">
        <v>253</v>
      </c>
    </row>
    <row r="351" customFormat="false" ht="43.5" hidden="false" customHeight="true" outlineLevel="0" collapsed="false">
      <c r="A351" s="22" t="s">
        <v>1607</v>
      </c>
      <c r="B351" s="22" t="s">
        <v>1608</v>
      </c>
      <c r="C351" s="22" t="s">
        <v>49</v>
      </c>
      <c r="D351" s="22" t="s">
        <v>919</v>
      </c>
      <c r="E351" s="22" t="str">
        <f aca="false">IF(D351="","",IFERROR(VLOOKUP(D351,$A$2:$B$1656,2,FALSE()),""))</f>
        <v>Nature and Spirit Roles</v>
      </c>
      <c r="F351" s="22" t="n">
        <v>3</v>
      </c>
      <c r="G351" s="22" t="s">
        <v>1609</v>
      </c>
      <c r="H351" s="22" t="s">
        <v>937</v>
      </c>
      <c r="I351" s="22" t="s">
        <v>1610</v>
      </c>
      <c r="J351" s="22" t="s">
        <v>1559</v>
      </c>
      <c r="K351" s="22" t="s">
        <v>1610</v>
      </c>
      <c r="L351" s="22" t="s">
        <v>184</v>
      </c>
      <c r="M351" s="22" t="s">
        <v>253</v>
      </c>
    </row>
    <row r="352" customFormat="false" ht="43.5" hidden="false" customHeight="true" outlineLevel="0" collapsed="false">
      <c r="A352" s="22" t="s">
        <v>1611</v>
      </c>
      <c r="B352" s="22" t="s">
        <v>1612</v>
      </c>
      <c r="C352" s="22" t="s">
        <v>49</v>
      </c>
      <c r="D352" s="22" t="s">
        <v>919</v>
      </c>
      <c r="E352" s="22" t="str">
        <f aca="false">IF(D352="","",IFERROR(VLOOKUP(D352,$A$2:$B$1656,2,FALSE()),""))</f>
        <v>Nature and Spirit Roles</v>
      </c>
      <c r="F352" s="22" t="n">
        <v>3</v>
      </c>
      <c r="G352" s="22" t="s">
        <v>1613</v>
      </c>
      <c r="H352" s="22" t="s">
        <v>937</v>
      </c>
      <c r="I352" s="22" t="s">
        <v>1614</v>
      </c>
      <c r="J352" s="22" t="s">
        <v>1559</v>
      </c>
      <c r="K352" s="22" t="s">
        <v>1614</v>
      </c>
      <c r="L352" s="22" t="s">
        <v>184</v>
      </c>
      <c r="M352" s="22" t="s">
        <v>253</v>
      </c>
    </row>
    <row r="353" customFormat="false" ht="43.5" hidden="false" customHeight="true" outlineLevel="0" collapsed="false">
      <c r="A353" s="22" t="s">
        <v>1615</v>
      </c>
      <c r="B353" s="22" t="s">
        <v>1616</v>
      </c>
      <c r="C353" s="22" t="s">
        <v>49</v>
      </c>
      <c r="D353" s="22" t="s">
        <v>919</v>
      </c>
      <c r="E353" s="22" t="str">
        <f aca="false">IF(D353="","",IFERROR(VLOOKUP(D353,$A$2:$B$1656,2,FALSE()),""))</f>
        <v>Nature and Spirit Roles</v>
      </c>
      <c r="F353" s="22" t="n">
        <v>3</v>
      </c>
      <c r="G353" s="22" t="s">
        <v>1617</v>
      </c>
      <c r="H353" s="22" t="s">
        <v>937</v>
      </c>
      <c r="I353" s="22" t="s">
        <v>1618</v>
      </c>
      <c r="J353" s="22" t="s">
        <v>1559</v>
      </c>
      <c r="K353" s="22" t="s">
        <v>1618</v>
      </c>
      <c r="L353" s="22" t="s">
        <v>184</v>
      </c>
      <c r="M353" s="22" t="s">
        <v>253</v>
      </c>
    </row>
    <row r="354" customFormat="false" ht="43.5" hidden="false" customHeight="true" outlineLevel="0" collapsed="false">
      <c r="A354" s="22" t="s">
        <v>1619</v>
      </c>
      <c r="B354" s="22" t="s">
        <v>1620</v>
      </c>
      <c r="C354" s="22" t="s">
        <v>49</v>
      </c>
      <c r="D354" s="22" t="s">
        <v>919</v>
      </c>
      <c r="E354" s="22" t="str">
        <f aca="false">IF(D354="","",IFERROR(VLOOKUP(D354,$A$2:$B$1656,2,FALSE()),""))</f>
        <v>Nature and Spirit Roles</v>
      </c>
      <c r="F354" s="22" t="n">
        <v>3</v>
      </c>
      <c r="G354" s="22" t="s">
        <v>1621</v>
      </c>
      <c r="H354" s="22" t="s">
        <v>937</v>
      </c>
      <c r="I354" s="22" t="s">
        <v>1622</v>
      </c>
      <c r="J354" s="22" t="s">
        <v>1559</v>
      </c>
      <c r="K354" s="22" t="s">
        <v>1622</v>
      </c>
      <c r="L354" s="22" t="s">
        <v>184</v>
      </c>
      <c r="M354" s="22" t="s">
        <v>253</v>
      </c>
    </row>
    <row r="355" customFormat="false" ht="43.5" hidden="false" customHeight="true" outlineLevel="0" collapsed="false">
      <c r="A355" s="22" t="s">
        <v>1623</v>
      </c>
      <c r="B355" s="22" t="s">
        <v>1624</v>
      </c>
      <c r="C355" s="22" t="s">
        <v>49</v>
      </c>
      <c r="D355" s="22" t="s">
        <v>919</v>
      </c>
      <c r="E355" s="22" t="str">
        <f aca="false">IF(D355="","",IFERROR(VLOOKUP(D355,$A$2:$B$1656,2,FALSE()),""))</f>
        <v>Nature and Spirit Roles</v>
      </c>
      <c r="F355" s="22" t="n">
        <v>3</v>
      </c>
      <c r="G355" s="22" t="s">
        <v>1625</v>
      </c>
      <c r="H355" s="22" t="s">
        <v>937</v>
      </c>
      <c r="I355" s="22" t="s">
        <v>1626</v>
      </c>
      <c r="J355" s="22" t="s">
        <v>1559</v>
      </c>
      <c r="K355" s="22" t="s">
        <v>1626</v>
      </c>
      <c r="L355" s="22" t="s">
        <v>184</v>
      </c>
      <c r="M355" s="22" t="s">
        <v>253</v>
      </c>
    </row>
    <row r="356" customFormat="false" ht="43.5" hidden="false" customHeight="true" outlineLevel="0" collapsed="false">
      <c r="A356" s="22" t="s">
        <v>1627</v>
      </c>
      <c r="B356" s="22" t="s">
        <v>1628</v>
      </c>
      <c r="C356" s="22" t="s">
        <v>49</v>
      </c>
      <c r="D356" s="22" t="s">
        <v>919</v>
      </c>
      <c r="E356" s="22" t="str">
        <f aca="false">IF(D356="","",IFERROR(VLOOKUP(D356,$A$2:$B$1656,2,FALSE()),""))</f>
        <v>Nature and Spirit Roles</v>
      </c>
      <c r="F356" s="22" t="n">
        <v>3</v>
      </c>
      <c r="G356" s="22" t="s">
        <v>1629</v>
      </c>
      <c r="H356" s="22" t="s">
        <v>937</v>
      </c>
      <c r="I356" s="22" t="s">
        <v>1630</v>
      </c>
      <c r="J356" s="22" t="s">
        <v>1559</v>
      </c>
      <c r="K356" s="22" t="s">
        <v>1630</v>
      </c>
      <c r="L356" s="22" t="s">
        <v>184</v>
      </c>
      <c r="M356" s="22" t="s">
        <v>253</v>
      </c>
    </row>
    <row r="357" customFormat="false" ht="43.5" hidden="false" customHeight="true" outlineLevel="0" collapsed="false">
      <c r="A357" s="22" t="s">
        <v>1631</v>
      </c>
      <c r="B357" s="22" t="s">
        <v>1632</v>
      </c>
      <c r="C357" s="22" t="s">
        <v>49</v>
      </c>
      <c r="D357" s="22" t="s">
        <v>922</v>
      </c>
      <c r="E357" s="22" t="str">
        <f aca="false">IF(D357="","",IFERROR(VLOOKUP(D357,$A$2:$B$1656,2,FALSE()),""))</f>
        <v>Healing, Craft, and Knowledge Roles</v>
      </c>
      <c r="F357" s="22" t="n">
        <v>3</v>
      </c>
      <c r="G357" s="22" t="s">
        <v>1633</v>
      </c>
      <c r="H357" s="22" t="s">
        <v>937</v>
      </c>
      <c r="I357" s="22" t="s">
        <v>1634</v>
      </c>
      <c r="J357" s="22" t="s">
        <v>1635</v>
      </c>
      <c r="K357" s="22" t="s">
        <v>1634</v>
      </c>
      <c r="L357" s="22" t="s">
        <v>184</v>
      </c>
      <c r="M357" s="22" t="s">
        <v>253</v>
      </c>
    </row>
    <row r="358" customFormat="false" ht="43.5" hidden="false" customHeight="true" outlineLevel="0" collapsed="false">
      <c r="A358" s="22" t="s">
        <v>1636</v>
      </c>
      <c r="B358" s="22" t="s">
        <v>1637</v>
      </c>
      <c r="C358" s="22" t="s">
        <v>49</v>
      </c>
      <c r="D358" s="22" t="s">
        <v>922</v>
      </c>
      <c r="E358" s="22" t="str">
        <f aca="false">IF(D358="","",IFERROR(VLOOKUP(D358,$A$2:$B$1656,2,FALSE()),""))</f>
        <v>Healing, Craft, and Knowledge Roles</v>
      </c>
      <c r="F358" s="22" t="n">
        <v>3</v>
      </c>
      <c r="G358" s="22" t="s">
        <v>1638</v>
      </c>
      <c r="H358" s="22" t="s">
        <v>937</v>
      </c>
      <c r="I358" s="22" t="s">
        <v>1639</v>
      </c>
      <c r="J358" s="22" t="s">
        <v>1635</v>
      </c>
      <c r="K358" s="22" t="s">
        <v>1639</v>
      </c>
      <c r="L358" s="22" t="s">
        <v>184</v>
      </c>
      <c r="M358" s="22" t="s">
        <v>253</v>
      </c>
    </row>
    <row r="359" customFormat="false" ht="43.5" hidden="false" customHeight="true" outlineLevel="0" collapsed="false">
      <c r="A359" s="22" t="s">
        <v>1640</v>
      </c>
      <c r="B359" s="22" t="s">
        <v>1641</v>
      </c>
      <c r="C359" s="22" t="s">
        <v>49</v>
      </c>
      <c r="D359" s="22" t="s">
        <v>922</v>
      </c>
      <c r="E359" s="22" t="str">
        <f aca="false">IF(D359="","",IFERROR(VLOOKUP(D359,$A$2:$B$1656,2,FALSE()),""))</f>
        <v>Healing, Craft, and Knowledge Roles</v>
      </c>
      <c r="F359" s="22" t="n">
        <v>3</v>
      </c>
      <c r="G359" s="22" t="s">
        <v>1642</v>
      </c>
      <c r="H359" s="22" t="s">
        <v>937</v>
      </c>
      <c r="I359" s="22" t="s">
        <v>1643</v>
      </c>
      <c r="J359" s="22" t="s">
        <v>1635</v>
      </c>
      <c r="K359" s="22" t="s">
        <v>1643</v>
      </c>
      <c r="L359" s="22" t="s">
        <v>184</v>
      </c>
      <c r="M359" s="22" t="s">
        <v>253</v>
      </c>
    </row>
    <row r="360" customFormat="false" ht="43.5" hidden="false" customHeight="true" outlineLevel="0" collapsed="false">
      <c r="A360" s="22" t="s">
        <v>1644</v>
      </c>
      <c r="B360" s="22" t="s">
        <v>1645</v>
      </c>
      <c r="C360" s="22" t="s">
        <v>49</v>
      </c>
      <c r="D360" s="22" t="s">
        <v>922</v>
      </c>
      <c r="E360" s="22" t="str">
        <f aca="false">IF(D360="","",IFERROR(VLOOKUP(D360,$A$2:$B$1656,2,FALSE()),""))</f>
        <v>Healing, Craft, and Knowledge Roles</v>
      </c>
      <c r="F360" s="22" t="n">
        <v>3</v>
      </c>
      <c r="G360" s="22" t="s">
        <v>1646</v>
      </c>
      <c r="H360" s="22" t="s">
        <v>937</v>
      </c>
      <c r="I360" s="22" t="s">
        <v>1647</v>
      </c>
      <c r="J360" s="22" t="s">
        <v>1635</v>
      </c>
      <c r="K360" s="22" t="s">
        <v>1647</v>
      </c>
      <c r="L360" s="22" t="s">
        <v>184</v>
      </c>
      <c r="M360" s="22" t="s">
        <v>253</v>
      </c>
    </row>
    <row r="361" customFormat="false" ht="43.5" hidden="false" customHeight="true" outlineLevel="0" collapsed="false">
      <c r="A361" s="22" t="s">
        <v>1648</v>
      </c>
      <c r="B361" s="22" t="s">
        <v>1649</v>
      </c>
      <c r="C361" s="22" t="s">
        <v>49</v>
      </c>
      <c r="D361" s="22" t="s">
        <v>922</v>
      </c>
      <c r="E361" s="22" t="str">
        <f aca="false">IF(D361="","",IFERROR(VLOOKUP(D361,$A$2:$B$1656,2,FALSE()),""))</f>
        <v>Healing, Craft, and Knowledge Roles</v>
      </c>
      <c r="F361" s="22" t="n">
        <v>3</v>
      </c>
      <c r="G361" s="22" t="s">
        <v>1650</v>
      </c>
      <c r="H361" s="22" t="s">
        <v>937</v>
      </c>
      <c r="I361" s="22" t="s">
        <v>1651</v>
      </c>
      <c r="J361" s="22" t="s">
        <v>1635</v>
      </c>
      <c r="K361" s="22" t="s">
        <v>1651</v>
      </c>
      <c r="L361" s="22" t="s">
        <v>184</v>
      </c>
      <c r="M361" s="22" t="s">
        <v>253</v>
      </c>
    </row>
    <row r="362" customFormat="false" ht="43.5" hidden="false" customHeight="true" outlineLevel="0" collapsed="false">
      <c r="A362" s="22" t="s">
        <v>1652</v>
      </c>
      <c r="B362" s="22" t="s">
        <v>1653</v>
      </c>
      <c r="C362" s="22" t="s">
        <v>49</v>
      </c>
      <c r="D362" s="22" t="s">
        <v>922</v>
      </c>
      <c r="E362" s="22" t="str">
        <f aca="false">IF(D362="","",IFERROR(VLOOKUP(D362,$A$2:$B$1656,2,FALSE()),""))</f>
        <v>Healing, Craft, and Knowledge Roles</v>
      </c>
      <c r="F362" s="22" t="n">
        <v>3</v>
      </c>
      <c r="G362" s="22" t="s">
        <v>1654</v>
      </c>
      <c r="H362" s="22" t="s">
        <v>937</v>
      </c>
      <c r="I362" s="22" t="s">
        <v>1655</v>
      </c>
      <c r="J362" s="22" t="s">
        <v>1635</v>
      </c>
      <c r="K362" s="22" t="s">
        <v>1655</v>
      </c>
      <c r="L362" s="22" t="s">
        <v>184</v>
      </c>
      <c r="M362" s="22" t="s">
        <v>253</v>
      </c>
    </row>
    <row r="363" customFormat="false" ht="43.5" hidden="false" customHeight="true" outlineLevel="0" collapsed="false">
      <c r="A363" s="22" t="s">
        <v>1656</v>
      </c>
      <c r="B363" s="22" t="s">
        <v>1657</v>
      </c>
      <c r="C363" s="22" t="s">
        <v>49</v>
      </c>
      <c r="D363" s="22" t="s">
        <v>922</v>
      </c>
      <c r="E363" s="22" t="str">
        <f aca="false">IF(D363="","",IFERROR(VLOOKUP(D363,$A$2:$B$1656,2,FALSE()),""))</f>
        <v>Healing, Craft, and Knowledge Roles</v>
      </c>
      <c r="F363" s="22" t="n">
        <v>3</v>
      </c>
      <c r="G363" s="22" t="s">
        <v>1658</v>
      </c>
      <c r="H363" s="22" t="s">
        <v>937</v>
      </c>
      <c r="I363" s="22" t="s">
        <v>1659</v>
      </c>
      <c r="J363" s="22" t="s">
        <v>1635</v>
      </c>
      <c r="K363" s="22" t="s">
        <v>1659</v>
      </c>
      <c r="L363" s="22" t="s">
        <v>184</v>
      </c>
      <c r="M363" s="22" t="s">
        <v>253</v>
      </c>
    </row>
    <row r="364" customFormat="false" ht="43.5" hidden="false" customHeight="true" outlineLevel="0" collapsed="false">
      <c r="A364" s="22" t="s">
        <v>1660</v>
      </c>
      <c r="B364" s="22" t="s">
        <v>1661</v>
      </c>
      <c r="C364" s="22" t="s">
        <v>49</v>
      </c>
      <c r="D364" s="22" t="s">
        <v>922</v>
      </c>
      <c r="E364" s="22" t="str">
        <f aca="false">IF(D364="","",IFERROR(VLOOKUP(D364,$A$2:$B$1656,2,FALSE()),""))</f>
        <v>Healing, Craft, and Knowledge Roles</v>
      </c>
      <c r="F364" s="22" t="n">
        <v>3</v>
      </c>
      <c r="G364" s="22" t="s">
        <v>1662</v>
      </c>
      <c r="H364" s="22" t="s">
        <v>937</v>
      </c>
      <c r="I364" s="22" t="s">
        <v>1663</v>
      </c>
      <c r="J364" s="22" t="s">
        <v>1635</v>
      </c>
      <c r="K364" s="22" t="s">
        <v>1663</v>
      </c>
      <c r="L364" s="22" t="s">
        <v>184</v>
      </c>
      <c r="M364" s="22" t="s">
        <v>253</v>
      </c>
    </row>
    <row r="365" customFormat="false" ht="43.5" hidden="false" customHeight="true" outlineLevel="0" collapsed="false">
      <c r="A365" s="22" t="s">
        <v>1664</v>
      </c>
      <c r="B365" s="22" t="s">
        <v>1665</v>
      </c>
      <c r="C365" s="22" t="s">
        <v>49</v>
      </c>
      <c r="D365" s="22" t="s">
        <v>922</v>
      </c>
      <c r="E365" s="22" t="str">
        <f aca="false">IF(D365="","",IFERROR(VLOOKUP(D365,$A$2:$B$1656,2,FALSE()),""))</f>
        <v>Healing, Craft, and Knowledge Roles</v>
      </c>
      <c r="F365" s="22" t="n">
        <v>3</v>
      </c>
      <c r="G365" s="22" t="s">
        <v>1666</v>
      </c>
      <c r="H365" s="22" t="s">
        <v>937</v>
      </c>
      <c r="I365" s="22" t="s">
        <v>1667</v>
      </c>
      <c r="J365" s="22" t="s">
        <v>1635</v>
      </c>
      <c r="K365" s="22" t="s">
        <v>1667</v>
      </c>
      <c r="L365" s="22" t="s">
        <v>1668</v>
      </c>
      <c r="M365" s="22" t="s">
        <v>253</v>
      </c>
    </row>
    <row r="366" customFormat="false" ht="43.5" hidden="false" customHeight="true" outlineLevel="0" collapsed="false">
      <c r="A366" s="22" t="s">
        <v>1669</v>
      </c>
      <c r="B366" s="22" t="s">
        <v>1670</v>
      </c>
      <c r="C366" s="22" t="s">
        <v>49</v>
      </c>
      <c r="D366" s="22" t="s">
        <v>922</v>
      </c>
      <c r="E366" s="22" t="str">
        <f aca="false">IF(D366="","",IFERROR(VLOOKUP(D366,$A$2:$B$1656,2,FALSE()),""))</f>
        <v>Healing, Craft, and Knowledge Roles</v>
      </c>
      <c r="F366" s="22" t="n">
        <v>3</v>
      </c>
      <c r="G366" s="22" t="s">
        <v>1671</v>
      </c>
      <c r="H366" s="22" t="s">
        <v>937</v>
      </c>
      <c r="I366" s="22" t="s">
        <v>1672</v>
      </c>
      <c r="J366" s="22" t="s">
        <v>1635</v>
      </c>
      <c r="K366" s="22" t="s">
        <v>1672</v>
      </c>
      <c r="L366" s="22" t="s">
        <v>184</v>
      </c>
      <c r="M366" s="22" t="s">
        <v>253</v>
      </c>
    </row>
    <row r="367" customFormat="false" ht="43.5" hidden="false" customHeight="true" outlineLevel="0" collapsed="false">
      <c r="A367" s="22" t="s">
        <v>1673</v>
      </c>
      <c r="B367" s="22" t="s">
        <v>1674</v>
      </c>
      <c r="C367" s="22" t="s">
        <v>49</v>
      </c>
      <c r="D367" s="22" t="s">
        <v>922</v>
      </c>
      <c r="E367" s="22" t="str">
        <f aca="false">IF(D367="","",IFERROR(VLOOKUP(D367,$A$2:$B$1656,2,FALSE()),""))</f>
        <v>Healing, Craft, and Knowledge Roles</v>
      </c>
      <c r="F367" s="22" t="n">
        <v>3</v>
      </c>
      <c r="G367" s="22" t="s">
        <v>1675</v>
      </c>
      <c r="H367" s="22" t="s">
        <v>937</v>
      </c>
      <c r="I367" s="22" t="s">
        <v>1676</v>
      </c>
      <c r="J367" s="22" t="s">
        <v>1635</v>
      </c>
      <c r="K367" s="22" t="s">
        <v>1676</v>
      </c>
      <c r="L367" s="22" t="s">
        <v>184</v>
      </c>
      <c r="M367" s="22" t="s">
        <v>253</v>
      </c>
    </row>
    <row r="368" customFormat="false" ht="43.5" hidden="false" customHeight="true" outlineLevel="0" collapsed="false">
      <c r="A368" s="22" t="s">
        <v>1677</v>
      </c>
      <c r="B368" s="22" t="s">
        <v>1678</v>
      </c>
      <c r="C368" s="22" t="s">
        <v>49</v>
      </c>
      <c r="D368" s="22" t="s">
        <v>922</v>
      </c>
      <c r="E368" s="22" t="str">
        <f aca="false">IF(D368="","",IFERROR(VLOOKUP(D368,$A$2:$B$1656,2,FALSE()),""))</f>
        <v>Healing, Craft, and Knowledge Roles</v>
      </c>
      <c r="F368" s="22" t="n">
        <v>3</v>
      </c>
      <c r="G368" s="22" t="s">
        <v>1679</v>
      </c>
      <c r="H368" s="22" t="s">
        <v>937</v>
      </c>
      <c r="I368" s="22" t="s">
        <v>1680</v>
      </c>
      <c r="J368" s="22" t="s">
        <v>1635</v>
      </c>
      <c r="K368" s="22" t="s">
        <v>1680</v>
      </c>
      <c r="L368" s="22" t="s">
        <v>184</v>
      </c>
      <c r="M368" s="22" t="s">
        <v>253</v>
      </c>
    </row>
    <row r="369" customFormat="false" ht="43.5" hidden="false" customHeight="true" outlineLevel="0" collapsed="false">
      <c r="A369" s="22" t="s">
        <v>1681</v>
      </c>
      <c r="B369" s="22" t="s">
        <v>1682</v>
      </c>
      <c r="C369" s="22" t="s">
        <v>49</v>
      </c>
      <c r="D369" s="22" t="s">
        <v>922</v>
      </c>
      <c r="E369" s="22" t="str">
        <f aca="false">IF(D369="","",IFERROR(VLOOKUP(D369,$A$2:$B$1656,2,FALSE()),""))</f>
        <v>Healing, Craft, and Knowledge Roles</v>
      </c>
      <c r="F369" s="22" t="n">
        <v>3</v>
      </c>
      <c r="G369" s="22" t="s">
        <v>1683</v>
      </c>
      <c r="H369" s="22" t="s">
        <v>937</v>
      </c>
      <c r="I369" s="22" t="s">
        <v>1684</v>
      </c>
      <c r="J369" s="22" t="s">
        <v>1635</v>
      </c>
      <c r="K369" s="22" t="s">
        <v>1684</v>
      </c>
      <c r="L369" s="22" t="s">
        <v>184</v>
      </c>
      <c r="M369" s="22" t="s">
        <v>253</v>
      </c>
    </row>
    <row r="370" customFormat="false" ht="43.5" hidden="false" customHeight="true" outlineLevel="0" collapsed="false">
      <c r="A370" s="22" t="s">
        <v>1685</v>
      </c>
      <c r="B370" s="22" t="s">
        <v>1686</v>
      </c>
      <c r="C370" s="22" t="s">
        <v>49</v>
      </c>
      <c r="D370" s="22" t="s">
        <v>922</v>
      </c>
      <c r="E370" s="22" t="str">
        <f aca="false">IF(D370="","",IFERROR(VLOOKUP(D370,$A$2:$B$1656,2,FALSE()),""))</f>
        <v>Healing, Craft, and Knowledge Roles</v>
      </c>
      <c r="F370" s="22" t="n">
        <v>3</v>
      </c>
      <c r="G370" s="22" t="s">
        <v>1687</v>
      </c>
      <c r="H370" s="22" t="s">
        <v>937</v>
      </c>
      <c r="I370" s="22" t="s">
        <v>1688</v>
      </c>
      <c r="J370" s="22" t="s">
        <v>1635</v>
      </c>
      <c r="K370" s="22" t="s">
        <v>1688</v>
      </c>
      <c r="L370" s="22" t="s">
        <v>184</v>
      </c>
      <c r="M370" s="22" t="s">
        <v>253</v>
      </c>
    </row>
    <row r="371" customFormat="false" ht="43.5" hidden="false" customHeight="true" outlineLevel="0" collapsed="false">
      <c r="A371" s="22" t="s">
        <v>1689</v>
      </c>
      <c r="B371" s="22" t="s">
        <v>1690</v>
      </c>
      <c r="C371" s="22" t="s">
        <v>49</v>
      </c>
      <c r="D371" s="22" t="s">
        <v>922</v>
      </c>
      <c r="E371" s="22" t="str">
        <f aca="false">IF(D371="","",IFERROR(VLOOKUP(D371,$A$2:$B$1656,2,FALSE()),""))</f>
        <v>Healing, Craft, and Knowledge Roles</v>
      </c>
      <c r="F371" s="22" t="n">
        <v>3</v>
      </c>
      <c r="G371" s="22" t="s">
        <v>1691</v>
      </c>
      <c r="H371" s="22" t="s">
        <v>937</v>
      </c>
      <c r="I371" s="22" t="s">
        <v>1692</v>
      </c>
      <c r="J371" s="22" t="s">
        <v>1635</v>
      </c>
      <c r="K371" s="22" t="s">
        <v>1692</v>
      </c>
      <c r="L371" s="22" t="s">
        <v>184</v>
      </c>
      <c r="M371" s="22" t="s">
        <v>253</v>
      </c>
    </row>
    <row r="372" customFormat="false" ht="43.5" hidden="false" customHeight="true" outlineLevel="0" collapsed="false">
      <c r="A372" s="22" t="s">
        <v>1693</v>
      </c>
      <c r="B372" s="22" t="s">
        <v>1694</v>
      </c>
      <c r="C372" s="22" t="s">
        <v>49</v>
      </c>
      <c r="D372" s="22" t="s">
        <v>922</v>
      </c>
      <c r="E372" s="22" t="str">
        <f aca="false">IF(D372="","",IFERROR(VLOOKUP(D372,$A$2:$B$1656,2,FALSE()),""))</f>
        <v>Healing, Craft, and Knowledge Roles</v>
      </c>
      <c r="F372" s="22" t="n">
        <v>3</v>
      </c>
      <c r="G372" s="22" t="s">
        <v>1695</v>
      </c>
      <c r="H372" s="22" t="s">
        <v>937</v>
      </c>
      <c r="I372" s="22" t="s">
        <v>1696</v>
      </c>
      <c r="J372" s="22" t="s">
        <v>1635</v>
      </c>
      <c r="K372" s="22" t="s">
        <v>1696</v>
      </c>
      <c r="L372" s="22" t="s">
        <v>184</v>
      </c>
      <c r="M372" s="22" t="s">
        <v>253</v>
      </c>
    </row>
    <row r="373" customFormat="false" ht="43.5" hidden="false" customHeight="true" outlineLevel="0" collapsed="false">
      <c r="A373" s="22" t="s">
        <v>1697</v>
      </c>
      <c r="B373" s="22" t="s">
        <v>1698</v>
      </c>
      <c r="C373" s="22" t="s">
        <v>49</v>
      </c>
      <c r="D373" s="22" t="s">
        <v>922</v>
      </c>
      <c r="E373" s="22" t="str">
        <f aca="false">IF(D373="","",IFERROR(VLOOKUP(D373,$A$2:$B$1656,2,FALSE()),""))</f>
        <v>Healing, Craft, and Knowledge Roles</v>
      </c>
      <c r="F373" s="22" t="n">
        <v>3</v>
      </c>
      <c r="G373" s="22" t="s">
        <v>1699</v>
      </c>
      <c r="H373" s="22" t="s">
        <v>937</v>
      </c>
      <c r="I373" s="22" t="s">
        <v>1700</v>
      </c>
      <c r="J373" s="22" t="s">
        <v>1635</v>
      </c>
      <c r="K373" s="22" t="s">
        <v>1700</v>
      </c>
      <c r="L373" s="22" t="s">
        <v>184</v>
      </c>
      <c r="M373" s="22" t="s">
        <v>253</v>
      </c>
    </row>
    <row r="374" customFormat="false" ht="43.5" hidden="false" customHeight="true" outlineLevel="0" collapsed="false">
      <c r="A374" s="22" t="s">
        <v>1701</v>
      </c>
      <c r="B374" s="22" t="s">
        <v>1702</v>
      </c>
      <c r="C374" s="22" t="s">
        <v>49</v>
      </c>
      <c r="D374" s="22" t="s">
        <v>922</v>
      </c>
      <c r="E374" s="22" t="str">
        <f aca="false">IF(D374="","",IFERROR(VLOOKUP(D374,$A$2:$B$1656,2,FALSE()),""))</f>
        <v>Healing, Craft, and Knowledge Roles</v>
      </c>
      <c r="F374" s="22" t="n">
        <v>3</v>
      </c>
      <c r="G374" s="22" t="s">
        <v>1703</v>
      </c>
      <c r="H374" s="22" t="s">
        <v>937</v>
      </c>
      <c r="I374" s="22" t="s">
        <v>1704</v>
      </c>
      <c r="J374" s="22" t="s">
        <v>1635</v>
      </c>
      <c r="K374" s="22" t="s">
        <v>1704</v>
      </c>
      <c r="L374" s="22" t="s">
        <v>184</v>
      </c>
      <c r="M374" s="22" t="s">
        <v>253</v>
      </c>
    </row>
    <row r="375" customFormat="false" ht="43.5" hidden="false" customHeight="true" outlineLevel="0" collapsed="false">
      <c r="A375" s="22" t="s">
        <v>1705</v>
      </c>
      <c r="B375" s="22" t="s">
        <v>1706</v>
      </c>
      <c r="C375" s="22" t="s">
        <v>49</v>
      </c>
      <c r="D375" s="22" t="s">
        <v>922</v>
      </c>
      <c r="E375" s="22" t="str">
        <f aca="false">IF(D375="","",IFERROR(VLOOKUP(D375,$A$2:$B$1656,2,FALSE()),""))</f>
        <v>Healing, Craft, and Knowledge Roles</v>
      </c>
      <c r="F375" s="22" t="n">
        <v>3</v>
      </c>
      <c r="G375" s="22" t="s">
        <v>1707</v>
      </c>
      <c r="H375" s="22" t="s">
        <v>937</v>
      </c>
      <c r="I375" s="22" t="s">
        <v>1708</v>
      </c>
      <c r="J375" s="22" t="s">
        <v>1635</v>
      </c>
      <c r="K375" s="22" t="s">
        <v>1708</v>
      </c>
      <c r="L375" s="22" t="s">
        <v>184</v>
      </c>
      <c r="M375" s="22" t="s">
        <v>253</v>
      </c>
    </row>
    <row r="376" customFormat="false" ht="43.5" hidden="false" customHeight="true" outlineLevel="0" collapsed="false">
      <c r="A376" s="22" t="s">
        <v>1709</v>
      </c>
      <c r="B376" s="22" t="s">
        <v>1710</v>
      </c>
      <c r="C376" s="22" t="s">
        <v>49</v>
      </c>
      <c r="D376" s="22" t="s">
        <v>922</v>
      </c>
      <c r="E376" s="22" t="str">
        <f aca="false">IF(D376="","",IFERROR(VLOOKUP(D376,$A$2:$B$1656,2,FALSE()),""))</f>
        <v>Healing, Craft, and Knowledge Roles</v>
      </c>
      <c r="F376" s="22" t="n">
        <v>3</v>
      </c>
      <c r="G376" s="22" t="s">
        <v>1711</v>
      </c>
      <c r="H376" s="22" t="s">
        <v>937</v>
      </c>
      <c r="I376" s="22" t="s">
        <v>1712</v>
      </c>
      <c r="J376" s="22" t="s">
        <v>1635</v>
      </c>
      <c r="K376" s="22" t="s">
        <v>1712</v>
      </c>
      <c r="L376" s="22" t="s">
        <v>184</v>
      </c>
      <c r="M376" s="22" t="s">
        <v>253</v>
      </c>
    </row>
    <row r="377" customFormat="false" ht="43.5" hidden="false" customHeight="true" outlineLevel="0" collapsed="false">
      <c r="A377" s="22" t="s">
        <v>1713</v>
      </c>
      <c r="B377" s="22" t="s">
        <v>1714</v>
      </c>
      <c r="C377" s="22" t="s">
        <v>49</v>
      </c>
      <c r="D377" s="22" t="s">
        <v>922</v>
      </c>
      <c r="E377" s="22" t="str">
        <f aca="false">IF(D377="","",IFERROR(VLOOKUP(D377,$A$2:$B$1656,2,FALSE()),""))</f>
        <v>Healing, Craft, and Knowledge Roles</v>
      </c>
      <c r="F377" s="22" t="n">
        <v>3</v>
      </c>
      <c r="G377" s="22" t="s">
        <v>1715</v>
      </c>
      <c r="H377" s="22" t="s">
        <v>937</v>
      </c>
      <c r="I377" s="22" t="s">
        <v>1716</v>
      </c>
      <c r="J377" s="22" t="s">
        <v>1635</v>
      </c>
      <c r="K377" s="22" t="s">
        <v>1716</v>
      </c>
      <c r="L377" s="22" t="s">
        <v>184</v>
      </c>
      <c r="M377" s="22" t="s">
        <v>253</v>
      </c>
    </row>
    <row r="378" customFormat="false" ht="43.5" hidden="false" customHeight="true" outlineLevel="0" collapsed="false">
      <c r="A378" s="22" t="s">
        <v>1717</v>
      </c>
      <c r="B378" s="22" t="s">
        <v>1718</v>
      </c>
      <c r="C378" s="22" t="s">
        <v>49</v>
      </c>
      <c r="D378" s="22" t="s">
        <v>922</v>
      </c>
      <c r="E378" s="22" t="str">
        <f aca="false">IF(D378="","",IFERROR(VLOOKUP(D378,$A$2:$B$1656,2,FALSE()),""))</f>
        <v>Healing, Craft, and Knowledge Roles</v>
      </c>
      <c r="F378" s="22" t="n">
        <v>3</v>
      </c>
      <c r="G378" s="22" t="s">
        <v>1719</v>
      </c>
      <c r="H378" s="22" t="s">
        <v>937</v>
      </c>
      <c r="I378" s="22" t="s">
        <v>1720</v>
      </c>
      <c r="J378" s="22" t="s">
        <v>1635</v>
      </c>
      <c r="K378" s="22" t="s">
        <v>1720</v>
      </c>
      <c r="L378" s="22" t="s">
        <v>184</v>
      </c>
      <c r="M378" s="22" t="s">
        <v>253</v>
      </c>
    </row>
    <row r="379" customFormat="false" ht="43.5" hidden="false" customHeight="true" outlineLevel="0" collapsed="false">
      <c r="A379" s="22" t="s">
        <v>1721</v>
      </c>
      <c r="B379" s="22" t="s">
        <v>1722</v>
      </c>
      <c r="C379" s="22" t="s">
        <v>49</v>
      </c>
      <c r="D379" s="22" t="s">
        <v>922</v>
      </c>
      <c r="E379" s="22" t="str">
        <f aca="false">IF(D379="","",IFERROR(VLOOKUP(D379,$A$2:$B$1656,2,FALSE()),""))</f>
        <v>Healing, Craft, and Knowledge Roles</v>
      </c>
      <c r="F379" s="22" t="n">
        <v>3</v>
      </c>
      <c r="G379" s="22" t="s">
        <v>1723</v>
      </c>
      <c r="H379" s="22" t="s">
        <v>937</v>
      </c>
      <c r="I379" s="22" t="s">
        <v>1724</v>
      </c>
      <c r="J379" s="22" t="s">
        <v>1635</v>
      </c>
      <c r="K379" s="22" t="s">
        <v>1724</v>
      </c>
      <c r="L379" s="22" t="s">
        <v>184</v>
      </c>
      <c r="M379" s="22" t="s">
        <v>253</v>
      </c>
    </row>
    <row r="380" customFormat="false" ht="43.5" hidden="false" customHeight="true" outlineLevel="0" collapsed="false">
      <c r="A380" s="22" t="s">
        <v>1725</v>
      </c>
      <c r="B380" s="22" t="s">
        <v>1726</v>
      </c>
      <c r="C380" s="22" t="s">
        <v>49</v>
      </c>
      <c r="D380" s="22" t="s">
        <v>922</v>
      </c>
      <c r="E380" s="22" t="str">
        <f aca="false">IF(D380="","",IFERROR(VLOOKUP(D380,$A$2:$B$1656,2,FALSE()),""))</f>
        <v>Healing, Craft, and Knowledge Roles</v>
      </c>
      <c r="F380" s="22" t="n">
        <v>3</v>
      </c>
      <c r="G380" s="22" t="s">
        <v>1727</v>
      </c>
      <c r="H380" s="22" t="s">
        <v>937</v>
      </c>
      <c r="I380" s="22" t="s">
        <v>1728</v>
      </c>
      <c r="J380" s="22" t="s">
        <v>1635</v>
      </c>
      <c r="K380" s="22" t="s">
        <v>1728</v>
      </c>
      <c r="L380" s="22" t="s">
        <v>184</v>
      </c>
      <c r="M380" s="22" t="s">
        <v>253</v>
      </c>
    </row>
    <row r="381" customFormat="false" ht="43.5" hidden="false" customHeight="true" outlineLevel="0" collapsed="false">
      <c r="A381" s="22" t="s">
        <v>1729</v>
      </c>
      <c r="B381" s="22" t="s">
        <v>1730</v>
      </c>
      <c r="C381" s="22" t="s">
        <v>49</v>
      </c>
      <c r="D381" s="22" t="s">
        <v>922</v>
      </c>
      <c r="E381" s="22" t="str">
        <f aca="false">IF(D381="","",IFERROR(VLOOKUP(D381,$A$2:$B$1656,2,FALSE()),""))</f>
        <v>Healing, Craft, and Knowledge Roles</v>
      </c>
      <c r="F381" s="22" t="n">
        <v>3</v>
      </c>
      <c r="G381" s="22" t="s">
        <v>1731</v>
      </c>
      <c r="H381" s="22" t="s">
        <v>937</v>
      </c>
      <c r="I381" s="22" t="s">
        <v>1732</v>
      </c>
      <c r="J381" s="22" t="s">
        <v>1635</v>
      </c>
      <c r="K381" s="22" t="s">
        <v>1732</v>
      </c>
      <c r="L381" s="22" t="s">
        <v>184</v>
      </c>
      <c r="M381" s="22" t="s">
        <v>253</v>
      </c>
    </row>
    <row r="382" customFormat="false" ht="43.5" hidden="false" customHeight="true" outlineLevel="0" collapsed="false">
      <c r="A382" s="22" t="s">
        <v>1733</v>
      </c>
      <c r="B382" s="22" t="s">
        <v>1734</v>
      </c>
      <c r="C382" s="22" t="s">
        <v>49</v>
      </c>
      <c r="D382" s="22" t="s">
        <v>922</v>
      </c>
      <c r="E382" s="22" t="str">
        <f aca="false">IF(D382="","",IFERROR(VLOOKUP(D382,$A$2:$B$1656,2,FALSE()),""))</f>
        <v>Healing, Craft, and Knowledge Roles</v>
      </c>
      <c r="F382" s="22" t="n">
        <v>3</v>
      </c>
      <c r="G382" s="22" t="s">
        <v>1735</v>
      </c>
      <c r="H382" s="22" t="s">
        <v>937</v>
      </c>
      <c r="I382" s="22" t="s">
        <v>1736</v>
      </c>
      <c r="J382" s="22" t="s">
        <v>1635</v>
      </c>
      <c r="K382" s="22" t="s">
        <v>1736</v>
      </c>
      <c r="L382" s="22" t="s">
        <v>184</v>
      </c>
      <c r="M382" s="22" t="s">
        <v>253</v>
      </c>
    </row>
    <row r="383" customFormat="false" ht="43.5" hidden="false" customHeight="true" outlineLevel="0" collapsed="false">
      <c r="A383" s="22" t="s">
        <v>1737</v>
      </c>
      <c r="B383" s="22" t="s">
        <v>1738</v>
      </c>
      <c r="C383" s="22" t="s">
        <v>49</v>
      </c>
      <c r="D383" s="22" t="s">
        <v>922</v>
      </c>
      <c r="E383" s="22" t="str">
        <f aca="false">IF(D383="","",IFERROR(VLOOKUP(D383,$A$2:$B$1656,2,FALSE()),""))</f>
        <v>Healing, Craft, and Knowledge Roles</v>
      </c>
      <c r="F383" s="22" t="n">
        <v>3</v>
      </c>
      <c r="G383" s="22" t="s">
        <v>1739</v>
      </c>
      <c r="H383" s="22" t="s">
        <v>937</v>
      </c>
      <c r="I383" s="22" t="s">
        <v>1740</v>
      </c>
      <c r="J383" s="22" t="s">
        <v>1635</v>
      </c>
      <c r="K383" s="22" t="s">
        <v>1740</v>
      </c>
      <c r="L383" s="22" t="s">
        <v>184</v>
      </c>
      <c r="M383" s="22" t="s">
        <v>253</v>
      </c>
    </row>
    <row r="384" customFormat="false" ht="43.5" hidden="false" customHeight="true" outlineLevel="0" collapsed="false">
      <c r="A384" s="22" t="s">
        <v>1741</v>
      </c>
      <c r="B384" s="22" t="s">
        <v>1742</v>
      </c>
      <c r="C384" s="22" t="s">
        <v>49</v>
      </c>
      <c r="D384" s="22" t="s">
        <v>922</v>
      </c>
      <c r="E384" s="22" t="str">
        <f aca="false">IF(D384="","",IFERROR(VLOOKUP(D384,$A$2:$B$1656,2,FALSE()),""))</f>
        <v>Healing, Craft, and Knowledge Roles</v>
      </c>
      <c r="F384" s="22" t="n">
        <v>3</v>
      </c>
      <c r="G384" s="22" t="s">
        <v>1743</v>
      </c>
      <c r="H384" s="22" t="s">
        <v>937</v>
      </c>
      <c r="I384" s="22" t="s">
        <v>1744</v>
      </c>
      <c r="J384" s="22" t="s">
        <v>1635</v>
      </c>
      <c r="K384" s="22" t="s">
        <v>1744</v>
      </c>
      <c r="L384" s="22" t="s">
        <v>184</v>
      </c>
      <c r="M384" s="22" t="s">
        <v>253</v>
      </c>
    </row>
    <row r="385" customFormat="false" ht="43.5" hidden="false" customHeight="true" outlineLevel="0" collapsed="false">
      <c r="A385" s="22" t="s">
        <v>1745</v>
      </c>
      <c r="B385" s="22" t="s">
        <v>1746</v>
      </c>
      <c r="C385" s="22" t="s">
        <v>49</v>
      </c>
      <c r="D385" s="22" t="s">
        <v>922</v>
      </c>
      <c r="E385" s="22" t="str">
        <f aca="false">IF(D385="","",IFERROR(VLOOKUP(D385,$A$2:$B$1656,2,FALSE()),""))</f>
        <v>Healing, Craft, and Knowledge Roles</v>
      </c>
      <c r="F385" s="22" t="n">
        <v>3</v>
      </c>
      <c r="G385" s="22" t="s">
        <v>1747</v>
      </c>
      <c r="H385" s="22" t="s">
        <v>937</v>
      </c>
      <c r="I385" s="22" t="s">
        <v>1748</v>
      </c>
      <c r="J385" s="22" t="s">
        <v>1635</v>
      </c>
      <c r="K385" s="22" t="s">
        <v>1748</v>
      </c>
      <c r="L385" s="22" t="s">
        <v>184</v>
      </c>
      <c r="M385" s="22" t="s">
        <v>253</v>
      </c>
    </row>
    <row r="386" customFormat="false" ht="43.5" hidden="false" customHeight="true" outlineLevel="0" collapsed="false">
      <c r="A386" s="22" t="s">
        <v>1749</v>
      </c>
      <c r="B386" s="22" t="s">
        <v>1750</v>
      </c>
      <c r="C386" s="22" t="s">
        <v>49</v>
      </c>
      <c r="D386" s="22" t="s">
        <v>922</v>
      </c>
      <c r="E386" s="22" t="str">
        <f aca="false">IF(D386="","",IFERROR(VLOOKUP(D386,$A$2:$B$1656,2,FALSE()),""))</f>
        <v>Healing, Craft, and Knowledge Roles</v>
      </c>
      <c r="F386" s="22" t="n">
        <v>3</v>
      </c>
      <c r="G386" s="22" t="s">
        <v>1751</v>
      </c>
      <c r="H386" s="22" t="s">
        <v>937</v>
      </c>
      <c r="I386" s="22" t="s">
        <v>1752</v>
      </c>
      <c r="J386" s="22" t="s">
        <v>1635</v>
      </c>
      <c r="K386" s="22" t="s">
        <v>1752</v>
      </c>
      <c r="L386" s="22" t="s">
        <v>184</v>
      </c>
      <c r="M386" s="22" t="s">
        <v>253</v>
      </c>
    </row>
    <row r="387" customFormat="false" ht="43.5" hidden="false" customHeight="true" outlineLevel="0" collapsed="false">
      <c r="A387" s="22" t="s">
        <v>1753</v>
      </c>
      <c r="B387" s="22" t="s">
        <v>1754</v>
      </c>
      <c r="C387" s="22" t="s">
        <v>49</v>
      </c>
      <c r="D387" s="22" t="s">
        <v>922</v>
      </c>
      <c r="E387" s="22" t="str">
        <f aca="false">IF(D387="","",IFERROR(VLOOKUP(D387,$A$2:$B$1656,2,FALSE()),""))</f>
        <v>Healing, Craft, and Knowledge Roles</v>
      </c>
      <c r="F387" s="22" t="n">
        <v>3</v>
      </c>
      <c r="G387" s="22" t="s">
        <v>1755</v>
      </c>
      <c r="H387" s="22" t="s">
        <v>937</v>
      </c>
      <c r="I387" s="22" t="s">
        <v>1756</v>
      </c>
      <c r="J387" s="22" t="s">
        <v>1635</v>
      </c>
      <c r="K387" s="22" t="s">
        <v>1756</v>
      </c>
      <c r="L387" s="22" t="s">
        <v>184</v>
      </c>
      <c r="M387" s="22" t="s">
        <v>253</v>
      </c>
    </row>
    <row r="388" customFormat="false" ht="43.5" hidden="false" customHeight="true" outlineLevel="0" collapsed="false">
      <c r="A388" s="22" t="s">
        <v>1757</v>
      </c>
      <c r="B388" s="22" t="s">
        <v>1758</v>
      </c>
      <c r="C388" s="22" t="s">
        <v>49</v>
      </c>
      <c r="D388" s="22" t="s">
        <v>922</v>
      </c>
      <c r="E388" s="22" t="str">
        <f aca="false">IF(D388="","",IFERROR(VLOOKUP(D388,$A$2:$B$1656,2,FALSE()),""))</f>
        <v>Healing, Craft, and Knowledge Roles</v>
      </c>
      <c r="F388" s="22" t="n">
        <v>3</v>
      </c>
      <c r="G388" s="22" t="s">
        <v>1759</v>
      </c>
      <c r="H388" s="22" t="s">
        <v>937</v>
      </c>
      <c r="I388" s="22" t="s">
        <v>1760</v>
      </c>
      <c r="J388" s="22" t="s">
        <v>1635</v>
      </c>
      <c r="K388" s="22" t="s">
        <v>1760</v>
      </c>
      <c r="L388" s="22" t="s">
        <v>184</v>
      </c>
      <c r="M388" s="22" t="s">
        <v>253</v>
      </c>
    </row>
    <row r="389" customFormat="false" ht="43.5" hidden="false" customHeight="true" outlineLevel="0" collapsed="false">
      <c r="A389" s="22" t="s">
        <v>1761</v>
      </c>
      <c r="B389" s="22" t="s">
        <v>1762</v>
      </c>
      <c r="C389" s="22" t="s">
        <v>49</v>
      </c>
      <c r="D389" s="22" t="s">
        <v>922</v>
      </c>
      <c r="E389" s="22" t="str">
        <f aca="false">IF(D389="","",IFERROR(VLOOKUP(D389,$A$2:$B$1656,2,FALSE()),""))</f>
        <v>Healing, Craft, and Knowledge Roles</v>
      </c>
      <c r="F389" s="22" t="n">
        <v>3</v>
      </c>
      <c r="G389" s="22" t="s">
        <v>1763</v>
      </c>
      <c r="H389" s="22" t="s">
        <v>937</v>
      </c>
      <c r="I389" s="22" t="s">
        <v>1764</v>
      </c>
      <c r="J389" s="22" t="s">
        <v>1635</v>
      </c>
      <c r="K389" s="22" t="s">
        <v>1764</v>
      </c>
      <c r="L389" s="22" t="s">
        <v>184</v>
      </c>
      <c r="M389" s="22" t="s">
        <v>253</v>
      </c>
    </row>
    <row r="390" customFormat="false" ht="43.5" hidden="false" customHeight="true" outlineLevel="0" collapsed="false">
      <c r="A390" s="22" t="s">
        <v>1765</v>
      </c>
      <c r="B390" s="22" t="s">
        <v>1766</v>
      </c>
      <c r="C390" s="22" t="s">
        <v>49</v>
      </c>
      <c r="D390" s="22" t="s">
        <v>922</v>
      </c>
      <c r="E390" s="22" t="str">
        <f aca="false">IF(D390="","",IFERROR(VLOOKUP(D390,$A$2:$B$1656,2,FALSE()),""))</f>
        <v>Healing, Craft, and Knowledge Roles</v>
      </c>
      <c r="F390" s="22" t="n">
        <v>3</v>
      </c>
      <c r="G390" s="22" t="s">
        <v>1767</v>
      </c>
      <c r="H390" s="22" t="s">
        <v>937</v>
      </c>
      <c r="I390" s="22" t="s">
        <v>1768</v>
      </c>
      <c r="J390" s="22" t="s">
        <v>1635</v>
      </c>
      <c r="K390" s="22" t="s">
        <v>1768</v>
      </c>
      <c r="L390" s="22" t="s">
        <v>184</v>
      </c>
      <c r="M390" s="22" t="s">
        <v>253</v>
      </c>
    </row>
    <row r="391" customFormat="false" ht="43.5" hidden="false" customHeight="true" outlineLevel="0" collapsed="false">
      <c r="A391" s="22" t="s">
        <v>1769</v>
      </c>
      <c r="B391" s="22" t="s">
        <v>1770</v>
      </c>
      <c r="C391" s="22" t="s">
        <v>49</v>
      </c>
      <c r="D391" s="22" t="s">
        <v>922</v>
      </c>
      <c r="E391" s="22" t="str">
        <f aca="false">IF(D391="","",IFERROR(VLOOKUP(D391,$A$2:$B$1656,2,FALSE()),""))</f>
        <v>Healing, Craft, and Knowledge Roles</v>
      </c>
      <c r="F391" s="22" t="n">
        <v>3</v>
      </c>
      <c r="G391" s="22" t="s">
        <v>1771</v>
      </c>
      <c r="H391" s="22" t="s">
        <v>937</v>
      </c>
      <c r="I391" s="22" t="s">
        <v>1772</v>
      </c>
      <c r="J391" s="22" t="s">
        <v>1635</v>
      </c>
      <c r="K391" s="22" t="s">
        <v>1772</v>
      </c>
      <c r="L391" s="22" t="s">
        <v>184</v>
      </c>
      <c r="M391" s="22" t="s">
        <v>253</v>
      </c>
    </row>
    <row r="392" customFormat="false" ht="43.5" hidden="false" customHeight="true" outlineLevel="0" collapsed="false">
      <c r="A392" s="22" t="s">
        <v>1773</v>
      </c>
      <c r="B392" s="22" t="s">
        <v>1774</v>
      </c>
      <c r="C392" s="22" t="s">
        <v>49</v>
      </c>
      <c r="D392" s="22" t="s">
        <v>922</v>
      </c>
      <c r="E392" s="22" t="str">
        <f aca="false">IF(D392="","",IFERROR(VLOOKUP(D392,$A$2:$B$1656,2,FALSE()),""))</f>
        <v>Healing, Craft, and Knowledge Roles</v>
      </c>
      <c r="F392" s="22" t="n">
        <v>3</v>
      </c>
      <c r="G392" s="22" t="s">
        <v>1775</v>
      </c>
      <c r="H392" s="22" t="s">
        <v>937</v>
      </c>
      <c r="I392" s="22" t="s">
        <v>1776</v>
      </c>
      <c r="J392" s="22" t="s">
        <v>1635</v>
      </c>
      <c r="K392" s="22" t="s">
        <v>1776</v>
      </c>
      <c r="L392" s="22" t="s">
        <v>184</v>
      </c>
      <c r="M392" s="22" t="s">
        <v>253</v>
      </c>
    </row>
    <row r="393" customFormat="false" ht="43.5" hidden="false" customHeight="true" outlineLevel="0" collapsed="false">
      <c r="A393" s="22" t="s">
        <v>1777</v>
      </c>
      <c r="B393" s="22" t="s">
        <v>1778</v>
      </c>
      <c r="C393" s="22" t="s">
        <v>49</v>
      </c>
      <c r="D393" s="22" t="s">
        <v>922</v>
      </c>
      <c r="E393" s="22" t="str">
        <f aca="false">IF(D393="","",IFERROR(VLOOKUP(D393,$A$2:$B$1656,2,FALSE()),""))</f>
        <v>Healing, Craft, and Knowledge Roles</v>
      </c>
      <c r="F393" s="22" t="n">
        <v>3</v>
      </c>
      <c r="G393" s="22" t="s">
        <v>1779</v>
      </c>
      <c r="H393" s="22" t="s">
        <v>937</v>
      </c>
      <c r="I393" s="22" t="s">
        <v>1780</v>
      </c>
      <c r="J393" s="22" t="s">
        <v>1635</v>
      </c>
      <c r="K393" s="22" t="s">
        <v>1780</v>
      </c>
      <c r="L393" s="22" t="s">
        <v>184</v>
      </c>
      <c r="M393" s="22" t="s">
        <v>253</v>
      </c>
    </row>
    <row r="394" customFormat="false" ht="43.5" hidden="false" customHeight="true" outlineLevel="0" collapsed="false">
      <c r="A394" s="22" t="s">
        <v>1781</v>
      </c>
      <c r="B394" s="22" t="s">
        <v>1782</v>
      </c>
      <c r="C394" s="22" t="s">
        <v>49</v>
      </c>
      <c r="D394" s="22" t="s">
        <v>922</v>
      </c>
      <c r="E394" s="22" t="str">
        <f aca="false">IF(D394="","",IFERROR(VLOOKUP(D394,$A$2:$B$1656,2,FALSE()),""))</f>
        <v>Healing, Craft, and Knowledge Roles</v>
      </c>
      <c r="F394" s="22" t="n">
        <v>3</v>
      </c>
      <c r="G394" s="22" t="s">
        <v>1783</v>
      </c>
      <c r="H394" s="22" t="s">
        <v>937</v>
      </c>
      <c r="I394" s="22" t="s">
        <v>1784</v>
      </c>
      <c r="J394" s="22" t="s">
        <v>1635</v>
      </c>
      <c r="K394" s="22" t="s">
        <v>1784</v>
      </c>
      <c r="L394" s="22" t="s">
        <v>184</v>
      </c>
      <c r="M394" s="22" t="s">
        <v>253</v>
      </c>
    </row>
    <row r="395" customFormat="false" ht="43.5" hidden="false" customHeight="true" outlineLevel="0" collapsed="false">
      <c r="A395" s="22" t="s">
        <v>1785</v>
      </c>
      <c r="B395" s="22" t="s">
        <v>1786</v>
      </c>
      <c r="C395" s="22" t="s">
        <v>49</v>
      </c>
      <c r="D395" s="22" t="s">
        <v>922</v>
      </c>
      <c r="E395" s="22" t="str">
        <f aca="false">IF(D395="","",IFERROR(VLOOKUP(D395,$A$2:$B$1656,2,FALSE()),""))</f>
        <v>Healing, Craft, and Knowledge Roles</v>
      </c>
      <c r="F395" s="22" t="n">
        <v>3</v>
      </c>
      <c r="G395" s="22" t="s">
        <v>1787</v>
      </c>
      <c r="H395" s="22" t="s">
        <v>937</v>
      </c>
      <c r="I395" s="22" t="s">
        <v>1788</v>
      </c>
      <c r="J395" s="22" t="s">
        <v>1635</v>
      </c>
      <c r="K395" s="22" t="s">
        <v>1788</v>
      </c>
      <c r="L395" s="22" t="s">
        <v>184</v>
      </c>
      <c r="M395" s="22" t="s">
        <v>253</v>
      </c>
    </row>
    <row r="396" customFormat="false" ht="43.5" hidden="false" customHeight="true" outlineLevel="0" collapsed="false">
      <c r="A396" s="22" t="s">
        <v>1789</v>
      </c>
      <c r="B396" s="22" t="s">
        <v>1790</v>
      </c>
      <c r="C396" s="22" t="s">
        <v>49</v>
      </c>
      <c r="D396" s="22" t="s">
        <v>922</v>
      </c>
      <c r="E396" s="22" t="str">
        <f aca="false">IF(D396="","",IFERROR(VLOOKUP(D396,$A$2:$B$1656,2,FALSE()),""))</f>
        <v>Healing, Craft, and Knowledge Roles</v>
      </c>
      <c r="F396" s="22" t="n">
        <v>3</v>
      </c>
      <c r="G396" s="22" t="s">
        <v>1791</v>
      </c>
      <c r="H396" s="22" t="s">
        <v>937</v>
      </c>
      <c r="I396" s="22" t="s">
        <v>1792</v>
      </c>
      <c r="J396" s="22" t="s">
        <v>1635</v>
      </c>
      <c r="K396" s="22" t="s">
        <v>1792</v>
      </c>
      <c r="L396" s="22" t="s">
        <v>184</v>
      </c>
      <c r="M396" s="22" t="s">
        <v>253</v>
      </c>
    </row>
    <row r="397" customFormat="false" ht="43.5" hidden="false" customHeight="true" outlineLevel="0" collapsed="false">
      <c r="A397" s="22" t="s">
        <v>1793</v>
      </c>
      <c r="B397" s="22" t="s">
        <v>1794</v>
      </c>
      <c r="C397" s="22" t="s">
        <v>49</v>
      </c>
      <c r="D397" s="22" t="s">
        <v>925</v>
      </c>
      <c r="E397" s="22" t="str">
        <f aca="false">IF(D397="","",IFERROR(VLOOKUP(D397,$A$2:$B$1656,2,FALSE()),""))</f>
        <v>Leadership and Social Office Roles</v>
      </c>
      <c r="F397" s="22" t="n">
        <v>3</v>
      </c>
      <c r="G397" s="22" t="s">
        <v>1795</v>
      </c>
      <c r="H397" s="22" t="s">
        <v>937</v>
      </c>
      <c r="I397" s="22" t="s">
        <v>1796</v>
      </c>
      <c r="J397" s="22" t="s">
        <v>1797</v>
      </c>
      <c r="K397" s="22" t="s">
        <v>1796</v>
      </c>
      <c r="L397" s="22" t="s">
        <v>184</v>
      </c>
      <c r="M397" s="22" t="s">
        <v>253</v>
      </c>
    </row>
    <row r="398" customFormat="false" ht="43.5" hidden="false" customHeight="true" outlineLevel="0" collapsed="false">
      <c r="A398" s="22" t="s">
        <v>1798</v>
      </c>
      <c r="B398" s="22" t="s">
        <v>1799</v>
      </c>
      <c r="C398" s="22" t="s">
        <v>49</v>
      </c>
      <c r="D398" s="22" t="s">
        <v>925</v>
      </c>
      <c r="E398" s="22" t="str">
        <f aca="false">IF(D398="","",IFERROR(VLOOKUP(D398,$A$2:$B$1656,2,FALSE()),""))</f>
        <v>Leadership and Social Office Roles</v>
      </c>
      <c r="F398" s="22" t="n">
        <v>3</v>
      </c>
      <c r="G398" s="22" t="s">
        <v>1800</v>
      </c>
      <c r="H398" s="22" t="s">
        <v>937</v>
      </c>
      <c r="I398" s="22" t="s">
        <v>1801</v>
      </c>
      <c r="J398" s="22" t="s">
        <v>1797</v>
      </c>
      <c r="K398" s="22" t="s">
        <v>1801</v>
      </c>
      <c r="L398" s="22" t="s">
        <v>184</v>
      </c>
      <c r="M398" s="22" t="s">
        <v>253</v>
      </c>
    </row>
    <row r="399" customFormat="false" ht="43.5" hidden="false" customHeight="true" outlineLevel="0" collapsed="false">
      <c r="A399" s="22" t="s">
        <v>1802</v>
      </c>
      <c r="B399" s="22" t="s">
        <v>1803</v>
      </c>
      <c r="C399" s="22" t="s">
        <v>49</v>
      </c>
      <c r="D399" s="22" t="s">
        <v>925</v>
      </c>
      <c r="E399" s="22" t="str">
        <f aca="false">IF(D399="","",IFERROR(VLOOKUP(D399,$A$2:$B$1656,2,FALSE()),""))</f>
        <v>Leadership and Social Office Roles</v>
      </c>
      <c r="F399" s="22" t="n">
        <v>3</v>
      </c>
      <c r="G399" s="22" t="s">
        <v>1804</v>
      </c>
      <c r="H399" s="22" t="s">
        <v>937</v>
      </c>
      <c r="I399" s="22" t="s">
        <v>1805</v>
      </c>
      <c r="J399" s="22" t="s">
        <v>1797</v>
      </c>
      <c r="K399" s="22" t="s">
        <v>1805</v>
      </c>
      <c r="L399" s="22" t="s">
        <v>184</v>
      </c>
      <c r="M399" s="22" t="s">
        <v>253</v>
      </c>
    </row>
    <row r="400" customFormat="false" ht="43.5" hidden="false" customHeight="true" outlineLevel="0" collapsed="false">
      <c r="A400" s="22" t="s">
        <v>1806</v>
      </c>
      <c r="B400" s="22" t="s">
        <v>1807</v>
      </c>
      <c r="C400" s="22" t="s">
        <v>49</v>
      </c>
      <c r="D400" s="22" t="s">
        <v>925</v>
      </c>
      <c r="E400" s="22" t="str">
        <f aca="false">IF(D400="","",IFERROR(VLOOKUP(D400,$A$2:$B$1656,2,FALSE()),""))</f>
        <v>Leadership and Social Office Roles</v>
      </c>
      <c r="F400" s="22" t="n">
        <v>3</v>
      </c>
      <c r="G400" s="22" t="s">
        <v>1808</v>
      </c>
      <c r="H400" s="22" t="s">
        <v>937</v>
      </c>
      <c r="I400" s="22" t="s">
        <v>1809</v>
      </c>
      <c r="J400" s="22" t="s">
        <v>1797</v>
      </c>
      <c r="K400" s="22" t="s">
        <v>1809</v>
      </c>
      <c r="L400" s="22" t="s">
        <v>184</v>
      </c>
      <c r="M400" s="22" t="s">
        <v>253</v>
      </c>
    </row>
    <row r="401" customFormat="false" ht="43.5" hidden="false" customHeight="true" outlineLevel="0" collapsed="false">
      <c r="A401" s="22" t="s">
        <v>1810</v>
      </c>
      <c r="B401" s="22" t="s">
        <v>1811</v>
      </c>
      <c r="C401" s="22" t="s">
        <v>49</v>
      </c>
      <c r="D401" s="22" t="s">
        <v>925</v>
      </c>
      <c r="E401" s="22" t="str">
        <f aca="false">IF(D401="","",IFERROR(VLOOKUP(D401,$A$2:$B$1656,2,FALSE()),""))</f>
        <v>Leadership and Social Office Roles</v>
      </c>
      <c r="F401" s="22" t="n">
        <v>3</v>
      </c>
      <c r="G401" s="22" t="s">
        <v>1812</v>
      </c>
      <c r="H401" s="22" t="s">
        <v>937</v>
      </c>
      <c r="I401" s="22" t="s">
        <v>1813</v>
      </c>
      <c r="J401" s="22" t="s">
        <v>1797</v>
      </c>
      <c r="K401" s="22" t="s">
        <v>1813</v>
      </c>
      <c r="L401" s="22" t="s">
        <v>184</v>
      </c>
      <c r="M401" s="22" t="s">
        <v>253</v>
      </c>
    </row>
    <row r="402" customFormat="false" ht="43.5" hidden="false" customHeight="true" outlineLevel="0" collapsed="false">
      <c r="A402" s="22" t="s">
        <v>1814</v>
      </c>
      <c r="B402" s="22" t="s">
        <v>1815</v>
      </c>
      <c r="C402" s="22" t="s">
        <v>49</v>
      </c>
      <c r="D402" s="22" t="s">
        <v>925</v>
      </c>
      <c r="E402" s="22" t="str">
        <f aca="false">IF(D402="","",IFERROR(VLOOKUP(D402,$A$2:$B$1656,2,FALSE()),""))</f>
        <v>Leadership and Social Office Roles</v>
      </c>
      <c r="F402" s="22" t="n">
        <v>3</v>
      </c>
      <c r="G402" s="22" t="s">
        <v>1816</v>
      </c>
      <c r="H402" s="22" t="s">
        <v>937</v>
      </c>
      <c r="I402" s="22" t="s">
        <v>1817</v>
      </c>
      <c r="J402" s="22" t="s">
        <v>1797</v>
      </c>
      <c r="K402" s="22" t="s">
        <v>1817</v>
      </c>
      <c r="L402" s="22" t="s">
        <v>184</v>
      </c>
      <c r="M402" s="22" t="s">
        <v>253</v>
      </c>
    </row>
    <row r="403" customFormat="false" ht="43.5" hidden="false" customHeight="true" outlineLevel="0" collapsed="false">
      <c r="A403" s="22" t="s">
        <v>1818</v>
      </c>
      <c r="B403" s="22" t="s">
        <v>1819</v>
      </c>
      <c r="C403" s="22" t="s">
        <v>49</v>
      </c>
      <c r="D403" s="22" t="s">
        <v>925</v>
      </c>
      <c r="E403" s="22" t="str">
        <f aca="false">IF(D403="","",IFERROR(VLOOKUP(D403,$A$2:$B$1656,2,FALSE()),""))</f>
        <v>Leadership and Social Office Roles</v>
      </c>
      <c r="F403" s="22" t="n">
        <v>3</v>
      </c>
      <c r="G403" s="22" t="s">
        <v>1820</v>
      </c>
      <c r="H403" s="22" t="s">
        <v>937</v>
      </c>
      <c r="I403" s="22" t="s">
        <v>1821</v>
      </c>
      <c r="J403" s="22" t="s">
        <v>1797</v>
      </c>
      <c r="K403" s="22" t="s">
        <v>1821</v>
      </c>
      <c r="L403" s="22" t="s">
        <v>184</v>
      </c>
      <c r="M403" s="22" t="s">
        <v>253</v>
      </c>
    </row>
    <row r="404" customFormat="false" ht="43.5" hidden="false" customHeight="true" outlineLevel="0" collapsed="false">
      <c r="A404" s="22" t="s">
        <v>1822</v>
      </c>
      <c r="B404" s="22" t="s">
        <v>1823</v>
      </c>
      <c r="C404" s="22" t="s">
        <v>49</v>
      </c>
      <c r="D404" s="22" t="s">
        <v>925</v>
      </c>
      <c r="E404" s="22" t="str">
        <f aca="false">IF(D404="","",IFERROR(VLOOKUP(D404,$A$2:$B$1656,2,FALSE()),""))</f>
        <v>Leadership and Social Office Roles</v>
      </c>
      <c r="F404" s="22" t="n">
        <v>3</v>
      </c>
      <c r="G404" s="22" t="s">
        <v>1824</v>
      </c>
      <c r="H404" s="22" t="s">
        <v>937</v>
      </c>
      <c r="I404" s="22" t="s">
        <v>1825</v>
      </c>
      <c r="J404" s="22" t="s">
        <v>1797</v>
      </c>
      <c r="K404" s="22" t="s">
        <v>1825</v>
      </c>
      <c r="L404" s="22" t="s">
        <v>184</v>
      </c>
      <c r="M404" s="22" t="s">
        <v>253</v>
      </c>
    </row>
    <row r="405" customFormat="false" ht="43.5" hidden="false" customHeight="true" outlineLevel="0" collapsed="false">
      <c r="A405" s="22" t="s">
        <v>1826</v>
      </c>
      <c r="B405" s="22" t="s">
        <v>1827</v>
      </c>
      <c r="C405" s="22" t="s">
        <v>49</v>
      </c>
      <c r="D405" s="22" t="s">
        <v>925</v>
      </c>
      <c r="E405" s="22" t="str">
        <f aca="false">IF(D405="","",IFERROR(VLOOKUP(D405,$A$2:$B$1656,2,FALSE()),""))</f>
        <v>Leadership and Social Office Roles</v>
      </c>
      <c r="F405" s="22" t="n">
        <v>3</v>
      </c>
      <c r="G405" s="22" t="s">
        <v>1828</v>
      </c>
      <c r="H405" s="22" t="s">
        <v>937</v>
      </c>
      <c r="I405" s="22" t="s">
        <v>1829</v>
      </c>
      <c r="J405" s="22" t="s">
        <v>1797</v>
      </c>
      <c r="K405" s="22" t="s">
        <v>1829</v>
      </c>
      <c r="L405" s="22" t="s">
        <v>184</v>
      </c>
      <c r="M405" s="22" t="s">
        <v>253</v>
      </c>
    </row>
    <row r="406" customFormat="false" ht="43.5" hidden="false" customHeight="true" outlineLevel="0" collapsed="false">
      <c r="A406" s="22" t="s">
        <v>1830</v>
      </c>
      <c r="B406" s="22" t="s">
        <v>1831</v>
      </c>
      <c r="C406" s="22" t="s">
        <v>49</v>
      </c>
      <c r="D406" s="22" t="s">
        <v>925</v>
      </c>
      <c r="E406" s="22" t="str">
        <f aca="false">IF(D406="","",IFERROR(VLOOKUP(D406,$A$2:$B$1656,2,FALSE()),""))</f>
        <v>Leadership and Social Office Roles</v>
      </c>
      <c r="F406" s="22" t="n">
        <v>3</v>
      </c>
      <c r="G406" s="22" t="s">
        <v>1832</v>
      </c>
      <c r="H406" s="22" t="s">
        <v>937</v>
      </c>
      <c r="I406" s="22" t="s">
        <v>1833</v>
      </c>
      <c r="J406" s="22" t="s">
        <v>1797</v>
      </c>
      <c r="K406" s="22" t="s">
        <v>1833</v>
      </c>
      <c r="L406" s="22" t="s">
        <v>184</v>
      </c>
      <c r="M406" s="22" t="s">
        <v>253</v>
      </c>
    </row>
    <row r="407" customFormat="false" ht="43.5" hidden="false" customHeight="true" outlineLevel="0" collapsed="false">
      <c r="A407" s="22" t="s">
        <v>1834</v>
      </c>
      <c r="B407" s="22" t="s">
        <v>1835</v>
      </c>
      <c r="C407" s="22" t="s">
        <v>49</v>
      </c>
      <c r="D407" s="22" t="s">
        <v>925</v>
      </c>
      <c r="E407" s="22" t="str">
        <f aca="false">IF(D407="","",IFERROR(VLOOKUP(D407,$A$2:$B$1656,2,FALSE()),""))</f>
        <v>Leadership and Social Office Roles</v>
      </c>
      <c r="F407" s="22" t="n">
        <v>3</v>
      </c>
      <c r="G407" s="22" t="s">
        <v>1836</v>
      </c>
      <c r="H407" s="22" t="s">
        <v>937</v>
      </c>
      <c r="I407" s="22" t="s">
        <v>1837</v>
      </c>
      <c r="J407" s="22" t="s">
        <v>1797</v>
      </c>
      <c r="K407" s="22" t="s">
        <v>1837</v>
      </c>
      <c r="L407" s="22" t="s">
        <v>184</v>
      </c>
      <c r="M407" s="22" t="s">
        <v>253</v>
      </c>
    </row>
    <row r="408" customFormat="false" ht="43.5" hidden="false" customHeight="true" outlineLevel="0" collapsed="false">
      <c r="A408" s="22" t="s">
        <v>1838</v>
      </c>
      <c r="B408" s="22" t="s">
        <v>1839</v>
      </c>
      <c r="C408" s="22" t="s">
        <v>49</v>
      </c>
      <c r="D408" s="22" t="s">
        <v>925</v>
      </c>
      <c r="E408" s="22" t="str">
        <f aca="false">IF(D408="","",IFERROR(VLOOKUP(D408,$A$2:$B$1656,2,FALSE()),""))</f>
        <v>Leadership and Social Office Roles</v>
      </c>
      <c r="F408" s="22" t="n">
        <v>3</v>
      </c>
      <c r="G408" s="22" t="s">
        <v>1840</v>
      </c>
      <c r="H408" s="22" t="s">
        <v>937</v>
      </c>
      <c r="I408" s="22" t="s">
        <v>1841</v>
      </c>
      <c r="J408" s="22" t="s">
        <v>1797</v>
      </c>
      <c r="K408" s="22" t="s">
        <v>1841</v>
      </c>
      <c r="L408" s="22" t="s">
        <v>184</v>
      </c>
      <c r="M408" s="22" t="s">
        <v>253</v>
      </c>
    </row>
    <row r="409" customFormat="false" ht="43.5" hidden="false" customHeight="true" outlineLevel="0" collapsed="false">
      <c r="A409" s="22" t="s">
        <v>1842</v>
      </c>
      <c r="B409" s="22" t="s">
        <v>1843</v>
      </c>
      <c r="C409" s="22" t="s">
        <v>49</v>
      </c>
      <c r="D409" s="22" t="s">
        <v>925</v>
      </c>
      <c r="E409" s="22" t="str">
        <f aca="false">IF(D409="","",IFERROR(VLOOKUP(D409,$A$2:$B$1656,2,FALSE()),""))</f>
        <v>Leadership and Social Office Roles</v>
      </c>
      <c r="F409" s="22" t="n">
        <v>3</v>
      </c>
      <c r="G409" s="22" t="s">
        <v>1844</v>
      </c>
      <c r="H409" s="22" t="s">
        <v>937</v>
      </c>
      <c r="I409" s="22" t="s">
        <v>1845</v>
      </c>
      <c r="J409" s="22" t="s">
        <v>1797</v>
      </c>
      <c r="K409" s="22" t="s">
        <v>1845</v>
      </c>
      <c r="L409" s="22" t="s">
        <v>184</v>
      </c>
      <c r="M409" s="22" t="s">
        <v>253</v>
      </c>
    </row>
    <row r="410" customFormat="false" ht="43.5" hidden="false" customHeight="true" outlineLevel="0" collapsed="false">
      <c r="A410" s="22" t="s">
        <v>1846</v>
      </c>
      <c r="B410" s="22" t="s">
        <v>1847</v>
      </c>
      <c r="C410" s="22" t="s">
        <v>49</v>
      </c>
      <c r="D410" s="22" t="s">
        <v>925</v>
      </c>
      <c r="E410" s="22" t="str">
        <f aca="false">IF(D410="","",IFERROR(VLOOKUP(D410,$A$2:$B$1656,2,FALSE()),""))</f>
        <v>Leadership and Social Office Roles</v>
      </c>
      <c r="F410" s="22" t="n">
        <v>3</v>
      </c>
      <c r="G410" s="22" t="s">
        <v>1848</v>
      </c>
      <c r="H410" s="22" t="s">
        <v>937</v>
      </c>
      <c r="I410" s="22" t="s">
        <v>1849</v>
      </c>
      <c r="J410" s="22" t="s">
        <v>1797</v>
      </c>
      <c r="K410" s="22" t="s">
        <v>1849</v>
      </c>
      <c r="L410" s="22" t="s">
        <v>184</v>
      </c>
      <c r="M410" s="22" t="s">
        <v>253</v>
      </c>
    </row>
    <row r="411" customFormat="false" ht="43.5" hidden="false" customHeight="true" outlineLevel="0" collapsed="false">
      <c r="A411" s="22" t="s">
        <v>1850</v>
      </c>
      <c r="B411" s="22" t="s">
        <v>1851</v>
      </c>
      <c r="C411" s="22" t="s">
        <v>49</v>
      </c>
      <c r="D411" s="22" t="s">
        <v>925</v>
      </c>
      <c r="E411" s="22" t="str">
        <f aca="false">IF(D411="","",IFERROR(VLOOKUP(D411,$A$2:$B$1656,2,FALSE()),""))</f>
        <v>Leadership and Social Office Roles</v>
      </c>
      <c r="F411" s="22" t="n">
        <v>3</v>
      </c>
      <c r="G411" s="22" t="s">
        <v>1852</v>
      </c>
      <c r="H411" s="22" t="s">
        <v>937</v>
      </c>
      <c r="I411" s="22" t="s">
        <v>1853</v>
      </c>
      <c r="J411" s="22" t="s">
        <v>1797</v>
      </c>
      <c r="K411" s="22" t="s">
        <v>1853</v>
      </c>
      <c r="L411" s="22" t="s">
        <v>184</v>
      </c>
      <c r="M411" s="22" t="s">
        <v>253</v>
      </c>
    </row>
    <row r="412" customFormat="false" ht="43.5" hidden="false" customHeight="true" outlineLevel="0" collapsed="false">
      <c r="A412" s="22" t="s">
        <v>1854</v>
      </c>
      <c r="B412" s="22" t="s">
        <v>1855</v>
      </c>
      <c r="C412" s="22" t="s">
        <v>49</v>
      </c>
      <c r="D412" s="22" t="s">
        <v>925</v>
      </c>
      <c r="E412" s="22" t="str">
        <f aca="false">IF(D412="","",IFERROR(VLOOKUP(D412,$A$2:$B$1656,2,FALSE()),""))</f>
        <v>Leadership and Social Office Roles</v>
      </c>
      <c r="F412" s="22" t="n">
        <v>3</v>
      </c>
      <c r="G412" s="22" t="s">
        <v>1856</v>
      </c>
      <c r="H412" s="22" t="s">
        <v>937</v>
      </c>
      <c r="I412" s="22" t="s">
        <v>1857</v>
      </c>
      <c r="J412" s="22" t="s">
        <v>1797</v>
      </c>
      <c r="K412" s="22" t="s">
        <v>1857</v>
      </c>
      <c r="L412" s="22" t="s">
        <v>184</v>
      </c>
      <c r="M412" s="22" t="s">
        <v>253</v>
      </c>
    </row>
    <row r="413" customFormat="false" ht="43.5" hidden="false" customHeight="true" outlineLevel="0" collapsed="false">
      <c r="A413" s="22" t="s">
        <v>1858</v>
      </c>
      <c r="B413" s="22" t="s">
        <v>1859</v>
      </c>
      <c r="C413" s="22" t="s">
        <v>49</v>
      </c>
      <c r="D413" s="22" t="s">
        <v>925</v>
      </c>
      <c r="E413" s="22" t="str">
        <f aca="false">IF(D413="","",IFERROR(VLOOKUP(D413,$A$2:$B$1656,2,FALSE()),""))</f>
        <v>Leadership and Social Office Roles</v>
      </c>
      <c r="F413" s="22" t="n">
        <v>3</v>
      </c>
      <c r="G413" s="22" t="s">
        <v>1860</v>
      </c>
      <c r="H413" s="22" t="s">
        <v>937</v>
      </c>
      <c r="I413" s="22" t="s">
        <v>1861</v>
      </c>
      <c r="J413" s="22" t="s">
        <v>1797</v>
      </c>
      <c r="K413" s="22" t="s">
        <v>1861</v>
      </c>
      <c r="L413" s="22" t="s">
        <v>184</v>
      </c>
      <c r="M413" s="22" t="s">
        <v>253</v>
      </c>
    </row>
    <row r="414" customFormat="false" ht="43.5" hidden="false" customHeight="true" outlineLevel="0" collapsed="false">
      <c r="A414" s="22" t="s">
        <v>1862</v>
      </c>
      <c r="B414" s="22" t="s">
        <v>1863</v>
      </c>
      <c r="C414" s="22" t="s">
        <v>49</v>
      </c>
      <c r="D414" s="22" t="s">
        <v>925</v>
      </c>
      <c r="E414" s="22" t="str">
        <f aca="false">IF(D414="","",IFERROR(VLOOKUP(D414,$A$2:$B$1656,2,FALSE()),""))</f>
        <v>Leadership and Social Office Roles</v>
      </c>
      <c r="F414" s="22" t="n">
        <v>3</v>
      </c>
      <c r="G414" s="22" t="s">
        <v>1864</v>
      </c>
      <c r="H414" s="22" t="s">
        <v>937</v>
      </c>
      <c r="I414" s="22" t="s">
        <v>1865</v>
      </c>
      <c r="J414" s="22" t="s">
        <v>1797</v>
      </c>
      <c r="K414" s="22" t="s">
        <v>1865</v>
      </c>
      <c r="L414" s="22" t="s">
        <v>184</v>
      </c>
      <c r="M414" s="22" t="s">
        <v>253</v>
      </c>
    </row>
    <row r="415" customFormat="false" ht="43.5" hidden="false" customHeight="true" outlineLevel="0" collapsed="false">
      <c r="A415" s="22" t="s">
        <v>1866</v>
      </c>
      <c r="B415" s="22" t="s">
        <v>1867</v>
      </c>
      <c r="C415" s="22" t="s">
        <v>49</v>
      </c>
      <c r="D415" s="22" t="s">
        <v>925</v>
      </c>
      <c r="E415" s="22" t="str">
        <f aca="false">IF(D415="","",IFERROR(VLOOKUP(D415,$A$2:$B$1656,2,FALSE()),""))</f>
        <v>Leadership and Social Office Roles</v>
      </c>
      <c r="F415" s="22" t="n">
        <v>3</v>
      </c>
      <c r="G415" s="22" t="s">
        <v>1868</v>
      </c>
      <c r="H415" s="22" t="s">
        <v>937</v>
      </c>
      <c r="I415" s="22" t="s">
        <v>1869</v>
      </c>
      <c r="J415" s="22" t="s">
        <v>1797</v>
      </c>
      <c r="K415" s="22" t="s">
        <v>1869</v>
      </c>
      <c r="L415" s="22" t="s">
        <v>184</v>
      </c>
      <c r="M415" s="22" t="s">
        <v>253</v>
      </c>
    </row>
    <row r="416" customFormat="false" ht="43.5" hidden="false" customHeight="true" outlineLevel="0" collapsed="false">
      <c r="A416" s="22" t="s">
        <v>1870</v>
      </c>
      <c r="B416" s="22" t="s">
        <v>1871</v>
      </c>
      <c r="C416" s="22" t="s">
        <v>49</v>
      </c>
      <c r="D416" s="22" t="s">
        <v>925</v>
      </c>
      <c r="E416" s="22" t="str">
        <f aca="false">IF(D416="","",IFERROR(VLOOKUP(D416,$A$2:$B$1656,2,FALSE()),""))</f>
        <v>Leadership and Social Office Roles</v>
      </c>
      <c r="F416" s="22" t="n">
        <v>3</v>
      </c>
      <c r="G416" s="22" t="s">
        <v>1872</v>
      </c>
      <c r="H416" s="22" t="s">
        <v>937</v>
      </c>
      <c r="I416" s="22" t="s">
        <v>1873</v>
      </c>
      <c r="J416" s="22" t="s">
        <v>1797</v>
      </c>
      <c r="K416" s="22" t="s">
        <v>1873</v>
      </c>
      <c r="L416" s="22" t="s">
        <v>184</v>
      </c>
      <c r="M416" s="22" t="s">
        <v>253</v>
      </c>
    </row>
    <row r="417" customFormat="false" ht="43.5" hidden="false" customHeight="true" outlineLevel="0" collapsed="false">
      <c r="A417" s="22" t="s">
        <v>1874</v>
      </c>
      <c r="B417" s="22" t="s">
        <v>1875</v>
      </c>
      <c r="C417" s="22" t="s">
        <v>49</v>
      </c>
      <c r="D417" s="22" t="s">
        <v>925</v>
      </c>
      <c r="E417" s="22" t="str">
        <f aca="false">IF(D417="","",IFERROR(VLOOKUP(D417,$A$2:$B$1656,2,FALSE()),""))</f>
        <v>Leadership and Social Office Roles</v>
      </c>
      <c r="F417" s="22" t="n">
        <v>3</v>
      </c>
      <c r="G417" s="22" t="s">
        <v>1876</v>
      </c>
      <c r="H417" s="22" t="s">
        <v>937</v>
      </c>
      <c r="I417" s="22" t="s">
        <v>1877</v>
      </c>
      <c r="J417" s="22" t="s">
        <v>1797</v>
      </c>
      <c r="K417" s="22" t="s">
        <v>1877</v>
      </c>
      <c r="L417" s="22" t="s">
        <v>184</v>
      </c>
      <c r="M417" s="22" t="s">
        <v>253</v>
      </c>
    </row>
    <row r="418" customFormat="false" ht="43.5" hidden="false" customHeight="true" outlineLevel="0" collapsed="false">
      <c r="A418" s="22" t="s">
        <v>1878</v>
      </c>
      <c r="B418" s="22" t="s">
        <v>1879</v>
      </c>
      <c r="C418" s="22" t="s">
        <v>49</v>
      </c>
      <c r="D418" s="22" t="s">
        <v>925</v>
      </c>
      <c r="E418" s="22" t="str">
        <f aca="false">IF(D418="","",IFERROR(VLOOKUP(D418,$A$2:$B$1656,2,FALSE()),""))</f>
        <v>Leadership and Social Office Roles</v>
      </c>
      <c r="F418" s="22" t="n">
        <v>3</v>
      </c>
      <c r="G418" s="22" t="s">
        <v>1880</v>
      </c>
      <c r="H418" s="22" t="s">
        <v>937</v>
      </c>
      <c r="I418" s="22" t="s">
        <v>1881</v>
      </c>
      <c r="J418" s="22" t="s">
        <v>1797</v>
      </c>
      <c r="K418" s="22" t="s">
        <v>1881</v>
      </c>
      <c r="L418" s="22" t="s">
        <v>184</v>
      </c>
      <c r="M418" s="22" t="s">
        <v>253</v>
      </c>
    </row>
    <row r="419" customFormat="false" ht="43.5" hidden="false" customHeight="true" outlineLevel="0" collapsed="false">
      <c r="A419" s="22" t="s">
        <v>1882</v>
      </c>
      <c r="B419" s="22" t="s">
        <v>1883</v>
      </c>
      <c r="C419" s="22" t="s">
        <v>49</v>
      </c>
      <c r="D419" s="22" t="s">
        <v>925</v>
      </c>
      <c r="E419" s="22" t="str">
        <f aca="false">IF(D419="","",IFERROR(VLOOKUP(D419,$A$2:$B$1656,2,FALSE()),""))</f>
        <v>Leadership and Social Office Roles</v>
      </c>
      <c r="F419" s="22" t="n">
        <v>3</v>
      </c>
      <c r="G419" s="22" t="s">
        <v>1884</v>
      </c>
      <c r="H419" s="22" t="s">
        <v>937</v>
      </c>
      <c r="I419" s="22" t="s">
        <v>1885</v>
      </c>
      <c r="J419" s="22" t="s">
        <v>1797</v>
      </c>
      <c r="K419" s="22" t="s">
        <v>1885</v>
      </c>
      <c r="L419" s="22" t="s">
        <v>184</v>
      </c>
      <c r="M419" s="22" t="s">
        <v>253</v>
      </c>
    </row>
    <row r="420" customFormat="false" ht="43.5" hidden="false" customHeight="true" outlineLevel="0" collapsed="false">
      <c r="A420" s="22" t="s">
        <v>1886</v>
      </c>
      <c r="B420" s="22" t="s">
        <v>1887</v>
      </c>
      <c r="C420" s="22" t="s">
        <v>49</v>
      </c>
      <c r="D420" s="22" t="s">
        <v>925</v>
      </c>
      <c r="E420" s="22" t="str">
        <f aca="false">IF(D420="","",IFERROR(VLOOKUP(D420,$A$2:$B$1656,2,FALSE()),""))</f>
        <v>Leadership and Social Office Roles</v>
      </c>
      <c r="F420" s="22" t="n">
        <v>3</v>
      </c>
      <c r="G420" s="22" t="s">
        <v>1888</v>
      </c>
      <c r="H420" s="22" t="s">
        <v>937</v>
      </c>
      <c r="I420" s="22" t="s">
        <v>1889</v>
      </c>
      <c r="J420" s="22" t="s">
        <v>1797</v>
      </c>
      <c r="K420" s="22" t="s">
        <v>1889</v>
      </c>
      <c r="L420" s="22" t="s">
        <v>184</v>
      </c>
      <c r="M420" s="22" t="s">
        <v>253</v>
      </c>
    </row>
    <row r="421" customFormat="false" ht="43.5" hidden="false" customHeight="true" outlineLevel="0" collapsed="false">
      <c r="A421" s="22" t="s">
        <v>1890</v>
      </c>
      <c r="B421" s="22" t="s">
        <v>1891</v>
      </c>
      <c r="C421" s="22" t="s">
        <v>49</v>
      </c>
      <c r="D421" s="22" t="s">
        <v>928</v>
      </c>
      <c r="E421" s="22" t="str">
        <f aca="false">IF(D421="","",IFERROR(VLOOKUP(D421,$A$2:$B$1656,2,FALSE()),""))</f>
        <v>Hybrid and Specialist Fantasy Roles</v>
      </c>
      <c r="F421" s="22" t="n">
        <v>3</v>
      </c>
      <c r="G421" s="22" t="s">
        <v>1892</v>
      </c>
      <c r="H421" s="22" t="s">
        <v>937</v>
      </c>
      <c r="I421" s="22" t="s">
        <v>1893</v>
      </c>
      <c r="J421" s="22" t="s">
        <v>1894</v>
      </c>
      <c r="K421" s="22" t="s">
        <v>1893</v>
      </c>
      <c r="L421" s="22" t="s">
        <v>184</v>
      </c>
      <c r="M421" s="22" t="s">
        <v>253</v>
      </c>
    </row>
    <row r="422" customFormat="false" ht="43.5" hidden="false" customHeight="true" outlineLevel="0" collapsed="false">
      <c r="A422" s="22" t="s">
        <v>1895</v>
      </c>
      <c r="B422" s="22" t="s">
        <v>1896</v>
      </c>
      <c r="C422" s="22" t="s">
        <v>49</v>
      </c>
      <c r="D422" s="22" t="s">
        <v>928</v>
      </c>
      <c r="E422" s="22" t="str">
        <f aca="false">IF(D422="","",IFERROR(VLOOKUP(D422,$A$2:$B$1656,2,FALSE()),""))</f>
        <v>Hybrid and Specialist Fantasy Roles</v>
      </c>
      <c r="F422" s="22" t="n">
        <v>3</v>
      </c>
      <c r="G422" s="22" t="s">
        <v>1897</v>
      </c>
      <c r="H422" s="22" t="s">
        <v>937</v>
      </c>
      <c r="I422" s="22" t="s">
        <v>1898</v>
      </c>
      <c r="J422" s="22" t="s">
        <v>1894</v>
      </c>
      <c r="K422" s="22" t="s">
        <v>1898</v>
      </c>
      <c r="L422" s="22" t="s">
        <v>184</v>
      </c>
      <c r="M422" s="22" t="s">
        <v>253</v>
      </c>
    </row>
    <row r="423" customFormat="false" ht="43.5" hidden="false" customHeight="true" outlineLevel="0" collapsed="false">
      <c r="A423" s="22" t="s">
        <v>1899</v>
      </c>
      <c r="B423" s="22" t="s">
        <v>1900</v>
      </c>
      <c r="C423" s="22" t="s">
        <v>49</v>
      </c>
      <c r="D423" s="22" t="s">
        <v>928</v>
      </c>
      <c r="E423" s="22" t="str">
        <f aca="false">IF(D423="","",IFERROR(VLOOKUP(D423,$A$2:$B$1656,2,FALSE()),""))</f>
        <v>Hybrid and Specialist Fantasy Roles</v>
      </c>
      <c r="F423" s="22" t="n">
        <v>3</v>
      </c>
      <c r="G423" s="22" t="s">
        <v>1901</v>
      </c>
      <c r="H423" s="22" t="s">
        <v>937</v>
      </c>
      <c r="I423" s="22" t="s">
        <v>1902</v>
      </c>
      <c r="J423" s="22" t="s">
        <v>1894</v>
      </c>
      <c r="K423" s="22" t="s">
        <v>1902</v>
      </c>
      <c r="L423" s="22" t="s">
        <v>184</v>
      </c>
      <c r="M423" s="22" t="s">
        <v>253</v>
      </c>
    </row>
    <row r="424" customFormat="false" ht="43.5" hidden="false" customHeight="true" outlineLevel="0" collapsed="false">
      <c r="A424" s="22" t="s">
        <v>1903</v>
      </c>
      <c r="B424" s="22" t="s">
        <v>1904</v>
      </c>
      <c r="C424" s="22" t="s">
        <v>49</v>
      </c>
      <c r="D424" s="22" t="s">
        <v>928</v>
      </c>
      <c r="E424" s="22" t="str">
        <f aca="false">IF(D424="","",IFERROR(VLOOKUP(D424,$A$2:$B$1656,2,FALSE()),""))</f>
        <v>Hybrid and Specialist Fantasy Roles</v>
      </c>
      <c r="F424" s="22" t="n">
        <v>3</v>
      </c>
      <c r="G424" s="22" t="s">
        <v>1905</v>
      </c>
      <c r="H424" s="22" t="s">
        <v>937</v>
      </c>
      <c r="I424" s="22" t="s">
        <v>1906</v>
      </c>
      <c r="J424" s="22" t="s">
        <v>1894</v>
      </c>
      <c r="K424" s="22" t="s">
        <v>1906</v>
      </c>
      <c r="L424" s="22" t="s">
        <v>184</v>
      </c>
      <c r="M424" s="22" t="s">
        <v>253</v>
      </c>
    </row>
    <row r="425" customFormat="false" ht="43.5" hidden="false" customHeight="true" outlineLevel="0" collapsed="false">
      <c r="A425" s="22" t="s">
        <v>1907</v>
      </c>
      <c r="B425" s="22" t="s">
        <v>1908</v>
      </c>
      <c r="C425" s="22" t="s">
        <v>49</v>
      </c>
      <c r="D425" s="22" t="s">
        <v>928</v>
      </c>
      <c r="E425" s="22" t="str">
        <f aca="false">IF(D425="","",IFERROR(VLOOKUP(D425,$A$2:$B$1656,2,FALSE()),""))</f>
        <v>Hybrid and Specialist Fantasy Roles</v>
      </c>
      <c r="F425" s="22" t="n">
        <v>3</v>
      </c>
      <c r="G425" s="22" t="s">
        <v>1909</v>
      </c>
      <c r="H425" s="22" t="s">
        <v>937</v>
      </c>
      <c r="I425" s="22" t="s">
        <v>1910</v>
      </c>
      <c r="J425" s="22" t="s">
        <v>1894</v>
      </c>
      <c r="K425" s="22" t="s">
        <v>1910</v>
      </c>
      <c r="L425" s="22" t="s">
        <v>184</v>
      </c>
      <c r="M425" s="22" t="s">
        <v>253</v>
      </c>
    </row>
    <row r="426" customFormat="false" ht="43.5" hidden="false" customHeight="true" outlineLevel="0" collapsed="false">
      <c r="A426" s="22" t="s">
        <v>1911</v>
      </c>
      <c r="B426" s="22" t="s">
        <v>1912</v>
      </c>
      <c r="C426" s="22" t="s">
        <v>49</v>
      </c>
      <c r="D426" s="22" t="s">
        <v>928</v>
      </c>
      <c r="E426" s="22" t="str">
        <f aca="false">IF(D426="","",IFERROR(VLOOKUP(D426,$A$2:$B$1656,2,FALSE()),""))</f>
        <v>Hybrid and Specialist Fantasy Roles</v>
      </c>
      <c r="F426" s="22" t="n">
        <v>3</v>
      </c>
      <c r="G426" s="22" t="s">
        <v>1913</v>
      </c>
      <c r="H426" s="22" t="s">
        <v>937</v>
      </c>
      <c r="I426" s="22" t="s">
        <v>1914</v>
      </c>
      <c r="J426" s="22" t="s">
        <v>1894</v>
      </c>
      <c r="K426" s="22" t="s">
        <v>1914</v>
      </c>
      <c r="L426" s="22" t="s">
        <v>184</v>
      </c>
      <c r="M426" s="22" t="s">
        <v>253</v>
      </c>
    </row>
    <row r="427" customFormat="false" ht="43.5" hidden="false" customHeight="true" outlineLevel="0" collapsed="false">
      <c r="A427" s="22" t="s">
        <v>1915</v>
      </c>
      <c r="B427" s="22" t="s">
        <v>1916</v>
      </c>
      <c r="C427" s="22" t="s">
        <v>49</v>
      </c>
      <c r="D427" s="22" t="s">
        <v>928</v>
      </c>
      <c r="E427" s="22" t="str">
        <f aca="false">IF(D427="","",IFERROR(VLOOKUP(D427,$A$2:$B$1656,2,FALSE()),""))</f>
        <v>Hybrid and Specialist Fantasy Roles</v>
      </c>
      <c r="F427" s="22" t="n">
        <v>3</v>
      </c>
      <c r="G427" s="22" t="s">
        <v>1917</v>
      </c>
      <c r="H427" s="22" t="s">
        <v>937</v>
      </c>
      <c r="I427" s="22" t="s">
        <v>1918</v>
      </c>
      <c r="J427" s="22" t="s">
        <v>1894</v>
      </c>
      <c r="K427" s="22" t="s">
        <v>1918</v>
      </c>
      <c r="L427" s="22" t="s">
        <v>184</v>
      </c>
      <c r="M427" s="22" t="s">
        <v>253</v>
      </c>
    </row>
    <row r="428" customFormat="false" ht="43.5" hidden="false" customHeight="true" outlineLevel="0" collapsed="false">
      <c r="A428" s="22" t="s">
        <v>1919</v>
      </c>
      <c r="B428" s="22" t="s">
        <v>1920</v>
      </c>
      <c r="C428" s="22" t="s">
        <v>49</v>
      </c>
      <c r="D428" s="22" t="s">
        <v>928</v>
      </c>
      <c r="E428" s="22" t="str">
        <f aca="false">IF(D428="","",IFERROR(VLOOKUP(D428,$A$2:$B$1656,2,FALSE()),""))</f>
        <v>Hybrid and Specialist Fantasy Roles</v>
      </c>
      <c r="F428" s="22" t="n">
        <v>3</v>
      </c>
      <c r="G428" s="22" t="s">
        <v>1921</v>
      </c>
      <c r="H428" s="22" t="s">
        <v>937</v>
      </c>
      <c r="I428" s="22" t="s">
        <v>1922</v>
      </c>
      <c r="J428" s="22" t="s">
        <v>1894</v>
      </c>
      <c r="K428" s="22" t="s">
        <v>1922</v>
      </c>
      <c r="L428" s="22" t="s">
        <v>184</v>
      </c>
      <c r="M428" s="22" t="s">
        <v>253</v>
      </c>
    </row>
    <row r="429" customFormat="false" ht="43.5" hidden="false" customHeight="true" outlineLevel="0" collapsed="false">
      <c r="A429" s="22" t="s">
        <v>1923</v>
      </c>
      <c r="B429" s="22" t="s">
        <v>1924</v>
      </c>
      <c r="C429" s="22" t="s">
        <v>49</v>
      </c>
      <c r="D429" s="22" t="s">
        <v>928</v>
      </c>
      <c r="E429" s="22" t="str">
        <f aca="false">IF(D429="","",IFERROR(VLOOKUP(D429,$A$2:$B$1656,2,FALSE()),""))</f>
        <v>Hybrid and Specialist Fantasy Roles</v>
      </c>
      <c r="F429" s="22" t="n">
        <v>3</v>
      </c>
      <c r="G429" s="22" t="s">
        <v>1925</v>
      </c>
      <c r="H429" s="22" t="s">
        <v>937</v>
      </c>
      <c r="I429" s="22" t="s">
        <v>1926</v>
      </c>
      <c r="J429" s="22" t="s">
        <v>1894</v>
      </c>
      <c r="K429" s="22" t="s">
        <v>1926</v>
      </c>
      <c r="L429" s="22" t="s">
        <v>184</v>
      </c>
      <c r="M429" s="22" t="s">
        <v>253</v>
      </c>
    </row>
    <row r="430" customFormat="false" ht="43.5" hidden="false" customHeight="true" outlineLevel="0" collapsed="false">
      <c r="A430" s="22" t="s">
        <v>1927</v>
      </c>
      <c r="B430" s="22" t="s">
        <v>1928</v>
      </c>
      <c r="C430" s="22" t="s">
        <v>49</v>
      </c>
      <c r="D430" s="22" t="s">
        <v>928</v>
      </c>
      <c r="E430" s="22" t="str">
        <f aca="false">IF(D430="","",IFERROR(VLOOKUP(D430,$A$2:$B$1656,2,FALSE()),""))</f>
        <v>Hybrid and Specialist Fantasy Roles</v>
      </c>
      <c r="F430" s="22" t="n">
        <v>3</v>
      </c>
      <c r="G430" s="22" t="s">
        <v>1929</v>
      </c>
      <c r="H430" s="22" t="s">
        <v>937</v>
      </c>
      <c r="I430" s="22" t="s">
        <v>1930</v>
      </c>
      <c r="J430" s="22" t="s">
        <v>1894</v>
      </c>
      <c r="K430" s="22" t="s">
        <v>1930</v>
      </c>
      <c r="L430" s="22" t="s">
        <v>1931</v>
      </c>
      <c r="M430" s="22" t="s">
        <v>253</v>
      </c>
    </row>
    <row r="431" customFormat="false" ht="43.5" hidden="false" customHeight="true" outlineLevel="0" collapsed="false">
      <c r="A431" s="22" t="s">
        <v>1932</v>
      </c>
      <c r="B431" s="22" t="s">
        <v>1933</v>
      </c>
      <c r="C431" s="22" t="s">
        <v>49</v>
      </c>
      <c r="D431" s="22" t="s">
        <v>928</v>
      </c>
      <c r="E431" s="22" t="str">
        <f aca="false">IF(D431="","",IFERROR(VLOOKUP(D431,$A$2:$B$1656,2,FALSE()),""))</f>
        <v>Hybrid and Specialist Fantasy Roles</v>
      </c>
      <c r="F431" s="22" t="n">
        <v>3</v>
      </c>
      <c r="G431" s="22" t="s">
        <v>1934</v>
      </c>
      <c r="H431" s="22" t="s">
        <v>937</v>
      </c>
      <c r="I431" s="22" t="s">
        <v>1935</v>
      </c>
      <c r="J431" s="22" t="s">
        <v>1894</v>
      </c>
      <c r="K431" s="22" t="s">
        <v>1935</v>
      </c>
      <c r="L431" s="22" t="s">
        <v>184</v>
      </c>
      <c r="M431" s="22" t="s">
        <v>253</v>
      </c>
    </row>
    <row r="432" customFormat="false" ht="43.5" hidden="false" customHeight="true" outlineLevel="0" collapsed="false">
      <c r="A432" s="22" t="s">
        <v>1936</v>
      </c>
      <c r="B432" s="22" t="s">
        <v>1937</v>
      </c>
      <c r="C432" s="22" t="s">
        <v>49</v>
      </c>
      <c r="D432" s="22" t="s">
        <v>928</v>
      </c>
      <c r="E432" s="22" t="str">
        <f aca="false">IF(D432="","",IFERROR(VLOOKUP(D432,$A$2:$B$1656,2,FALSE()),""))</f>
        <v>Hybrid and Specialist Fantasy Roles</v>
      </c>
      <c r="F432" s="22" t="n">
        <v>3</v>
      </c>
      <c r="G432" s="22" t="s">
        <v>1938</v>
      </c>
      <c r="H432" s="22" t="s">
        <v>937</v>
      </c>
      <c r="I432" s="22" t="s">
        <v>1939</v>
      </c>
      <c r="J432" s="22" t="s">
        <v>1894</v>
      </c>
      <c r="K432" s="22" t="s">
        <v>1939</v>
      </c>
      <c r="L432" s="22" t="s">
        <v>184</v>
      </c>
      <c r="M432" s="22" t="s">
        <v>253</v>
      </c>
    </row>
    <row r="433" customFormat="false" ht="43.5" hidden="false" customHeight="true" outlineLevel="0" collapsed="false">
      <c r="A433" s="22" t="s">
        <v>1940</v>
      </c>
      <c r="B433" s="22" t="s">
        <v>1941</v>
      </c>
      <c r="C433" s="22" t="s">
        <v>49</v>
      </c>
      <c r="D433" s="22" t="s">
        <v>928</v>
      </c>
      <c r="E433" s="22" t="str">
        <f aca="false">IF(D433="","",IFERROR(VLOOKUP(D433,$A$2:$B$1656,2,FALSE()),""))</f>
        <v>Hybrid and Specialist Fantasy Roles</v>
      </c>
      <c r="F433" s="22" t="n">
        <v>3</v>
      </c>
      <c r="G433" s="22" t="s">
        <v>1942</v>
      </c>
      <c r="H433" s="22" t="s">
        <v>937</v>
      </c>
      <c r="I433" s="22" t="s">
        <v>1943</v>
      </c>
      <c r="J433" s="22" t="s">
        <v>1894</v>
      </c>
      <c r="K433" s="22" t="s">
        <v>1943</v>
      </c>
      <c r="L433" s="22" t="s">
        <v>184</v>
      </c>
      <c r="M433" s="22" t="s">
        <v>253</v>
      </c>
    </row>
    <row r="434" customFormat="false" ht="43.5" hidden="false" customHeight="true" outlineLevel="0" collapsed="false">
      <c r="A434" s="22" t="s">
        <v>1944</v>
      </c>
      <c r="B434" s="22" t="s">
        <v>1945</v>
      </c>
      <c r="C434" s="22" t="s">
        <v>49</v>
      </c>
      <c r="D434" s="22" t="s">
        <v>928</v>
      </c>
      <c r="E434" s="22" t="str">
        <f aca="false">IF(D434="","",IFERROR(VLOOKUP(D434,$A$2:$B$1656,2,FALSE()),""))</f>
        <v>Hybrid and Specialist Fantasy Roles</v>
      </c>
      <c r="F434" s="22" t="n">
        <v>3</v>
      </c>
      <c r="G434" s="22" t="s">
        <v>1946</v>
      </c>
      <c r="H434" s="22" t="s">
        <v>937</v>
      </c>
      <c r="I434" s="22" t="s">
        <v>1947</v>
      </c>
      <c r="J434" s="22" t="s">
        <v>1894</v>
      </c>
      <c r="K434" s="22" t="s">
        <v>1947</v>
      </c>
      <c r="L434" s="22" t="s">
        <v>184</v>
      </c>
      <c r="M434" s="22" t="s">
        <v>253</v>
      </c>
    </row>
    <row r="435" customFormat="false" ht="43.5" hidden="false" customHeight="true" outlineLevel="0" collapsed="false">
      <c r="A435" s="22" t="s">
        <v>1948</v>
      </c>
      <c r="B435" s="22" t="s">
        <v>1949</v>
      </c>
      <c r="C435" s="22" t="s">
        <v>49</v>
      </c>
      <c r="D435" s="22" t="s">
        <v>928</v>
      </c>
      <c r="E435" s="22" t="str">
        <f aca="false">IF(D435="","",IFERROR(VLOOKUP(D435,$A$2:$B$1656,2,FALSE()),""))</f>
        <v>Hybrid and Specialist Fantasy Roles</v>
      </c>
      <c r="F435" s="22" t="n">
        <v>3</v>
      </c>
      <c r="G435" s="22" t="s">
        <v>1950</v>
      </c>
      <c r="H435" s="22" t="s">
        <v>937</v>
      </c>
      <c r="I435" s="22" t="s">
        <v>1951</v>
      </c>
      <c r="J435" s="22" t="s">
        <v>1894</v>
      </c>
      <c r="K435" s="22" t="s">
        <v>1951</v>
      </c>
      <c r="L435" s="22" t="s">
        <v>184</v>
      </c>
      <c r="M435" s="22" t="s">
        <v>253</v>
      </c>
    </row>
    <row r="436" customFormat="false" ht="43.5" hidden="false" customHeight="true" outlineLevel="0" collapsed="false">
      <c r="A436" s="22" t="s">
        <v>1952</v>
      </c>
      <c r="B436" s="22" t="s">
        <v>1953</v>
      </c>
      <c r="C436" s="22" t="s">
        <v>49</v>
      </c>
      <c r="D436" s="22" t="s">
        <v>928</v>
      </c>
      <c r="E436" s="22" t="str">
        <f aca="false">IF(D436="","",IFERROR(VLOOKUP(D436,$A$2:$B$1656,2,FALSE()),""))</f>
        <v>Hybrid and Specialist Fantasy Roles</v>
      </c>
      <c r="F436" s="22" t="n">
        <v>3</v>
      </c>
      <c r="G436" s="22" t="s">
        <v>1954</v>
      </c>
      <c r="H436" s="22" t="s">
        <v>937</v>
      </c>
      <c r="I436" s="22" t="s">
        <v>1955</v>
      </c>
      <c r="J436" s="22" t="s">
        <v>1894</v>
      </c>
      <c r="K436" s="22" t="s">
        <v>1955</v>
      </c>
      <c r="L436" s="22" t="s">
        <v>184</v>
      </c>
      <c r="M436" s="22" t="s">
        <v>253</v>
      </c>
    </row>
    <row r="437" customFormat="false" ht="43.5" hidden="false" customHeight="true" outlineLevel="0" collapsed="false">
      <c r="A437" s="22" t="s">
        <v>1956</v>
      </c>
      <c r="B437" s="22" t="s">
        <v>1957</v>
      </c>
      <c r="C437" s="22" t="s">
        <v>49</v>
      </c>
      <c r="D437" s="22" t="s">
        <v>928</v>
      </c>
      <c r="E437" s="22" t="str">
        <f aca="false">IF(D437="","",IFERROR(VLOOKUP(D437,$A$2:$B$1656,2,FALSE()),""))</f>
        <v>Hybrid and Specialist Fantasy Roles</v>
      </c>
      <c r="F437" s="22" t="n">
        <v>3</v>
      </c>
      <c r="G437" s="22" t="s">
        <v>1958</v>
      </c>
      <c r="H437" s="22" t="s">
        <v>937</v>
      </c>
      <c r="I437" s="22" t="s">
        <v>1959</v>
      </c>
      <c r="J437" s="22" t="s">
        <v>1894</v>
      </c>
      <c r="K437" s="22" t="s">
        <v>1959</v>
      </c>
      <c r="L437" s="22" t="s">
        <v>184</v>
      </c>
      <c r="M437" s="22" t="s">
        <v>253</v>
      </c>
    </row>
    <row r="438" customFormat="false" ht="43.5" hidden="false" customHeight="true" outlineLevel="0" collapsed="false">
      <c r="A438" s="22" t="s">
        <v>1960</v>
      </c>
      <c r="B438" s="22" t="s">
        <v>1961</v>
      </c>
      <c r="C438" s="22" t="s">
        <v>49</v>
      </c>
      <c r="D438" s="22" t="s">
        <v>928</v>
      </c>
      <c r="E438" s="22" t="str">
        <f aca="false">IF(D438="","",IFERROR(VLOOKUP(D438,$A$2:$B$1656,2,FALSE()),""))</f>
        <v>Hybrid and Specialist Fantasy Roles</v>
      </c>
      <c r="F438" s="22" t="n">
        <v>3</v>
      </c>
      <c r="G438" s="22" t="s">
        <v>1962</v>
      </c>
      <c r="H438" s="22" t="s">
        <v>937</v>
      </c>
      <c r="I438" s="22" t="s">
        <v>1963</v>
      </c>
      <c r="J438" s="22" t="s">
        <v>1894</v>
      </c>
      <c r="K438" s="22" t="s">
        <v>1963</v>
      </c>
      <c r="L438" s="22" t="s">
        <v>184</v>
      </c>
      <c r="M438" s="22" t="s">
        <v>253</v>
      </c>
    </row>
    <row r="439" customFormat="false" ht="43.5" hidden="false" customHeight="true" outlineLevel="0" collapsed="false">
      <c r="A439" s="22" t="s">
        <v>1964</v>
      </c>
      <c r="B439" s="22" t="s">
        <v>1965</v>
      </c>
      <c r="C439" s="22" t="s">
        <v>49</v>
      </c>
      <c r="D439" s="22" t="s">
        <v>928</v>
      </c>
      <c r="E439" s="22" t="str">
        <f aca="false">IF(D439="","",IFERROR(VLOOKUP(D439,$A$2:$B$1656,2,FALSE()),""))</f>
        <v>Hybrid and Specialist Fantasy Roles</v>
      </c>
      <c r="F439" s="22" t="n">
        <v>3</v>
      </c>
      <c r="G439" s="22" t="s">
        <v>1966</v>
      </c>
      <c r="H439" s="22" t="s">
        <v>937</v>
      </c>
      <c r="I439" s="22" t="s">
        <v>1967</v>
      </c>
      <c r="J439" s="22" t="s">
        <v>1894</v>
      </c>
      <c r="K439" s="22" t="s">
        <v>1967</v>
      </c>
      <c r="L439" s="22" t="s">
        <v>184</v>
      </c>
      <c r="M439" s="22" t="s">
        <v>253</v>
      </c>
    </row>
    <row r="440" customFormat="false" ht="43.5" hidden="false" customHeight="true" outlineLevel="0" collapsed="false">
      <c r="A440" s="22" t="s">
        <v>1968</v>
      </c>
      <c r="B440" s="22" t="s">
        <v>1969</v>
      </c>
      <c r="C440" s="22" t="s">
        <v>49</v>
      </c>
      <c r="D440" s="22" t="s">
        <v>928</v>
      </c>
      <c r="E440" s="22" t="str">
        <f aca="false">IF(D440="","",IFERROR(VLOOKUP(D440,$A$2:$B$1656,2,FALSE()),""))</f>
        <v>Hybrid and Specialist Fantasy Roles</v>
      </c>
      <c r="F440" s="22" t="n">
        <v>3</v>
      </c>
      <c r="G440" s="22" t="s">
        <v>1970</v>
      </c>
      <c r="H440" s="22" t="s">
        <v>937</v>
      </c>
      <c r="I440" s="22" t="s">
        <v>1971</v>
      </c>
      <c r="J440" s="22" t="s">
        <v>1894</v>
      </c>
      <c r="K440" s="22" t="s">
        <v>1971</v>
      </c>
      <c r="L440" s="22" t="s">
        <v>184</v>
      </c>
      <c r="M440" s="22" t="s">
        <v>253</v>
      </c>
    </row>
    <row r="441" customFormat="false" ht="43.5" hidden="false" customHeight="true" outlineLevel="0" collapsed="false">
      <c r="A441" s="22" t="s">
        <v>1972</v>
      </c>
      <c r="B441" s="22" t="s">
        <v>1973</v>
      </c>
      <c r="C441" s="22" t="s">
        <v>49</v>
      </c>
      <c r="D441" s="22" t="s">
        <v>928</v>
      </c>
      <c r="E441" s="22" t="str">
        <f aca="false">IF(D441="","",IFERROR(VLOOKUP(D441,$A$2:$B$1656,2,FALSE()),""))</f>
        <v>Hybrid and Specialist Fantasy Roles</v>
      </c>
      <c r="F441" s="22" t="n">
        <v>3</v>
      </c>
      <c r="G441" s="22" t="s">
        <v>1974</v>
      </c>
      <c r="H441" s="22" t="s">
        <v>937</v>
      </c>
      <c r="I441" s="22" t="s">
        <v>1975</v>
      </c>
      <c r="J441" s="22" t="s">
        <v>1894</v>
      </c>
      <c r="K441" s="22" t="s">
        <v>1975</v>
      </c>
      <c r="L441" s="22" t="s">
        <v>184</v>
      </c>
      <c r="M441" s="22" t="s">
        <v>253</v>
      </c>
    </row>
    <row r="442" customFormat="false" ht="43.5" hidden="false" customHeight="true" outlineLevel="0" collapsed="false">
      <c r="A442" s="22" t="s">
        <v>1976</v>
      </c>
      <c r="B442" s="22" t="s">
        <v>1977</v>
      </c>
      <c r="C442" s="22" t="s">
        <v>49</v>
      </c>
      <c r="D442" s="22" t="s">
        <v>928</v>
      </c>
      <c r="E442" s="22" t="str">
        <f aca="false">IF(D442="","",IFERROR(VLOOKUP(D442,$A$2:$B$1656,2,FALSE()),""))</f>
        <v>Hybrid and Specialist Fantasy Roles</v>
      </c>
      <c r="F442" s="22" t="n">
        <v>3</v>
      </c>
      <c r="G442" s="22" t="s">
        <v>1978</v>
      </c>
      <c r="H442" s="22" t="s">
        <v>937</v>
      </c>
      <c r="I442" s="22" t="s">
        <v>1979</v>
      </c>
      <c r="J442" s="22" t="s">
        <v>1894</v>
      </c>
      <c r="K442" s="22" t="s">
        <v>1979</v>
      </c>
      <c r="L442" s="22" t="s">
        <v>184</v>
      </c>
      <c r="M442" s="22" t="s">
        <v>253</v>
      </c>
    </row>
    <row r="443" customFormat="false" ht="43.5" hidden="false" customHeight="true" outlineLevel="0" collapsed="false">
      <c r="A443" s="22" t="s">
        <v>1980</v>
      </c>
      <c r="B443" s="22" t="s">
        <v>1981</v>
      </c>
      <c r="C443" s="22" t="s">
        <v>49</v>
      </c>
      <c r="D443" s="22" t="s">
        <v>928</v>
      </c>
      <c r="E443" s="22" t="str">
        <f aca="false">IF(D443="","",IFERROR(VLOOKUP(D443,$A$2:$B$1656,2,FALSE()),""))</f>
        <v>Hybrid and Specialist Fantasy Roles</v>
      </c>
      <c r="F443" s="22" t="n">
        <v>3</v>
      </c>
      <c r="G443" s="22" t="s">
        <v>1982</v>
      </c>
      <c r="H443" s="22" t="s">
        <v>937</v>
      </c>
      <c r="I443" s="22" t="s">
        <v>1983</v>
      </c>
      <c r="J443" s="22" t="s">
        <v>1894</v>
      </c>
      <c r="K443" s="22" t="s">
        <v>1983</v>
      </c>
      <c r="L443" s="22" t="s">
        <v>184</v>
      </c>
      <c r="M443" s="22" t="s">
        <v>253</v>
      </c>
    </row>
    <row r="444" customFormat="false" ht="43.5" hidden="false" customHeight="true" outlineLevel="0" collapsed="false">
      <c r="A444" s="22" t="s">
        <v>1984</v>
      </c>
      <c r="B444" s="22" t="s">
        <v>1985</v>
      </c>
      <c r="C444" s="22" t="s">
        <v>49</v>
      </c>
      <c r="D444" s="22" t="s">
        <v>928</v>
      </c>
      <c r="E444" s="22" t="str">
        <f aca="false">IF(D444="","",IFERROR(VLOOKUP(D444,$A$2:$B$1656,2,FALSE()),""))</f>
        <v>Hybrid and Specialist Fantasy Roles</v>
      </c>
      <c r="F444" s="22" t="n">
        <v>3</v>
      </c>
      <c r="G444" s="22" t="s">
        <v>1986</v>
      </c>
      <c r="H444" s="22" t="s">
        <v>937</v>
      </c>
      <c r="I444" s="22" t="s">
        <v>1987</v>
      </c>
      <c r="J444" s="22" t="s">
        <v>1894</v>
      </c>
      <c r="K444" s="22" t="s">
        <v>1987</v>
      </c>
      <c r="L444" s="22" t="s">
        <v>184</v>
      </c>
      <c r="M444" s="22" t="s">
        <v>253</v>
      </c>
    </row>
    <row r="445" customFormat="false" ht="43.5" hidden="false" customHeight="true" outlineLevel="0" collapsed="false">
      <c r="A445" s="22" t="s">
        <v>1988</v>
      </c>
      <c r="B445" s="22" t="s">
        <v>1989</v>
      </c>
      <c r="C445" s="22" t="s">
        <v>49</v>
      </c>
      <c r="D445" s="22" t="s">
        <v>928</v>
      </c>
      <c r="E445" s="22" t="str">
        <f aca="false">IF(D445="","",IFERROR(VLOOKUP(D445,$A$2:$B$1656,2,FALSE()),""))</f>
        <v>Hybrid and Specialist Fantasy Roles</v>
      </c>
      <c r="F445" s="22" t="n">
        <v>3</v>
      </c>
      <c r="G445" s="22" t="s">
        <v>1990</v>
      </c>
      <c r="H445" s="22" t="s">
        <v>937</v>
      </c>
      <c r="I445" s="22" t="s">
        <v>1991</v>
      </c>
      <c r="J445" s="22" t="s">
        <v>1894</v>
      </c>
      <c r="K445" s="22" t="s">
        <v>1991</v>
      </c>
      <c r="L445" s="22" t="s">
        <v>184</v>
      </c>
      <c r="M445" s="22" t="s">
        <v>253</v>
      </c>
    </row>
    <row r="446" customFormat="false" ht="43.5" hidden="false" customHeight="true" outlineLevel="0" collapsed="false">
      <c r="A446" s="22" t="s">
        <v>1992</v>
      </c>
      <c r="B446" s="22" t="s">
        <v>1993</v>
      </c>
      <c r="C446" s="22" t="s">
        <v>49</v>
      </c>
      <c r="D446" s="22" t="s">
        <v>928</v>
      </c>
      <c r="E446" s="22" t="str">
        <f aca="false">IF(D446="","",IFERROR(VLOOKUP(D446,$A$2:$B$1656,2,FALSE()),""))</f>
        <v>Hybrid and Specialist Fantasy Roles</v>
      </c>
      <c r="F446" s="22" t="n">
        <v>3</v>
      </c>
      <c r="G446" s="22" t="s">
        <v>1994</v>
      </c>
      <c r="H446" s="22" t="s">
        <v>937</v>
      </c>
      <c r="I446" s="22" t="s">
        <v>1995</v>
      </c>
      <c r="J446" s="22" t="s">
        <v>1894</v>
      </c>
      <c r="K446" s="22" t="s">
        <v>1995</v>
      </c>
      <c r="L446" s="22" t="s">
        <v>184</v>
      </c>
      <c r="M446" s="22" t="s">
        <v>253</v>
      </c>
    </row>
    <row r="447" customFormat="false" ht="43.5" hidden="false" customHeight="true" outlineLevel="0" collapsed="false">
      <c r="A447" s="22" t="s">
        <v>1996</v>
      </c>
      <c r="B447" s="22" t="s">
        <v>1997</v>
      </c>
      <c r="C447" s="22" t="s">
        <v>49</v>
      </c>
      <c r="D447" s="22" t="s">
        <v>928</v>
      </c>
      <c r="E447" s="22" t="str">
        <f aca="false">IF(D447="","",IFERROR(VLOOKUP(D447,$A$2:$B$1656,2,FALSE()),""))</f>
        <v>Hybrid and Specialist Fantasy Roles</v>
      </c>
      <c r="F447" s="22" t="n">
        <v>3</v>
      </c>
      <c r="G447" s="22" t="s">
        <v>1998</v>
      </c>
      <c r="H447" s="22" t="s">
        <v>937</v>
      </c>
      <c r="I447" s="22" t="s">
        <v>1999</v>
      </c>
      <c r="J447" s="22" t="s">
        <v>1894</v>
      </c>
      <c r="K447" s="22" t="s">
        <v>1999</v>
      </c>
      <c r="L447" s="22" t="s">
        <v>184</v>
      </c>
      <c r="M447" s="22" t="s">
        <v>253</v>
      </c>
    </row>
    <row r="448" customFormat="false" ht="43.5" hidden="false" customHeight="true" outlineLevel="0" collapsed="false">
      <c r="A448" s="22" t="s">
        <v>2000</v>
      </c>
      <c r="B448" s="22" t="s">
        <v>2001</v>
      </c>
      <c r="C448" s="22" t="s">
        <v>49</v>
      </c>
      <c r="D448" s="22" t="s">
        <v>928</v>
      </c>
      <c r="E448" s="22" t="str">
        <f aca="false">IF(D448="","",IFERROR(VLOOKUP(D448,$A$2:$B$1656,2,FALSE()),""))</f>
        <v>Hybrid and Specialist Fantasy Roles</v>
      </c>
      <c r="F448" s="22" t="n">
        <v>3</v>
      </c>
      <c r="G448" s="22" t="s">
        <v>2002</v>
      </c>
      <c r="H448" s="22" t="s">
        <v>937</v>
      </c>
      <c r="I448" s="22" t="s">
        <v>2003</v>
      </c>
      <c r="J448" s="22" t="s">
        <v>1894</v>
      </c>
      <c r="K448" s="22" t="s">
        <v>2003</v>
      </c>
      <c r="L448" s="22" t="s">
        <v>184</v>
      </c>
      <c r="M448" s="22" t="s">
        <v>253</v>
      </c>
    </row>
    <row r="449" customFormat="false" ht="43.5" hidden="false" customHeight="true" outlineLevel="0" collapsed="false">
      <c r="A449" s="22" t="s">
        <v>2004</v>
      </c>
      <c r="B449" s="22" t="s">
        <v>2005</v>
      </c>
      <c r="C449" s="22" t="s">
        <v>49</v>
      </c>
      <c r="D449" s="22" t="s">
        <v>928</v>
      </c>
      <c r="E449" s="22" t="str">
        <f aca="false">IF(D449="","",IFERROR(VLOOKUP(D449,$A$2:$B$1656,2,FALSE()),""))</f>
        <v>Hybrid and Specialist Fantasy Roles</v>
      </c>
      <c r="F449" s="22" t="n">
        <v>3</v>
      </c>
      <c r="G449" s="22" t="s">
        <v>2006</v>
      </c>
      <c r="H449" s="22" t="s">
        <v>937</v>
      </c>
      <c r="I449" s="22" t="s">
        <v>2007</v>
      </c>
      <c r="J449" s="22" t="s">
        <v>1894</v>
      </c>
      <c r="K449" s="22" t="s">
        <v>2007</v>
      </c>
      <c r="L449" s="22" t="s">
        <v>184</v>
      </c>
      <c r="M449" s="22" t="s">
        <v>253</v>
      </c>
    </row>
    <row r="450" customFormat="false" ht="43.5" hidden="false" customHeight="true" outlineLevel="0" collapsed="false">
      <c r="A450" s="22" t="s">
        <v>2008</v>
      </c>
      <c r="B450" s="22" t="s">
        <v>2009</v>
      </c>
      <c r="C450" s="22" t="s">
        <v>49</v>
      </c>
      <c r="D450" s="22" t="s">
        <v>928</v>
      </c>
      <c r="E450" s="22" t="str">
        <f aca="false">IF(D450="","",IFERROR(VLOOKUP(D450,$A$2:$B$1656,2,FALSE()),""))</f>
        <v>Hybrid and Specialist Fantasy Roles</v>
      </c>
      <c r="F450" s="22" t="n">
        <v>3</v>
      </c>
      <c r="G450" s="22" t="s">
        <v>2010</v>
      </c>
      <c r="H450" s="22" t="s">
        <v>937</v>
      </c>
      <c r="I450" s="22" t="s">
        <v>2011</v>
      </c>
      <c r="J450" s="22" t="s">
        <v>1894</v>
      </c>
      <c r="K450" s="22" t="s">
        <v>2011</v>
      </c>
      <c r="L450" s="22" t="s">
        <v>184</v>
      </c>
      <c r="M450" s="22" t="s">
        <v>253</v>
      </c>
    </row>
    <row r="451" customFormat="false" ht="43.5" hidden="false" customHeight="true" outlineLevel="0" collapsed="false">
      <c r="A451" s="22" t="s">
        <v>2012</v>
      </c>
      <c r="B451" s="22" t="s">
        <v>2013</v>
      </c>
      <c r="C451" s="22" t="s">
        <v>49</v>
      </c>
      <c r="D451" s="22" t="s">
        <v>928</v>
      </c>
      <c r="E451" s="22" t="str">
        <f aca="false">IF(D451="","",IFERROR(VLOOKUP(D451,$A$2:$B$1656,2,FALSE()),""))</f>
        <v>Hybrid and Specialist Fantasy Roles</v>
      </c>
      <c r="F451" s="22" t="n">
        <v>3</v>
      </c>
      <c r="G451" s="22" t="s">
        <v>2014</v>
      </c>
      <c r="H451" s="22" t="s">
        <v>937</v>
      </c>
      <c r="I451" s="22" t="s">
        <v>2015</v>
      </c>
      <c r="J451" s="22" t="s">
        <v>1894</v>
      </c>
      <c r="K451" s="22" t="s">
        <v>2015</v>
      </c>
      <c r="L451" s="22" t="s">
        <v>184</v>
      </c>
      <c r="M451" s="22" t="s">
        <v>253</v>
      </c>
    </row>
    <row r="452" customFormat="false" ht="43.5" hidden="false" customHeight="true" outlineLevel="0" collapsed="false">
      <c r="A452" s="22" t="s">
        <v>2016</v>
      </c>
      <c r="B452" s="22" t="s">
        <v>2017</v>
      </c>
      <c r="C452" s="22" t="s">
        <v>49</v>
      </c>
      <c r="D452" s="22" t="s">
        <v>928</v>
      </c>
      <c r="E452" s="22" t="str">
        <f aca="false">IF(D452="","",IFERROR(VLOOKUP(D452,$A$2:$B$1656,2,FALSE()),""))</f>
        <v>Hybrid and Specialist Fantasy Roles</v>
      </c>
      <c r="F452" s="22" t="n">
        <v>3</v>
      </c>
      <c r="G452" s="22" t="s">
        <v>2018</v>
      </c>
      <c r="H452" s="22" t="s">
        <v>937</v>
      </c>
      <c r="I452" s="22" t="s">
        <v>2019</v>
      </c>
      <c r="J452" s="22" t="s">
        <v>1894</v>
      </c>
      <c r="K452" s="22" t="s">
        <v>2019</v>
      </c>
      <c r="L452" s="22" t="s">
        <v>184</v>
      </c>
      <c r="M452" s="22" t="s">
        <v>253</v>
      </c>
    </row>
    <row r="453" customFormat="false" ht="43.5" hidden="false" customHeight="true" outlineLevel="0" collapsed="false">
      <c r="A453" s="22" t="s">
        <v>2020</v>
      </c>
      <c r="B453" s="22" t="s">
        <v>2021</v>
      </c>
      <c r="C453" s="22" t="s">
        <v>49</v>
      </c>
      <c r="D453" s="22" t="s">
        <v>928</v>
      </c>
      <c r="E453" s="22" t="str">
        <f aca="false">IF(D453="","",IFERROR(VLOOKUP(D453,$A$2:$B$1656,2,FALSE()),""))</f>
        <v>Hybrid and Specialist Fantasy Roles</v>
      </c>
      <c r="F453" s="22" t="n">
        <v>3</v>
      </c>
      <c r="G453" s="22" t="s">
        <v>2022</v>
      </c>
      <c r="H453" s="22" t="s">
        <v>937</v>
      </c>
      <c r="I453" s="22" t="s">
        <v>2023</v>
      </c>
      <c r="J453" s="22" t="s">
        <v>1894</v>
      </c>
      <c r="K453" s="22" t="s">
        <v>2023</v>
      </c>
      <c r="L453" s="22" t="s">
        <v>184</v>
      </c>
      <c r="M453" s="22" t="s">
        <v>253</v>
      </c>
    </row>
    <row r="454" customFormat="false" ht="43.5" hidden="false" customHeight="true" outlineLevel="0" collapsed="false">
      <c r="A454" s="22" t="s">
        <v>2024</v>
      </c>
      <c r="B454" s="22" t="s">
        <v>2025</v>
      </c>
      <c r="C454" s="22" t="s">
        <v>49</v>
      </c>
      <c r="D454" s="22" t="s">
        <v>928</v>
      </c>
      <c r="E454" s="22" t="str">
        <f aca="false">IF(D454="","",IFERROR(VLOOKUP(D454,$A$2:$B$1656,2,FALSE()),""))</f>
        <v>Hybrid and Specialist Fantasy Roles</v>
      </c>
      <c r="F454" s="22" t="n">
        <v>3</v>
      </c>
      <c r="G454" s="22" t="s">
        <v>2026</v>
      </c>
      <c r="H454" s="22" t="s">
        <v>937</v>
      </c>
      <c r="I454" s="22" t="s">
        <v>2027</v>
      </c>
      <c r="J454" s="22" t="s">
        <v>1894</v>
      </c>
      <c r="K454" s="22" t="s">
        <v>2027</v>
      </c>
      <c r="L454" s="22" t="s">
        <v>184</v>
      </c>
      <c r="M454" s="22" t="s">
        <v>253</v>
      </c>
    </row>
    <row r="455" customFormat="false" ht="43.5" hidden="false" customHeight="true" outlineLevel="0" collapsed="false">
      <c r="A455" s="22" t="s">
        <v>2028</v>
      </c>
      <c r="B455" s="22" t="s">
        <v>2029</v>
      </c>
      <c r="C455" s="22" t="s">
        <v>49</v>
      </c>
      <c r="D455" s="22" t="s">
        <v>928</v>
      </c>
      <c r="E455" s="22" t="str">
        <f aca="false">IF(D455="","",IFERROR(VLOOKUP(D455,$A$2:$B$1656,2,FALSE()),""))</f>
        <v>Hybrid and Specialist Fantasy Roles</v>
      </c>
      <c r="F455" s="22" t="n">
        <v>3</v>
      </c>
      <c r="G455" s="22" t="s">
        <v>2030</v>
      </c>
      <c r="H455" s="22" t="s">
        <v>937</v>
      </c>
      <c r="I455" s="22" t="s">
        <v>2031</v>
      </c>
      <c r="J455" s="22" t="s">
        <v>1894</v>
      </c>
      <c r="K455" s="22" t="s">
        <v>2031</v>
      </c>
      <c r="L455" s="22" t="s">
        <v>184</v>
      </c>
      <c r="M455" s="22" t="s">
        <v>253</v>
      </c>
    </row>
    <row r="456" customFormat="false" ht="43.5" hidden="false" customHeight="true" outlineLevel="0" collapsed="false">
      <c r="A456" s="22" t="s">
        <v>2032</v>
      </c>
      <c r="B456" s="22" t="s">
        <v>2033</v>
      </c>
      <c r="C456" s="22" t="s">
        <v>49</v>
      </c>
      <c r="D456" s="22" t="s">
        <v>928</v>
      </c>
      <c r="E456" s="22" t="str">
        <f aca="false">IF(D456="","",IFERROR(VLOOKUP(D456,$A$2:$B$1656,2,FALSE()),""))</f>
        <v>Hybrid and Specialist Fantasy Roles</v>
      </c>
      <c r="F456" s="22" t="n">
        <v>3</v>
      </c>
      <c r="G456" s="22" t="s">
        <v>2034</v>
      </c>
      <c r="H456" s="22" t="s">
        <v>937</v>
      </c>
      <c r="I456" s="22" t="s">
        <v>2035</v>
      </c>
      <c r="J456" s="22" t="s">
        <v>1894</v>
      </c>
      <c r="K456" s="22" t="s">
        <v>2035</v>
      </c>
      <c r="L456" s="22" t="s">
        <v>184</v>
      </c>
      <c r="M456" s="22" t="s">
        <v>253</v>
      </c>
    </row>
    <row r="457" customFormat="false" ht="43.5" hidden="false" customHeight="true" outlineLevel="0" collapsed="false">
      <c r="A457" s="22" t="s">
        <v>2036</v>
      </c>
      <c r="B457" s="22" t="s">
        <v>2037</v>
      </c>
      <c r="C457" s="22" t="s">
        <v>49</v>
      </c>
      <c r="D457" s="22" t="s">
        <v>931</v>
      </c>
      <c r="E457" s="22" t="str">
        <f aca="false">IF(D457="","",IFERROR(VLOOKUP(D457,$A$2:$B$1656,2,FALSE()),""))</f>
        <v>Progression, Cultivation, and Adventure Roles</v>
      </c>
      <c r="F457" s="22" t="n">
        <v>3</v>
      </c>
      <c r="G457" s="22" t="s">
        <v>2038</v>
      </c>
      <c r="H457" s="22" t="s">
        <v>937</v>
      </c>
      <c r="I457" s="22" t="s">
        <v>2039</v>
      </c>
      <c r="J457" s="22" t="s">
        <v>2040</v>
      </c>
      <c r="K457" s="22" t="s">
        <v>2039</v>
      </c>
      <c r="L457" s="22" t="s">
        <v>184</v>
      </c>
      <c r="M457" s="22" t="s">
        <v>253</v>
      </c>
    </row>
    <row r="458" customFormat="false" ht="43.5" hidden="false" customHeight="true" outlineLevel="0" collapsed="false">
      <c r="A458" s="22" t="s">
        <v>2041</v>
      </c>
      <c r="B458" s="22" t="s">
        <v>2042</v>
      </c>
      <c r="C458" s="22" t="s">
        <v>49</v>
      </c>
      <c r="D458" s="22" t="s">
        <v>931</v>
      </c>
      <c r="E458" s="22" t="str">
        <f aca="false">IF(D458="","",IFERROR(VLOOKUP(D458,$A$2:$B$1656,2,FALSE()),""))</f>
        <v>Progression, Cultivation, and Adventure Roles</v>
      </c>
      <c r="F458" s="22" t="n">
        <v>3</v>
      </c>
      <c r="G458" s="22" t="s">
        <v>2043</v>
      </c>
      <c r="H458" s="22" t="s">
        <v>937</v>
      </c>
      <c r="I458" s="22" t="s">
        <v>2044</v>
      </c>
      <c r="J458" s="22" t="s">
        <v>2040</v>
      </c>
      <c r="K458" s="22" t="s">
        <v>2044</v>
      </c>
      <c r="L458" s="22" t="s">
        <v>184</v>
      </c>
      <c r="M458" s="22" t="s">
        <v>253</v>
      </c>
    </row>
    <row r="459" customFormat="false" ht="43.5" hidden="false" customHeight="true" outlineLevel="0" collapsed="false">
      <c r="A459" s="22" t="s">
        <v>2045</v>
      </c>
      <c r="B459" s="22" t="s">
        <v>2046</v>
      </c>
      <c r="C459" s="22" t="s">
        <v>49</v>
      </c>
      <c r="D459" s="22" t="s">
        <v>931</v>
      </c>
      <c r="E459" s="22" t="str">
        <f aca="false">IF(D459="","",IFERROR(VLOOKUP(D459,$A$2:$B$1656,2,FALSE()),""))</f>
        <v>Progression, Cultivation, and Adventure Roles</v>
      </c>
      <c r="F459" s="22" t="n">
        <v>3</v>
      </c>
      <c r="G459" s="22" t="s">
        <v>2047</v>
      </c>
      <c r="H459" s="22" t="s">
        <v>937</v>
      </c>
      <c r="I459" s="22" t="s">
        <v>2048</v>
      </c>
      <c r="J459" s="22" t="s">
        <v>2040</v>
      </c>
      <c r="K459" s="22" t="s">
        <v>2048</v>
      </c>
      <c r="L459" s="22" t="s">
        <v>184</v>
      </c>
      <c r="M459" s="22" t="s">
        <v>253</v>
      </c>
    </row>
    <row r="460" customFormat="false" ht="43.5" hidden="false" customHeight="true" outlineLevel="0" collapsed="false">
      <c r="A460" s="22" t="s">
        <v>2049</v>
      </c>
      <c r="B460" s="22" t="s">
        <v>2050</v>
      </c>
      <c r="C460" s="22" t="s">
        <v>49</v>
      </c>
      <c r="D460" s="22" t="s">
        <v>931</v>
      </c>
      <c r="E460" s="22" t="str">
        <f aca="false">IF(D460="","",IFERROR(VLOOKUP(D460,$A$2:$B$1656,2,FALSE()),""))</f>
        <v>Progression, Cultivation, and Adventure Roles</v>
      </c>
      <c r="F460" s="22" t="n">
        <v>3</v>
      </c>
      <c r="G460" s="22" t="s">
        <v>2051</v>
      </c>
      <c r="H460" s="22" t="s">
        <v>937</v>
      </c>
      <c r="I460" s="22" t="s">
        <v>2052</v>
      </c>
      <c r="J460" s="22" t="s">
        <v>2040</v>
      </c>
      <c r="K460" s="22" t="s">
        <v>2052</v>
      </c>
      <c r="L460" s="22" t="s">
        <v>184</v>
      </c>
      <c r="M460" s="22" t="s">
        <v>253</v>
      </c>
    </row>
    <row r="461" customFormat="false" ht="43.5" hidden="false" customHeight="true" outlineLevel="0" collapsed="false">
      <c r="A461" s="22" t="s">
        <v>2053</v>
      </c>
      <c r="B461" s="22" t="s">
        <v>2054</v>
      </c>
      <c r="C461" s="22" t="s">
        <v>49</v>
      </c>
      <c r="D461" s="22" t="s">
        <v>931</v>
      </c>
      <c r="E461" s="22" t="str">
        <f aca="false">IF(D461="","",IFERROR(VLOOKUP(D461,$A$2:$B$1656,2,FALSE()),""))</f>
        <v>Progression, Cultivation, and Adventure Roles</v>
      </c>
      <c r="F461" s="22" t="n">
        <v>3</v>
      </c>
      <c r="G461" s="22" t="s">
        <v>2055</v>
      </c>
      <c r="H461" s="22" t="s">
        <v>937</v>
      </c>
      <c r="I461" s="22" t="s">
        <v>2056</v>
      </c>
      <c r="J461" s="22" t="s">
        <v>2040</v>
      </c>
      <c r="K461" s="22" t="s">
        <v>2056</v>
      </c>
      <c r="L461" s="22" t="s">
        <v>184</v>
      </c>
      <c r="M461" s="22" t="s">
        <v>253</v>
      </c>
    </row>
    <row r="462" customFormat="false" ht="43.5" hidden="false" customHeight="true" outlineLevel="0" collapsed="false">
      <c r="A462" s="22" t="s">
        <v>2057</v>
      </c>
      <c r="B462" s="22" t="s">
        <v>2058</v>
      </c>
      <c r="C462" s="22" t="s">
        <v>49</v>
      </c>
      <c r="D462" s="22" t="s">
        <v>931</v>
      </c>
      <c r="E462" s="22" t="str">
        <f aca="false">IF(D462="","",IFERROR(VLOOKUP(D462,$A$2:$B$1656,2,FALSE()),""))</f>
        <v>Progression, Cultivation, and Adventure Roles</v>
      </c>
      <c r="F462" s="22" t="n">
        <v>3</v>
      </c>
      <c r="G462" s="22" t="s">
        <v>2059</v>
      </c>
      <c r="H462" s="22" t="s">
        <v>937</v>
      </c>
      <c r="I462" s="22" t="s">
        <v>2060</v>
      </c>
      <c r="J462" s="22" t="s">
        <v>2040</v>
      </c>
      <c r="K462" s="22" t="s">
        <v>2060</v>
      </c>
      <c r="L462" s="22" t="s">
        <v>2061</v>
      </c>
      <c r="M462" s="22" t="s">
        <v>253</v>
      </c>
    </row>
    <row r="463" customFormat="false" ht="43.5" hidden="false" customHeight="true" outlineLevel="0" collapsed="false">
      <c r="A463" s="22" t="s">
        <v>2062</v>
      </c>
      <c r="B463" s="22" t="s">
        <v>2063</v>
      </c>
      <c r="C463" s="22" t="s">
        <v>49</v>
      </c>
      <c r="D463" s="22" t="s">
        <v>931</v>
      </c>
      <c r="E463" s="22" t="str">
        <f aca="false">IF(D463="","",IFERROR(VLOOKUP(D463,$A$2:$B$1656,2,FALSE()),""))</f>
        <v>Progression, Cultivation, and Adventure Roles</v>
      </c>
      <c r="F463" s="22" t="n">
        <v>3</v>
      </c>
      <c r="G463" s="22" t="s">
        <v>2064</v>
      </c>
      <c r="H463" s="22" t="s">
        <v>937</v>
      </c>
      <c r="I463" s="22" t="s">
        <v>2065</v>
      </c>
      <c r="J463" s="22" t="s">
        <v>2040</v>
      </c>
      <c r="K463" s="22" t="s">
        <v>2065</v>
      </c>
      <c r="L463" s="22" t="s">
        <v>184</v>
      </c>
      <c r="M463" s="22" t="s">
        <v>253</v>
      </c>
    </row>
    <row r="464" customFormat="false" ht="43.5" hidden="false" customHeight="true" outlineLevel="0" collapsed="false">
      <c r="A464" s="22" t="s">
        <v>2066</v>
      </c>
      <c r="B464" s="22" t="s">
        <v>2067</v>
      </c>
      <c r="C464" s="22" t="s">
        <v>49</v>
      </c>
      <c r="D464" s="22" t="s">
        <v>931</v>
      </c>
      <c r="E464" s="22" t="str">
        <f aca="false">IF(D464="","",IFERROR(VLOOKUP(D464,$A$2:$B$1656,2,FALSE()),""))</f>
        <v>Progression, Cultivation, and Adventure Roles</v>
      </c>
      <c r="F464" s="22" t="n">
        <v>3</v>
      </c>
      <c r="G464" s="22" t="s">
        <v>2068</v>
      </c>
      <c r="H464" s="22" t="s">
        <v>937</v>
      </c>
      <c r="I464" s="22" t="s">
        <v>2069</v>
      </c>
      <c r="J464" s="22" t="s">
        <v>2040</v>
      </c>
      <c r="K464" s="22" t="s">
        <v>2069</v>
      </c>
      <c r="L464" s="22" t="s">
        <v>184</v>
      </c>
      <c r="M464" s="22" t="s">
        <v>253</v>
      </c>
    </row>
    <row r="465" customFormat="false" ht="43.5" hidden="false" customHeight="true" outlineLevel="0" collapsed="false">
      <c r="A465" s="22" t="s">
        <v>2070</v>
      </c>
      <c r="B465" s="22" t="s">
        <v>2071</v>
      </c>
      <c r="C465" s="22" t="s">
        <v>49</v>
      </c>
      <c r="D465" s="22" t="s">
        <v>931</v>
      </c>
      <c r="E465" s="22" t="str">
        <f aca="false">IF(D465="","",IFERROR(VLOOKUP(D465,$A$2:$B$1656,2,FALSE()),""))</f>
        <v>Progression, Cultivation, and Adventure Roles</v>
      </c>
      <c r="F465" s="22" t="n">
        <v>3</v>
      </c>
      <c r="G465" s="22" t="s">
        <v>2072</v>
      </c>
      <c r="H465" s="22" t="s">
        <v>937</v>
      </c>
      <c r="I465" s="22" t="s">
        <v>2073</v>
      </c>
      <c r="J465" s="22" t="s">
        <v>2040</v>
      </c>
      <c r="K465" s="22" t="s">
        <v>2073</v>
      </c>
      <c r="L465" s="22" t="s">
        <v>184</v>
      </c>
      <c r="M465" s="22" t="s">
        <v>253</v>
      </c>
    </row>
    <row r="466" customFormat="false" ht="43.5" hidden="false" customHeight="true" outlineLevel="0" collapsed="false">
      <c r="A466" s="22" t="s">
        <v>2074</v>
      </c>
      <c r="B466" s="22" t="s">
        <v>2075</v>
      </c>
      <c r="C466" s="22" t="s">
        <v>49</v>
      </c>
      <c r="D466" s="22" t="s">
        <v>931</v>
      </c>
      <c r="E466" s="22" t="str">
        <f aca="false">IF(D466="","",IFERROR(VLOOKUP(D466,$A$2:$B$1656,2,FALSE()),""))</f>
        <v>Progression, Cultivation, and Adventure Roles</v>
      </c>
      <c r="F466" s="22" t="n">
        <v>3</v>
      </c>
      <c r="G466" s="22" t="s">
        <v>2076</v>
      </c>
      <c r="H466" s="22" t="s">
        <v>937</v>
      </c>
      <c r="I466" s="22" t="s">
        <v>2077</v>
      </c>
      <c r="J466" s="22" t="s">
        <v>2040</v>
      </c>
      <c r="K466" s="22" t="s">
        <v>2077</v>
      </c>
      <c r="L466" s="22" t="s">
        <v>184</v>
      </c>
      <c r="M466" s="22" t="s">
        <v>253</v>
      </c>
    </row>
    <row r="467" customFormat="false" ht="43.5" hidden="false" customHeight="true" outlineLevel="0" collapsed="false">
      <c r="A467" s="22" t="s">
        <v>2078</v>
      </c>
      <c r="B467" s="22" t="s">
        <v>2079</v>
      </c>
      <c r="C467" s="22" t="s">
        <v>49</v>
      </c>
      <c r="D467" s="22" t="s">
        <v>931</v>
      </c>
      <c r="E467" s="22" t="str">
        <f aca="false">IF(D467="","",IFERROR(VLOOKUP(D467,$A$2:$B$1656,2,FALSE()),""))</f>
        <v>Progression, Cultivation, and Adventure Roles</v>
      </c>
      <c r="F467" s="22" t="n">
        <v>3</v>
      </c>
      <c r="G467" s="22" t="s">
        <v>2080</v>
      </c>
      <c r="H467" s="22" t="s">
        <v>937</v>
      </c>
      <c r="I467" s="22" t="s">
        <v>2081</v>
      </c>
      <c r="J467" s="22" t="s">
        <v>2040</v>
      </c>
      <c r="K467" s="22" t="s">
        <v>2081</v>
      </c>
      <c r="L467" s="22" t="s">
        <v>184</v>
      </c>
      <c r="M467" s="22" t="s">
        <v>253</v>
      </c>
    </row>
    <row r="468" customFormat="false" ht="43.5" hidden="false" customHeight="true" outlineLevel="0" collapsed="false">
      <c r="A468" s="22" t="s">
        <v>2082</v>
      </c>
      <c r="B468" s="22" t="s">
        <v>2083</v>
      </c>
      <c r="C468" s="22" t="s">
        <v>49</v>
      </c>
      <c r="D468" s="22" t="s">
        <v>931</v>
      </c>
      <c r="E468" s="22" t="str">
        <f aca="false">IF(D468="","",IFERROR(VLOOKUP(D468,$A$2:$B$1656,2,FALSE()),""))</f>
        <v>Progression, Cultivation, and Adventure Roles</v>
      </c>
      <c r="F468" s="22" t="n">
        <v>3</v>
      </c>
      <c r="G468" s="22" t="s">
        <v>2084</v>
      </c>
      <c r="H468" s="22" t="s">
        <v>937</v>
      </c>
      <c r="I468" s="22" t="s">
        <v>2085</v>
      </c>
      <c r="J468" s="22" t="s">
        <v>2040</v>
      </c>
      <c r="K468" s="22" t="s">
        <v>2085</v>
      </c>
      <c r="L468" s="22" t="s">
        <v>184</v>
      </c>
      <c r="M468" s="22" t="s">
        <v>253</v>
      </c>
    </row>
    <row r="469" customFormat="false" ht="43.5" hidden="false" customHeight="true" outlineLevel="0" collapsed="false">
      <c r="A469" s="22" t="s">
        <v>2086</v>
      </c>
      <c r="B469" s="22" t="s">
        <v>2087</v>
      </c>
      <c r="C469" s="22" t="s">
        <v>49</v>
      </c>
      <c r="D469" s="22" t="s">
        <v>931</v>
      </c>
      <c r="E469" s="22" t="str">
        <f aca="false">IF(D469="","",IFERROR(VLOOKUP(D469,$A$2:$B$1656,2,FALSE()),""))</f>
        <v>Progression, Cultivation, and Adventure Roles</v>
      </c>
      <c r="F469" s="22" t="n">
        <v>3</v>
      </c>
      <c r="G469" s="22" t="s">
        <v>2088</v>
      </c>
      <c r="H469" s="22" t="s">
        <v>937</v>
      </c>
      <c r="I469" s="22" t="s">
        <v>2089</v>
      </c>
      <c r="J469" s="22" t="s">
        <v>2040</v>
      </c>
      <c r="K469" s="22" t="s">
        <v>2089</v>
      </c>
      <c r="L469" s="22" t="s">
        <v>184</v>
      </c>
      <c r="M469" s="22" t="s">
        <v>253</v>
      </c>
    </row>
    <row r="470" customFormat="false" ht="43.5" hidden="false" customHeight="true" outlineLevel="0" collapsed="false">
      <c r="A470" s="22" t="s">
        <v>2090</v>
      </c>
      <c r="B470" s="22" t="s">
        <v>2091</v>
      </c>
      <c r="C470" s="22" t="s">
        <v>49</v>
      </c>
      <c r="D470" s="22" t="s">
        <v>931</v>
      </c>
      <c r="E470" s="22" t="str">
        <f aca="false">IF(D470="","",IFERROR(VLOOKUP(D470,$A$2:$B$1656,2,FALSE()),""))</f>
        <v>Progression, Cultivation, and Adventure Roles</v>
      </c>
      <c r="F470" s="22" t="n">
        <v>3</v>
      </c>
      <c r="G470" s="22" t="s">
        <v>2092</v>
      </c>
      <c r="H470" s="22" t="s">
        <v>937</v>
      </c>
      <c r="I470" s="22" t="s">
        <v>2093</v>
      </c>
      <c r="J470" s="22" t="s">
        <v>2040</v>
      </c>
      <c r="K470" s="22" t="s">
        <v>2093</v>
      </c>
      <c r="L470" s="22" t="s">
        <v>184</v>
      </c>
      <c r="M470" s="22" t="s">
        <v>253</v>
      </c>
    </row>
    <row r="471" customFormat="false" ht="43.5" hidden="false" customHeight="true" outlineLevel="0" collapsed="false">
      <c r="A471" s="22" t="s">
        <v>2094</v>
      </c>
      <c r="B471" s="22" t="s">
        <v>2095</v>
      </c>
      <c r="C471" s="22" t="s">
        <v>49</v>
      </c>
      <c r="D471" s="22" t="s">
        <v>931</v>
      </c>
      <c r="E471" s="22" t="str">
        <f aca="false">IF(D471="","",IFERROR(VLOOKUP(D471,$A$2:$B$1656,2,FALSE()),""))</f>
        <v>Progression, Cultivation, and Adventure Roles</v>
      </c>
      <c r="F471" s="22" t="n">
        <v>3</v>
      </c>
      <c r="G471" s="22" t="s">
        <v>2096</v>
      </c>
      <c r="H471" s="22" t="s">
        <v>937</v>
      </c>
      <c r="I471" s="22" t="s">
        <v>2097</v>
      </c>
      <c r="J471" s="22" t="s">
        <v>2040</v>
      </c>
      <c r="K471" s="22" t="s">
        <v>2097</v>
      </c>
      <c r="L471" s="22" t="s">
        <v>184</v>
      </c>
      <c r="M471" s="22" t="s">
        <v>253</v>
      </c>
    </row>
    <row r="472" customFormat="false" ht="43.5" hidden="false" customHeight="true" outlineLevel="0" collapsed="false">
      <c r="A472" s="22" t="s">
        <v>2098</v>
      </c>
      <c r="B472" s="22" t="s">
        <v>2099</v>
      </c>
      <c r="C472" s="22" t="s">
        <v>49</v>
      </c>
      <c r="D472" s="22" t="s">
        <v>931</v>
      </c>
      <c r="E472" s="22" t="str">
        <f aca="false">IF(D472="","",IFERROR(VLOOKUP(D472,$A$2:$B$1656,2,FALSE()),""))</f>
        <v>Progression, Cultivation, and Adventure Roles</v>
      </c>
      <c r="F472" s="22" t="n">
        <v>3</v>
      </c>
      <c r="G472" s="22" t="s">
        <v>2100</v>
      </c>
      <c r="H472" s="22" t="s">
        <v>937</v>
      </c>
      <c r="I472" s="22" t="s">
        <v>2101</v>
      </c>
      <c r="J472" s="22" t="s">
        <v>2040</v>
      </c>
      <c r="K472" s="22" t="s">
        <v>2101</v>
      </c>
      <c r="L472" s="22" t="s">
        <v>184</v>
      </c>
      <c r="M472" s="22" t="s">
        <v>253</v>
      </c>
    </row>
    <row r="473" customFormat="false" ht="43.5" hidden="false" customHeight="true" outlineLevel="0" collapsed="false">
      <c r="A473" s="22" t="s">
        <v>2102</v>
      </c>
      <c r="B473" s="22" t="s">
        <v>2103</v>
      </c>
      <c r="C473" s="22" t="s">
        <v>49</v>
      </c>
      <c r="D473" s="22" t="s">
        <v>931</v>
      </c>
      <c r="E473" s="22" t="str">
        <f aca="false">IF(D473="","",IFERROR(VLOOKUP(D473,$A$2:$B$1656,2,FALSE()),""))</f>
        <v>Progression, Cultivation, and Adventure Roles</v>
      </c>
      <c r="F473" s="22" t="n">
        <v>3</v>
      </c>
      <c r="G473" s="22" t="s">
        <v>2104</v>
      </c>
      <c r="H473" s="22" t="s">
        <v>937</v>
      </c>
      <c r="I473" s="22" t="s">
        <v>2105</v>
      </c>
      <c r="J473" s="22" t="s">
        <v>2040</v>
      </c>
      <c r="K473" s="22" t="s">
        <v>2105</v>
      </c>
      <c r="L473" s="22" t="s">
        <v>184</v>
      </c>
      <c r="M473" s="22" t="s">
        <v>253</v>
      </c>
    </row>
    <row r="474" customFormat="false" ht="43.5" hidden="false" customHeight="true" outlineLevel="0" collapsed="false">
      <c r="A474" s="22" t="s">
        <v>2106</v>
      </c>
      <c r="B474" s="22" t="s">
        <v>2107</v>
      </c>
      <c r="C474" s="22" t="s">
        <v>49</v>
      </c>
      <c r="D474" s="22" t="s">
        <v>931</v>
      </c>
      <c r="E474" s="22" t="str">
        <f aca="false">IF(D474="","",IFERROR(VLOOKUP(D474,$A$2:$B$1656,2,FALSE()),""))</f>
        <v>Progression, Cultivation, and Adventure Roles</v>
      </c>
      <c r="F474" s="22" t="n">
        <v>3</v>
      </c>
      <c r="G474" s="22" t="s">
        <v>2108</v>
      </c>
      <c r="H474" s="22" t="s">
        <v>937</v>
      </c>
      <c r="I474" s="22" t="s">
        <v>2109</v>
      </c>
      <c r="J474" s="22" t="s">
        <v>2040</v>
      </c>
      <c r="K474" s="22" t="s">
        <v>2109</v>
      </c>
      <c r="L474" s="22" t="s">
        <v>184</v>
      </c>
      <c r="M474" s="22" t="s">
        <v>253</v>
      </c>
    </row>
    <row r="475" customFormat="false" ht="43.5" hidden="false" customHeight="true" outlineLevel="0" collapsed="false">
      <c r="A475" s="22" t="s">
        <v>2110</v>
      </c>
      <c r="B475" s="22" t="s">
        <v>2111</v>
      </c>
      <c r="C475" s="22" t="s">
        <v>49</v>
      </c>
      <c r="D475" s="22" t="s">
        <v>931</v>
      </c>
      <c r="E475" s="22" t="str">
        <f aca="false">IF(D475="","",IFERROR(VLOOKUP(D475,$A$2:$B$1656,2,FALSE()),""))</f>
        <v>Progression, Cultivation, and Adventure Roles</v>
      </c>
      <c r="F475" s="22" t="n">
        <v>3</v>
      </c>
      <c r="G475" s="22" t="s">
        <v>2112</v>
      </c>
      <c r="H475" s="22" t="s">
        <v>937</v>
      </c>
      <c r="I475" s="22" t="s">
        <v>2113</v>
      </c>
      <c r="J475" s="22" t="s">
        <v>2040</v>
      </c>
      <c r="K475" s="22" t="s">
        <v>2113</v>
      </c>
      <c r="L475" s="22" t="s">
        <v>184</v>
      </c>
      <c r="M475" s="22" t="s">
        <v>253</v>
      </c>
    </row>
    <row r="476" customFormat="false" ht="43.5" hidden="false" customHeight="true" outlineLevel="0" collapsed="false">
      <c r="A476" s="22" t="s">
        <v>2114</v>
      </c>
      <c r="B476" s="22" t="s">
        <v>2115</v>
      </c>
      <c r="C476" s="22" t="s">
        <v>49</v>
      </c>
      <c r="D476" s="22" t="s">
        <v>931</v>
      </c>
      <c r="E476" s="22" t="str">
        <f aca="false">IF(D476="","",IFERROR(VLOOKUP(D476,$A$2:$B$1656,2,FALSE()),""))</f>
        <v>Progression, Cultivation, and Adventure Roles</v>
      </c>
      <c r="F476" s="22" t="n">
        <v>3</v>
      </c>
      <c r="G476" s="22" t="s">
        <v>2116</v>
      </c>
      <c r="H476" s="22" t="s">
        <v>937</v>
      </c>
      <c r="I476" s="22" t="s">
        <v>2117</v>
      </c>
      <c r="J476" s="22" t="s">
        <v>2040</v>
      </c>
      <c r="K476" s="22" t="s">
        <v>2117</v>
      </c>
      <c r="L476" s="22" t="s">
        <v>184</v>
      </c>
      <c r="M476" s="22" t="s">
        <v>253</v>
      </c>
    </row>
    <row r="477" customFormat="false" ht="43.5" hidden="false" customHeight="true" outlineLevel="0" collapsed="false">
      <c r="A477" s="22" t="s">
        <v>2118</v>
      </c>
      <c r="B477" s="22" t="s">
        <v>2119</v>
      </c>
      <c r="C477" s="22" t="s">
        <v>49</v>
      </c>
      <c r="D477" s="22" t="s">
        <v>931</v>
      </c>
      <c r="E477" s="22" t="str">
        <f aca="false">IF(D477="","",IFERROR(VLOOKUP(D477,$A$2:$B$1656,2,FALSE()),""))</f>
        <v>Progression, Cultivation, and Adventure Roles</v>
      </c>
      <c r="F477" s="22" t="n">
        <v>3</v>
      </c>
      <c r="G477" s="22" t="s">
        <v>2120</v>
      </c>
      <c r="H477" s="22" t="s">
        <v>937</v>
      </c>
      <c r="I477" s="22" t="s">
        <v>2121</v>
      </c>
      <c r="J477" s="22" t="s">
        <v>2040</v>
      </c>
      <c r="K477" s="22" t="s">
        <v>2121</v>
      </c>
      <c r="L477" s="22" t="s">
        <v>184</v>
      </c>
      <c r="M477" s="22" t="s">
        <v>253</v>
      </c>
    </row>
    <row r="478" customFormat="false" ht="43.5" hidden="false" customHeight="true" outlineLevel="0" collapsed="false">
      <c r="A478" s="22" t="s">
        <v>2122</v>
      </c>
      <c r="B478" s="22" t="s">
        <v>2123</v>
      </c>
      <c r="C478" s="22" t="s">
        <v>49</v>
      </c>
      <c r="D478" s="22" t="s">
        <v>931</v>
      </c>
      <c r="E478" s="22" t="str">
        <f aca="false">IF(D478="","",IFERROR(VLOOKUP(D478,$A$2:$B$1656,2,FALSE()),""))</f>
        <v>Progression, Cultivation, and Adventure Roles</v>
      </c>
      <c r="F478" s="22" t="n">
        <v>3</v>
      </c>
      <c r="G478" s="22" t="s">
        <v>2124</v>
      </c>
      <c r="H478" s="22" t="s">
        <v>937</v>
      </c>
      <c r="I478" s="22" t="s">
        <v>2125</v>
      </c>
      <c r="J478" s="22" t="s">
        <v>2040</v>
      </c>
      <c r="K478" s="22" t="s">
        <v>2125</v>
      </c>
      <c r="L478" s="22" t="s">
        <v>184</v>
      </c>
      <c r="M478" s="22" t="s">
        <v>253</v>
      </c>
    </row>
    <row r="479" customFormat="false" ht="43.5" hidden="false" customHeight="true" outlineLevel="0" collapsed="false">
      <c r="A479" s="22" t="s">
        <v>2126</v>
      </c>
      <c r="B479" s="22" t="s">
        <v>2127</v>
      </c>
      <c r="C479" s="22" t="s">
        <v>49</v>
      </c>
      <c r="D479" s="22" t="s">
        <v>931</v>
      </c>
      <c r="E479" s="22" t="str">
        <f aca="false">IF(D479="","",IFERROR(VLOOKUP(D479,$A$2:$B$1656,2,FALSE()),""))</f>
        <v>Progression, Cultivation, and Adventure Roles</v>
      </c>
      <c r="F479" s="22" t="n">
        <v>3</v>
      </c>
      <c r="G479" s="22" t="s">
        <v>2128</v>
      </c>
      <c r="H479" s="22" t="s">
        <v>937</v>
      </c>
      <c r="I479" s="22" t="s">
        <v>2129</v>
      </c>
      <c r="J479" s="22" t="s">
        <v>2040</v>
      </c>
      <c r="K479" s="22" t="s">
        <v>2129</v>
      </c>
      <c r="L479" s="22" t="s">
        <v>184</v>
      </c>
      <c r="M479" s="22" t="s">
        <v>253</v>
      </c>
    </row>
    <row r="480" customFormat="false" ht="43.5" hidden="false" customHeight="true" outlineLevel="0" collapsed="false">
      <c r="A480" s="22" t="s">
        <v>2130</v>
      </c>
      <c r="B480" s="22" t="s">
        <v>2131</v>
      </c>
      <c r="C480" s="22" t="s">
        <v>49</v>
      </c>
      <c r="D480" s="22" t="s">
        <v>931</v>
      </c>
      <c r="E480" s="22" t="str">
        <f aca="false">IF(D480="","",IFERROR(VLOOKUP(D480,$A$2:$B$1656,2,FALSE()),""))</f>
        <v>Progression, Cultivation, and Adventure Roles</v>
      </c>
      <c r="F480" s="22" t="n">
        <v>3</v>
      </c>
      <c r="G480" s="22" t="s">
        <v>2132</v>
      </c>
      <c r="H480" s="22" t="s">
        <v>937</v>
      </c>
      <c r="I480" s="22" t="s">
        <v>2133</v>
      </c>
      <c r="J480" s="22" t="s">
        <v>2040</v>
      </c>
      <c r="K480" s="22" t="s">
        <v>2133</v>
      </c>
      <c r="L480" s="22" t="s">
        <v>184</v>
      </c>
      <c r="M480" s="22" t="s">
        <v>253</v>
      </c>
    </row>
    <row r="481" customFormat="false" ht="43.5" hidden="false" customHeight="true" outlineLevel="0" collapsed="false">
      <c r="A481" s="22" t="s">
        <v>2134</v>
      </c>
      <c r="B481" s="22" t="s">
        <v>2135</v>
      </c>
      <c r="C481" s="22" t="s">
        <v>49</v>
      </c>
      <c r="D481" s="22" t="s">
        <v>931</v>
      </c>
      <c r="E481" s="22" t="str">
        <f aca="false">IF(D481="","",IFERROR(VLOOKUP(D481,$A$2:$B$1656,2,FALSE()),""))</f>
        <v>Progression, Cultivation, and Adventure Roles</v>
      </c>
      <c r="F481" s="22" t="n">
        <v>3</v>
      </c>
      <c r="G481" s="22" t="s">
        <v>2136</v>
      </c>
      <c r="H481" s="22" t="s">
        <v>937</v>
      </c>
      <c r="I481" s="22" t="s">
        <v>2137</v>
      </c>
      <c r="J481" s="22" t="s">
        <v>2040</v>
      </c>
      <c r="K481" s="22" t="s">
        <v>2137</v>
      </c>
      <c r="L481" s="22" t="s">
        <v>184</v>
      </c>
      <c r="M481" s="22" t="s">
        <v>253</v>
      </c>
    </row>
    <row r="482" customFormat="false" ht="43.5" hidden="false" customHeight="true" outlineLevel="0" collapsed="false">
      <c r="A482" s="22" t="s">
        <v>2138</v>
      </c>
      <c r="B482" s="22" t="s">
        <v>2139</v>
      </c>
      <c r="C482" s="22" t="s">
        <v>49</v>
      </c>
      <c r="D482" s="22" t="s">
        <v>931</v>
      </c>
      <c r="E482" s="22" t="str">
        <f aca="false">IF(D482="","",IFERROR(VLOOKUP(D482,$A$2:$B$1656,2,FALSE()),""))</f>
        <v>Progression, Cultivation, and Adventure Roles</v>
      </c>
      <c r="F482" s="22" t="n">
        <v>3</v>
      </c>
      <c r="G482" s="22" t="s">
        <v>2140</v>
      </c>
      <c r="H482" s="22" t="s">
        <v>937</v>
      </c>
      <c r="I482" s="22" t="s">
        <v>2141</v>
      </c>
      <c r="J482" s="22" t="s">
        <v>2040</v>
      </c>
      <c r="K482" s="22" t="s">
        <v>2141</v>
      </c>
      <c r="L482" s="22" t="s">
        <v>184</v>
      </c>
      <c r="M482" s="22" t="s">
        <v>253</v>
      </c>
    </row>
    <row r="483" customFormat="false" ht="43.5" hidden="false" customHeight="true" outlineLevel="0" collapsed="false">
      <c r="A483" s="22" t="s">
        <v>2142</v>
      </c>
      <c r="B483" s="22" t="s">
        <v>2143</v>
      </c>
      <c r="C483" s="22" t="s">
        <v>49</v>
      </c>
      <c r="D483" s="22" t="s">
        <v>931</v>
      </c>
      <c r="E483" s="22" t="str">
        <f aca="false">IF(D483="","",IFERROR(VLOOKUP(D483,$A$2:$B$1656,2,FALSE()),""))</f>
        <v>Progression, Cultivation, and Adventure Roles</v>
      </c>
      <c r="F483" s="22" t="n">
        <v>3</v>
      </c>
      <c r="G483" s="22" t="s">
        <v>2144</v>
      </c>
      <c r="H483" s="22" t="s">
        <v>937</v>
      </c>
      <c r="I483" s="22" t="s">
        <v>2145</v>
      </c>
      <c r="J483" s="22" t="s">
        <v>2040</v>
      </c>
      <c r="K483" s="22" t="s">
        <v>2145</v>
      </c>
      <c r="L483" s="22" t="s">
        <v>184</v>
      </c>
      <c r="M483" s="22" t="s">
        <v>253</v>
      </c>
    </row>
    <row r="484" customFormat="false" ht="43.5" hidden="false" customHeight="true" outlineLevel="0" collapsed="false">
      <c r="A484" s="22" t="s">
        <v>2146</v>
      </c>
      <c r="B484" s="22" t="s">
        <v>2147</v>
      </c>
      <c r="C484" s="22" t="s">
        <v>49</v>
      </c>
      <c r="D484" s="22" t="s">
        <v>931</v>
      </c>
      <c r="E484" s="22" t="str">
        <f aca="false">IF(D484="","",IFERROR(VLOOKUP(D484,$A$2:$B$1656,2,FALSE()),""))</f>
        <v>Progression, Cultivation, and Adventure Roles</v>
      </c>
      <c r="F484" s="22" t="n">
        <v>3</v>
      </c>
      <c r="G484" s="22" t="s">
        <v>2148</v>
      </c>
      <c r="H484" s="22" t="s">
        <v>937</v>
      </c>
      <c r="I484" s="22" t="s">
        <v>2149</v>
      </c>
      <c r="J484" s="22" t="s">
        <v>2040</v>
      </c>
      <c r="K484" s="22" t="s">
        <v>2149</v>
      </c>
      <c r="L484" s="22" t="s">
        <v>184</v>
      </c>
      <c r="M484" s="22" t="s">
        <v>253</v>
      </c>
    </row>
    <row r="485" customFormat="false" ht="43.5" hidden="false" customHeight="true" outlineLevel="0" collapsed="false">
      <c r="A485" s="22" t="s">
        <v>2150</v>
      </c>
      <c r="B485" s="22" t="s">
        <v>2151</v>
      </c>
      <c r="C485" s="22" t="s">
        <v>49</v>
      </c>
      <c r="D485" s="22" t="s">
        <v>931</v>
      </c>
      <c r="E485" s="22" t="str">
        <f aca="false">IF(D485="","",IFERROR(VLOOKUP(D485,$A$2:$B$1656,2,FALSE()),""))</f>
        <v>Progression, Cultivation, and Adventure Roles</v>
      </c>
      <c r="F485" s="22" t="n">
        <v>3</v>
      </c>
      <c r="G485" s="22" t="s">
        <v>2152</v>
      </c>
      <c r="H485" s="22" t="s">
        <v>937</v>
      </c>
      <c r="I485" s="22" t="s">
        <v>2153</v>
      </c>
      <c r="J485" s="22" t="s">
        <v>2040</v>
      </c>
      <c r="K485" s="22" t="s">
        <v>2153</v>
      </c>
      <c r="L485" s="22" t="s">
        <v>184</v>
      </c>
      <c r="M485" s="22" t="s">
        <v>253</v>
      </c>
    </row>
    <row r="486" customFormat="false" ht="43.5" hidden="false" customHeight="true" outlineLevel="0" collapsed="false">
      <c r="A486" s="22" t="s">
        <v>2154</v>
      </c>
      <c r="B486" s="22" t="s">
        <v>2155</v>
      </c>
      <c r="C486" s="22" t="s">
        <v>49</v>
      </c>
      <c r="D486" s="22" t="s">
        <v>931</v>
      </c>
      <c r="E486" s="22" t="str">
        <f aca="false">IF(D486="","",IFERROR(VLOOKUP(D486,$A$2:$B$1656,2,FALSE()),""))</f>
        <v>Progression, Cultivation, and Adventure Roles</v>
      </c>
      <c r="F486" s="22" t="n">
        <v>3</v>
      </c>
      <c r="G486" s="22" t="s">
        <v>2156</v>
      </c>
      <c r="H486" s="22" t="s">
        <v>937</v>
      </c>
      <c r="I486" s="22" t="s">
        <v>2157</v>
      </c>
      <c r="J486" s="22" t="s">
        <v>2040</v>
      </c>
      <c r="K486" s="22" t="s">
        <v>2157</v>
      </c>
      <c r="L486" s="22" t="s">
        <v>184</v>
      </c>
      <c r="M486" s="22" t="s">
        <v>253</v>
      </c>
    </row>
    <row r="487" customFormat="false" ht="43.5" hidden="false" customHeight="true" outlineLevel="0" collapsed="false">
      <c r="A487" s="22" t="s">
        <v>2158</v>
      </c>
      <c r="B487" s="22" t="s">
        <v>2159</v>
      </c>
      <c r="C487" s="22" t="s">
        <v>49</v>
      </c>
      <c r="D487" s="22" t="s">
        <v>931</v>
      </c>
      <c r="E487" s="22" t="str">
        <f aca="false">IF(D487="","",IFERROR(VLOOKUP(D487,$A$2:$B$1656,2,FALSE()),""))</f>
        <v>Progression, Cultivation, and Adventure Roles</v>
      </c>
      <c r="F487" s="22" t="n">
        <v>3</v>
      </c>
      <c r="G487" s="22" t="s">
        <v>2160</v>
      </c>
      <c r="H487" s="22" t="s">
        <v>937</v>
      </c>
      <c r="I487" s="22" t="s">
        <v>2161</v>
      </c>
      <c r="J487" s="22" t="s">
        <v>2040</v>
      </c>
      <c r="K487" s="22" t="s">
        <v>2161</v>
      </c>
      <c r="L487" s="22" t="s">
        <v>184</v>
      </c>
      <c r="M487" s="22" t="s">
        <v>253</v>
      </c>
    </row>
    <row r="488" customFormat="false" ht="43.5" hidden="false" customHeight="true" outlineLevel="0" collapsed="false">
      <c r="A488" s="22" t="s">
        <v>2162</v>
      </c>
      <c r="B488" s="22" t="s">
        <v>2163</v>
      </c>
      <c r="C488" s="22" t="s">
        <v>49</v>
      </c>
      <c r="D488" s="22" t="s">
        <v>931</v>
      </c>
      <c r="E488" s="22" t="str">
        <f aca="false">IF(D488="","",IFERROR(VLOOKUP(D488,$A$2:$B$1656,2,FALSE()),""))</f>
        <v>Progression, Cultivation, and Adventure Roles</v>
      </c>
      <c r="F488" s="22" t="n">
        <v>3</v>
      </c>
      <c r="G488" s="22" t="s">
        <v>2164</v>
      </c>
      <c r="H488" s="22" t="s">
        <v>937</v>
      </c>
      <c r="I488" s="22" t="s">
        <v>2165</v>
      </c>
      <c r="J488" s="22" t="s">
        <v>2040</v>
      </c>
      <c r="K488" s="22" t="s">
        <v>2165</v>
      </c>
      <c r="L488" s="22" t="s">
        <v>184</v>
      </c>
      <c r="M488" s="22" t="s">
        <v>253</v>
      </c>
    </row>
    <row r="489" customFormat="false" ht="43.5" hidden="false" customHeight="true" outlineLevel="0" collapsed="false">
      <c r="A489" s="22" t="s">
        <v>2166</v>
      </c>
      <c r="B489" s="22" t="s">
        <v>2167</v>
      </c>
      <c r="C489" s="22" t="s">
        <v>51</v>
      </c>
      <c r="D489" s="22" t="s">
        <v>188</v>
      </c>
      <c r="E489" s="22" t="str">
        <f aca="false">IF(D489="","",IFERROR(VLOOKUP(D489,$A$2:$B$1656,2,FALSE()),""))</f>
        <v>Power Traditions</v>
      </c>
      <c r="F489" s="22" t="n">
        <v>2</v>
      </c>
      <c r="G489" s="22" t="s">
        <v>2168</v>
      </c>
      <c r="H489" s="22" t="s">
        <v>2169</v>
      </c>
      <c r="I489" s="22"/>
      <c r="J489" s="22" t="s">
        <v>2170</v>
      </c>
      <c r="K489" s="22" t="s">
        <v>2167</v>
      </c>
      <c r="L489" s="22" t="s">
        <v>184</v>
      </c>
      <c r="M489" s="22" t="s">
        <v>206</v>
      </c>
    </row>
    <row r="490" customFormat="false" ht="43.5" hidden="false" customHeight="true" outlineLevel="0" collapsed="false">
      <c r="A490" s="22" t="s">
        <v>2171</v>
      </c>
      <c r="B490" s="22" t="s">
        <v>2172</v>
      </c>
      <c r="C490" s="22" t="s">
        <v>51</v>
      </c>
      <c r="D490" s="22" t="s">
        <v>188</v>
      </c>
      <c r="E490" s="22" t="str">
        <f aca="false">IF(D490="","",IFERROR(VLOOKUP(D490,$A$2:$B$1656,2,FALSE()),""))</f>
        <v>Power Traditions</v>
      </c>
      <c r="F490" s="22" t="n">
        <v>2</v>
      </c>
      <c r="G490" s="22" t="s">
        <v>2173</v>
      </c>
      <c r="H490" s="22" t="s">
        <v>2169</v>
      </c>
      <c r="I490" s="22"/>
      <c r="J490" s="22" t="s">
        <v>2170</v>
      </c>
      <c r="K490" s="22" t="s">
        <v>2172</v>
      </c>
      <c r="L490" s="22" t="s">
        <v>184</v>
      </c>
      <c r="M490" s="22" t="s">
        <v>206</v>
      </c>
    </row>
    <row r="491" customFormat="false" ht="43.5" hidden="false" customHeight="true" outlineLevel="0" collapsed="false">
      <c r="A491" s="22" t="s">
        <v>2174</v>
      </c>
      <c r="B491" s="22" t="s">
        <v>2175</v>
      </c>
      <c r="C491" s="22" t="s">
        <v>51</v>
      </c>
      <c r="D491" s="22" t="s">
        <v>188</v>
      </c>
      <c r="E491" s="22" t="str">
        <f aca="false">IF(D491="","",IFERROR(VLOOKUP(D491,$A$2:$B$1656,2,FALSE()),""))</f>
        <v>Power Traditions</v>
      </c>
      <c r="F491" s="22" t="n">
        <v>2</v>
      </c>
      <c r="G491" s="22" t="s">
        <v>2176</v>
      </c>
      <c r="H491" s="22" t="s">
        <v>2169</v>
      </c>
      <c r="I491" s="22"/>
      <c r="J491" s="22" t="s">
        <v>2170</v>
      </c>
      <c r="K491" s="22" t="s">
        <v>2175</v>
      </c>
      <c r="L491" s="22" t="s">
        <v>184</v>
      </c>
      <c r="M491" s="22" t="s">
        <v>206</v>
      </c>
    </row>
    <row r="492" customFormat="false" ht="43.5" hidden="false" customHeight="true" outlineLevel="0" collapsed="false">
      <c r="A492" s="22" t="s">
        <v>2177</v>
      </c>
      <c r="B492" s="22" t="s">
        <v>2178</v>
      </c>
      <c r="C492" s="22" t="s">
        <v>51</v>
      </c>
      <c r="D492" s="22" t="s">
        <v>188</v>
      </c>
      <c r="E492" s="22" t="str">
        <f aca="false">IF(D492="","",IFERROR(VLOOKUP(D492,$A$2:$B$1656,2,FALSE()),""))</f>
        <v>Power Traditions</v>
      </c>
      <c r="F492" s="22" t="n">
        <v>2</v>
      </c>
      <c r="G492" s="22" t="s">
        <v>2179</v>
      </c>
      <c r="H492" s="22" t="s">
        <v>2169</v>
      </c>
      <c r="I492" s="22"/>
      <c r="J492" s="22" t="s">
        <v>2170</v>
      </c>
      <c r="K492" s="22" t="s">
        <v>2178</v>
      </c>
      <c r="L492" s="22" t="s">
        <v>184</v>
      </c>
      <c r="M492" s="22" t="s">
        <v>206</v>
      </c>
    </row>
    <row r="493" customFormat="false" ht="43.5" hidden="false" customHeight="true" outlineLevel="0" collapsed="false">
      <c r="A493" s="22" t="s">
        <v>2180</v>
      </c>
      <c r="B493" s="22" t="s">
        <v>2181</v>
      </c>
      <c r="C493" s="22" t="s">
        <v>51</v>
      </c>
      <c r="D493" s="22" t="s">
        <v>188</v>
      </c>
      <c r="E493" s="22" t="str">
        <f aca="false">IF(D493="","",IFERROR(VLOOKUP(D493,$A$2:$B$1656,2,FALSE()),""))</f>
        <v>Power Traditions</v>
      </c>
      <c r="F493" s="22" t="n">
        <v>2</v>
      </c>
      <c r="G493" s="22" t="s">
        <v>2182</v>
      </c>
      <c r="H493" s="22" t="s">
        <v>2169</v>
      </c>
      <c r="I493" s="22"/>
      <c r="J493" s="22" t="s">
        <v>2170</v>
      </c>
      <c r="K493" s="22" t="s">
        <v>2181</v>
      </c>
      <c r="L493" s="22" t="s">
        <v>184</v>
      </c>
      <c r="M493" s="22" t="s">
        <v>206</v>
      </c>
    </row>
    <row r="494" customFormat="false" ht="43.5" hidden="false" customHeight="true" outlineLevel="0" collapsed="false">
      <c r="A494" s="22" t="s">
        <v>2183</v>
      </c>
      <c r="B494" s="22" t="s">
        <v>2184</v>
      </c>
      <c r="C494" s="22" t="s">
        <v>51</v>
      </c>
      <c r="D494" s="22" t="s">
        <v>188</v>
      </c>
      <c r="E494" s="22" t="str">
        <f aca="false">IF(D494="","",IFERROR(VLOOKUP(D494,$A$2:$B$1656,2,FALSE()),""))</f>
        <v>Power Traditions</v>
      </c>
      <c r="F494" s="22" t="n">
        <v>2</v>
      </c>
      <c r="G494" s="22" t="s">
        <v>2185</v>
      </c>
      <c r="H494" s="22" t="s">
        <v>2169</v>
      </c>
      <c r="I494" s="22"/>
      <c r="J494" s="22" t="s">
        <v>2170</v>
      </c>
      <c r="K494" s="22" t="s">
        <v>2184</v>
      </c>
      <c r="L494" s="22" t="s">
        <v>184</v>
      </c>
      <c r="M494" s="22" t="s">
        <v>206</v>
      </c>
    </row>
    <row r="495" customFormat="false" ht="43.5" hidden="false" customHeight="true" outlineLevel="0" collapsed="false">
      <c r="A495" s="22" t="s">
        <v>2186</v>
      </c>
      <c r="B495" s="22" t="s">
        <v>2187</v>
      </c>
      <c r="C495" s="22" t="s">
        <v>51</v>
      </c>
      <c r="D495" s="22" t="s">
        <v>2166</v>
      </c>
      <c r="E495" s="22" t="str">
        <f aca="false">IF(D495="","",IFERROR(VLOOKUP(D495,$A$2:$B$1656,2,FALSE()),""))</f>
        <v>Source and Authorization Models</v>
      </c>
      <c r="F495" s="22" t="n">
        <v>3</v>
      </c>
      <c r="G495" s="22" t="s">
        <v>2188</v>
      </c>
      <c r="H495" s="22" t="s">
        <v>2189</v>
      </c>
      <c r="I495" s="22" t="s">
        <v>2190</v>
      </c>
      <c r="J495" s="22" t="s">
        <v>2191</v>
      </c>
      <c r="K495" s="22" t="s">
        <v>2190</v>
      </c>
      <c r="L495" s="22" t="s">
        <v>184</v>
      </c>
      <c r="M495" s="22" t="s">
        <v>253</v>
      </c>
    </row>
    <row r="496" customFormat="false" ht="43.5" hidden="false" customHeight="true" outlineLevel="0" collapsed="false">
      <c r="A496" s="22" t="s">
        <v>2192</v>
      </c>
      <c r="B496" s="22" t="s">
        <v>2193</v>
      </c>
      <c r="C496" s="22" t="s">
        <v>51</v>
      </c>
      <c r="D496" s="22" t="s">
        <v>2166</v>
      </c>
      <c r="E496" s="22" t="str">
        <f aca="false">IF(D496="","",IFERROR(VLOOKUP(D496,$A$2:$B$1656,2,FALSE()),""))</f>
        <v>Source and Authorization Models</v>
      </c>
      <c r="F496" s="22" t="n">
        <v>3</v>
      </c>
      <c r="G496" s="22" t="s">
        <v>2194</v>
      </c>
      <c r="H496" s="22" t="s">
        <v>2189</v>
      </c>
      <c r="I496" s="22" t="s">
        <v>2195</v>
      </c>
      <c r="J496" s="22" t="s">
        <v>2191</v>
      </c>
      <c r="K496" s="22" t="s">
        <v>2195</v>
      </c>
      <c r="L496" s="22" t="s">
        <v>184</v>
      </c>
      <c r="M496" s="22" t="s">
        <v>253</v>
      </c>
    </row>
    <row r="497" customFormat="false" ht="43.5" hidden="false" customHeight="true" outlineLevel="0" collapsed="false">
      <c r="A497" s="22" t="s">
        <v>2196</v>
      </c>
      <c r="B497" s="22" t="s">
        <v>2197</v>
      </c>
      <c r="C497" s="22" t="s">
        <v>51</v>
      </c>
      <c r="D497" s="22" t="s">
        <v>2166</v>
      </c>
      <c r="E497" s="22" t="str">
        <f aca="false">IF(D497="","",IFERROR(VLOOKUP(D497,$A$2:$B$1656,2,FALSE()),""))</f>
        <v>Source and Authorization Models</v>
      </c>
      <c r="F497" s="22" t="n">
        <v>3</v>
      </c>
      <c r="G497" s="22" t="s">
        <v>2198</v>
      </c>
      <c r="H497" s="22" t="s">
        <v>2189</v>
      </c>
      <c r="I497" s="22" t="s">
        <v>2199</v>
      </c>
      <c r="J497" s="22" t="s">
        <v>2191</v>
      </c>
      <c r="K497" s="22" t="s">
        <v>2199</v>
      </c>
      <c r="L497" s="22" t="s">
        <v>184</v>
      </c>
      <c r="M497" s="22" t="s">
        <v>253</v>
      </c>
    </row>
    <row r="498" customFormat="false" ht="43.5" hidden="false" customHeight="true" outlineLevel="0" collapsed="false">
      <c r="A498" s="22" t="s">
        <v>2200</v>
      </c>
      <c r="B498" s="22" t="s">
        <v>2201</v>
      </c>
      <c r="C498" s="22" t="s">
        <v>51</v>
      </c>
      <c r="D498" s="22" t="s">
        <v>2166</v>
      </c>
      <c r="E498" s="22" t="str">
        <f aca="false">IF(D498="","",IFERROR(VLOOKUP(D498,$A$2:$B$1656,2,FALSE()),""))</f>
        <v>Source and Authorization Models</v>
      </c>
      <c r="F498" s="22" t="n">
        <v>3</v>
      </c>
      <c r="G498" s="22" t="s">
        <v>2202</v>
      </c>
      <c r="H498" s="22" t="s">
        <v>2189</v>
      </c>
      <c r="I498" s="22" t="s">
        <v>2203</v>
      </c>
      <c r="J498" s="22" t="s">
        <v>2191</v>
      </c>
      <c r="K498" s="22" t="s">
        <v>2203</v>
      </c>
      <c r="L498" s="22" t="s">
        <v>184</v>
      </c>
      <c r="M498" s="22" t="s">
        <v>253</v>
      </c>
    </row>
    <row r="499" customFormat="false" ht="43.5" hidden="false" customHeight="true" outlineLevel="0" collapsed="false">
      <c r="A499" s="22" t="s">
        <v>2204</v>
      </c>
      <c r="B499" s="22" t="s">
        <v>2205</v>
      </c>
      <c r="C499" s="22" t="s">
        <v>51</v>
      </c>
      <c r="D499" s="22" t="s">
        <v>2166</v>
      </c>
      <c r="E499" s="22" t="str">
        <f aca="false">IF(D499="","",IFERROR(VLOOKUP(D499,$A$2:$B$1656,2,FALSE()),""))</f>
        <v>Source and Authorization Models</v>
      </c>
      <c r="F499" s="22" t="n">
        <v>3</v>
      </c>
      <c r="G499" s="22" t="s">
        <v>2206</v>
      </c>
      <c r="H499" s="22" t="s">
        <v>2189</v>
      </c>
      <c r="I499" s="22" t="s">
        <v>2207</v>
      </c>
      <c r="J499" s="22" t="s">
        <v>2191</v>
      </c>
      <c r="K499" s="22" t="s">
        <v>2207</v>
      </c>
      <c r="L499" s="22" t="s">
        <v>184</v>
      </c>
      <c r="M499" s="22" t="s">
        <v>253</v>
      </c>
    </row>
    <row r="500" customFormat="false" ht="43.5" hidden="false" customHeight="true" outlineLevel="0" collapsed="false">
      <c r="A500" s="22" t="s">
        <v>2208</v>
      </c>
      <c r="B500" s="22" t="s">
        <v>2209</v>
      </c>
      <c r="C500" s="22" t="s">
        <v>51</v>
      </c>
      <c r="D500" s="22" t="s">
        <v>2166</v>
      </c>
      <c r="E500" s="22" t="str">
        <f aca="false">IF(D500="","",IFERROR(VLOOKUP(D500,$A$2:$B$1656,2,FALSE()),""))</f>
        <v>Source and Authorization Models</v>
      </c>
      <c r="F500" s="22" t="n">
        <v>3</v>
      </c>
      <c r="G500" s="22" t="s">
        <v>2210</v>
      </c>
      <c r="H500" s="22" t="s">
        <v>2189</v>
      </c>
      <c r="I500" s="22" t="s">
        <v>2211</v>
      </c>
      <c r="J500" s="22" t="s">
        <v>2191</v>
      </c>
      <c r="K500" s="22" t="s">
        <v>2211</v>
      </c>
      <c r="L500" s="22" t="s">
        <v>184</v>
      </c>
      <c r="M500" s="22" t="s">
        <v>253</v>
      </c>
    </row>
    <row r="501" customFormat="false" ht="43.5" hidden="false" customHeight="true" outlineLevel="0" collapsed="false">
      <c r="A501" s="22" t="s">
        <v>2212</v>
      </c>
      <c r="B501" s="22" t="s">
        <v>2213</v>
      </c>
      <c r="C501" s="22" t="s">
        <v>51</v>
      </c>
      <c r="D501" s="22" t="s">
        <v>2166</v>
      </c>
      <c r="E501" s="22" t="str">
        <f aca="false">IF(D501="","",IFERROR(VLOOKUP(D501,$A$2:$B$1656,2,FALSE()),""))</f>
        <v>Source and Authorization Models</v>
      </c>
      <c r="F501" s="22" t="n">
        <v>3</v>
      </c>
      <c r="G501" s="22" t="s">
        <v>2214</v>
      </c>
      <c r="H501" s="22" t="s">
        <v>2189</v>
      </c>
      <c r="I501" s="22" t="s">
        <v>2215</v>
      </c>
      <c r="J501" s="22" t="s">
        <v>2191</v>
      </c>
      <c r="K501" s="22" t="s">
        <v>2215</v>
      </c>
      <c r="L501" s="22" t="s">
        <v>184</v>
      </c>
      <c r="M501" s="22" t="s">
        <v>253</v>
      </c>
    </row>
    <row r="502" customFormat="false" ht="43.5" hidden="false" customHeight="true" outlineLevel="0" collapsed="false">
      <c r="A502" s="22" t="s">
        <v>2216</v>
      </c>
      <c r="B502" s="22" t="s">
        <v>2217</v>
      </c>
      <c r="C502" s="22" t="s">
        <v>51</v>
      </c>
      <c r="D502" s="22" t="s">
        <v>2166</v>
      </c>
      <c r="E502" s="22" t="str">
        <f aca="false">IF(D502="","",IFERROR(VLOOKUP(D502,$A$2:$B$1656,2,FALSE()),""))</f>
        <v>Source and Authorization Models</v>
      </c>
      <c r="F502" s="22" t="n">
        <v>3</v>
      </c>
      <c r="G502" s="22" t="s">
        <v>2218</v>
      </c>
      <c r="H502" s="22" t="s">
        <v>2189</v>
      </c>
      <c r="I502" s="22" t="s">
        <v>2219</v>
      </c>
      <c r="J502" s="22" t="s">
        <v>2191</v>
      </c>
      <c r="K502" s="22" t="s">
        <v>2219</v>
      </c>
      <c r="L502" s="22" t="s">
        <v>184</v>
      </c>
      <c r="M502" s="22" t="s">
        <v>253</v>
      </c>
    </row>
    <row r="503" customFormat="false" ht="43.5" hidden="false" customHeight="true" outlineLevel="0" collapsed="false">
      <c r="A503" s="22" t="s">
        <v>2220</v>
      </c>
      <c r="B503" s="22" t="s">
        <v>2221</v>
      </c>
      <c r="C503" s="22" t="s">
        <v>51</v>
      </c>
      <c r="D503" s="22" t="s">
        <v>2166</v>
      </c>
      <c r="E503" s="22" t="str">
        <f aca="false">IF(D503="","",IFERROR(VLOOKUP(D503,$A$2:$B$1656,2,FALSE()),""))</f>
        <v>Source and Authorization Models</v>
      </c>
      <c r="F503" s="22" t="n">
        <v>3</v>
      </c>
      <c r="G503" s="22" t="s">
        <v>2222</v>
      </c>
      <c r="H503" s="22" t="s">
        <v>2189</v>
      </c>
      <c r="I503" s="22" t="s">
        <v>2223</v>
      </c>
      <c r="J503" s="22" t="s">
        <v>2191</v>
      </c>
      <c r="K503" s="22" t="s">
        <v>2223</v>
      </c>
      <c r="L503" s="22" t="s">
        <v>184</v>
      </c>
      <c r="M503" s="22" t="s">
        <v>253</v>
      </c>
    </row>
    <row r="504" customFormat="false" ht="43.5" hidden="false" customHeight="true" outlineLevel="0" collapsed="false">
      <c r="A504" s="22" t="s">
        <v>2224</v>
      </c>
      <c r="B504" s="22" t="s">
        <v>2225</v>
      </c>
      <c r="C504" s="22" t="s">
        <v>51</v>
      </c>
      <c r="D504" s="22" t="s">
        <v>2166</v>
      </c>
      <c r="E504" s="22" t="str">
        <f aca="false">IF(D504="","",IFERROR(VLOOKUP(D504,$A$2:$B$1656,2,FALSE()),""))</f>
        <v>Source and Authorization Models</v>
      </c>
      <c r="F504" s="22" t="n">
        <v>3</v>
      </c>
      <c r="G504" s="22" t="s">
        <v>2226</v>
      </c>
      <c r="H504" s="22" t="s">
        <v>2189</v>
      </c>
      <c r="I504" s="22" t="s">
        <v>2227</v>
      </c>
      <c r="J504" s="22" t="s">
        <v>2191</v>
      </c>
      <c r="K504" s="22" t="s">
        <v>2227</v>
      </c>
      <c r="L504" s="22" t="s">
        <v>184</v>
      </c>
      <c r="M504" s="22" t="s">
        <v>253</v>
      </c>
    </row>
    <row r="505" customFormat="false" ht="43.5" hidden="false" customHeight="true" outlineLevel="0" collapsed="false">
      <c r="A505" s="22" t="s">
        <v>2228</v>
      </c>
      <c r="B505" s="22" t="s">
        <v>2229</v>
      </c>
      <c r="C505" s="22" t="s">
        <v>51</v>
      </c>
      <c r="D505" s="22" t="s">
        <v>2166</v>
      </c>
      <c r="E505" s="22" t="str">
        <f aca="false">IF(D505="","",IFERROR(VLOOKUP(D505,$A$2:$B$1656,2,FALSE()),""))</f>
        <v>Source and Authorization Models</v>
      </c>
      <c r="F505" s="22" t="n">
        <v>3</v>
      </c>
      <c r="G505" s="22" t="s">
        <v>2230</v>
      </c>
      <c r="H505" s="22" t="s">
        <v>2189</v>
      </c>
      <c r="I505" s="22" t="s">
        <v>2231</v>
      </c>
      <c r="J505" s="22" t="s">
        <v>2191</v>
      </c>
      <c r="K505" s="22" t="s">
        <v>2231</v>
      </c>
      <c r="L505" s="22" t="s">
        <v>184</v>
      </c>
      <c r="M505" s="22" t="s">
        <v>253</v>
      </c>
    </row>
    <row r="506" customFormat="false" ht="43.5" hidden="false" customHeight="true" outlineLevel="0" collapsed="false">
      <c r="A506" s="22" t="s">
        <v>2232</v>
      </c>
      <c r="B506" s="22" t="s">
        <v>2233</v>
      </c>
      <c r="C506" s="22" t="s">
        <v>51</v>
      </c>
      <c r="D506" s="22" t="s">
        <v>2166</v>
      </c>
      <c r="E506" s="22" t="str">
        <f aca="false">IF(D506="","",IFERROR(VLOOKUP(D506,$A$2:$B$1656,2,FALSE()),""))</f>
        <v>Source and Authorization Models</v>
      </c>
      <c r="F506" s="22" t="n">
        <v>3</v>
      </c>
      <c r="G506" s="22" t="s">
        <v>2234</v>
      </c>
      <c r="H506" s="22" t="s">
        <v>2189</v>
      </c>
      <c r="I506" s="22" t="s">
        <v>2235</v>
      </c>
      <c r="J506" s="22" t="s">
        <v>2191</v>
      </c>
      <c r="K506" s="22" t="s">
        <v>2235</v>
      </c>
      <c r="L506" s="22" t="s">
        <v>184</v>
      </c>
      <c r="M506" s="22" t="s">
        <v>253</v>
      </c>
    </row>
    <row r="507" customFormat="false" ht="43.5" hidden="false" customHeight="true" outlineLevel="0" collapsed="false">
      <c r="A507" s="22" t="s">
        <v>2236</v>
      </c>
      <c r="B507" s="22" t="s">
        <v>2237</v>
      </c>
      <c r="C507" s="22" t="s">
        <v>51</v>
      </c>
      <c r="D507" s="22" t="s">
        <v>2166</v>
      </c>
      <c r="E507" s="22" t="str">
        <f aca="false">IF(D507="","",IFERROR(VLOOKUP(D507,$A$2:$B$1656,2,FALSE()),""))</f>
        <v>Source and Authorization Models</v>
      </c>
      <c r="F507" s="22" t="n">
        <v>3</v>
      </c>
      <c r="G507" s="22" t="s">
        <v>2238</v>
      </c>
      <c r="H507" s="22" t="s">
        <v>2189</v>
      </c>
      <c r="I507" s="22" t="s">
        <v>2239</v>
      </c>
      <c r="J507" s="22" t="s">
        <v>2191</v>
      </c>
      <c r="K507" s="22" t="s">
        <v>2239</v>
      </c>
      <c r="L507" s="22" t="s">
        <v>184</v>
      </c>
      <c r="M507" s="22" t="s">
        <v>253</v>
      </c>
    </row>
    <row r="508" customFormat="false" ht="43.5" hidden="false" customHeight="true" outlineLevel="0" collapsed="false">
      <c r="A508" s="22" t="s">
        <v>2240</v>
      </c>
      <c r="B508" s="22" t="s">
        <v>2241</v>
      </c>
      <c r="C508" s="22" t="s">
        <v>51</v>
      </c>
      <c r="D508" s="22" t="s">
        <v>2166</v>
      </c>
      <c r="E508" s="22" t="str">
        <f aca="false">IF(D508="","",IFERROR(VLOOKUP(D508,$A$2:$B$1656,2,FALSE()),""))</f>
        <v>Source and Authorization Models</v>
      </c>
      <c r="F508" s="22" t="n">
        <v>3</v>
      </c>
      <c r="G508" s="22" t="s">
        <v>2242</v>
      </c>
      <c r="H508" s="22" t="s">
        <v>2189</v>
      </c>
      <c r="I508" s="22" t="s">
        <v>2243</v>
      </c>
      <c r="J508" s="22" t="s">
        <v>2191</v>
      </c>
      <c r="K508" s="22" t="s">
        <v>2243</v>
      </c>
      <c r="L508" s="22" t="s">
        <v>2244</v>
      </c>
      <c r="M508" s="22" t="s">
        <v>253</v>
      </c>
    </row>
    <row r="509" customFormat="false" ht="43.5" hidden="false" customHeight="true" outlineLevel="0" collapsed="false">
      <c r="A509" s="22" t="s">
        <v>2245</v>
      </c>
      <c r="B509" s="22" t="s">
        <v>2246</v>
      </c>
      <c r="C509" s="22" t="s">
        <v>51</v>
      </c>
      <c r="D509" s="22" t="s">
        <v>2166</v>
      </c>
      <c r="E509" s="22" t="str">
        <f aca="false">IF(D509="","",IFERROR(VLOOKUP(D509,$A$2:$B$1656,2,FALSE()),""))</f>
        <v>Source and Authorization Models</v>
      </c>
      <c r="F509" s="22" t="n">
        <v>3</v>
      </c>
      <c r="G509" s="22" t="s">
        <v>2247</v>
      </c>
      <c r="H509" s="22" t="s">
        <v>2189</v>
      </c>
      <c r="I509" s="22" t="s">
        <v>2248</v>
      </c>
      <c r="J509" s="22" t="s">
        <v>2191</v>
      </c>
      <c r="K509" s="22" t="s">
        <v>2248</v>
      </c>
      <c r="L509" s="22" t="s">
        <v>184</v>
      </c>
      <c r="M509" s="22" t="s">
        <v>253</v>
      </c>
    </row>
    <row r="510" customFormat="false" ht="43.5" hidden="false" customHeight="true" outlineLevel="0" collapsed="false">
      <c r="A510" s="22" t="s">
        <v>2249</v>
      </c>
      <c r="B510" s="22" t="s">
        <v>2250</v>
      </c>
      <c r="C510" s="22" t="s">
        <v>51</v>
      </c>
      <c r="D510" s="22" t="s">
        <v>2166</v>
      </c>
      <c r="E510" s="22" t="str">
        <f aca="false">IF(D510="","",IFERROR(VLOOKUP(D510,$A$2:$B$1656,2,FALSE()),""))</f>
        <v>Source and Authorization Models</v>
      </c>
      <c r="F510" s="22" t="n">
        <v>3</v>
      </c>
      <c r="G510" s="22" t="s">
        <v>2251</v>
      </c>
      <c r="H510" s="22" t="s">
        <v>2189</v>
      </c>
      <c r="I510" s="22" t="s">
        <v>2252</v>
      </c>
      <c r="J510" s="22" t="s">
        <v>2191</v>
      </c>
      <c r="K510" s="22" t="s">
        <v>2252</v>
      </c>
      <c r="L510" s="22" t="s">
        <v>184</v>
      </c>
      <c r="M510" s="22" t="s">
        <v>253</v>
      </c>
    </row>
    <row r="511" customFormat="false" ht="43.5" hidden="false" customHeight="true" outlineLevel="0" collapsed="false">
      <c r="A511" s="22" t="s">
        <v>2253</v>
      </c>
      <c r="B511" s="22" t="s">
        <v>2254</v>
      </c>
      <c r="C511" s="22" t="s">
        <v>51</v>
      </c>
      <c r="D511" s="22" t="s">
        <v>2166</v>
      </c>
      <c r="E511" s="22" t="str">
        <f aca="false">IF(D511="","",IFERROR(VLOOKUP(D511,$A$2:$B$1656,2,FALSE()),""))</f>
        <v>Source and Authorization Models</v>
      </c>
      <c r="F511" s="22" t="n">
        <v>3</v>
      </c>
      <c r="G511" s="22" t="s">
        <v>2255</v>
      </c>
      <c r="H511" s="22" t="s">
        <v>2189</v>
      </c>
      <c r="I511" s="22" t="s">
        <v>2256</v>
      </c>
      <c r="J511" s="22" t="s">
        <v>2191</v>
      </c>
      <c r="K511" s="22" t="s">
        <v>2256</v>
      </c>
      <c r="L511" s="22" t="s">
        <v>184</v>
      </c>
      <c r="M511" s="22" t="s">
        <v>253</v>
      </c>
    </row>
    <row r="512" customFormat="false" ht="43.5" hidden="false" customHeight="true" outlineLevel="0" collapsed="false">
      <c r="A512" s="22" t="s">
        <v>2257</v>
      </c>
      <c r="B512" s="22" t="s">
        <v>2258</v>
      </c>
      <c r="C512" s="22" t="s">
        <v>51</v>
      </c>
      <c r="D512" s="22" t="s">
        <v>2166</v>
      </c>
      <c r="E512" s="22" t="str">
        <f aca="false">IF(D512="","",IFERROR(VLOOKUP(D512,$A$2:$B$1656,2,FALSE()),""))</f>
        <v>Source and Authorization Models</v>
      </c>
      <c r="F512" s="22" t="n">
        <v>3</v>
      </c>
      <c r="G512" s="22" t="s">
        <v>2259</v>
      </c>
      <c r="H512" s="22" t="s">
        <v>2189</v>
      </c>
      <c r="I512" s="22" t="s">
        <v>2260</v>
      </c>
      <c r="J512" s="22" t="s">
        <v>2191</v>
      </c>
      <c r="K512" s="22" t="s">
        <v>2260</v>
      </c>
      <c r="L512" s="22" t="s">
        <v>184</v>
      </c>
      <c r="M512" s="22" t="s">
        <v>253</v>
      </c>
    </row>
    <row r="513" customFormat="false" ht="43.5" hidden="false" customHeight="true" outlineLevel="0" collapsed="false">
      <c r="A513" s="22" t="s">
        <v>2261</v>
      </c>
      <c r="B513" s="22" t="s">
        <v>2262</v>
      </c>
      <c r="C513" s="22" t="s">
        <v>51</v>
      </c>
      <c r="D513" s="22" t="s">
        <v>2166</v>
      </c>
      <c r="E513" s="22" t="str">
        <f aca="false">IF(D513="","",IFERROR(VLOOKUP(D513,$A$2:$B$1656,2,FALSE()),""))</f>
        <v>Source and Authorization Models</v>
      </c>
      <c r="F513" s="22" t="n">
        <v>3</v>
      </c>
      <c r="G513" s="22" t="s">
        <v>2263</v>
      </c>
      <c r="H513" s="22" t="s">
        <v>2189</v>
      </c>
      <c r="I513" s="22" t="s">
        <v>2264</v>
      </c>
      <c r="J513" s="22" t="s">
        <v>2191</v>
      </c>
      <c r="K513" s="22" t="s">
        <v>2264</v>
      </c>
      <c r="L513" s="22" t="s">
        <v>184</v>
      </c>
      <c r="M513" s="22" t="s">
        <v>253</v>
      </c>
    </row>
    <row r="514" customFormat="false" ht="43.5" hidden="false" customHeight="true" outlineLevel="0" collapsed="false">
      <c r="A514" s="22" t="s">
        <v>2265</v>
      </c>
      <c r="B514" s="22" t="s">
        <v>2266</v>
      </c>
      <c r="C514" s="22" t="s">
        <v>51</v>
      </c>
      <c r="D514" s="22" t="s">
        <v>2166</v>
      </c>
      <c r="E514" s="22" t="str">
        <f aca="false">IF(D514="","",IFERROR(VLOOKUP(D514,$A$2:$B$1656,2,FALSE()),""))</f>
        <v>Source and Authorization Models</v>
      </c>
      <c r="F514" s="22" t="n">
        <v>3</v>
      </c>
      <c r="G514" s="22" t="s">
        <v>2267</v>
      </c>
      <c r="H514" s="22" t="s">
        <v>2189</v>
      </c>
      <c r="I514" s="22" t="s">
        <v>2268</v>
      </c>
      <c r="J514" s="22" t="s">
        <v>2191</v>
      </c>
      <c r="K514" s="22" t="s">
        <v>2268</v>
      </c>
      <c r="L514" s="22" t="s">
        <v>184</v>
      </c>
      <c r="M514" s="22" t="s">
        <v>253</v>
      </c>
    </row>
    <row r="515" customFormat="false" ht="43.5" hidden="false" customHeight="true" outlineLevel="0" collapsed="false">
      <c r="A515" s="22" t="s">
        <v>2269</v>
      </c>
      <c r="B515" s="22" t="s">
        <v>2270</v>
      </c>
      <c r="C515" s="22" t="s">
        <v>51</v>
      </c>
      <c r="D515" s="22" t="s">
        <v>2166</v>
      </c>
      <c r="E515" s="22" t="str">
        <f aca="false">IF(D515="","",IFERROR(VLOOKUP(D515,$A$2:$B$1656,2,FALSE()),""))</f>
        <v>Source and Authorization Models</v>
      </c>
      <c r="F515" s="22" t="n">
        <v>3</v>
      </c>
      <c r="G515" s="22" t="s">
        <v>2271</v>
      </c>
      <c r="H515" s="22" t="s">
        <v>2189</v>
      </c>
      <c r="I515" s="22" t="s">
        <v>2272</v>
      </c>
      <c r="J515" s="22" t="s">
        <v>2191</v>
      </c>
      <c r="K515" s="22" t="s">
        <v>2272</v>
      </c>
      <c r="L515" s="22" t="s">
        <v>184</v>
      </c>
      <c r="M515" s="22" t="s">
        <v>253</v>
      </c>
    </row>
    <row r="516" customFormat="false" ht="43.5" hidden="false" customHeight="true" outlineLevel="0" collapsed="false">
      <c r="A516" s="22" t="s">
        <v>2273</v>
      </c>
      <c r="B516" s="22" t="s">
        <v>2274</v>
      </c>
      <c r="C516" s="22" t="s">
        <v>51</v>
      </c>
      <c r="D516" s="22" t="s">
        <v>2166</v>
      </c>
      <c r="E516" s="22" t="str">
        <f aca="false">IF(D516="","",IFERROR(VLOOKUP(D516,$A$2:$B$1656,2,FALSE()),""))</f>
        <v>Source and Authorization Models</v>
      </c>
      <c r="F516" s="22" t="n">
        <v>3</v>
      </c>
      <c r="G516" s="22" t="s">
        <v>2275</v>
      </c>
      <c r="H516" s="22" t="s">
        <v>2189</v>
      </c>
      <c r="I516" s="22" t="s">
        <v>2276</v>
      </c>
      <c r="J516" s="22" t="s">
        <v>2191</v>
      </c>
      <c r="K516" s="22" t="s">
        <v>2276</v>
      </c>
      <c r="L516" s="22" t="s">
        <v>184</v>
      </c>
      <c r="M516" s="22" t="s">
        <v>253</v>
      </c>
    </row>
    <row r="517" customFormat="false" ht="43.5" hidden="false" customHeight="true" outlineLevel="0" collapsed="false">
      <c r="A517" s="22" t="s">
        <v>2277</v>
      </c>
      <c r="B517" s="22" t="s">
        <v>2278</v>
      </c>
      <c r="C517" s="22" t="s">
        <v>51</v>
      </c>
      <c r="D517" s="22" t="s">
        <v>2171</v>
      </c>
      <c r="E517" s="22" t="str">
        <f aca="false">IF(D517="","",IFERROR(VLOOKUP(D517,$A$2:$B$1656,2,FALSE()),""))</f>
        <v>Elemental and Natural Domains</v>
      </c>
      <c r="F517" s="22" t="n">
        <v>3</v>
      </c>
      <c r="G517" s="22" t="s">
        <v>2279</v>
      </c>
      <c r="H517" s="22" t="s">
        <v>2189</v>
      </c>
      <c r="I517" s="22" t="s">
        <v>2280</v>
      </c>
      <c r="J517" s="22" t="s">
        <v>2281</v>
      </c>
      <c r="K517" s="22" t="s">
        <v>2280</v>
      </c>
      <c r="L517" s="22" t="s">
        <v>184</v>
      </c>
      <c r="M517" s="22" t="s">
        <v>253</v>
      </c>
    </row>
    <row r="518" customFormat="false" ht="43.5" hidden="false" customHeight="true" outlineLevel="0" collapsed="false">
      <c r="A518" s="22" t="s">
        <v>2282</v>
      </c>
      <c r="B518" s="22" t="s">
        <v>2283</v>
      </c>
      <c r="C518" s="22" t="s">
        <v>51</v>
      </c>
      <c r="D518" s="22" t="s">
        <v>2171</v>
      </c>
      <c r="E518" s="22" t="str">
        <f aca="false">IF(D518="","",IFERROR(VLOOKUP(D518,$A$2:$B$1656,2,FALSE()),""))</f>
        <v>Elemental and Natural Domains</v>
      </c>
      <c r="F518" s="22" t="n">
        <v>3</v>
      </c>
      <c r="G518" s="22" t="s">
        <v>2284</v>
      </c>
      <c r="H518" s="22" t="s">
        <v>2189</v>
      </c>
      <c r="I518" s="22" t="s">
        <v>2285</v>
      </c>
      <c r="J518" s="22" t="s">
        <v>2281</v>
      </c>
      <c r="K518" s="22" t="s">
        <v>2285</v>
      </c>
      <c r="L518" s="22" t="s">
        <v>184</v>
      </c>
      <c r="M518" s="22" t="s">
        <v>253</v>
      </c>
    </row>
    <row r="519" customFormat="false" ht="43.5" hidden="false" customHeight="true" outlineLevel="0" collapsed="false">
      <c r="A519" s="22" t="s">
        <v>2286</v>
      </c>
      <c r="B519" s="22" t="s">
        <v>2287</v>
      </c>
      <c r="C519" s="22" t="s">
        <v>51</v>
      </c>
      <c r="D519" s="22" t="s">
        <v>2171</v>
      </c>
      <c r="E519" s="22" t="str">
        <f aca="false">IF(D519="","",IFERROR(VLOOKUP(D519,$A$2:$B$1656,2,FALSE()),""))</f>
        <v>Elemental and Natural Domains</v>
      </c>
      <c r="F519" s="22" t="n">
        <v>3</v>
      </c>
      <c r="G519" s="22" t="s">
        <v>2288</v>
      </c>
      <c r="H519" s="22" t="s">
        <v>2189</v>
      </c>
      <c r="I519" s="22" t="s">
        <v>2289</v>
      </c>
      <c r="J519" s="22" t="s">
        <v>2281</v>
      </c>
      <c r="K519" s="22" t="s">
        <v>2289</v>
      </c>
      <c r="L519" s="22" t="s">
        <v>184</v>
      </c>
      <c r="M519" s="22" t="s">
        <v>253</v>
      </c>
    </row>
    <row r="520" customFormat="false" ht="43.5" hidden="false" customHeight="true" outlineLevel="0" collapsed="false">
      <c r="A520" s="22" t="s">
        <v>2290</v>
      </c>
      <c r="B520" s="22" t="s">
        <v>2291</v>
      </c>
      <c r="C520" s="22" t="s">
        <v>51</v>
      </c>
      <c r="D520" s="22" t="s">
        <v>2171</v>
      </c>
      <c r="E520" s="22" t="str">
        <f aca="false">IF(D520="","",IFERROR(VLOOKUP(D520,$A$2:$B$1656,2,FALSE()),""))</f>
        <v>Elemental and Natural Domains</v>
      </c>
      <c r="F520" s="22" t="n">
        <v>3</v>
      </c>
      <c r="G520" s="22" t="s">
        <v>2292</v>
      </c>
      <c r="H520" s="22" t="s">
        <v>2189</v>
      </c>
      <c r="I520" s="22" t="s">
        <v>2293</v>
      </c>
      <c r="J520" s="22" t="s">
        <v>2281</v>
      </c>
      <c r="K520" s="22" t="s">
        <v>2293</v>
      </c>
      <c r="L520" s="22" t="s">
        <v>184</v>
      </c>
      <c r="M520" s="22" t="s">
        <v>253</v>
      </c>
    </row>
    <row r="521" customFormat="false" ht="43.5" hidden="false" customHeight="true" outlineLevel="0" collapsed="false">
      <c r="A521" s="22" t="s">
        <v>2294</v>
      </c>
      <c r="B521" s="22" t="s">
        <v>2295</v>
      </c>
      <c r="C521" s="22" t="s">
        <v>51</v>
      </c>
      <c r="D521" s="22" t="s">
        <v>2171</v>
      </c>
      <c r="E521" s="22" t="str">
        <f aca="false">IF(D521="","",IFERROR(VLOOKUP(D521,$A$2:$B$1656,2,FALSE()),""))</f>
        <v>Elemental and Natural Domains</v>
      </c>
      <c r="F521" s="22" t="n">
        <v>3</v>
      </c>
      <c r="G521" s="22" t="s">
        <v>2296</v>
      </c>
      <c r="H521" s="22" t="s">
        <v>2189</v>
      </c>
      <c r="I521" s="22" t="s">
        <v>2297</v>
      </c>
      <c r="J521" s="22" t="s">
        <v>2281</v>
      </c>
      <c r="K521" s="22" t="s">
        <v>2297</v>
      </c>
      <c r="L521" s="22" t="s">
        <v>184</v>
      </c>
      <c r="M521" s="22" t="s">
        <v>253</v>
      </c>
    </row>
    <row r="522" customFormat="false" ht="43.5" hidden="false" customHeight="true" outlineLevel="0" collapsed="false">
      <c r="A522" s="22" t="s">
        <v>2298</v>
      </c>
      <c r="B522" s="22" t="s">
        <v>2299</v>
      </c>
      <c r="C522" s="22" t="s">
        <v>51</v>
      </c>
      <c r="D522" s="22" t="s">
        <v>2171</v>
      </c>
      <c r="E522" s="22" t="str">
        <f aca="false">IF(D522="","",IFERROR(VLOOKUP(D522,$A$2:$B$1656,2,FALSE()),""))</f>
        <v>Elemental and Natural Domains</v>
      </c>
      <c r="F522" s="22" t="n">
        <v>3</v>
      </c>
      <c r="G522" s="22" t="s">
        <v>2300</v>
      </c>
      <c r="H522" s="22" t="s">
        <v>2189</v>
      </c>
      <c r="I522" s="22" t="s">
        <v>2301</v>
      </c>
      <c r="J522" s="22" t="s">
        <v>2281</v>
      </c>
      <c r="K522" s="22" t="s">
        <v>2301</v>
      </c>
      <c r="L522" s="22" t="s">
        <v>184</v>
      </c>
      <c r="M522" s="22" t="s">
        <v>253</v>
      </c>
    </row>
    <row r="523" customFormat="false" ht="43.5" hidden="false" customHeight="true" outlineLevel="0" collapsed="false">
      <c r="A523" s="22" t="s">
        <v>2302</v>
      </c>
      <c r="B523" s="22" t="s">
        <v>2303</v>
      </c>
      <c r="C523" s="22" t="s">
        <v>51</v>
      </c>
      <c r="D523" s="22" t="s">
        <v>2171</v>
      </c>
      <c r="E523" s="22" t="str">
        <f aca="false">IF(D523="","",IFERROR(VLOOKUP(D523,$A$2:$B$1656,2,FALSE()),""))</f>
        <v>Elemental and Natural Domains</v>
      </c>
      <c r="F523" s="22" t="n">
        <v>3</v>
      </c>
      <c r="G523" s="22" t="s">
        <v>2304</v>
      </c>
      <c r="H523" s="22" t="s">
        <v>2189</v>
      </c>
      <c r="I523" s="22" t="s">
        <v>2305</v>
      </c>
      <c r="J523" s="22" t="s">
        <v>2281</v>
      </c>
      <c r="K523" s="22" t="s">
        <v>2305</v>
      </c>
      <c r="L523" s="22" t="s">
        <v>184</v>
      </c>
      <c r="M523" s="22" t="s">
        <v>253</v>
      </c>
    </row>
    <row r="524" customFormat="false" ht="43.5" hidden="false" customHeight="true" outlineLevel="0" collapsed="false">
      <c r="A524" s="22" t="s">
        <v>2306</v>
      </c>
      <c r="B524" s="22" t="s">
        <v>2307</v>
      </c>
      <c r="C524" s="22" t="s">
        <v>51</v>
      </c>
      <c r="D524" s="22" t="s">
        <v>2171</v>
      </c>
      <c r="E524" s="22" t="str">
        <f aca="false">IF(D524="","",IFERROR(VLOOKUP(D524,$A$2:$B$1656,2,FALSE()),""))</f>
        <v>Elemental and Natural Domains</v>
      </c>
      <c r="F524" s="22" t="n">
        <v>3</v>
      </c>
      <c r="G524" s="22" t="s">
        <v>2308</v>
      </c>
      <c r="H524" s="22" t="s">
        <v>2189</v>
      </c>
      <c r="I524" s="22" t="s">
        <v>2309</v>
      </c>
      <c r="J524" s="22" t="s">
        <v>2281</v>
      </c>
      <c r="K524" s="22" t="s">
        <v>2309</v>
      </c>
      <c r="L524" s="22" t="s">
        <v>184</v>
      </c>
      <c r="M524" s="22" t="s">
        <v>253</v>
      </c>
    </row>
    <row r="525" customFormat="false" ht="43.5" hidden="false" customHeight="true" outlineLevel="0" collapsed="false">
      <c r="A525" s="22" t="s">
        <v>2310</v>
      </c>
      <c r="B525" s="22" t="s">
        <v>2311</v>
      </c>
      <c r="C525" s="22" t="s">
        <v>51</v>
      </c>
      <c r="D525" s="22" t="s">
        <v>2171</v>
      </c>
      <c r="E525" s="22" t="str">
        <f aca="false">IF(D525="","",IFERROR(VLOOKUP(D525,$A$2:$B$1656,2,FALSE()),""))</f>
        <v>Elemental and Natural Domains</v>
      </c>
      <c r="F525" s="22" t="n">
        <v>3</v>
      </c>
      <c r="G525" s="22" t="s">
        <v>2312</v>
      </c>
      <c r="H525" s="22" t="s">
        <v>2189</v>
      </c>
      <c r="I525" s="22" t="s">
        <v>2313</v>
      </c>
      <c r="J525" s="22" t="s">
        <v>2281</v>
      </c>
      <c r="K525" s="22" t="s">
        <v>2313</v>
      </c>
      <c r="L525" s="22" t="s">
        <v>184</v>
      </c>
      <c r="M525" s="22" t="s">
        <v>253</v>
      </c>
    </row>
    <row r="526" customFormat="false" ht="43.5" hidden="false" customHeight="true" outlineLevel="0" collapsed="false">
      <c r="A526" s="22" t="s">
        <v>2314</v>
      </c>
      <c r="B526" s="22" t="s">
        <v>2315</v>
      </c>
      <c r="C526" s="22" t="s">
        <v>51</v>
      </c>
      <c r="D526" s="22" t="s">
        <v>2171</v>
      </c>
      <c r="E526" s="22" t="str">
        <f aca="false">IF(D526="","",IFERROR(VLOOKUP(D526,$A$2:$B$1656,2,FALSE()),""))</f>
        <v>Elemental and Natural Domains</v>
      </c>
      <c r="F526" s="22" t="n">
        <v>3</v>
      </c>
      <c r="G526" s="22" t="s">
        <v>2316</v>
      </c>
      <c r="H526" s="22" t="s">
        <v>2189</v>
      </c>
      <c r="I526" s="22" t="s">
        <v>2317</v>
      </c>
      <c r="J526" s="22" t="s">
        <v>2281</v>
      </c>
      <c r="K526" s="22" t="s">
        <v>2317</v>
      </c>
      <c r="L526" s="22" t="s">
        <v>184</v>
      </c>
      <c r="M526" s="22" t="s">
        <v>253</v>
      </c>
    </row>
    <row r="527" customFormat="false" ht="43.5" hidden="false" customHeight="true" outlineLevel="0" collapsed="false">
      <c r="A527" s="22" t="s">
        <v>2318</v>
      </c>
      <c r="B527" s="22" t="s">
        <v>2319</v>
      </c>
      <c r="C527" s="22" t="s">
        <v>51</v>
      </c>
      <c r="D527" s="22" t="s">
        <v>2171</v>
      </c>
      <c r="E527" s="22" t="str">
        <f aca="false">IF(D527="","",IFERROR(VLOOKUP(D527,$A$2:$B$1656,2,FALSE()),""))</f>
        <v>Elemental and Natural Domains</v>
      </c>
      <c r="F527" s="22" t="n">
        <v>3</v>
      </c>
      <c r="G527" s="22" t="s">
        <v>2320</v>
      </c>
      <c r="H527" s="22" t="s">
        <v>2189</v>
      </c>
      <c r="I527" s="22" t="s">
        <v>2321</v>
      </c>
      <c r="J527" s="22" t="s">
        <v>2281</v>
      </c>
      <c r="K527" s="22" t="s">
        <v>2321</v>
      </c>
      <c r="L527" s="22" t="s">
        <v>184</v>
      </c>
      <c r="M527" s="22" t="s">
        <v>253</v>
      </c>
    </row>
    <row r="528" customFormat="false" ht="43.5" hidden="false" customHeight="true" outlineLevel="0" collapsed="false">
      <c r="A528" s="22" t="s">
        <v>2322</v>
      </c>
      <c r="B528" s="22" t="s">
        <v>2323</v>
      </c>
      <c r="C528" s="22" t="s">
        <v>51</v>
      </c>
      <c r="D528" s="22" t="s">
        <v>2171</v>
      </c>
      <c r="E528" s="22" t="str">
        <f aca="false">IF(D528="","",IFERROR(VLOOKUP(D528,$A$2:$B$1656,2,FALSE()),""))</f>
        <v>Elemental and Natural Domains</v>
      </c>
      <c r="F528" s="22" t="n">
        <v>3</v>
      </c>
      <c r="G528" s="22" t="s">
        <v>2324</v>
      </c>
      <c r="H528" s="22" t="s">
        <v>2189</v>
      </c>
      <c r="I528" s="22" t="s">
        <v>2325</v>
      </c>
      <c r="J528" s="22" t="s">
        <v>2281</v>
      </c>
      <c r="K528" s="22" t="s">
        <v>2325</v>
      </c>
      <c r="L528" s="22" t="s">
        <v>184</v>
      </c>
      <c r="M528" s="22" t="s">
        <v>253</v>
      </c>
    </row>
    <row r="529" customFormat="false" ht="43.5" hidden="false" customHeight="true" outlineLevel="0" collapsed="false">
      <c r="A529" s="22" t="s">
        <v>2326</v>
      </c>
      <c r="B529" s="22" t="s">
        <v>2327</v>
      </c>
      <c r="C529" s="22" t="s">
        <v>51</v>
      </c>
      <c r="D529" s="22" t="s">
        <v>2171</v>
      </c>
      <c r="E529" s="22" t="str">
        <f aca="false">IF(D529="","",IFERROR(VLOOKUP(D529,$A$2:$B$1656,2,FALSE()),""))</f>
        <v>Elemental and Natural Domains</v>
      </c>
      <c r="F529" s="22" t="n">
        <v>3</v>
      </c>
      <c r="G529" s="22" t="s">
        <v>2328</v>
      </c>
      <c r="H529" s="22" t="s">
        <v>2189</v>
      </c>
      <c r="I529" s="22" t="s">
        <v>2329</v>
      </c>
      <c r="J529" s="22" t="s">
        <v>2281</v>
      </c>
      <c r="K529" s="22" t="s">
        <v>2329</v>
      </c>
      <c r="L529" s="22" t="s">
        <v>184</v>
      </c>
      <c r="M529" s="22" t="s">
        <v>253</v>
      </c>
    </row>
    <row r="530" customFormat="false" ht="43.5" hidden="false" customHeight="true" outlineLevel="0" collapsed="false">
      <c r="A530" s="22" t="s">
        <v>2330</v>
      </c>
      <c r="B530" s="22" t="s">
        <v>2331</v>
      </c>
      <c r="C530" s="22" t="s">
        <v>51</v>
      </c>
      <c r="D530" s="22" t="s">
        <v>2171</v>
      </c>
      <c r="E530" s="22" t="str">
        <f aca="false">IF(D530="","",IFERROR(VLOOKUP(D530,$A$2:$B$1656,2,FALSE()),""))</f>
        <v>Elemental and Natural Domains</v>
      </c>
      <c r="F530" s="22" t="n">
        <v>3</v>
      </c>
      <c r="G530" s="22" t="s">
        <v>2332</v>
      </c>
      <c r="H530" s="22" t="s">
        <v>2189</v>
      </c>
      <c r="I530" s="22" t="s">
        <v>2333</v>
      </c>
      <c r="J530" s="22" t="s">
        <v>2281</v>
      </c>
      <c r="K530" s="22" t="s">
        <v>2333</v>
      </c>
      <c r="L530" s="22" t="s">
        <v>184</v>
      </c>
      <c r="M530" s="22" t="s">
        <v>253</v>
      </c>
    </row>
    <row r="531" customFormat="false" ht="43.5" hidden="false" customHeight="true" outlineLevel="0" collapsed="false">
      <c r="A531" s="22" t="s">
        <v>2334</v>
      </c>
      <c r="B531" s="22" t="s">
        <v>2335</v>
      </c>
      <c r="C531" s="22" t="s">
        <v>51</v>
      </c>
      <c r="D531" s="22" t="s">
        <v>2171</v>
      </c>
      <c r="E531" s="22" t="str">
        <f aca="false">IF(D531="","",IFERROR(VLOOKUP(D531,$A$2:$B$1656,2,FALSE()),""))</f>
        <v>Elemental and Natural Domains</v>
      </c>
      <c r="F531" s="22" t="n">
        <v>3</v>
      </c>
      <c r="G531" s="22" t="s">
        <v>2336</v>
      </c>
      <c r="H531" s="22" t="s">
        <v>2189</v>
      </c>
      <c r="I531" s="22" t="s">
        <v>2337</v>
      </c>
      <c r="J531" s="22" t="s">
        <v>2281</v>
      </c>
      <c r="K531" s="22" t="s">
        <v>2337</v>
      </c>
      <c r="L531" s="22" t="s">
        <v>184</v>
      </c>
      <c r="M531" s="22" t="s">
        <v>253</v>
      </c>
    </row>
    <row r="532" customFormat="false" ht="43.5" hidden="false" customHeight="true" outlineLevel="0" collapsed="false">
      <c r="A532" s="22" t="s">
        <v>2338</v>
      </c>
      <c r="B532" s="22" t="s">
        <v>2339</v>
      </c>
      <c r="C532" s="22" t="s">
        <v>51</v>
      </c>
      <c r="D532" s="22" t="s">
        <v>2171</v>
      </c>
      <c r="E532" s="22" t="str">
        <f aca="false">IF(D532="","",IFERROR(VLOOKUP(D532,$A$2:$B$1656,2,FALSE()),""))</f>
        <v>Elemental and Natural Domains</v>
      </c>
      <c r="F532" s="22" t="n">
        <v>3</v>
      </c>
      <c r="G532" s="22" t="s">
        <v>2340</v>
      </c>
      <c r="H532" s="22" t="s">
        <v>2189</v>
      </c>
      <c r="I532" s="22" t="s">
        <v>2341</v>
      </c>
      <c r="J532" s="22" t="s">
        <v>2281</v>
      </c>
      <c r="K532" s="22" t="s">
        <v>2341</v>
      </c>
      <c r="L532" s="22" t="s">
        <v>184</v>
      </c>
      <c r="M532" s="22" t="s">
        <v>253</v>
      </c>
    </row>
    <row r="533" customFormat="false" ht="43.5" hidden="false" customHeight="true" outlineLevel="0" collapsed="false">
      <c r="A533" s="22" t="s">
        <v>2342</v>
      </c>
      <c r="B533" s="22" t="s">
        <v>2343</v>
      </c>
      <c r="C533" s="22" t="s">
        <v>51</v>
      </c>
      <c r="D533" s="22" t="s">
        <v>2171</v>
      </c>
      <c r="E533" s="22" t="str">
        <f aca="false">IF(D533="","",IFERROR(VLOOKUP(D533,$A$2:$B$1656,2,FALSE()),""))</f>
        <v>Elemental and Natural Domains</v>
      </c>
      <c r="F533" s="22" t="n">
        <v>3</v>
      </c>
      <c r="G533" s="22" t="s">
        <v>2344</v>
      </c>
      <c r="H533" s="22" t="s">
        <v>2189</v>
      </c>
      <c r="I533" s="22" t="s">
        <v>2345</v>
      </c>
      <c r="J533" s="22" t="s">
        <v>2281</v>
      </c>
      <c r="K533" s="22" t="s">
        <v>2345</v>
      </c>
      <c r="L533" s="22" t="s">
        <v>184</v>
      </c>
      <c r="M533" s="22" t="s">
        <v>253</v>
      </c>
    </row>
    <row r="534" customFormat="false" ht="43.5" hidden="false" customHeight="true" outlineLevel="0" collapsed="false">
      <c r="A534" s="22" t="s">
        <v>2346</v>
      </c>
      <c r="B534" s="22" t="s">
        <v>2347</v>
      </c>
      <c r="C534" s="22" t="s">
        <v>51</v>
      </c>
      <c r="D534" s="22" t="s">
        <v>2171</v>
      </c>
      <c r="E534" s="22" t="str">
        <f aca="false">IF(D534="","",IFERROR(VLOOKUP(D534,$A$2:$B$1656,2,FALSE()),""))</f>
        <v>Elemental and Natural Domains</v>
      </c>
      <c r="F534" s="22" t="n">
        <v>3</v>
      </c>
      <c r="G534" s="22" t="s">
        <v>2348</v>
      </c>
      <c r="H534" s="22" t="s">
        <v>2189</v>
      </c>
      <c r="I534" s="22" t="s">
        <v>2349</v>
      </c>
      <c r="J534" s="22" t="s">
        <v>2281</v>
      </c>
      <c r="K534" s="22" t="s">
        <v>2349</v>
      </c>
      <c r="L534" s="22" t="s">
        <v>184</v>
      </c>
      <c r="M534" s="22" t="s">
        <v>253</v>
      </c>
    </row>
    <row r="535" customFormat="false" ht="43.5" hidden="false" customHeight="true" outlineLevel="0" collapsed="false">
      <c r="A535" s="22" t="s">
        <v>2350</v>
      </c>
      <c r="B535" s="22" t="s">
        <v>2351</v>
      </c>
      <c r="C535" s="22" t="s">
        <v>51</v>
      </c>
      <c r="D535" s="22" t="s">
        <v>2171</v>
      </c>
      <c r="E535" s="22" t="str">
        <f aca="false">IF(D535="","",IFERROR(VLOOKUP(D535,$A$2:$B$1656,2,FALSE()),""))</f>
        <v>Elemental and Natural Domains</v>
      </c>
      <c r="F535" s="22" t="n">
        <v>3</v>
      </c>
      <c r="G535" s="22" t="s">
        <v>2352</v>
      </c>
      <c r="H535" s="22" t="s">
        <v>2189</v>
      </c>
      <c r="I535" s="22" t="s">
        <v>2353</v>
      </c>
      <c r="J535" s="22" t="s">
        <v>2281</v>
      </c>
      <c r="K535" s="22" t="s">
        <v>2353</v>
      </c>
      <c r="L535" s="22" t="s">
        <v>184</v>
      </c>
      <c r="M535" s="22" t="s">
        <v>253</v>
      </c>
    </row>
    <row r="536" customFormat="false" ht="43.5" hidden="false" customHeight="true" outlineLevel="0" collapsed="false">
      <c r="A536" s="22" t="s">
        <v>2354</v>
      </c>
      <c r="B536" s="22" t="s">
        <v>2355</v>
      </c>
      <c r="C536" s="22" t="s">
        <v>51</v>
      </c>
      <c r="D536" s="22" t="s">
        <v>2171</v>
      </c>
      <c r="E536" s="22" t="str">
        <f aca="false">IF(D536="","",IFERROR(VLOOKUP(D536,$A$2:$B$1656,2,FALSE()),""))</f>
        <v>Elemental and Natural Domains</v>
      </c>
      <c r="F536" s="22" t="n">
        <v>3</v>
      </c>
      <c r="G536" s="22" t="s">
        <v>2356</v>
      </c>
      <c r="H536" s="22" t="s">
        <v>2189</v>
      </c>
      <c r="I536" s="22" t="s">
        <v>2357</v>
      </c>
      <c r="J536" s="22" t="s">
        <v>2281</v>
      </c>
      <c r="K536" s="22" t="s">
        <v>2357</v>
      </c>
      <c r="L536" s="22" t="s">
        <v>184</v>
      </c>
      <c r="M536" s="22" t="s">
        <v>253</v>
      </c>
    </row>
    <row r="537" customFormat="false" ht="43.5" hidden="false" customHeight="true" outlineLevel="0" collapsed="false">
      <c r="A537" s="22" t="s">
        <v>2358</v>
      </c>
      <c r="B537" s="22" t="s">
        <v>2359</v>
      </c>
      <c r="C537" s="22" t="s">
        <v>51</v>
      </c>
      <c r="D537" s="22" t="s">
        <v>2171</v>
      </c>
      <c r="E537" s="22" t="str">
        <f aca="false">IF(D537="","",IFERROR(VLOOKUP(D537,$A$2:$B$1656,2,FALSE()),""))</f>
        <v>Elemental and Natural Domains</v>
      </c>
      <c r="F537" s="22" t="n">
        <v>3</v>
      </c>
      <c r="G537" s="22" t="s">
        <v>2360</v>
      </c>
      <c r="H537" s="22" t="s">
        <v>2189</v>
      </c>
      <c r="I537" s="22" t="s">
        <v>2361</v>
      </c>
      <c r="J537" s="22" t="s">
        <v>2281</v>
      </c>
      <c r="K537" s="22" t="s">
        <v>2361</v>
      </c>
      <c r="L537" s="22" t="s">
        <v>184</v>
      </c>
      <c r="M537" s="22" t="s">
        <v>253</v>
      </c>
    </row>
    <row r="538" customFormat="false" ht="43.5" hidden="false" customHeight="true" outlineLevel="0" collapsed="false">
      <c r="A538" s="22" t="s">
        <v>2362</v>
      </c>
      <c r="B538" s="22" t="s">
        <v>2363</v>
      </c>
      <c r="C538" s="22" t="s">
        <v>51</v>
      </c>
      <c r="D538" s="22" t="s">
        <v>2171</v>
      </c>
      <c r="E538" s="22" t="str">
        <f aca="false">IF(D538="","",IFERROR(VLOOKUP(D538,$A$2:$B$1656,2,FALSE()),""))</f>
        <v>Elemental and Natural Domains</v>
      </c>
      <c r="F538" s="22" t="n">
        <v>3</v>
      </c>
      <c r="G538" s="22" t="s">
        <v>2364</v>
      </c>
      <c r="H538" s="22" t="s">
        <v>2189</v>
      </c>
      <c r="I538" s="22" t="s">
        <v>2365</v>
      </c>
      <c r="J538" s="22" t="s">
        <v>2281</v>
      </c>
      <c r="K538" s="22" t="s">
        <v>2365</v>
      </c>
      <c r="L538" s="22" t="s">
        <v>184</v>
      </c>
      <c r="M538" s="22" t="s">
        <v>253</v>
      </c>
    </row>
    <row r="539" customFormat="false" ht="43.5" hidden="false" customHeight="true" outlineLevel="0" collapsed="false">
      <c r="A539" s="22" t="s">
        <v>2366</v>
      </c>
      <c r="B539" s="22" t="s">
        <v>2367</v>
      </c>
      <c r="C539" s="22" t="s">
        <v>51</v>
      </c>
      <c r="D539" s="22" t="s">
        <v>2174</v>
      </c>
      <c r="E539" s="22" t="str">
        <f aca="false">IF(D539="","",IFERROR(VLOOKUP(D539,$A$2:$B$1656,2,FALSE()),""))</f>
        <v>Soul, Death, and Body Domains</v>
      </c>
      <c r="F539" s="22" t="n">
        <v>3</v>
      </c>
      <c r="G539" s="22" t="s">
        <v>2368</v>
      </c>
      <c r="H539" s="22" t="s">
        <v>2189</v>
      </c>
      <c r="I539" s="22" t="s">
        <v>2369</v>
      </c>
      <c r="J539" s="22" t="s">
        <v>2370</v>
      </c>
      <c r="K539" s="22" t="s">
        <v>2369</v>
      </c>
      <c r="L539" s="22" t="s">
        <v>184</v>
      </c>
      <c r="M539" s="22" t="s">
        <v>253</v>
      </c>
    </row>
    <row r="540" customFormat="false" ht="43.5" hidden="false" customHeight="true" outlineLevel="0" collapsed="false">
      <c r="A540" s="22" t="s">
        <v>2371</v>
      </c>
      <c r="B540" s="22" t="s">
        <v>2372</v>
      </c>
      <c r="C540" s="22" t="s">
        <v>51</v>
      </c>
      <c r="D540" s="22" t="s">
        <v>2174</v>
      </c>
      <c r="E540" s="22" t="str">
        <f aca="false">IF(D540="","",IFERROR(VLOOKUP(D540,$A$2:$B$1656,2,FALSE()),""))</f>
        <v>Soul, Death, and Body Domains</v>
      </c>
      <c r="F540" s="22" t="n">
        <v>3</v>
      </c>
      <c r="G540" s="22" t="s">
        <v>2373</v>
      </c>
      <c r="H540" s="22" t="s">
        <v>2189</v>
      </c>
      <c r="I540" s="22" t="s">
        <v>2374</v>
      </c>
      <c r="J540" s="22" t="s">
        <v>2370</v>
      </c>
      <c r="K540" s="22" t="s">
        <v>2374</v>
      </c>
      <c r="L540" s="22" t="s">
        <v>184</v>
      </c>
      <c r="M540" s="22" t="s">
        <v>253</v>
      </c>
    </row>
    <row r="541" customFormat="false" ht="43.5" hidden="false" customHeight="true" outlineLevel="0" collapsed="false">
      <c r="A541" s="22" t="s">
        <v>2375</v>
      </c>
      <c r="B541" s="22" t="s">
        <v>2376</v>
      </c>
      <c r="C541" s="22" t="s">
        <v>51</v>
      </c>
      <c r="D541" s="22" t="s">
        <v>2174</v>
      </c>
      <c r="E541" s="22" t="str">
        <f aca="false">IF(D541="","",IFERROR(VLOOKUP(D541,$A$2:$B$1656,2,FALSE()),""))</f>
        <v>Soul, Death, and Body Domains</v>
      </c>
      <c r="F541" s="22" t="n">
        <v>3</v>
      </c>
      <c r="G541" s="22" t="s">
        <v>2377</v>
      </c>
      <c r="H541" s="22" t="s">
        <v>2189</v>
      </c>
      <c r="I541" s="22" t="s">
        <v>2378</v>
      </c>
      <c r="J541" s="22" t="s">
        <v>2370</v>
      </c>
      <c r="K541" s="22" t="s">
        <v>2378</v>
      </c>
      <c r="L541" s="22" t="s">
        <v>184</v>
      </c>
      <c r="M541" s="22" t="s">
        <v>253</v>
      </c>
    </row>
    <row r="542" customFormat="false" ht="43.5" hidden="false" customHeight="true" outlineLevel="0" collapsed="false">
      <c r="A542" s="22" t="s">
        <v>2379</v>
      </c>
      <c r="B542" s="22" t="s">
        <v>2380</v>
      </c>
      <c r="C542" s="22" t="s">
        <v>51</v>
      </c>
      <c r="D542" s="22" t="s">
        <v>2174</v>
      </c>
      <c r="E542" s="22" t="str">
        <f aca="false">IF(D542="","",IFERROR(VLOOKUP(D542,$A$2:$B$1656,2,FALSE()),""))</f>
        <v>Soul, Death, and Body Domains</v>
      </c>
      <c r="F542" s="22" t="n">
        <v>3</v>
      </c>
      <c r="G542" s="22" t="s">
        <v>2381</v>
      </c>
      <c r="H542" s="22" t="s">
        <v>2189</v>
      </c>
      <c r="I542" s="22" t="s">
        <v>2382</v>
      </c>
      <c r="J542" s="22" t="s">
        <v>2370</v>
      </c>
      <c r="K542" s="22" t="s">
        <v>2382</v>
      </c>
      <c r="L542" s="22" t="s">
        <v>184</v>
      </c>
      <c r="M542" s="22" t="s">
        <v>253</v>
      </c>
    </row>
    <row r="543" customFormat="false" ht="43.5" hidden="false" customHeight="true" outlineLevel="0" collapsed="false">
      <c r="A543" s="22" t="s">
        <v>2383</v>
      </c>
      <c r="B543" s="22" t="s">
        <v>2384</v>
      </c>
      <c r="C543" s="22" t="s">
        <v>51</v>
      </c>
      <c r="D543" s="22" t="s">
        <v>2174</v>
      </c>
      <c r="E543" s="22" t="str">
        <f aca="false">IF(D543="","",IFERROR(VLOOKUP(D543,$A$2:$B$1656,2,FALSE()),""))</f>
        <v>Soul, Death, and Body Domains</v>
      </c>
      <c r="F543" s="22" t="n">
        <v>3</v>
      </c>
      <c r="G543" s="22" t="s">
        <v>2385</v>
      </c>
      <c r="H543" s="22" t="s">
        <v>2189</v>
      </c>
      <c r="I543" s="22" t="s">
        <v>2386</v>
      </c>
      <c r="J543" s="22" t="s">
        <v>2370</v>
      </c>
      <c r="K543" s="22" t="s">
        <v>2386</v>
      </c>
      <c r="L543" s="22" t="s">
        <v>184</v>
      </c>
      <c r="M543" s="22" t="s">
        <v>253</v>
      </c>
    </row>
    <row r="544" customFormat="false" ht="43.5" hidden="false" customHeight="true" outlineLevel="0" collapsed="false">
      <c r="A544" s="22" t="s">
        <v>2387</v>
      </c>
      <c r="B544" s="22" t="s">
        <v>2388</v>
      </c>
      <c r="C544" s="22" t="s">
        <v>51</v>
      </c>
      <c r="D544" s="22" t="s">
        <v>2174</v>
      </c>
      <c r="E544" s="22" t="str">
        <f aca="false">IF(D544="","",IFERROR(VLOOKUP(D544,$A$2:$B$1656,2,FALSE()),""))</f>
        <v>Soul, Death, and Body Domains</v>
      </c>
      <c r="F544" s="22" t="n">
        <v>3</v>
      </c>
      <c r="G544" s="22" t="s">
        <v>2389</v>
      </c>
      <c r="H544" s="22" t="s">
        <v>2189</v>
      </c>
      <c r="I544" s="22" t="s">
        <v>2390</v>
      </c>
      <c r="J544" s="22" t="s">
        <v>2370</v>
      </c>
      <c r="K544" s="22" t="s">
        <v>2390</v>
      </c>
      <c r="L544" s="22" t="s">
        <v>184</v>
      </c>
      <c r="M544" s="22" t="s">
        <v>253</v>
      </c>
    </row>
    <row r="545" customFormat="false" ht="43.5" hidden="false" customHeight="true" outlineLevel="0" collapsed="false">
      <c r="A545" s="22" t="s">
        <v>2391</v>
      </c>
      <c r="B545" s="22" t="s">
        <v>2392</v>
      </c>
      <c r="C545" s="22" t="s">
        <v>51</v>
      </c>
      <c r="D545" s="22" t="s">
        <v>2174</v>
      </c>
      <c r="E545" s="22" t="str">
        <f aca="false">IF(D545="","",IFERROR(VLOOKUP(D545,$A$2:$B$1656,2,FALSE()),""))</f>
        <v>Soul, Death, and Body Domains</v>
      </c>
      <c r="F545" s="22" t="n">
        <v>3</v>
      </c>
      <c r="G545" s="22" t="s">
        <v>2393</v>
      </c>
      <c r="H545" s="22" t="s">
        <v>2189</v>
      </c>
      <c r="I545" s="22" t="s">
        <v>2394</v>
      </c>
      <c r="J545" s="22" t="s">
        <v>2370</v>
      </c>
      <c r="K545" s="22" t="s">
        <v>2394</v>
      </c>
      <c r="L545" s="22" t="s">
        <v>184</v>
      </c>
      <c r="M545" s="22" t="s">
        <v>253</v>
      </c>
    </row>
    <row r="546" customFormat="false" ht="43.5" hidden="false" customHeight="true" outlineLevel="0" collapsed="false">
      <c r="A546" s="22" t="s">
        <v>2395</v>
      </c>
      <c r="B546" s="22" t="s">
        <v>2396</v>
      </c>
      <c r="C546" s="22" t="s">
        <v>51</v>
      </c>
      <c r="D546" s="22" t="s">
        <v>2174</v>
      </c>
      <c r="E546" s="22" t="str">
        <f aca="false">IF(D546="","",IFERROR(VLOOKUP(D546,$A$2:$B$1656,2,FALSE()),""))</f>
        <v>Soul, Death, and Body Domains</v>
      </c>
      <c r="F546" s="22" t="n">
        <v>3</v>
      </c>
      <c r="G546" s="22" t="s">
        <v>2397</v>
      </c>
      <c r="H546" s="22" t="s">
        <v>2189</v>
      </c>
      <c r="I546" s="22" t="s">
        <v>2398</v>
      </c>
      <c r="J546" s="22" t="s">
        <v>2370</v>
      </c>
      <c r="K546" s="22" t="s">
        <v>2398</v>
      </c>
      <c r="L546" s="22" t="s">
        <v>184</v>
      </c>
      <c r="M546" s="22" t="s">
        <v>253</v>
      </c>
    </row>
    <row r="547" customFormat="false" ht="43.5" hidden="false" customHeight="true" outlineLevel="0" collapsed="false">
      <c r="A547" s="22" t="s">
        <v>2399</v>
      </c>
      <c r="B547" s="22" t="s">
        <v>2400</v>
      </c>
      <c r="C547" s="22" t="s">
        <v>51</v>
      </c>
      <c r="D547" s="22" t="s">
        <v>2174</v>
      </c>
      <c r="E547" s="22" t="str">
        <f aca="false">IF(D547="","",IFERROR(VLOOKUP(D547,$A$2:$B$1656,2,FALSE()),""))</f>
        <v>Soul, Death, and Body Domains</v>
      </c>
      <c r="F547" s="22" t="n">
        <v>3</v>
      </c>
      <c r="G547" s="22" t="s">
        <v>2401</v>
      </c>
      <c r="H547" s="22" t="s">
        <v>2189</v>
      </c>
      <c r="I547" s="22" t="s">
        <v>2402</v>
      </c>
      <c r="J547" s="22" t="s">
        <v>2370</v>
      </c>
      <c r="K547" s="22" t="s">
        <v>2402</v>
      </c>
      <c r="L547" s="22" t="s">
        <v>184</v>
      </c>
      <c r="M547" s="22" t="s">
        <v>253</v>
      </c>
    </row>
    <row r="548" customFormat="false" ht="43.5" hidden="false" customHeight="true" outlineLevel="0" collapsed="false">
      <c r="A548" s="22" t="s">
        <v>2403</v>
      </c>
      <c r="B548" s="22" t="s">
        <v>2404</v>
      </c>
      <c r="C548" s="22" t="s">
        <v>51</v>
      </c>
      <c r="D548" s="22" t="s">
        <v>2174</v>
      </c>
      <c r="E548" s="22" t="str">
        <f aca="false">IF(D548="","",IFERROR(VLOOKUP(D548,$A$2:$B$1656,2,FALSE()),""))</f>
        <v>Soul, Death, and Body Domains</v>
      </c>
      <c r="F548" s="22" t="n">
        <v>3</v>
      </c>
      <c r="G548" s="22" t="s">
        <v>2405</v>
      </c>
      <c r="H548" s="22" t="s">
        <v>2189</v>
      </c>
      <c r="I548" s="22" t="s">
        <v>2406</v>
      </c>
      <c r="J548" s="22" t="s">
        <v>2370</v>
      </c>
      <c r="K548" s="22" t="s">
        <v>2406</v>
      </c>
      <c r="L548" s="22" t="s">
        <v>184</v>
      </c>
      <c r="M548" s="22" t="s">
        <v>253</v>
      </c>
    </row>
    <row r="549" customFormat="false" ht="43.5" hidden="false" customHeight="true" outlineLevel="0" collapsed="false">
      <c r="A549" s="22" t="s">
        <v>2407</v>
      </c>
      <c r="B549" s="22" t="s">
        <v>2408</v>
      </c>
      <c r="C549" s="22" t="s">
        <v>51</v>
      </c>
      <c r="D549" s="22" t="s">
        <v>2174</v>
      </c>
      <c r="E549" s="22" t="str">
        <f aca="false">IF(D549="","",IFERROR(VLOOKUP(D549,$A$2:$B$1656,2,FALSE()),""))</f>
        <v>Soul, Death, and Body Domains</v>
      </c>
      <c r="F549" s="22" t="n">
        <v>3</v>
      </c>
      <c r="G549" s="22" t="s">
        <v>2409</v>
      </c>
      <c r="H549" s="22" t="s">
        <v>2189</v>
      </c>
      <c r="I549" s="22" t="s">
        <v>2410</v>
      </c>
      <c r="J549" s="22" t="s">
        <v>2370</v>
      </c>
      <c r="K549" s="22" t="s">
        <v>2410</v>
      </c>
      <c r="L549" s="22" t="s">
        <v>184</v>
      </c>
      <c r="M549" s="22" t="s">
        <v>253</v>
      </c>
    </row>
    <row r="550" customFormat="false" ht="43.5" hidden="false" customHeight="true" outlineLevel="0" collapsed="false">
      <c r="A550" s="22" t="s">
        <v>2411</v>
      </c>
      <c r="B550" s="22" t="s">
        <v>2412</v>
      </c>
      <c r="C550" s="22" t="s">
        <v>51</v>
      </c>
      <c r="D550" s="22" t="s">
        <v>2174</v>
      </c>
      <c r="E550" s="22" t="str">
        <f aca="false">IF(D550="","",IFERROR(VLOOKUP(D550,$A$2:$B$1656,2,FALSE()),""))</f>
        <v>Soul, Death, and Body Domains</v>
      </c>
      <c r="F550" s="22" t="n">
        <v>3</v>
      </c>
      <c r="G550" s="22" t="s">
        <v>2413</v>
      </c>
      <c r="H550" s="22" t="s">
        <v>2189</v>
      </c>
      <c r="I550" s="22" t="s">
        <v>2414</v>
      </c>
      <c r="J550" s="22" t="s">
        <v>2370</v>
      </c>
      <c r="K550" s="22" t="s">
        <v>2414</v>
      </c>
      <c r="L550" s="22" t="s">
        <v>184</v>
      </c>
      <c r="M550" s="22" t="s">
        <v>253</v>
      </c>
    </row>
    <row r="551" customFormat="false" ht="43.5" hidden="false" customHeight="true" outlineLevel="0" collapsed="false">
      <c r="A551" s="22" t="s">
        <v>2415</v>
      </c>
      <c r="B551" s="22" t="s">
        <v>2416</v>
      </c>
      <c r="C551" s="22" t="s">
        <v>51</v>
      </c>
      <c r="D551" s="22" t="s">
        <v>2174</v>
      </c>
      <c r="E551" s="22" t="str">
        <f aca="false">IF(D551="","",IFERROR(VLOOKUP(D551,$A$2:$B$1656,2,FALSE()),""))</f>
        <v>Soul, Death, and Body Domains</v>
      </c>
      <c r="F551" s="22" t="n">
        <v>3</v>
      </c>
      <c r="G551" s="22" t="s">
        <v>2417</v>
      </c>
      <c r="H551" s="22" t="s">
        <v>2189</v>
      </c>
      <c r="I551" s="22" t="s">
        <v>2418</v>
      </c>
      <c r="J551" s="22" t="s">
        <v>2370</v>
      </c>
      <c r="K551" s="22" t="s">
        <v>2418</v>
      </c>
      <c r="L551" s="22" t="s">
        <v>184</v>
      </c>
      <c r="M551" s="22" t="s">
        <v>253</v>
      </c>
    </row>
    <row r="552" customFormat="false" ht="43.5" hidden="false" customHeight="true" outlineLevel="0" collapsed="false">
      <c r="A552" s="22" t="s">
        <v>2419</v>
      </c>
      <c r="B552" s="22" t="s">
        <v>2420</v>
      </c>
      <c r="C552" s="22" t="s">
        <v>51</v>
      </c>
      <c r="D552" s="22" t="s">
        <v>2174</v>
      </c>
      <c r="E552" s="22" t="str">
        <f aca="false">IF(D552="","",IFERROR(VLOOKUP(D552,$A$2:$B$1656,2,FALSE()),""))</f>
        <v>Soul, Death, and Body Domains</v>
      </c>
      <c r="F552" s="22" t="n">
        <v>3</v>
      </c>
      <c r="G552" s="22" t="s">
        <v>2421</v>
      </c>
      <c r="H552" s="22" t="s">
        <v>2189</v>
      </c>
      <c r="I552" s="22" t="s">
        <v>2422</v>
      </c>
      <c r="J552" s="22" t="s">
        <v>2370</v>
      </c>
      <c r="K552" s="22" t="s">
        <v>2422</v>
      </c>
      <c r="L552" s="22" t="s">
        <v>184</v>
      </c>
      <c r="M552" s="22" t="s">
        <v>253</v>
      </c>
    </row>
    <row r="553" customFormat="false" ht="43.5" hidden="false" customHeight="true" outlineLevel="0" collapsed="false">
      <c r="A553" s="22" t="s">
        <v>2423</v>
      </c>
      <c r="B553" s="22" t="s">
        <v>2424</v>
      </c>
      <c r="C553" s="22" t="s">
        <v>51</v>
      </c>
      <c r="D553" s="22" t="s">
        <v>2174</v>
      </c>
      <c r="E553" s="22" t="str">
        <f aca="false">IF(D553="","",IFERROR(VLOOKUP(D553,$A$2:$B$1656,2,FALSE()),""))</f>
        <v>Soul, Death, and Body Domains</v>
      </c>
      <c r="F553" s="22" t="n">
        <v>3</v>
      </c>
      <c r="G553" s="22" t="s">
        <v>2425</v>
      </c>
      <c r="H553" s="22" t="s">
        <v>2189</v>
      </c>
      <c r="I553" s="22" t="s">
        <v>2426</v>
      </c>
      <c r="J553" s="22" t="s">
        <v>2370</v>
      </c>
      <c r="K553" s="22" t="s">
        <v>2426</v>
      </c>
      <c r="L553" s="22" t="s">
        <v>184</v>
      </c>
      <c r="M553" s="22" t="s">
        <v>253</v>
      </c>
    </row>
    <row r="554" customFormat="false" ht="43.5" hidden="false" customHeight="true" outlineLevel="0" collapsed="false">
      <c r="A554" s="22" t="s">
        <v>2427</v>
      </c>
      <c r="B554" s="22" t="s">
        <v>2428</v>
      </c>
      <c r="C554" s="22" t="s">
        <v>51</v>
      </c>
      <c r="D554" s="22" t="s">
        <v>2174</v>
      </c>
      <c r="E554" s="22" t="str">
        <f aca="false">IF(D554="","",IFERROR(VLOOKUP(D554,$A$2:$B$1656,2,FALSE()),""))</f>
        <v>Soul, Death, and Body Domains</v>
      </c>
      <c r="F554" s="22" t="n">
        <v>3</v>
      </c>
      <c r="G554" s="22" t="s">
        <v>2429</v>
      </c>
      <c r="H554" s="22" t="s">
        <v>2189</v>
      </c>
      <c r="I554" s="22" t="s">
        <v>2430</v>
      </c>
      <c r="J554" s="22" t="s">
        <v>2370</v>
      </c>
      <c r="K554" s="22" t="s">
        <v>2430</v>
      </c>
      <c r="L554" s="22" t="s">
        <v>184</v>
      </c>
      <c r="M554" s="22" t="s">
        <v>253</v>
      </c>
    </row>
    <row r="555" customFormat="false" ht="43.5" hidden="false" customHeight="true" outlineLevel="0" collapsed="false">
      <c r="A555" s="22" t="s">
        <v>2431</v>
      </c>
      <c r="B555" s="22" t="s">
        <v>2432</v>
      </c>
      <c r="C555" s="22" t="s">
        <v>51</v>
      </c>
      <c r="D555" s="22" t="s">
        <v>2174</v>
      </c>
      <c r="E555" s="22" t="str">
        <f aca="false">IF(D555="","",IFERROR(VLOOKUP(D555,$A$2:$B$1656,2,FALSE()),""))</f>
        <v>Soul, Death, and Body Domains</v>
      </c>
      <c r="F555" s="22" t="n">
        <v>3</v>
      </c>
      <c r="G555" s="22" t="s">
        <v>2433</v>
      </c>
      <c r="H555" s="22" t="s">
        <v>2189</v>
      </c>
      <c r="I555" s="22" t="s">
        <v>2434</v>
      </c>
      <c r="J555" s="22" t="s">
        <v>2370</v>
      </c>
      <c r="K555" s="22" t="s">
        <v>2434</v>
      </c>
      <c r="L555" s="22" t="s">
        <v>2435</v>
      </c>
      <c r="M555" s="22" t="s">
        <v>253</v>
      </c>
    </row>
    <row r="556" customFormat="false" ht="43.5" hidden="false" customHeight="true" outlineLevel="0" collapsed="false">
      <c r="A556" s="22" t="s">
        <v>2436</v>
      </c>
      <c r="B556" s="22" t="s">
        <v>2437</v>
      </c>
      <c r="C556" s="22" t="s">
        <v>51</v>
      </c>
      <c r="D556" s="22" t="s">
        <v>2174</v>
      </c>
      <c r="E556" s="22" t="str">
        <f aca="false">IF(D556="","",IFERROR(VLOOKUP(D556,$A$2:$B$1656,2,FALSE()),""))</f>
        <v>Soul, Death, and Body Domains</v>
      </c>
      <c r="F556" s="22" t="n">
        <v>3</v>
      </c>
      <c r="G556" s="22" t="s">
        <v>2438</v>
      </c>
      <c r="H556" s="22" t="s">
        <v>2189</v>
      </c>
      <c r="I556" s="22" t="s">
        <v>2439</v>
      </c>
      <c r="J556" s="22" t="s">
        <v>2370</v>
      </c>
      <c r="K556" s="22" t="s">
        <v>2439</v>
      </c>
      <c r="L556" s="22" t="s">
        <v>184</v>
      </c>
      <c r="M556" s="22" t="s">
        <v>253</v>
      </c>
    </row>
    <row r="557" customFormat="false" ht="43.5" hidden="false" customHeight="true" outlineLevel="0" collapsed="false">
      <c r="A557" s="22" t="s">
        <v>2440</v>
      </c>
      <c r="B557" s="22" t="s">
        <v>2441</v>
      </c>
      <c r="C557" s="22" t="s">
        <v>51</v>
      </c>
      <c r="D557" s="22" t="s">
        <v>2174</v>
      </c>
      <c r="E557" s="22" t="str">
        <f aca="false">IF(D557="","",IFERROR(VLOOKUP(D557,$A$2:$B$1656,2,FALSE()),""))</f>
        <v>Soul, Death, and Body Domains</v>
      </c>
      <c r="F557" s="22" t="n">
        <v>3</v>
      </c>
      <c r="G557" s="22" t="s">
        <v>2442</v>
      </c>
      <c r="H557" s="22" t="s">
        <v>2189</v>
      </c>
      <c r="I557" s="22" t="s">
        <v>2443</v>
      </c>
      <c r="J557" s="22" t="s">
        <v>2370</v>
      </c>
      <c r="K557" s="22" t="s">
        <v>2443</v>
      </c>
      <c r="L557" s="22" t="s">
        <v>184</v>
      </c>
      <c r="M557" s="22" t="s">
        <v>253</v>
      </c>
    </row>
    <row r="558" customFormat="false" ht="43.5" hidden="false" customHeight="true" outlineLevel="0" collapsed="false">
      <c r="A558" s="22" t="s">
        <v>2444</v>
      </c>
      <c r="B558" s="22" t="s">
        <v>2445</v>
      </c>
      <c r="C558" s="22" t="s">
        <v>51</v>
      </c>
      <c r="D558" s="22" t="s">
        <v>2174</v>
      </c>
      <c r="E558" s="22" t="str">
        <f aca="false">IF(D558="","",IFERROR(VLOOKUP(D558,$A$2:$B$1656,2,FALSE()),""))</f>
        <v>Soul, Death, and Body Domains</v>
      </c>
      <c r="F558" s="22" t="n">
        <v>3</v>
      </c>
      <c r="G558" s="22" t="s">
        <v>2446</v>
      </c>
      <c r="H558" s="22" t="s">
        <v>2189</v>
      </c>
      <c r="I558" s="22" t="s">
        <v>2447</v>
      </c>
      <c r="J558" s="22" t="s">
        <v>2370</v>
      </c>
      <c r="K558" s="22" t="s">
        <v>2447</v>
      </c>
      <c r="L558" s="22" t="s">
        <v>184</v>
      </c>
      <c r="M558" s="22" t="s">
        <v>253</v>
      </c>
    </row>
    <row r="559" customFormat="false" ht="43.5" hidden="false" customHeight="true" outlineLevel="0" collapsed="false">
      <c r="A559" s="22" t="s">
        <v>2448</v>
      </c>
      <c r="B559" s="22" t="s">
        <v>2449</v>
      </c>
      <c r="C559" s="22" t="s">
        <v>51</v>
      </c>
      <c r="D559" s="22" t="s">
        <v>2177</v>
      </c>
      <c r="E559" s="22" t="str">
        <f aca="false">IF(D559="","",IFERROR(VLOOKUP(D559,$A$2:$B$1656,2,FALSE()),""))</f>
        <v>Mind, Perception, Fate, and Reality Domains</v>
      </c>
      <c r="F559" s="22" t="n">
        <v>3</v>
      </c>
      <c r="G559" s="22" t="s">
        <v>2450</v>
      </c>
      <c r="H559" s="22" t="s">
        <v>2189</v>
      </c>
      <c r="I559" s="22" t="s">
        <v>2451</v>
      </c>
      <c r="J559" s="22" t="s">
        <v>2452</v>
      </c>
      <c r="K559" s="22" t="s">
        <v>2451</v>
      </c>
      <c r="L559" s="22" t="s">
        <v>184</v>
      </c>
      <c r="M559" s="22" t="s">
        <v>253</v>
      </c>
    </row>
    <row r="560" customFormat="false" ht="43.5" hidden="false" customHeight="true" outlineLevel="0" collapsed="false">
      <c r="A560" s="22" t="s">
        <v>2453</v>
      </c>
      <c r="B560" s="22" t="s">
        <v>2454</v>
      </c>
      <c r="C560" s="22" t="s">
        <v>51</v>
      </c>
      <c r="D560" s="22" t="s">
        <v>2177</v>
      </c>
      <c r="E560" s="22" t="str">
        <f aca="false">IF(D560="","",IFERROR(VLOOKUP(D560,$A$2:$B$1656,2,FALSE()),""))</f>
        <v>Mind, Perception, Fate, and Reality Domains</v>
      </c>
      <c r="F560" s="22" t="n">
        <v>3</v>
      </c>
      <c r="G560" s="22" t="s">
        <v>2455</v>
      </c>
      <c r="H560" s="22" t="s">
        <v>2189</v>
      </c>
      <c r="I560" s="22" t="s">
        <v>2456</v>
      </c>
      <c r="J560" s="22" t="s">
        <v>2452</v>
      </c>
      <c r="K560" s="22" t="s">
        <v>2456</v>
      </c>
      <c r="L560" s="22" t="s">
        <v>184</v>
      </c>
      <c r="M560" s="22" t="s">
        <v>253</v>
      </c>
    </row>
    <row r="561" customFormat="false" ht="43.5" hidden="false" customHeight="true" outlineLevel="0" collapsed="false">
      <c r="A561" s="22" t="s">
        <v>2457</v>
      </c>
      <c r="B561" s="22" t="s">
        <v>2458</v>
      </c>
      <c r="C561" s="22" t="s">
        <v>51</v>
      </c>
      <c r="D561" s="22" t="s">
        <v>2177</v>
      </c>
      <c r="E561" s="22" t="str">
        <f aca="false">IF(D561="","",IFERROR(VLOOKUP(D561,$A$2:$B$1656,2,FALSE()),""))</f>
        <v>Mind, Perception, Fate, and Reality Domains</v>
      </c>
      <c r="F561" s="22" t="n">
        <v>3</v>
      </c>
      <c r="G561" s="22" t="s">
        <v>2459</v>
      </c>
      <c r="H561" s="22" t="s">
        <v>2189</v>
      </c>
      <c r="I561" s="22" t="s">
        <v>2460</v>
      </c>
      <c r="J561" s="22" t="s">
        <v>2452</v>
      </c>
      <c r="K561" s="22" t="s">
        <v>2460</v>
      </c>
      <c r="L561" s="22" t="s">
        <v>184</v>
      </c>
      <c r="M561" s="22" t="s">
        <v>253</v>
      </c>
    </row>
    <row r="562" customFormat="false" ht="43.5" hidden="false" customHeight="true" outlineLevel="0" collapsed="false">
      <c r="A562" s="22" t="s">
        <v>2461</v>
      </c>
      <c r="B562" s="22" t="s">
        <v>2462</v>
      </c>
      <c r="C562" s="22" t="s">
        <v>51</v>
      </c>
      <c r="D562" s="22" t="s">
        <v>2177</v>
      </c>
      <c r="E562" s="22" t="str">
        <f aca="false">IF(D562="","",IFERROR(VLOOKUP(D562,$A$2:$B$1656,2,FALSE()),""))</f>
        <v>Mind, Perception, Fate, and Reality Domains</v>
      </c>
      <c r="F562" s="22" t="n">
        <v>3</v>
      </c>
      <c r="G562" s="22" t="s">
        <v>2463</v>
      </c>
      <c r="H562" s="22" t="s">
        <v>2189</v>
      </c>
      <c r="I562" s="22" t="s">
        <v>2464</v>
      </c>
      <c r="J562" s="22" t="s">
        <v>2452</v>
      </c>
      <c r="K562" s="22" t="s">
        <v>2464</v>
      </c>
      <c r="L562" s="22" t="s">
        <v>184</v>
      </c>
      <c r="M562" s="22" t="s">
        <v>253</v>
      </c>
    </row>
    <row r="563" customFormat="false" ht="43.5" hidden="false" customHeight="true" outlineLevel="0" collapsed="false">
      <c r="A563" s="22" t="s">
        <v>2465</v>
      </c>
      <c r="B563" s="22" t="s">
        <v>2466</v>
      </c>
      <c r="C563" s="22" t="s">
        <v>51</v>
      </c>
      <c r="D563" s="22" t="s">
        <v>2177</v>
      </c>
      <c r="E563" s="22" t="str">
        <f aca="false">IF(D563="","",IFERROR(VLOOKUP(D563,$A$2:$B$1656,2,FALSE()),""))</f>
        <v>Mind, Perception, Fate, and Reality Domains</v>
      </c>
      <c r="F563" s="22" t="n">
        <v>3</v>
      </c>
      <c r="G563" s="22" t="s">
        <v>2467</v>
      </c>
      <c r="H563" s="22" t="s">
        <v>2189</v>
      </c>
      <c r="I563" s="22" t="s">
        <v>2468</v>
      </c>
      <c r="J563" s="22" t="s">
        <v>2452</v>
      </c>
      <c r="K563" s="22" t="s">
        <v>2468</v>
      </c>
      <c r="L563" s="22" t="s">
        <v>184</v>
      </c>
      <c r="M563" s="22" t="s">
        <v>253</v>
      </c>
    </row>
    <row r="564" customFormat="false" ht="43.5" hidden="false" customHeight="true" outlineLevel="0" collapsed="false">
      <c r="A564" s="22" t="s">
        <v>2469</v>
      </c>
      <c r="B564" s="22" t="s">
        <v>2470</v>
      </c>
      <c r="C564" s="22" t="s">
        <v>51</v>
      </c>
      <c r="D564" s="22" t="s">
        <v>2177</v>
      </c>
      <c r="E564" s="22" t="str">
        <f aca="false">IF(D564="","",IFERROR(VLOOKUP(D564,$A$2:$B$1656,2,FALSE()),""))</f>
        <v>Mind, Perception, Fate, and Reality Domains</v>
      </c>
      <c r="F564" s="22" t="n">
        <v>3</v>
      </c>
      <c r="G564" s="22" t="s">
        <v>2471</v>
      </c>
      <c r="H564" s="22" t="s">
        <v>2189</v>
      </c>
      <c r="I564" s="22" t="s">
        <v>2472</v>
      </c>
      <c r="J564" s="22" t="s">
        <v>2452</v>
      </c>
      <c r="K564" s="22" t="s">
        <v>2472</v>
      </c>
      <c r="L564" s="22" t="s">
        <v>184</v>
      </c>
      <c r="M564" s="22" t="s">
        <v>253</v>
      </c>
    </row>
    <row r="565" customFormat="false" ht="43.5" hidden="false" customHeight="true" outlineLevel="0" collapsed="false">
      <c r="A565" s="22" t="s">
        <v>2473</v>
      </c>
      <c r="B565" s="22" t="s">
        <v>2474</v>
      </c>
      <c r="C565" s="22" t="s">
        <v>51</v>
      </c>
      <c r="D565" s="22" t="s">
        <v>2177</v>
      </c>
      <c r="E565" s="22" t="str">
        <f aca="false">IF(D565="","",IFERROR(VLOOKUP(D565,$A$2:$B$1656,2,FALSE()),""))</f>
        <v>Mind, Perception, Fate, and Reality Domains</v>
      </c>
      <c r="F565" s="22" t="n">
        <v>3</v>
      </c>
      <c r="G565" s="22" t="s">
        <v>2475</v>
      </c>
      <c r="H565" s="22" t="s">
        <v>2189</v>
      </c>
      <c r="I565" s="22" t="s">
        <v>2476</v>
      </c>
      <c r="J565" s="22" t="s">
        <v>2452</v>
      </c>
      <c r="K565" s="22" t="s">
        <v>2476</v>
      </c>
      <c r="L565" s="22" t="s">
        <v>184</v>
      </c>
      <c r="M565" s="22" t="s">
        <v>253</v>
      </c>
    </row>
    <row r="566" customFormat="false" ht="43.5" hidden="false" customHeight="true" outlineLevel="0" collapsed="false">
      <c r="A566" s="22" t="s">
        <v>2477</v>
      </c>
      <c r="B566" s="22" t="s">
        <v>2478</v>
      </c>
      <c r="C566" s="22" t="s">
        <v>51</v>
      </c>
      <c r="D566" s="22" t="s">
        <v>2177</v>
      </c>
      <c r="E566" s="22" t="str">
        <f aca="false">IF(D566="","",IFERROR(VLOOKUP(D566,$A$2:$B$1656,2,FALSE()),""))</f>
        <v>Mind, Perception, Fate, and Reality Domains</v>
      </c>
      <c r="F566" s="22" t="n">
        <v>3</v>
      </c>
      <c r="G566" s="22" t="s">
        <v>2479</v>
      </c>
      <c r="H566" s="22" t="s">
        <v>2189</v>
      </c>
      <c r="I566" s="22" t="s">
        <v>2480</v>
      </c>
      <c r="J566" s="22" t="s">
        <v>2452</v>
      </c>
      <c r="K566" s="22" t="s">
        <v>2480</v>
      </c>
      <c r="L566" s="22" t="s">
        <v>184</v>
      </c>
      <c r="M566" s="22" t="s">
        <v>253</v>
      </c>
    </row>
    <row r="567" customFormat="false" ht="43.5" hidden="false" customHeight="true" outlineLevel="0" collapsed="false">
      <c r="A567" s="22" t="s">
        <v>2481</v>
      </c>
      <c r="B567" s="22" t="s">
        <v>2482</v>
      </c>
      <c r="C567" s="22" t="s">
        <v>51</v>
      </c>
      <c r="D567" s="22" t="s">
        <v>2177</v>
      </c>
      <c r="E567" s="22" t="str">
        <f aca="false">IF(D567="","",IFERROR(VLOOKUP(D567,$A$2:$B$1656,2,FALSE()),""))</f>
        <v>Mind, Perception, Fate, and Reality Domains</v>
      </c>
      <c r="F567" s="22" t="n">
        <v>3</v>
      </c>
      <c r="G567" s="22" t="s">
        <v>2483</v>
      </c>
      <c r="H567" s="22" t="s">
        <v>2189</v>
      </c>
      <c r="I567" s="22" t="s">
        <v>2484</v>
      </c>
      <c r="J567" s="22" t="s">
        <v>2452</v>
      </c>
      <c r="K567" s="22" t="s">
        <v>2484</v>
      </c>
      <c r="L567" s="22" t="s">
        <v>184</v>
      </c>
      <c r="M567" s="22" t="s">
        <v>253</v>
      </c>
    </row>
    <row r="568" customFormat="false" ht="43.5" hidden="false" customHeight="true" outlineLevel="0" collapsed="false">
      <c r="A568" s="22" t="s">
        <v>2485</v>
      </c>
      <c r="B568" s="22" t="s">
        <v>2486</v>
      </c>
      <c r="C568" s="22" t="s">
        <v>51</v>
      </c>
      <c r="D568" s="22" t="s">
        <v>2177</v>
      </c>
      <c r="E568" s="22" t="str">
        <f aca="false">IF(D568="","",IFERROR(VLOOKUP(D568,$A$2:$B$1656,2,FALSE()),""))</f>
        <v>Mind, Perception, Fate, and Reality Domains</v>
      </c>
      <c r="F568" s="22" t="n">
        <v>3</v>
      </c>
      <c r="G568" s="22" t="s">
        <v>2487</v>
      </c>
      <c r="H568" s="22" t="s">
        <v>2189</v>
      </c>
      <c r="I568" s="22" t="s">
        <v>2488</v>
      </c>
      <c r="J568" s="22" t="s">
        <v>2452</v>
      </c>
      <c r="K568" s="22" t="s">
        <v>2488</v>
      </c>
      <c r="L568" s="22" t="s">
        <v>184</v>
      </c>
      <c r="M568" s="22" t="s">
        <v>253</v>
      </c>
    </row>
    <row r="569" customFormat="false" ht="43.5" hidden="false" customHeight="true" outlineLevel="0" collapsed="false">
      <c r="A569" s="22" t="s">
        <v>2489</v>
      </c>
      <c r="B569" s="22" t="s">
        <v>2490</v>
      </c>
      <c r="C569" s="22" t="s">
        <v>51</v>
      </c>
      <c r="D569" s="22" t="s">
        <v>2177</v>
      </c>
      <c r="E569" s="22" t="str">
        <f aca="false">IF(D569="","",IFERROR(VLOOKUP(D569,$A$2:$B$1656,2,FALSE()),""))</f>
        <v>Mind, Perception, Fate, and Reality Domains</v>
      </c>
      <c r="F569" s="22" t="n">
        <v>3</v>
      </c>
      <c r="G569" s="22" t="s">
        <v>2491</v>
      </c>
      <c r="H569" s="22" t="s">
        <v>2189</v>
      </c>
      <c r="I569" s="22" t="s">
        <v>2492</v>
      </c>
      <c r="J569" s="22" t="s">
        <v>2452</v>
      </c>
      <c r="K569" s="22" t="s">
        <v>2492</v>
      </c>
      <c r="L569" s="22" t="s">
        <v>184</v>
      </c>
      <c r="M569" s="22" t="s">
        <v>253</v>
      </c>
    </row>
    <row r="570" customFormat="false" ht="43.5" hidden="false" customHeight="true" outlineLevel="0" collapsed="false">
      <c r="A570" s="22" t="s">
        <v>2493</v>
      </c>
      <c r="B570" s="22" t="s">
        <v>2494</v>
      </c>
      <c r="C570" s="22" t="s">
        <v>51</v>
      </c>
      <c r="D570" s="22" t="s">
        <v>2177</v>
      </c>
      <c r="E570" s="22" t="str">
        <f aca="false">IF(D570="","",IFERROR(VLOOKUP(D570,$A$2:$B$1656,2,FALSE()),""))</f>
        <v>Mind, Perception, Fate, and Reality Domains</v>
      </c>
      <c r="F570" s="22" t="n">
        <v>3</v>
      </c>
      <c r="G570" s="22" t="s">
        <v>2495</v>
      </c>
      <c r="H570" s="22" t="s">
        <v>2189</v>
      </c>
      <c r="I570" s="22" t="s">
        <v>2496</v>
      </c>
      <c r="J570" s="22" t="s">
        <v>2452</v>
      </c>
      <c r="K570" s="22" t="s">
        <v>2496</v>
      </c>
      <c r="L570" s="22" t="s">
        <v>184</v>
      </c>
      <c r="M570" s="22" t="s">
        <v>253</v>
      </c>
    </row>
    <row r="571" customFormat="false" ht="43.5" hidden="false" customHeight="true" outlineLevel="0" collapsed="false">
      <c r="A571" s="22" t="s">
        <v>2497</v>
      </c>
      <c r="B571" s="22" t="s">
        <v>2498</v>
      </c>
      <c r="C571" s="22" t="s">
        <v>51</v>
      </c>
      <c r="D571" s="22" t="s">
        <v>2177</v>
      </c>
      <c r="E571" s="22" t="str">
        <f aca="false">IF(D571="","",IFERROR(VLOOKUP(D571,$A$2:$B$1656,2,FALSE()),""))</f>
        <v>Mind, Perception, Fate, and Reality Domains</v>
      </c>
      <c r="F571" s="22" t="n">
        <v>3</v>
      </c>
      <c r="G571" s="22" t="s">
        <v>2499</v>
      </c>
      <c r="H571" s="22" t="s">
        <v>2189</v>
      </c>
      <c r="I571" s="22" t="s">
        <v>2500</v>
      </c>
      <c r="J571" s="22" t="s">
        <v>2452</v>
      </c>
      <c r="K571" s="22" t="s">
        <v>2500</v>
      </c>
      <c r="L571" s="22" t="s">
        <v>184</v>
      </c>
      <c r="M571" s="22" t="s">
        <v>253</v>
      </c>
    </row>
    <row r="572" customFormat="false" ht="43.5" hidden="false" customHeight="true" outlineLevel="0" collapsed="false">
      <c r="A572" s="22" t="s">
        <v>2501</v>
      </c>
      <c r="B572" s="22" t="s">
        <v>2502</v>
      </c>
      <c r="C572" s="22" t="s">
        <v>51</v>
      </c>
      <c r="D572" s="22" t="s">
        <v>2177</v>
      </c>
      <c r="E572" s="22" t="str">
        <f aca="false">IF(D572="","",IFERROR(VLOOKUP(D572,$A$2:$B$1656,2,FALSE()),""))</f>
        <v>Mind, Perception, Fate, and Reality Domains</v>
      </c>
      <c r="F572" s="22" t="n">
        <v>3</v>
      </c>
      <c r="G572" s="22" t="s">
        <v>2503</v>
      </c>
      <c r="H572" s="22" t="s">
        <v>2189</v>
      </c>
      <c r="I572" s="22" t="s">
        <v>2504</v>
      </c>
      <c r="J572" s="22" t="s">
        <v>2452</v>
      </c>
      <c r="K572" s="22" t="s">
        <v>2504</v>
      </c>
      <c r="L572" s="22" t="s">
        <v>184</v>
      </c>
      <c r="M572" s="22" t="s">
        <v>253</v>
      </c>
    </row>
    <row r="573" customFormat="false" ht="43.5" hidden="false" customHeight="true" outlineLevel="0" collapsed="false">
      <c r="A573" s="22" t="s">
        <v>2505</v>
      </c>
      <c r="B573" s="22" t="s">
        <v>2506</v>
      </c>
      <c r="C573" s="22" t="s">
        <v>51</v>
      </c>
      <c r="D573" s="22" t="s">
        <v>2177</v>
      </c>
      <c r="E573" s="22" t="str">
        <f aca="false">IF(D573="","",IFERROR(VLOOKUP(D573,$A$2:$B$1656,2,FALSE()),""))</f>
        <v>Mind, Perception, Fate, and Reality Domains</v>
      </c>
      <c r="F573" s="22" t="n">
        <v>3</v>
      </c>
      <c r="G573" s="22" t="s">
        <v>2507</v>
      </c>
      <c r="H573" s="22" t="s">
        <v>2189</v>
      </c>
      <c r="I573" s="22" t="s">
        <v>2508</v>
      </c>
      <c r="J573" s="22" t="s">
        <v>2452</v>
      </c>
      <c r="K573" s="22" t="s">
        <v>2508</v>
      </c>
      <c r="L573" s="22" t="s">
        <v>184</v>
      </c>
      <c r="M573" s="22" t="s">
        <v>253</v>
      </c>
    </row>
    <row r="574" customFormat="false" ht="43.5" hidden="false" customHeight="true" outlineLevel="0" collapsed="false">
      <c r="A574" s="22" t="s">
        <v>2509</v>
      </c>
      <c r="B574" s="22" t="s">
        <v>2510</v>
      </c>
      <c r="C574" s="22" t="s">
        <v>51</v>
      </c>
      <c r="D574" s="22" t="s">
        <v>2177</v>
      </c>
      <c r="E574" s="22" t="str">
        <f aca="false">IF(D574="","",IFERROR(VLOOKUP(D574,$A$2:$B$1656,2,FALSE()),""))</f>
        <v>Mind, Perception, Fate, and Reality Domains</v>
      </c>
      <c r="F574" s="22" t="n">
        <v>3</v>
      </c>
      <c r="G574" s="22" t="s">
        <v>2511</v>
      </c>
      <c r="H574" s="22" t="s">
        <v>2189</v>
      </c>
      <c r="I574" s="22" t="s">
        <v>2512</v>
      </c>
      <c r="J574" s="22" t="s">
        <v>2452</v>
      </c>
      <c r="K574" s="22" t="s">
        <v>2512</v>
      </c>
      <c r="L574" s="22" t="s">
        <v>184</v>
      </c>
      <c r="M574" s="22" t="s">
        <v>253</v>
      </c>
    </row>
    <row r="575" customFormat="false" ht="43.5" hidden="false" customHeight="true" outlineLevel="0" collapsed="false">
      <c r="A575" s="22" t="s">
        <v>2513</v>
      </c>
      <c r="B575" s="22" t="s">
        <v>2514</v>
      </c>
      <c r="C575" s="22" t="s">
        <v>51</v>
      </c>
      <c r="D575" s="22" t="s">
        <v>2177</v>
      </c>
      <c r="E575" s="22" t="str">
        <f aca="false">IF(D575="","",IFERROR(VLOOKUP(D575,$A$2:$B$1656,2,FALSE()),""))</f>
        <v>Mind, Perception, Fate, and Reality Domains</v>
      </c>
      <c r="F575" s="22" t="n">
        <v>3</v>
      </c>
      <c r="G575" s="22" t="s">
        <v>2515</v>
      </c>
      <c r="H575" s="22" t="s">
        <v>2189</v>
      </c>
      <c r="I575" s="22" t="s">
        <v>2516</v>
      </c>
      <c r="J575" s="22" t="s">
        <v>2452</v>
      </c>
      <c r="K575" s="22" t="s">
        <v>2516</v>
      </c>
      <c r="L575" s="22" t="s">
        <v>184</v>
      </c>
      <c r="M575" s="22" t="s">
        <v>253</v>
      </c>
    </row>
    <row r="576" customFormat="false" ht="43.5" hidden="false" customHeight="true" outlineLevel="0" collapsed="false">
      <c r="A576" s="22" t="s">
        <v>2517</v>
      </c>
      <c r="B576" s="22" t="s">
        <v>2518</v>
      </c>
      <c r="C576" s="22" t="s">
        <v>51</v>
      </c>
      <c r="D576" s="22" t="s">
        <v>2177</v>
      </c>
      <c r="E576" s="22" t="str">
        <f aca="false">IF(D576="","",IFERROR(VLOOKUP(D576,$A$2:$B$1656,2,FALSE()),""))</f>
        <v>Mind, Perception, Fate, and Reality Domains</v>
      </c>
      <c r="F576" s="22" t="n">
        <v>3</v>
      </c>
      <c r="G576" s="22" t="s">
        <v>2519</v>
      </c>
      <c r="H576" s="22" t="s">
        <v>2189</v>
      </c>
      <c r="I576" s="22" t="s">
        <v>2520</v>
      </c>
      <c r="J576" s="22" t="s">
        <v>2452</v>
      </c>
      <c r="K576" s="22" t="s">
        <v>2520</v>
      </c>
      <c r="L576" s="22" t="s">
        <v>184</v>
      </c>
      <c r="M576" s="22" t="s">
        <v>253</v>
      </c>
    </row>
    <row r="577" customFormat="false" ht="43.5" hidden="false" customHeight="true" outlineLevel="0" collapsed="false">
      <c r="A577" s="22" t="s">
        <v>2521</v>
      </c>
      <c r="B577" s="22" t="s">
        <v>2522</v>
      </c>
      <c r="C577" s="22" t="s">
        <v>51</v>
      </c>
      <c r="D577" s="22" t="s">
        <v>2177</v>
      </c>
      <c r="E577" s="22" t="str">
        <f aca="false">IF(D577="","",IFERROR(VLOOKUP(D577,$A$2:$B$1656,2,FALSE()),""))</f>
        <v>Mind, Perception, Fate, and Reality Domains</v>
      </c>
      <c r="F577" s="22" t="n">
        <v>3</v>
      </c>
      <c r="G577" s="22" t="s">
        <v>2523</v>
      </c>
      <c r="H577" s="22" t="s">
        <v>2189</v>
      </c>
      <c r="I577" s="22" t="s">
        <v>2524</v>
      </c>
      <c r="J577" s="22" t="s">
        <v>2452</v>
      </c>
      <c r="K577" s="22" t="s">
        <v>2524</v>
      </c>
      <c r="L577" s="22" t="s">
        <v>184</v>
      </c>
      <c r="M577" s="22" t="s">
        <v>253</v>
      </c>
    </row>
    <row r="578" customFormat="false" ht="43.5" hidden="false" customHeight="true" outlineLevel="0" collapsed="false">
      <c r="A578" s="22" t="s">
        <v>2525</v>
      </c>
      <c r="B578" s="22" t="s">
        <v>2526</v>
      </c>
      <c r="C578" s="22" t="s">
        <v>51</v>
      </c>
      <c r="D578" s="22" t="s">
        <v>2177</v>
      </c>
      <c r="E578" s="22" t="str">
        <f aca="false">IF(D578="","",IFERROR(VLOOKUP(D578,$A$2:$B$1656,2,FALSE()),""))</f>
        <v>Mind, Perception, Fate, and Reality Domains</v>
      </c>
      <c r="F578" s="22" t="n">
        <v>3</v>
      </c>
      <c r="G578" s="22" t="s">
        <v>2527</v>
      </c>
      <c r="H578" s="22" t="s">
        <v>2189</v>
      </c>
      <c r="I578" s="22" t="s">
        <v>2528</v>
      </c>
      <c r="J578" s="22" t="s">
        <v>2452</v>
      </c>
      <c r="K578" s="22" t="s">
        <v>2528</v>
      </c>
      <c r="L578" s="22" t="s">
        <v>184</v>
      </c>
      <c r="M578" s="22" t="s">
        <v>253</v>
      </c>
    </row>
    <row r="579" customFormat="false" ht="43.5" hidden="false" customHeight="true" outlineLevel="0" collapsed="false">
      <c r="A579" s="22" t="s">
        <v>2529</v>
      </c>
      <c r="B579" s="22" t="s">
        <v>2530</v>
      </c>
      <c r="C579" s="22" t="s">
        <v>51</v>
      </c>
      <c r="D579" s="22" t="s">
        <v>2177</v>
      </c>
      <c r="E579" s="22" t="str">
        <f aca="false">IF(D579="","",IFERROR(VLOOKUP(D579,$A$2:$B$1656,2,FALSE()),""))</f>
        <v>Mind, Perception, Fate, and Reality Domains</v>
      </c>
      <c r="F579" s="22" t="n">
        <v>3</v>
      </c>
      <c r="G579" s="22" t="s">
        <v>2531</v>
      </c>
      <c r="H579" s="22" t="s">
        <v>2189</v>
      </c>
      <c r="I579" s="22" t="s">
        <v>2532</v>
      </c>
      <c r="J579" s="22" t="s">
        <v>2452</v>
      </c>
      <c r="K579" s="22" t="s">
        <v>2532</v>
      </c>
      <c r="L579" s="22" t="s">
        <v>184</v>
      </c>
      <c r="M579" s="22" t="s">
        <v>253</v>
      </c>
    </row>
    <row r="580" customFormat="false" ht="43.5" hidden="false" customHeight="true" outlineLevel="0" collapsed="false">
      <c r="A580" s="22" t="s">
        <v>2533</v>
      </c>
      <c r="B580" s="22" t="s">
        <v>2534</v>
      </c>
      <c r="C580" s="22" t="s">
        <v>51</v>
      </c>
      <c r="D580" s="22" t="s">
        <v>2177</v>
      </c>
      <c r="E580" s="22" t="str">
        <f aca="false">IF(D580="","",IFERROR(VLOOKUP(D580,$A$2:$B$1656,2,FALSE()),""))</f>
        <v>Mind, Perception, Fate, and Reality Domains</v>
      </c>
      <c r="F580" s="22" t="n">
        <v>3</v>
      </c>
      <c r="G580" s="22" t="s">
        <v>2535</v>
      </c>
      <c r="H580" s="22" t="s">
        <v>2189</v>
      </c>
      <c r="I580" s="22" t="s">
        <v>2536</v>
      </c>
      <c r="J580" s="22" t="s">
        <v>2452</v>
      </c>
      <c r="K580" s="22" t="s">
        <v>2536</v>
      </c>
      <c r="L580" s="22" t="s">
        <v>184</v>
      </c>
      <c r="M580" s="22" t="s">
        <v>253</v>
      </c>
    </row>
    <row r="581" customFormat="false" ht="43.5" hidden="false" customHeight="true" outlineLevel="0" collapsed="false">
      <c r="A581" s="22" t="s">
        <v>2537</v>
      </c>
      <c r="B581" s="22" t="s">
        <v>2538</v>
      </c>
      <c r="C581" s="22" t="s">
        <v>51</v>
      </c>
      <c r="D581" s="22" t="s">
        <v>2177</v>
      </c>
      <c r="E581" s="22" t="str">
        <f aca="false">IF(D581="","",IFERROR(VLOOKUP(D581,$A$2:$B$1656,2,FALSE()),""))</f>
        <v>Mind, Perception, Fate, and Reality Domains</v>
      </c>
      <c r="F581" s="22" t="n">
        <v>3</v>
      </c>
      <c r="G581" s="22" t="s">
        <v>2539</v>
      </c>
      <c r="H581" s="22" t="s">
        <v>2189</v>
      </c>
      <c r="I581" s="22" t="s">
        <v>2540</v>
      </c>
      <c r="J581" s="22" t="s">
        <v>2452</v>
      </c>
      <c r="K581" s="22" t="s">
        <v>2540</v>
      </c>
      <c r="L581" s="22" t="s">
        <v>184</v>
      </c>
      <c r="M581" s="22" t="s">
        <v>253</v>
      </c>
    </row>
    <row r="582" customFormat="false" ht="43.5" hidden="false" customHeight="true" outlineLevel="0" collapsed="false">
      <c r="A582" s="22" t="s">
        <v>2541</v>
      </c>
      <c r="B582" s="22" t="s">
        <v>2542</v>
      </c>
      <c r="C582" s="22" t="s">
        <v>51</v>
      </c>
      <c r="D582" s="22" t="s">
        <v>2177</v>
      </c>
      <c r="E582" s="22" t="str">
        <f aca="false">IF(D582="","",IFERROR(VLOOKUP(D582,$A$2:$B$1656,2,FALSE()),""))</f>
        <v>Mind, Perception, Fate, and Reality Domains</v>
      </c>
      <c r="F582" s="22" t="n">
        <v>3</v>
      </c>
      <c r="G582" s="22" t="s">
        <v>2543</v>
      </c>
      <c r="H582" s="22" t="s">
        <v>2189</v>
      </c>
      <c r="I582" s="22" t="s">
        <v>2544</v>
      </c>
      <c r="J582" s="22" t="s">
        <v>2452</v>
      </c>
      <c r="K582" s="22" t="s">
        <v>2544</v>
      </c>
      <c r="L582" s="22" t="s">
        <v>184</v>
      </c>
      <c r="M582" s="22" t="s">
        <v>253</v>
      </c>
    </row>
    <row r="583" customFormat="false" ht="43.5" hidden="false" customHeight="true" outlineLevel="0" collapsed="false">
      <c r="A583" s="22" t="s">
        <v>2545</v>
      </c>
      <c r="B583" s="22" t="s">
        <v>2546</v>
      </c>
      <c r="C583" s="22" t="s">
        <v>51</v>
      </c>
      <c r="D583" s="22" t="s">
        <v>2180</v>
      </c>
      <c r="E583" s="22" t="str">
        <f aca="false">IF(D583="","",IFERROR(VLOOKUP(D583,$A$2:$B$1656,2,FALSE()),""))</f>
        <v>Symbolic, Performative, and Technical Methods</v>
      </c>
      <c r="F583" s="22" t="n">
        <v>3</v>
      </c>
      <c r="G583" s="22" t="s">
        <v>2547</v>
      </c>
      <c r="H583" s="22" t="s">
        <v>2189</v>
      </c>
      <c r="I583" s="22" t="s">
        <v>2548</v>
      </c>
      <c r="J583" s="22" t="s">
        <v>2549</v>
      </c>
      <c r="K583" s="22" t="s">
        <v>2548</v>
      </c>
      <c r="L583" s="22" t="s">
        <v>184</v>
      </c>
      <c r="M583" s="22" t="s">
        <v>253</v>
      </c>
    </row>
    <row r="584" customFormat="false" ht="43.5" hidden="false" customHeight="true" outlineLevel="0" collapsed="false">
      <c r="A584" s="22" t="s">
        <v>2550</v>
      </c>
      <c r="B584" s="22" t="s">
        <v>2551</v>
      </c>
      <c r="C584" s="22" t="s">
        <v>51</v>
      </c>
      <c r="D584" s="22" t="s">
        <v>2180</v>
      </c>
      <c r="E584" s="22" t="str">
        <f aca="false">IF(D584="","",IFERROR(VLOOKUP(D584,$A$2:$B$1656,2,FALSE()),""))</f>
        <v>Symbolic, Performative, and Technical Methods</v>
      </c>
      <c r="F584" s="22" t="n">
        <v>3</v>
      </c>
      <c r="G584" s="22" t="s">
        <v>2552</v>
      </c>
      <c r="H584" s="22" t="s">
        <v>2189</v>
      </c>
      <c r="I584" s="22" t="s">
        <v>2553</v>
      </c>
      <c r="J584" s="22" t="s">
        <v>2549</v>
      </c>
      <c r="K584" s="22" t="s">
        <v>2553</v>
      </c>
      <c r="L584" s="22" t="s">
        <v>184</v>
      </c>
      <c r="M584" s="22" t="s">
        <v>253</v>
      </c>
    </row>
    <row r="585" customFormat="false" ht="43.5" hidden="false" customHeight="true" outlineLevel="0" collapsed="false">
      <c r="A585" s="22" t="s">
        <v>2554</v>
      </c>
      <c r="B585" s="22" t="s">
        <v>2555</v>
      </c>
      <c r="C585" s="22" t="s">
        <v>51</v>
      </c>
      <c r="D585" s="22" t="s">
        <v>2180</v>
      </c>
      <c r="E585" s="22" t="str">
        <f aca="false">IF(D585="","",IFERROR(VLOOKUP(D585,$A$2:$B$1656,2,FALSE()),""))</f>
        <v>Symbolic, Performative, and Technical Methods</v>
      </c>
      <c r="F585" s="22" t="n">
        <v>3</v>
      </c>
      <c r="G585" s="22" t="s">
        <v>2556</v>
      </c>
      <c r="H585" s="22" t="s">
        <v>2189</v>
      </c>
      <c r="I585" s="22" t="s">
        <v>2557</v>
      </c>
      <c r="J585" s="22" t="s">
        <v>2549</v>
      </c>
      <c r="K585" s="22" t="s">
        <v>2557</v>
      </c>
      <c r="L585" s="22" t="s">
        <v>184</v>
      </c>
      <c r="M585" s="22" t="s">
        <v>253</v>
      </c>
    </row>
    <row r="586" customFormat="false" ht="43.5" hidden="false" customHeight="true" outlineLevel="0" collapsed="false">
      <c r="A586" s="22" t="s">
        <v>2558</v>
      </c>
      <c r="B586" s="22" t="s">
        <v>2559</v>
      </c>
      <c r="C586" s="22" t="s">
        <v>51</v>
      </c>
      <c r="D586" s="22" t="s">
        <v>2180</v>
      </c>
      <c r="E586" s="22" t="str">
        <f aca="false">IF(D586="","",IFERROR(VLOOKUP(D586,$A$2:$B$1656,2,FALSE()),""))</f>
        <v>Symbolic, Performative, and Technical Methods</v>
      </c>
      <c r="F586" s="22" t="n">
        <v>3</v>
      </c>
      <c r="G586" s="22" t="s">
        <v>2560</v>
      </c>
      <c r="H586" s="22" t="s">
        <v>2189</v>
      </c>
      <c r="I586" s="22" t="s">
        <v>2561</v>
      </c>
      <c r="J586" s="22" t="s">
        <v>2549</v>
      </c>
      <c r="K586" s="22" t="s">
        <v>2561</v>
      </c>
      <c r="L586" s="22" t="s">
        <v>184</v>
      </c>
      <c r="M586" s="22" t="s">
        <v>253</v>
      </c>
    </row>
    <row r="587" customFormat="false" ht="43.5" hidden="false" customHeight="true" outlineLevel="0" collapsed="false">
      <c r="A587" s="22" t="s">
        <v>2562</v>
      </c>
      <c r="B587" s="22" t="s">
        <v>2563</v>
      </c>
      <c r="C587" s="22" t="s">
        <v>51</v>
      </c>
      <c r="D587" s="22" t="s">
        <v>2180</v>
      </c>
      <c r="E587" s="22" t="str">
        <f aca="false">IF(D587="","",IFERROR(VLOOKUP(D587,$A$2:$B$1656,2,FALSE()),""))</f>
        <v>Symbolic, Performative, and Technical Methods</v>
      </c>
      <c r="F587" s="22" t="n">
        <v>3</v>
      </c>
      <c r="G587" s="22" t="s">
        <v>2564</v>
      </c>
      <c r="H587" s="22" t="s">
        <v>2189</v>
      </c>
      <c r="I587" s="22" t="s">
        <v>2565</v>
      </c>
      <c r="J587" s="22" t="s">
        <v>2549</v>
      </c>
      <c r="K587" s="22" t="s">
        <v>2565</v>
      </c>
      <c r="L587" s="22" t="s">
        <v>184</v>
      </c>
      <c r="M587" s="22" t="s">
        <v>253</v>
      </c>
    </row>
    <row r="588" customFormat="false" ht="43.5" hidden="false" customHeight="true" outlineLevel="0" collapsed="false">
      <c r="A588" s="22" t="s">
        <v>2566</v>
      </c>
      <c r="B588" s="22" t="s">
        <v>2567</v>
      </c>
      <c r="C588" s="22" t="s">
        <v>51</v>
      </c>
      <c r="D588" s="22" t="s">
        <v>2180</v>
      </c>
      <c r="E588" s="22" t="str">
        <f aca="false">IF(D588="","",IFERROR(VLOOKUP(D588,$A$2:$B$1656,2,FALSE()),""))</f>
        <v>Symbolic, Performative, and Technical Methods</v>
      </c>
      <c r="F588" s="22" t="n">
        <v>3</v>
      </c>
      <c r="G588" s="22" t="s">
        <v>2568</v>
      </c>
      <c r="H588" s="22" t="s">
        <v>2189</v>
      </c>
      <c r="I588" s="22" t="s">
        <v>2569</v>
      </c>
      <c r="J588" s="22" t="s">
        <v>2549</v>
      </c>
      <c r="K588" s="22" t="s">
        <v>2569</v>
      </c>
      <c r="L588" s="22" t="s">
        <v>2570</v>
      </c>
      <c r="M588" s="22" t="s">
        <v>253</v>
      </c>
    </row>
    <row r="589" customFormat="false" ht="43.5" hidden="false" customHeight="true" outlineLevel="0" collapsed="false">
      <c r="A589" s="22" t="s">
        <v>2571</v>
      </c>
      <c r="B589" s="22" t="s">
        <v>2572</v>
      </c>
      <c r="C589" s="22" t="s">
        <v>51</v>
      </c>
      <c r="D589" s="22" t="s">
        <v>2180</v>
      </c>
      <c r="E589" s="22" t="str">
        <f aca="false">IF(D589="","",IFERROR(VLOOKUP(D589,$A$2:$B$1656,2,FALSE()),""))</f>
        <v>Symbolic, Performative, and Technical Methods</v>
      </c>
      <c r="F589" s="22" t="n">
        <v>3</v>
      </c>
      <c r="G589" s="22" t="s">
        <v>2573</v>
      </c>
      <c r="H589" s="22" t="s">
        <v>2189</v>
      </c>
      <c r="I589" s="22" t="s">
        <v>2574</v>
      </c>
      <c r="J589" s="22" t="s">
        <v>2549</v>
      </c>
      <c r="K589" s="22" t="s">
        <v>2574</v>
      </c>
      <c r="L589" s="22" t="s">
        <v>184</v>
      </c>
      <c r="M589" s="22" t="s">
        <v>253</v>
      </c>
    </row>
    <row r="590" customFormat="false" ht="43.5" hidden="false" customHeight="true" outlineLevel="0" collapsed="false">
      <c r="A590" s="22" t="s">
        <v>2575</v>
      </c>
      <c r="B590" s="22" t="s">
        <v>2576</v>
      </c>
      <c r="C590" s="22" t="s">
        <v>51</v>
      </c>
      <c r="D590" s="22" t="s">
        <v>2180</v>
      </c>
      <c r="E590" s="22" t="str">
        <f aca="false">IF(D590="","",IFERROR(VLOOKUP(D590,$A$2:$B$1656,2,FALSE()),""))</f>
        <v>Symbolic, Performative, and Technical Methods</v>
      </c>
      <c r="F590" s="22" t="n">
        <v>3</v>
      </c>
      <c r="G590" s="22" t="s">
        <v>2577</v>
      </c>
      <c r="H590" s="22" t="s">
        <v>2189</v>
      </c>
      <c r="I590" s="22" t="s">
        <v>2578</v>
      </c>
      <c r="J590" s="22" t="s">
        <v>2549</v>
      </c>
      <c r="K590" s="22" t="s">
        <v>2578</v>
      </c>
      <c r="L590" s="22" t="s">
        <v>184</v>
      </c>
      <c r="M590" s="22" t="s">
        <v>253</v>
      </c>
    </row>
    <row r="591" customFormat="false" ht="43.5" hidden="false" customHeight="true" outlineLevel="0" collapsed="false">
      <c r="A591" s="22" t="s">
        <v>2579</v>
      </c>
      <c r="B591" s="22" t="s">
        <v>2580</v>
      </c>
      <c r="C591" s="22" t="s">
        <v>51</v>
      </c>
      <c r="D591" s="22" t="s">
        <v>2180</v>
      </c>
      <c r="E591" s="22" t="str">
        <f aca="false">IF(D591="","",IFERROR(VLOOKUP(D591,$A$2:$B$1656,2,FALSE()),""))</f>
        <v>Symbolic, Performative, and Technical Methods</v>
      </c>
      <c r="F591" s="22" t="n">
        <v>3</v>
      </c>
      <c r="G591" s="22" t="s">
        <v>2581</v>
      </c>
      <c r="H591" s="22" t="s">
        <v>2189</v>
      </c>
      <c r="I591" s="22" t="s">
        <v>2582</v>
      </c>
      <c r="J591" s="22" t="s">
        <v>2549</v>
      </c>
      <c r="K591" s="22" t="s">
        <v>2582</v>
      </c>
      <c r="L591" s="22" t="s">
        <v>184</v>
      </c>
      <c r="M591" s="22" t="s">
        <v>253</v>
      </c>
    </row>
    <row r="592" customFormat="false" ht="43.5" hidden="false" customHeight="true" outlineLevel="0" collapsed="false">
      <c r="A592" s="22" t="s">
        <v>2583</v>
      </c>
      <c r="B592" s="22" t="s">
        <v>2584</v>
      </c>
      <c r="C592" s="22" t="s">
        <v>51</v>
      </c>
      <c r="D592" s="22" t="s">
        <v>2180</v>
      </c>
      <c r="E592" s="22" t="str">
        <f aca="false">IF(D592="","",IFERROR(VLOOKUP(D592,$A$2:$B$1656,2,FALSE()),""))</f>
        <v>Symbolic, Performative, and Technical Methods</v>
      </c>
      <c r="F592" s="22" t="n">
        <v>3</v>
      </c>
      <c r="G592" s="22" t="s">
        <v>2585</v>
      </c>
      <c r="H592" s="22" t="s">
        <v>2189</v>
      </c>
      <c r="I592" s="22" t="s">
        <v>2586</v>
      </c>
      <c r="J592" s="22" t="s">
        <v>2549</v>
      </c>
      <c r="K592" s="22" t="s">
        <v>2586</v>
      </c>
      <c r="L592" s="22" t="s">
        <v>184</v>
      </c>
      <c r="M592" s="22" t="s">
        <v>253</v>
      </c>
    </row>
    <row r="593" customFormat="false" ht="43.5" hidden="false" customHeight="true" outlineLevel="0" collapsed="false">
      <c r="A593" s="22" t="s">
        <v>2587</v>
      </c>
      <c r="B593" s="22" t="s">
        <v>2588</v>
      </c>
      <c r="C593" s="22" t="s">
        <v>51</v>
      </c>
      <c r="D593" s="22" t="s">
        <v>2180</v>
      </c>
      <c r="E593" s="22" t="str">
        <f aca="false">IF(D593="","",IFERROR(VLOOKUP(D593,$A$2:$B$1656,2,FALSE()),""))</f>
        <v>Symbolic, Performative, and Technical Methods</v>
      </c>
      <c r="F593" s="22" t="n">
        <v>3</v>
      </c>
      <c r="G593" s="22" t="s">
        <v>2589</v>
      </c>
      <c r="H593" s="22" t="s">
        <v>2189</v>
      </c>
      <c r="I593" s="22" t="s">
        <v>2590</v>
      </c>
      <c r="J593" s="22" t="s">
        <v>2549</v>
      </c>
      <c r="K593" s="22" t="s">
        <v>2590</v>
      </c>
      <c r="L593" s="22" t="s">
        <v>184</v>
      </c>
      <c r="M593" s="22" t="s">
        <v>253</v>
      </c>
    </row>
    <row r="594" customFormat="false" ht="43.5" hidden="false" customHeight="true" outlineLevel="0" collapsed="false">
      <c r="A594" s="22" t="s">
        <v>2591</v>
      </c>
      <c r="B594" s="22" t="s">
        <v>2592</v>
      </c>
      <c r="C594" s="22" t="s">
        <v>51</v>
      </c>
      <c r="D594" s="22" t="s">
        <v>2180</v>
      </c>
      <c r="E594" s="22" t="str">
        <f aca="false">IF(D594="","",IFERROR(VLOOKUP(D594,$A$2:$B$1656,2,FALSE()),""))</f>
        <v>Symbolic, Performative, and Technical Methods</v>
      </c>
      <c r="F594" s="22" t="n">
        <v>3</v>
      </c>
      <c r="G594" s="22" t="s">
        <v>2593</v>
      </c>
      <c r="H594" s="22" t="s">
        <v>2189</v>
      </c>
      <c r="I594" s="22" t="s">
        <v>2594</v>
      </c>
      <c r="J594" s="22" t="s">
        <v>2549</v>
      </c>
      <c r="K594" s="22" t="s">
        <v>2594</v>
      </c>
      <c r="L594" s="22" t="s">
        <v>184</v>
      </c>
      <c r="M594" s="22" t="s">
        <v>253</v>
      </c>
    </row>
    <row r="595" customFormat="false" ht="43.5" hidden="false" customHeight="true" outlineLevel="0" collapsed="false">
      <c r="A595" s="22" t="s">
        <v>2595</v>
      </c>
      <c r="B595" s="22" t="s">
        <v>2596</v>
      </c>
      <c r="C595" s="22" t="s">
        <v>51</v>
      </c>
      <c r="D595" s="22" t="s">
        <v>2180</v>
      </c>
      <c r="E595" s="22" t="str">
        <f aca="false">IF(D595="","",IFERROR(VLOOKUP(D595,$A$2:$B$1656,2,FALSE()),""))</f>
        <v>Symbolic, Performative, and Technical Methods</v>
      </c>
      <c r="F595" s="22" t="n">
        <v>3</v>
      </c>
      <c r="G595" s="22" t="s">
        <v>2597</v>
      </c>
      <c r="H595" s="22" t="s">
        <v>2189</v>
      </c>
      <c r="I595" s="22" t="s">
        <v>2598</v>
      </c>
      <c r="J595" s="22" t="s">
        <v>2549</v>
      </c>
      <c r="K595" s="22" t="s">
        <v>2598</v>
      </c>
      <c r="L595" s="22" t="s">
        <v>184</v>
      </c>
      <c r="M595" s="22" t="s">
        <v>253</v>
      </c>
    </row>
    <row r="596" customFormat="false" ht="43.5" hidden="false" customHeight="true" outlineLevel="0" collapsed="false">
      <c r="A596" s="22" t="s">
        <v>2599</v>
      </c>
      <c r="B596" s="22" t="s">
        <v>2600</v>
      </c>
      <c r="C596" s="22" t="s">
        <v>51</v>
      </c>
      <c r="D596" s="22" t="s">
        <v>2180</v>
      </c>
      <c r="E596" s="22" t="str">
        <f aca="false">IF(D596="","",IFERROR(VLOOKUP(D596,$A$2:$B$1656,2,FALSE()),""))</f>
        <v>Symbolic, Performative, and Technical Methods</v>
      </c>
      <c r="F596" s="22" t="n">
        <v>3</v>
      </c>
      <c r="G596" s="22" t="s">
        <v>2601</v>
      </c>
      <c r="H596" s="22" t="s">
        <v>2189</v>
      </c>
      <c r="I596" s="22" t="s">
        <v>2602</v>
      </c>
      <c r="J596" s="22" t="s">
        <v>2549</v>
      </c>
      <c r="K596" s="22" t="s">
        <v>2602</v>
      </c>
      <c r="L596" s="22" t="s">
        <v>184</v>
      </c>
      <c r="M596" s="22" t="s">
        <v>253</v>
      </c>
    </row>
    <row r="597" customFormat="false" ht="43.5" hidden="false" customHeight="true" outlineLevel="0" collapsed="false">
      <c r="A597" s="22" t="s">
        <v>2603</v>
      </c>
      <c r="B597" s="22" t="s">
        <v>2604</v>
      </c>
      <c r="C597" s="22" t="s">
        <v>51</v>
      </c>
      <c r="D597" s="22" t="s">
        <v>2180</v>
      </c>
      <c r="E597" s="22" t="str">
        <f aca="false">IF(D597="","",IFERROR(VLOOKUP(D597,$A$2:$B$1656,2,FALSE()),""))</f>
        <v>Symbolic, Performative, and Technical Methods</v>
      </c>
      <c r="F597" s="22" t="n">
        <v>3</v>
      </c>
      <c r="G597" s="22" t="s">
        <v>2605</v>
      </c>
      <c r="H597" s="22" t="s">
        <v>2189</v>
      </c>
      <c r="I597" s="22" t="s">
        <v>2606</v>
      </c>
      <c r="J597" s="22" t="s">
        <v>2549</v>
      </c>
      <c r="K597" s="22" t="s">
        <v>2606</v>
      </c>
      <c r="L597" s="22" t="s">
        <v>184</v>
      </c>
      <c r="M597" s="22" t="s">
        <v>253</v>
      </c>
    </row>
    <row r="598" customFormat="false" ht="43.5" hidden="false" customHeight="true" outlineLevel="0" collapsed="false">
      <c r="A598" s="22" t="s">
        <v>2607</v>
      </c>
      <c r="B598" s="22" t="s">
        <v>2608</v>
      </c>
      <c r="C598" s="22" t="s">
        <v>51</v>
      </c>
      <c r="D598" s="22" t="s">
        <v>2180</v>
      </c>
      <c r="E598" s="22" t="str">
        <f aca="false">IF(D598="","",IFERROR(VLOOKUP(D598,$A$2:$B$1656,2,FALSE()),""))</f>
        <v>Symbolic, Performative, and Technical Methods</v>
      </c>
      <c r="F598" s="22" t="n">
        <v>3</v>
      </c>
      <c r="G598" s="22" t="s">
        <v>2609</v>
      </c>
      <c r="H598" s="22" t="s">
        <v>2189</v>
      </c>
      <c r="I598" s="22" t="s">
        <v>2610</v>
      </c>
      <c r="J598" s="22" t="s">
        <v>2549</v>
      </c>
      <c r="K598" s="22" t="s">
        <v>2610</v>
      </c>
      <c r="L598" s="22" t="s">
        <v>184</v>
      </c>
      <c r="M598" s="22" t="s">
        <v>253</v>
      </c>
    </row>
    <row r="599" customFormat="false" ht="43.5" hidden="false" customHeight="true" outlineLevel="0" collapsed="false">
      <c r="A599" s="22" t="s">
        <v>2611</v>
      </c>
      <c r="B599" s="22" t="s">
        <v>2612</v>
      </c>
      <c r="C599" s="22" t="s">
        <v>51</v>
      </c>
      <c r="D599" s="22" t="s">
        <v>2180</v>
      </c>
      <c r="E599" s="22" t="str">
        <f aca="false">IF(D599="","",IFERROR(VLOOKUP(D599,$A$2:$B$1656,2,FALSE()),""))</f>
        <v>Symbolic, Performative, and Technical Methods</v>
      </c>
      <c r="F599" s="22" t="n">
        <v>3</v>
      </c>
      <c r="G599" s="22" t="s">
        <v>2613</v>
      </c>
      <c r="H599" s="22" t="s">
        <v>2189</v>
      </c>
      <c r="I599" s="22" t="s">
        <v>2614</v>
      </c>
      <c r="J599" s="22" t="s">
        <v>2549</v>
      </c>
      <c r="K599" s="22" t="s">
        <v>2614</v>
      </c>
      <c r="L599" s="22" t="s">
        <v>184</v>
      </c>
      <c r="M599" s="22" t="s">
        <v>253</v>
      </c>
    </row>
    <row r="600" customFormat="false" ht="43.5" hidden="false" customHeight="true" outlineLevel="0" collapsed="false">
      <c r="A600" s="22" t="s">
        <v>2615</v>
      </c>
      <c r="B600" s="22" t="s">
        <v>2616</v>
      </c>
      <c r="C600" s="22" t="s">
        <v>51</v>
      </c>
      <c r="D600" s="22" t="s">
        <v>2180</v>
      </c>
      <c r="E600" s="22" t="str">
        <f aca="false">IF(D600="","",IFERROR(VLOOKUP(D600,$A$2:$B$1656,2,FALSE()),""))</f>
        <v>Symbolic, Performative, and Technical Methods</v>
      </c>
      <c r="F600" s="22" t="n">
        <v>3</v>
      </c>
      <c r="G600" s="22" t="s">
        <v>2617</v>
      </c>
      <c r="H600" s="22" t="s">
        <v>2189</v>
      </c>
      <c r="I600" s="22" t="s">
        <v>2618</v>
      </c>
      <c r="J600" s="22" t="s">
        <v>2549</v>
      </c>
      <c r="K600" s="22" t="s">
        <v>2618</v>
      </c>
      <c r="L600" s="22" t="s">
        <v>184</v>
      </c>
      <c r="M600" s="22" t="s">
        <v>253</v>
      </c>
    </row>
    <row r="601" customFormat="false" ht="43.5" hidden="false" customHeight="true" outlineLevel="0" collapsed="false">
      <c r="A601" s="22" t="s">
        <v>2619</v>
      </c>
      <c r="B601" s="22" t="s">
        <v>2620</v>
      </c>
      <c r="C601" s="22" t="s">
        <v>51</v>
      </c>
      <c r="D601" s="22" t="s">
        <v>2180</v>
      </c>
      <c r="E601" s="22" t="str">
        <f aca="false">IF(D601="","",IFERROR(VLOOKUP(D601,$A$2:$B$1656,2,FALSE()),""))</f>
        <v>Symbolic, Performative, and Technical Methods</v>
      </c>
      <c r="F601" s="22" t="n">
        <v>3</v>
      </c>
      <c r="G601" s="22" t="s">
        <v>2621</v>
      </c>
      <c r="H601" s="22" t="s">
        <v>2189</v>
      </c>
      <c r="I601" s="22" t="s">
        <v>2622</v>
      </c>
      <c r="J601" s="22" t="s">
        <v>2549</v>
      </c>
      <c r="K601" s="22" t="s">
        <v>2622</v>
      </c>
      <c r="L601" s="22" t="s">
        <v>184</v>
      </c>
      <c r="M601" s="22" t="s">
        <v>253</v>
      </c>
    </row>
    <row r="602" customFormat="false" ht="43.5" hidden="false" customHeight="true" outlineLevel="0" collapsed="false">
      <c r="A602" s="22" t="s">
        <v>2623</v>
      </c>
      <c r="B602" s="22" t="s">
        <v>2624</v>
      </c>
      <c r="C602" s="22" t="s">
        <v>51</v>
      </c>
      <c r="D602" s="22" t="s">
        <v>2180</v>
      </c>
      <c r="E602" s="22" t="str">
        <f aca="false">IF(D602="","",IFERROR(VLOOKUP(D602,$A$2:$B$1656,2,FALSE()),""))</f>
        <v>Symbolic, Performative, and Technical Methods</v>
      </c>
      <c r="F602" s="22" t="n">
        <v>3</v>
      </c>
      <c r="G602" s="22" t="s">
        <v>2625</v>
      </c>
      <c r="H602" s="22" t="s">
        <v>2189</v>
      </c>
      <c r="I602" s="22" t="s">
        <v>2626</v>
      </c>
      <c r="J602" s="22" t="s">
        <v>2549</v>
      </c>
      <c r="K602" s="22" t="s">
        <v>2626</v>
      </c>
      <c r="L602" s="22" t="s">
        <v>184</v>
      </c>
      <c r="M602" s="22" t="s">
        <v>253</v>
      </c>
    </row>
    <row r="603" customFormat="false" ht="43.5" hidden="false" customHeight="true" outlineLevel="0" collapsed="false">
      <c r="A603" s="22" t="s">
        <v>2627</v>
      </c>
      <c r="B603" s="22" t="s">
        <v>2628</v>
      </c>
      <c r="C603" s="22" t="s">
        <v>51</v>
      </c>
      <c r="D603" s="22" t="s">
        <v>2180</v>
      </c>
      <c r="E603" s="22" t="str">
        <f aca="false">IF(D603="","",IFERROR(VLOOKUP(D603,$A$2:$B$1656,2,FALSE()),""))</f>
        <v>Symbolic, Performative, and Technical Methods</v>
      </c>
      <c r="F603" s="22" t="n">
        <v>3</v>
      </c>
      <c r="G603" s="22" t="s">
        <v>2629</v>
      </c>
      <c r="H603" s="22" t="s">
        <v>2189</v>
      </c>
      <c r="I603" s="22" t="s">
        <v>2630</v>
      </c>
      <c r="J603" s="22" t="s">
        <v>2549</v>
      </c>
      <c r="K603" s="22" t="s">
        <v>2630</v>
      </c>
      <c r="L603" s="22" t="s">
        <v>184</v>
      </c>
      <c r="M603" s="22" t="s">
        <v>253</v>
      </c>
    </row>
    <row r="604" customFormat="false" ht="43.5" hidden="false" customHeight="true" outlineLevel="0" collapsed="false">
      <c r="A604" s="22" t="s">
        <v>2631</v>
      </c>
      <c r="B604" s="22" t="s">
        <v>2632</v>
      </c>
      <c r="C604" s="22" t="s">
        <v>51</v>
      </c>
      <c r="D604" s="22" t="s">
        <v>2180</v>
      </c>
      <c r="E604" s="22" t="str">
        <f aca="false">IF(D604="","",IFERROR(VLOOKUP(D604,$A$2:$B$1656,2,FALSE()),""))</f>
        <v>Symbolic, Performative, and Technical Methods</v>
      </c>
      <c r="F604" s="22" t="n">
        <v>3</v>
      </c>
      <c r="G604" s="22" t="s">
        <v>2633</v>
      </c>
      <c r="H604" s="22" t="s">
        <v>2189</v>
      </c>
      <c r="I604" s="22" t="s">
        <v>2634</v>
      </c>
      <c r="J604" s="22" t="s">
        <v>2549</v>
      </c>
      <c r="K604" s="22" t="s">
        <v>2634</v>
      </c>
      <c r="L604" s="22" t="s">
        <v>184</v>
      </c>
      <c r="M604" s="22" t="s">
        <v>253</v>
      </c>
    </row>
    <row r="605" customFormat="false" ht="43.5" hidden="false" customHeight="true" outlineLevel="0" collapsed="false">
      <c r="A605" s="22" t="s">
        <v>2635</v>
      </c>
      <c r="B605" s="22" t="s">
        <v>2636</v>
      </c>
      <c r="C605" s="22" t="s">
        <v>51</v>
      </c>
      <c r="D605" s="22" t="s">
        <v>2180</v>
      </c>
      <c r="E605" s="22" t="str">
        <f aca="false">IF(D605="","",IFERROR(VLOOKUP(D605,$A$2:$B$1656,2,FALSE()),""))</f>
        <v>Symbolic, Performative, and Technical Methods</v>
      </c>
      <c r="F605" s="22" t="n">
        <v>3</v>
      </c>
      <c r="G605" s="22" t="s">
        <v>2637</v>
      </c>
      <c r="H605" s="22" t="s">
        <v>2189</v>
      </c>
      <c r="I605" s="22" t="s">
        <v>2638</v>
      </c>
      <c r="J605" s="22" t="s">
        <v>2549</v>
      </c>
      <c r="K605" s="22" t="s">
        <v>2638</v>
      </c>
      <c r="L605" s="22" t="s">
        <v>184</v>
      </c>
      <c r="M605" s="22" t="s">
        <v>253</v>
      </c>
    </row>
    <row r="606" customFormat="false" ht="43.5" hidden="false" customHeight="true" outlineLevel="0" collapsed="false">
      <c r="A606" s="22" t="s">
        <v>2639</v>
      </c>
      <c r="B606" s="22" t="s">
        <v>2640</v>
      </c>
      <c r="C606" s="22" t="s">
        <v>51</v>
      </c>
      <c r="D606" s="22" t="s">
        <v>2180</v>
      </c>
      <c r="E606" s="22" t="str">
        <f aca="false">IF(D606="","",IFERROR(VLOOKUP(D606,$A$2:$B$1656,2,FALSE()),""))</f>
        <v>Symbolic, Performative, and Technical Methods</v>
      </c>
      <c r="F606" s="22" t="n">
        <v>3</v>
      </c>
      <c r="G606" s="22" t="s">
        <v>2641</v>
      </c>
      <c r="H606" s="22" t="s">
        <v>2189</v>
      </c>
      <c r="I606" s="22" t="s">
        <v>2642</v>
      </c>
      <c r="J606" s="22" t="s">
        <v>2549</v>
      </c>
      <c r="K606" s="22" t="s">
        <v>2642</v>
      </c>
      <c r="L606" s="22" t="s">
        <v>184</v>
      </c>
      <c r="M606" s="22" t="s">
        <v>253</v>
      </c>
    </row>
    <row r="607" customFormat="false" ht="43.5" hidden="false" customHeight="true" outlineLevel="0" collapsed="false">
      <c r="A607" s="22" t="s">
        <v>2643</v>
      </c>
      <c r="B607" s="22" t="s">
        <v>2644</v>
      </c>
      <c r="C607" s="22" t="s">
        <v>51</v>
      </c>
      <c r="D607" s="22" t="s">
        <v>2180</v>
      </c>
      <c r="E607" s="22" t="str">
        <f aca="false">IF(D607="","",IFERROR(VLOOKUP(D607,$A$2:$B$1656,2,FALSE()),""))</f>
        <v>Symbolic, Performative, and Technical Methods</v>
      </c>
      <c r="F607" s="22" t="n">
        <v>3</v>
      </c>
      <c r="G607" s="22" t="s">
        <v>2645</v>
      </c>
      <c r="H607" s="22" t="s">
        <v>2189</v>
      </c>
      <c r="I607" s="22" t="s">
        <v>2646</v>
      </c>
      <c r="J607" s="22" t="s">
        <v>2549</v>
      </c>
      <c r="K607" s="22" t="s">
        <v>2646</v>
      </c>
      <c r="L607" s="22" t="s">
        <v>184</v>
      </c>
      <c r="M607" s="22" t="s">
        <v>253</v>
      </c>
    </row>
    <row r="608" customFormat="false" ht="43.5" hidden="false" customHeight="true" outlineLevel="0" collapsed="false">
      <c r="A608" s="22" t="s">
        <v>2647</v>
      </c>
      <c r="B608" s="22" t="s">
        <v>2648</v>
      </c>
      <c r="C608" s="22" t="s">
        <v>51</v>
      </c>
      <c r="D608" s="22" t="s">
        <v>2180</v>
      </c>
      <c r="E608" s="22" t="str">
        <f aca="false">IF(D608="","",IFERROR(VLOOKUP(D608,$A$2:$B$1656,2,FALSE()),""))</f>
        <v>Symbolic, Performative, and Technical Methods</v>
      </c>
      <c r="F608" s="22" t="n">
        <v>3</v>
      </c>
      <c r="G608" s="22" t="s">
        <v>2649</v>
      </c>
      <c r="H608" s="22" t="s">
        <v>2189</v>
      </c>
      <c r="I608" s="22" t="s">
        <v>2650</v>
      </c>
      <c r="J608" s="22" t="s">
        <v>2549</v>
      </c>
      <c r="K608" s="22" t="s">
        <v>2650</v>
      </c>
      <c r="L608" s="22" t="s">
        <v>184</v>
      </c>
      <c r="M608" s="22" t="s">
        <v>253</v>
      </c>
    </row>
    <row r="609" customFormat="false" ht="43.5" hidden="false" customHeight="true" outlineLevel="0" collapsed="false">
      <c r="A609" s="22" t="s">
        <v>2651</v>
      </c>
      <c r="B609" s="22" t="s">
        <v>2652</v>
      </c>
      <c r="C609" s="22" t="s">
        <v>51</v>
      </c>
      <c r="D609" s="22" t="s">
        <v>2180</v>
      </c>
      <c r="E609" s="22" t="str">
        <f aca="false">IF(D609="","",IFERROR(VLOOKUP(D609,$A$2:$B$1656,2,FALSE()),""))</f>
        <v>Symbolic, Performative, and Technical Methods</v>
      </c>
      <c r="F609" s="22" t="n">
        <v>3</v>
      </c>
      <c r="G609" s="22" t="s">
        <v>2653</v>
      </c>
      <c r="H609" s="22" t="s">
        <v>2189</v>
      </c>
      <c r="I609" s="22" t="s">
        <v>2654</v>
      </c>
      <c r="J609" s="22" t="s">
        <v>2549</v>
      </c>
      <c r="K609" s="22" t="s">
        <v>2654</v>
      </c>
      <c r="L609" s="22" t="s">
        <v>184</v>
      </c>
      <c r="M609" s="22" t="s">
        <v>253</v>
      </c>
    </row>
    <row r="610" customFormat="false" ht="43.5" hidden="false" customHeight="true" outlineLevel="0" collapsed="false">
      <c r="A610" s="22" t="s">
        <v>2655</v>
      </c>
      <c r="B610" s="22" t="s">
        <v>2656</v>
      </c>
      <c r="C610" s="22" t="s">
        <v>51</v>
      </c>
      <c r="D610" s="22" t="s">
        <v>2180</v>
      </c>
      <c r="E610" s="22" t="str">
        <f aca="false">IF(D610="","",IFERROR(VLOOKUP(D610,$A$2:$B$1656,2,FALSE()),""))</f>
        <v>Symbolic, Performative, and Technical Methods</v>
      </c>
      <c r="F610" s="22" t="n">
        <v>3</v>
      </c>
      <c r="G610" s="22" t="s">
        <v>2657</v>
      </c>
      <c r="H610" s="22" t="s">
        <v>2189</v>
      </c>
      <c r="I610" s="22" t="s">
        <v>2658</v>
      </c>
      <c r="J610" s="22" t="s">
        <v>2549</v>
      </c>
      <c r="K610" s="22" t="s">
        <v>2658</v>
      </c>
      <c r="L610" s="22" t="s">
        <v>184</v>
      </c>
      <c r="M610" s="22" t="s">
        <v>253</v>
      </c>
    </row>
    <row r="611" customFormat="false" ht="43.5" hidden="false" customHeight="true" outlineLevel="0" collapsed="false">
      <c r="A611" s="22" t="s">
        <v>2659</v>
      </c>
      <c r="B611" s="22" t="s">
        <v>2660</v>
      </c>
      <c r="C611" s="22" t="s">
        <v>51</v>
      </c>
      <c r="D611" s="22" t="s">
        <v>2180</v>
      </c>
      <c r="E611" s="22" t="str">
        <f aca="false">IF(D611="","",IFERROR(VLOOKUP(D611,$A$2:$B$1656,2,FALSE()),""))</f>
        <v>Symbolic, Performative, and Technical Methods</v>
      </c>
      <c r="F611" s="22" t="n">
        <v>3</v>
      </c>
      <c r="G611" s="22" t="s">
        <v>2661</v>
      </c>
      <c r="H611" s="22" t="s">
        <v>2189</v>
      </c>
      <c r="I611" s="22" t="s">
        <v>2662</v>
      </c>
      <c r="J611" s="22" t="s">
        <v>2549</v>
      </c>
      <c r="K611" s="22" t="s">
        <v>2662</v>
      </c>
      <c r="L611" s="22" t="s">
        <v>184</v>
      </c>
      <c r="M611" s="22" t="s">
        <v>253</v>
      </c>
    </row>
    <row r="612" customFormat="false" ht="43.5" hidden="false" customHeight="true" outlineLevel="0" collapsed="false">
      <c r="A612" s="22" t="s">
        <v>2663</v>
      </c>
      <c r="B612" s="22" t="s">
        <v>2664</v>
      </c>
      <c r="C612" s="22" t="s">
        <v>51</v>
      </c>
      <c r="D612" s="22" t="s">
        <v>2180</v>
      </c>
      <c r="E612" s="22" t="str">
        <f aca="false">IF(D612="","",IFERROR(VLOOKUP(D612,$A$2:$B$1656,2,FALSE()),""))</f>
        <v>Symbolic, Performative, and Technical Methods</v>
      </c>
      <c r="F612" s="22" t="n">
        <v>3</v>
      </c>
      <c r="G612" s="22" t="s">
        <v>2665</v>
      </c>
      <c r="H612" s="22" t="s">
        <v>2189</v>
      </c>
      <c r="I612" s="22" t="s">
        <v>2666</v>
      </c>
      <c r="J612" s="22" t="s">
        <v>2549</v>
      </c>
      <c r="K612" s="22" t="s">
        <v>2666</v>
      </c>
      <c r="L612" s="22" t="s">
        <v>184</v>
      </c>
      <c r="M612" s="22" t="s">
        <v>253</v>
      </c>
    </row>
    <row r="613" customFormat="false" ht="43.5" hidden="false" customHeight="true" outlineLevel="0" collapsed="false">
      <c r="A613" s="22" t="s">
        <v>2667</v>
      </c>
      <c r="B613" s="22" t="s">
        <v>2668</v>
      </c>
      <c r="C613" s="22" t="s">
        <v>51</v>
      </c>
      <c r="D613" s="22" t="s">
        <v>2183</v>
      </c>
      <c r="E613" s="22" t="str">
        <f aca="false">IF(D613="","",IFERROR(VLOOKUP(D613,$A$2:$B$1656,2,FALSE()),""))</f>
        <v>Oppositional and Meta-Magical Traditions</v>
      </c>
      <c r="F613" s="22" t="n">
        <v>3</v>
      </c>
      <c r="G613" s="22" t="s">
        <v>2669</v>
      </c>
      <c r="H613" s="22" t="s">
        <v>2189</v>
      </c>
      <c r="I613" s="22" t="s">
        <v>2670</v>
      </c>
      <c r="J613" s="22" t="s">
        <v>2671</v>
      </c>
      <c r="K613" s="22" t="s">
        <v>2670</v>
      </c>
      <c r="L613" s="22" t="s">
        <v>184</v>
      </c>
      <c r="M613" s="22" t="s">
        <v>253</v>
      </c>
    </row>
    <row r="614" customFormat="false" ht="43.5" hidden="false" customHeight="true" outlineLevel="0" collapsed="false">
      <c r="A614" s="22" t="s">
        <v>2672</v>
      </c>
      <c r="B614" s="22" t="s">
        <v>2673</v>
      </c>
      <c r="C614" s="22" t="s">
        <v>51</v>
      </c>
      <c r="D614" s="22" t="s">
        <v>2183</v>
      </c>
      <c r="E614" s="22" t="str">
        <f aca="false">IF(D614="","",IFERROR(VLOOKUP(D614,$A$2:$B$1656,2,FALSE()),""))</f>
        <v>Oppositional and Meta-Magical Traditions</v>
      </c>
      <c r="F614" s="22" t="n">
        <v>3</v>
      </c>
      <c r="G614" s="22" t="s">
        <v>2674</v>
      </c>
      <c r="H614" s="22" t="s">
        <v>2189</v>
      </c>
      <c r="I614" s="22" t="s">
        <v>2675</v>
      </c>
      <c r="J614" s="22" t="s">
        <v>2671</v>
      </c>
      <c r="K614" s="22" t="s">
        <v>2675</v>
      </c>
      <c r="L614" s="22" t="s">
        <v>184</v>
      </c>
      <c r="M614" s="22" t="s">
        <v>253</v>
      </c>
    </row>
    <row r="615" customFormat="false" ht="43.5" hidden="false" customHeight="true" outlineLevel="0" collapsed="false">
      <c r="A615" s="22" t="s">
        <v>2676</v>
      </c>
      <c r="B615" s="22" t="s">
        <v>2677</v>
      </c>
      <c r="C615" s="22" t="s">
        <v>51</v>
      </c>
      <c r="D615" s="22" t="s">
        <v>2183</v>
      </c>
      <c r="E615" s="22" t="str">
        <f aca="false">IF(D615="","",IFERROR(VLOOKUP(D615,$A$2:$B$1656,2,FALSE()),""))</f>
        <v>Oppositional and Meta-Magical Traditions</v>
      </c>
      <c r="F615" s="22" t="n">
        <v>3</v>
      </c>
      <c r="G615" s="22" t="s">
        <v>2678</v>
      </c>
      <c r="H615" s="22" t="s">
        <v>2189</v>
      </c>
      <c r="I615" s="22" t="s">
        <v>2679</v>
      </c>
      <c r="J615" s="22" t="s">
        <v>2671</v>
      </c>
      <c r="K615" s="22" t="s">
        <v>2679</v>
      </c>
      <c r="L615" s="22" t="s">
        <v>184</v>
      </c>
      <c r="M615" s="22" t="s">
        <v>253</v>
      </c>
    </row>
    <row r="616" customFormat="false" ht="43.5" hidden="false" customHeight="true" outlineLevel="0" collapsed="false">
      <c r="A616" s="22" t="s">
        <v>2680</v>
      </c>
      <c r="B616" s="22" t="s">
        <v>2681</v>
      </c>
      <c r="C616" s="22" t="s">
        <v>51</v>
      </c>
      <c r="D616" s="22" t="s">
        <v>2183</v>
      </c>
      <c r="E616" s="22" t="str">
        <f aca="false">IF(D616="","",IFERROR(VLOOKUP(D616,$A$2:$B$1656,2,FALSE()),""))</f>
        <v>Oppositional and Meta-Magical Traditions</v>
      </c>
      <c r="F616" s="22" t="n">
        <v>3</v>
      </c>
      <c r="G616" s="22" t="s">
        <v>2682</v>
      </c>
      <c r="H616" s="22" t="s">
        <v>2189</v>
      </c>
      <c r="I616" s="22" t="s">
        <v>2683</v>
      </c>
      <c r="J616" s="22" t="s">
        <v>2671</v>
      </c>
      <c r="K616" s="22" t="s">
        <v>2683</v>
      </c>
      <c r="L616" s="22" t="s">
        <v>184</v>
      </c>
      <c r="M616" s="22" t="s">
        <v>253</v>
      </c>
    </row>
    <row r="617" customFormat="false" ht="43.5" hidden="false" customHeight="true" outlineLevel="0" collapsed="false">
      <c r="A617" s="22" t="s">
        <v>2684</v>
      </c>
      <c r="B617" s="22" t="s">
        <v>2685</v>
      </c>
      <c r="C617" s="22" t="s">
        <v>51</v>
      </c>
      <c r="D617" s="22" t="s">
        <v>2183</v>
      </c>
      <c r="E617" s="22" t="str">
        <f aca="false">IF(D617="","",IFERROR(VLOOKUP(D617,$A$2:$B$1656,2,FALSE()),""))</f>
        <v>Oppositional and Meta-Magical Traditions</v>
      </c>
      <c r="F617" s="22" t="n">
        <v>3</v>
      </c>
      <c r="G617" s="22" t="s">
        <v>2686</v>
      </c>
      <c r="H617" s="22" t="s">
        <v>2189</v>
      </c>
      <c r="I617" s="22" t="s">
        <v>2687</v>
      </c>
      <c r="J617" s="22" t="s">
        <v>2671</v>
      </c>
      <c r="K617" s="22" t="s">
        <v>2687</v>
      </c>
      <c r="L617" s="22" t="s">
        <v>184</v>
      </c>
      <c r="M617" s="22" t="s">
        <v>253</v>
      </c>
    </row>
    <row r="618" customFormat="false" ht="43.5" hidden="false" customHeight="true" outlineLevel="0" collapsed="false">
      <c r="A618" s="22" t="s">
        <v>2688</v>
      </c>
      <c r="B618" s="22" t="s">
        <v>2689</v>
      </c>
      <c r="C618" s="22" t="s">
        <v>51</v>
      </c>
      <c r="D618" s="22" t="s">
        <v>2183</v>
      </c>
      <c r="E618" s="22" t="str">
        <f aca="false">IF(D618="","",IFERROR(VLOOKUP(D618,$A$2:$B$1656,2,FALSE()),""))</f>
        <v>Oppositional and Meta-Magical Traditions</v>
      </c>
      <c r="F618" s="22" t="n">
        <v>3</v>
      </c>
      <c r="G618" s="22" t="s">
        <v>2690</v>
      </c>
      <c r="H618" s="22" t="s">
        <v>2189</v>
      </c>
      <c r="I618" s="22" t="s">
        <v>2691</v>
      </c>
      <c r="J618" s="22" t="s">
        <v>2671</v>
      </c>
      <c r="K618" s="22" t="s">
        <v>2691</v>
      </c>
      <c r="L618" s="22" t="s">
        <v>184</v>
      </c>
      <c r="M618" s="22" t="s">
        <v>253</v>
      </c>
    </row>
    <row r="619" customFormat="false" ht="43.5" hidden="false" customHeight="true" outlineLevel="0" collapsed="false">
      <c r="A619" s="22" t="s">
        <v>2692</v>
      </c>
      <c r="B619" s="22" t="s">
        <v>2693</v>
      </c>
      <c r="C619" s="22" t="s">
        <v>51</v>
      </c>
      <c r="D619" s="22" t="s">
        <v>2183</v>
      </c>
      <c r="E619" s="22" t="str">
        <f aca="false">IF(D619="","",IFERROR(VLOOKUP(D619,$A$2:$B$1656,2,FALSE()),""))</f>
        <v>Oppositional and Meta-Magical Traditions</v>
      </c>
      <c r="F619" s="22" t="n">
        <v>3</v>
      </c>
      <c r="G619" s="22" t="s">
        <v>2694</v>
      </c>
      <c r="H619" s="22" t="s">
        <v>2189</v>
      </c>
      <c r="I619" s="22" t="s">
        <v>2695</v>
      </c>
      <c r="J619" s="22" t="s">
        <v>2671</v>
      </c>
      <c r="K619" s="22" t="s">
        <v>2695</v>
      </c>
      <c r="L619" s="22" t="s">
        <v>184</v>
      </c>
      <c r="M619" s="22" t="s">
        <v>253</v>
      </c>
    </row>
    <row r="620" customFormat="false" ht="43.5" hidden="false" customHeight="true" outlineLevel="0" collapsed="false">
      <c r="A620" s="22" t="s">
        <v>2696</v>
      </c>
      <c r="B620" s="22" t="s">
        <v>2697</v>
      </c>
      <c r="C620" s="22" t="s">
        <v>51</v>
      </c>
      <c r="D620" s="22" t="s">
        <v>2183</v>
      </c>
      <c r="E620" s="22" t="str">
        <f aca="false">IF(D620="","",IFERROR(VLOOKUP(D620,$A$2:$B$1656,2,FALSE()),""))</f>
        <v>Oppositional and Meta-Magical Traditions</v>
      </c>
      <c r="F620" s="22" t="n">
        <v>3</v>
      </c>
      <c r="G620" s="22" t="s">
        <v>2698</v>
      </c>
      <c r="H620" s="22" t="s">
        <v>2189</v>
      </c>
      <c r="I620" s="22" t="s">
        <v>2699</v>
      </c>
      <c r="J620" s="22" t="s">
        <v>2671</v>
      </c>
      <c r="K620" s="22" t="s">
        <v>2699</v>
      </c>
      <c r="L620" s="22" t="s">
        <v>184</v>
      </c>
      <c r="M620" s="22" t="s">
        <v>253</v>
      </c>
    </row>
    <row r="621" customFormat="false" ht="43.5" hidden="false" customHeight="true" outlineLevel="0" collapsed="false">
      <c r="A621" s="22" t="s">
        <v>2700</v>
      </c>
      <c r="B621" s="22" t="s">
        <v>2701</v>
      </c>
      <c r="C621" s="22" t="s">
        <v>51</v>
      </c>
      <c r="D621" s="22" t="s">
        <v>2183</v>
      </c>
      <c r="E621" s="22" t="str">
        <f aca="false">IF(D621="","",IFERROR(VLOOKUP(D621,$A$2:$B$1656,2,FALSE()),""))</f>
        <v>Oppositional and Meta-Magical Traditions</v>
      </c>
      <c r="F621" s="22" t="n">
        <v>3</v>
      </c>
      <c r="G621" s="22" t="s">
        <v>2702</v>
      </c>
      <c r="H621" s="22" t="s">
        <v>2189</v>
      </c>
      <c r="I621" s="22" t="s">
        <v>2703</v>
      </c>
      <c r="J621" s="22" t="s">
        <v>2671</v>
      </c>
      <c r="K621" s="22" t="s">
        <v>2703</v>
      </c>
      <c r="L621" s="22" t="s">
        <v>184</v>
      </c>
      <c r="M621" s="22" t="s">
        <v>253</v>
      </c>
    </row>
    <row r="622" customFormat="false" ht="43.5" hidden="false" customHeight="true" outlineLevel="0" collapsed="false">
      <c r="A622" s="22" t="s">
        <v>2704</v>
      </c>
      <c r="B622" s="22" t="s">
        <v>2705</v>
      </c>
      <c r="C622" s="22" t="s">
        <v>51</v>
      </c>
      <c r="D622" s="22" t="s">
        <v>2183</v>
      </c>
      <c r="E622" s="22" t="str">
        <f aca="false">IF(D622="","",IFERROR(VLOOKUP(D622,$A$2:$B$1656,2,FALSE()),""))</f>
        <v>Oppositional and Meta-Magical Traditions</v>
      </c>
      <c r="F622" s="22" t="n">
        <v>3</v>
      </c>
      <c r="G622" s="22" t="s">
        <v>2706</v>
      </c>
      <c r="H622" s="22" t="s">
        <v>2189</v>
      </c>
      <c r="I622" s="22" t="s">
        <v>2707</v>
      </c>
      <c r="J622" s="22" t="s">
        <v>2671</v>
      </c>
      <c r="K622" s="22" t="s">
        <v>2707</v>
      </c>
      <c r="L622" s="22" t="s">
        <v>184</v>
      </c>
      <c r="M622" s="22" t="s">
        <v>253</v>
      </c>
    </row>
    <row r="623" customFormat="false" ht="43.5" hidden="false" customHeight="true" outlineLevel="0" collapsed="false">
      <c r="A623" s="22" t="s">
        <v>2708</v>
      </c>
      <c r="B623" s="22" t="s">
        <v>2709</v>
      </c>
      <c r="C623" s="22" t="s">
        <v>51</v>
      </c>
      <c r="D623" s="22" t="s">
        <v>2183</v>
      </c>
      <c r="E623" s="22" t="str">
        <f aca="false">IF(D623="","",IFERROR(VLOOKUP(D623,$A$2:$B$1656,2,FALSE()),""))</f>
        <v>Oppositional and Meta-Magical Traditions</v>
      </c>
      <c r="F623" s="22" t="n">
        <v>3</v>
      </c>
      <c r="G623" s="22" t="s">
        <v>2710</v>
      </c>
      <c r="H623" s="22" t="s">
        <v>2189</v>
      </c>
      <c r="I623" s="22" t="s">
        <v>2711</v>
      </c>
      <c r="J623" s="22" t="s">
        <v>2671</v>
      </c>
      <c r="K623" s="22" t="s">
        <v>2711</v>
      </c>
      <c r="L623" s="22" t="s">
        <v>184</v>
      </c>
      <c r="M623" s="22" t="s">
        <v>253</v>
      </c>
    </row>
    <row r="624" customFormat="false" ht="43.5" hidden="false" customHeight="true" outlineLevel="0" collapsed="false">
      <c r="A624" s="22" t="s">
        <v>2712</v>
      </c>
      <c r="B624" s="22" t="s">
        <v>2713</v>
      </c>
      <c r="C624" s="22" t="s">
        <v>51</v>
      </c>
      <c r="D624" s="22" t="s">
        <v>2183</v>
      </c>
      <c r="E624" s="22" t="str">
        <f aca="false">IF(D624="","",IFERROR(VLOOKUP(D624,$A$2:$B$1656,2,FALSE()),""))</f>
        <v>Oppositional and Meta-Magical Traditions</v>
      </c>
      <c r="F624" s="22" t="n">
        <v>3</v>
      </c>
      <c r="G624" s="22" t="s">
        <v>2714</v>
      </c>
      <c r="H624" s="22" t="s">
        <v>2189</v>
      </c>
      <c r="I624" s="22" t="s">
        <v>2715</v>
      </c>
      <c r="J624" s="22" t="s">
        <v>2671</v>
      </c>
      <c r="K624" s="22" t="s">
        <v>2715</v>
      </c>
      <c r="L624" s="22" t="s">
        <v>184</v>
      </c>
      <c r="M624" s="22" t="s">
        <v>253</v>
      </c>
    </row>
    <row r="625" customFormat="false" ht="43.5" hidden="false" customHeight="true" outlineLevel="0" collapsed="false">
      <c r="A625" s="22" t="s">
        <v>2716</v>
      </c>
      <c r="B625" s="22" t="s">
        <v>2717</v>
      </c>
      <c r="C625" s="22" t="s">
        <v>51</v>
      </c>
      <c r="D625" s="22" t="s">
        <v>2183</v>
      </c>
      <c r="E625" s="22" t="str">
        <f aca="false">IF(D625="","",IFERROR(VLOOKUP(D625,$A$2:$B$1656,2,FALSE()),""))</f>
        <v>Oppositional and Meta-Magical Traditions</v>
      </c>
      <c r="F625" s="22" t="n">
        <v>3</v>
      </c>
      <c r="G625" s="22" t="s">
        <v>2718</v>
      </c>
      <c r="H625" s="22" t="s">
        <v>2189</v>
      </c>
      <c r="I625" s="22" t="s">
        <v>2719</v>
      </c>
      <c r="J625" s="22" t="s">
        <v>2671</v>
      </c>
      <c r="K625" s="22" t="s">
        <v>2719</v>
      </c>
      <c r="L625" s="22" t="s">
        <v>184</v>
      </c>
      <c r="M625" s="22" t="s">
        <v>253</v>
      </c>
    </row>
    <row r="626" customFormat="false" ht="43.5" hidden="false" customHeight="true" outlineLevel="0" collapsed="false">
      <c r="A626" s="22" t="s">
        <v>2720</v>
      </c>
      <c r="B626" s="22" t="s">
        <v>2721</v>
      </c>
      <c r="C626" s="22" t="s">
        <v>51</v>
      </c>
      <c r="D626" s="22" t="s">
        <v>2183</v>
      </c>
      <c r="E626" s="22" t="str">
        <f aca="false">IF(D626="","",IFERROR(VLOOKUP(D626,$A$2:$B$1656,2,FALSE()),""))</f>
        <v>Oppositional and Meta-Magical Traditions</v>
      </c>
      <c r="F626" s="22" t="n">
        <v>3</v>
      </c>
      <c r="G626" s="22" t="s">
        <v>2722</v>
      </c>
      <c r="H626" s="22" t="s">
        <v>2189</v>
      </c>
      <c r="I626" s="22" t="s">
        <v>2723</v>
      </c>
      <c r="J626" s="22" t="s">
        <v>2671</v>
      </c>
      <c r="K626" s="22" t="s">
        <v>2723</v>
      </c>
      <c r="L626" s="22" t="s">
        <v>184</v>
      </c>
      <c r="M626" s="22" t="s">
        <v>253</v>
      </c>
    </row>
    <row r="627" customFormat="false" ht="43.5" hidden="false" customHeight="true" outlineLevel="0" collapsed="false">
      <c r="A627" s="22" t="s">
        <v>2724</v>
      </c>
      <c r="B627" s="22" t="s">
        <v>2725</v>
      </c>
      <c r="C627" s="22" t="s">
        <v>51</v>
      </c>
      <c r="D627" s="22" t="s">
        <v>2183</v>
      </c>
      <c r="E627" s="22" t="str">
        <f aca="false">IF(D627="","",IFERROR(VLOOKUP(D627,$A$2:$B$1656,2,FALSE()),""))</f>
        <v>Oppositional and Meta-Magical Traditions</v>
      </c>
      <c r="F627" s="22" t="n">
        <v>3</v>
      </c>
      <c r="G627" s="22" t="s">
        <v>2726</v>
      </c>
      <c r="H627" s="22" t="s">
        <v>2189</v>
      </c>
      <c r="I627" s="22" t="s">
        <v>2727</v>
      </c>
      <c r="J627" s="22" t="s">
        <v>2671</v>
      </c>
      <c r="K627" s="22" t="s">
        <v>2727</v>
      </c>
      <c r="L627" s="22" t="s">
        <v>184</v>
      </c>
      <c r="M627" s="22" t="s">
        <v>253</v>
      </c>
    </row>
    <row r="628" customFormat="false" ht="43.5" hidden="false" customHeight="true" outlineLevel="0" collapsed="false">
      <c r="A628" s="22" t="s">
        <v>2728</v>
      </c>
      <c r="B628" s="22" t="s">
        <v>2729</v>
      </c>
      <c r="C628" s="22" t="s">
        <v>51</v>
      </c>
      <c r="D628" s="22" t="s">
        <v>2183</v>
      </c>
      <c r="E628" s="22" t="str">
        <f aca="false">IF(D628="","",IFERROR(VLOOKUP(D628,$A$2:$B$1656,2,FALSE()),""))</f>
        <v>Oppositional and Meta-Magical Traditions</v>
      </c>
      <c r="F628" s="22" t="n">
        <v>3</v>
      </c>
      <c r="G628" s="22" t="s">
        <v>2730</v>
      </c>
      <c r="H628" s="22" t="s">
        <v>2189</v>
      </c>
      <c r="I628" s="22" t="s">
        <v>2731</v>
      </c>
      <c r="J628" s="22" t="s">
        <v>2671</v>
      </c>
      <c r="K628" s="22" t="s">
        <v>2731</v>
      </c>
      <c r="L628" s="22" t="s">
        <v>184</v>
      </c>
      <c r="M628" s="22" t="s">
        <v>253</v>
      </c>
    </row>
    <row r="629" customFormat="false" ht="43.5" hidden="false" customHeight="true" outlineLevel="0" collapsed="false">
      <c r="A629" s="22" t="s">
        <v>2732</v>
      </c>
      <c r="B629" s="22" t="s">
        <v>2733</v>
      </c>
      <c r="C629" s="22" t="s">
        <v>51</v>
      </c>
      <c r="D629" s="22" t="s">
        <v>2183</v>
      </c>
      <c r="E629" s="22" t="str">
        <f aca="false">IF(D629="","",IFERROR(VLOOKUP(D629,$A$2:$B$1656,2,FALSE()),""))</f>
        <v>Oppositional and Meta-Magical Traditions</v>
      </c>
      <c r="F629" s="22" t="n">
        <v>3</v>
      </c>
      <c r="G629" s="22" t="s">
        <v>2734</v>
      </c>
      <c r="H629" s="22" t="s">
        <v>2189</v>
      </c>
      <c r="I629" s="22" t="s">
        <v>2735</v>
      </c>
      <c r="J629" s="22" t="s">
        <v>2671</v>
      </c>
      <c r="K629" s="22" t="s">
        <v>2735</v>
      </c>
      <c r="L629" s="22" t="s">
        <v>184</v>
      </c>
      <c r="M629" s="22" t="s">
        <v>253</v>
      </c>
    </row>
    <row r="630" customFormat="false" ht="43.5" hidden="false" customHeight="true" outlineLevel="0" collapsed="false">
      <c r="A630" s="22" t="s">
        <v>2736</v>
      </c>
      <c r="B630" s="22" t="s">
        <v>2737</v>
      </c>
      <c r="C630" s="22" t="s">
        <v>51</v>
      </c>
      <c r="D630" s="22" t="s">
        <v>2183</v>
      </c>
      <c r="E630" s="22" t="str">
        <f aca="false">IF(D630="","",IFERROR(VLOOKUP(D630,$A$2:$B$1656,2,FALSE()),""))</f>
        <v>Oppositional and Meta-Magical Traditions</v>
      </c>
      <c r="F630" s="22" t="n">
        <v>3</v>
      </c>
      <c r="G630" s="22" t="s">
        <v>2738</v>
      </c>
      <c r="H630" s="22" t="s">
        <v>2189</v>
      </c>
      <c r="I630" s="22" t="s">
        <v>2739</v>
      </c>
      <c r="J630" s="22" t="s">
        <v>2671</v>
      </c>
      <c r="K630" s="22" t="s">
        <v>2739</v>
      </c>
      <c r="L630" s="22" t="s">
        <v>184</v>
      </c>
      <c r="M630" s="22" t="s">
        <v>253</v>
      </c>
    </row>
    <row r="631" customFormat="false" ht="43.5" hidden="false" customHeight="true" outlineLevel="0" collapsed="false">
      <c r="A631" s="22" t="s">
        <v>2740</v>
      </c>
      <c r="B631" s="22" t="s">
        <v>2741</v>
      </c>
      <c r="C631" s="22" t="s">
        <v>51</v>
      </c>
      <c r="D631" s="22" t="s">
        <v>2183</v>
      </c>
      <c r="E631" s="22" t="str">
        <f aca="false">IF(D631="","",IFERROR(VLOOKUP(D631,$A$2:$B$1656,2,FALSE()),""))</f>
        <v>Oppositional and Meta-Magical Traditions</v>
      </c>
      <c r="F631" s="22" t="n">
        <v>3</v>
      </c>
      <c r="G631" s="22" t="s">
        <v>2742</v>
      </c>
      <c r="H631" s="22" t="s">
        <v>2189</v>
      </c>
      <c r="I631" s="22" t="s">
        <v>2743</v>
      </c>
      <c r="J631" s="22" t="s">
        <v>2671</v>
      </c>
      <c r="K631" s="22" t="s">
        <v>2743</v>
      </c>
      <c r="L631" s="22" t="s">
        <v>184</v>
      </c>
      <c r="M631" s="22" t="s">
        <v>253</v>
      </c>
    </row>
    <row r="632" customFormat="false" ht="43.5" hidden="false" customHeight="true" outlineLevel="0" collapsed="false">
      <c r="A632" s="22" t="s">
        <v>2744</v>
      </c>
      <c r="B632" s="22" t="s">
        <v>2745</v>
      </c>
      <c r="C632" s="22" t="s">
        <v>51</v>
      </c>
      <c r="D632" s="22" t="s">
        <v>2183</v>
      </c>
      <c r="E632" s="22" t="str">
        <f aca="false">IF(D632="","",IFERROR(VLOOKUP(D632,$A$2:$B$1656,2,FALSE()),""))</f>
        <v>Oppositional and Meta-Magical Traditions</v>
      </c>
      <c r="F632" s="22" t="n">
        <v>3</v>
      </c>
      <c r="G632" s="22" t="s">
        <v>2746</v>
      </c>
      <c r="H632" s="22" t="s">
        <v>2189</v>
      </c>
      <c r="I632" s="22" t="s">
        <v>2747</v>
      </c>
      <c r="J632" s="22" t="s">
        <v>2671</v>
      </c>
      <c r="K632" s="22" t="s">
        <v>2747</v>
      </c>
      <c r="L632" s="22" t="s">
        <v>184</v>
      </c>
      <c r="M632" s="22" t="s">
        <v>253</v>
      </c>
    </row>
    <row r="633" customFormat="false" ht="43.5" hidden="false" customHeight="true" outlineLevel="0" collapsed="false">
      <c r="A633" s="22" t="s">
        <v>2748</v>
      </c>
      <c r="B633" s="22" t="s">
        <v>2749</v>
      </c>
      <c r="C633" s="22" t="s">
        <v>51</v>
      </c>
      <c r="D633" s="22" t="s">
        <v>2183</v>
      </c>
      <c r="E633" s="22" t="str">
        <f aca="false">IF(D633="","",IFERROR(VLOOKUP(D633,$A$2:$B$1656,2,FALSE()),""))</f>
        <v>Oppositional and Meta-Magical Traditions</v>
      </c>
      <c r="F633" s="22" t="n">
        <v>3</v>
      </c>
      <c r="G633" s="22" t="s">
        <v>2750</v>
      </c>
      <c r="H633" s="22" t="s">
        <v>2189</v>
      </c>
      <c r="I633" s="22" t="s">
        <v>2751</v>
      </c>
      <c r="J633" s="22" t="s">
        <v>2671</v>
      </c>
      <c r="K633" s="22" t="s">
        <v>2751</v>
      </c>
      <c r="L633" s="22" t="s">
        <v>184</v>
      </c>
      <c r="M633" s="22" t="s">
        <v>253</v>
      </c>
    </row>
    <row r="634" customFormat="false" ht="43.5" hidden="false" customHeight="true" outlineLevel="0" collapsed="false">
      <c r="A634" s="22" t="s">
        <v>2752</v>
      </c>
      <c r="B634" s="22" t="s">
        <v>2753</v>
      </c>
      <c r="C634" s="22" t="s">
        <v>51</v>
      </c>
      <c r="D634" s="22" t="s">
        <v>2183</v>
      </c>
      <c r="E634" s="22" t="str">
        <f aca="false">IF(D634="","",IFERROR(VLOOKUP(D634,$A$2:$B$1656,2,FALSE()),""))</f>
        <v>Oppositional and Meta-Magical Traditions</v>
      </c>
      <c r="F634" s="22" t="n">
        <v>3</v>
      </c>
      <c r="G634" s="22" t="s">
        <v>2754</v>
      </c>
      <c r="H634" s="22" t="s">
        <v>2189</v>
      </c>
      <c r="I634" s="22" t="s">
        <v>2755</v>
      </c>
      <c r="J634" s="22" t="s">
        <v>2671</v>
      </c>
      <c r="K634" s="22" t="s">
        <v>2755</v>
      </c>
      <c r="L634" s="22" t="s">
        <v>184</v>
      </c>
      <c r="M634" s="22" t="s">
        <v>253</v>
      </c>
    </row>
    <row r="635" customFormat="false" ht="43.5" hidden="false" customHeight="true" outlineLevel="0" collapsed="false">
      <c r="A635" s="22" t="s">
        <v>2756</v>
      </c>
      <c r="B635" s="22" t="s">
        <v>2757</v>
      </c>
      <c r="C635" s="22" t="s">
        <v>53</v>
      </c>
      <c r="D635" s="22" t="s">
        <v>190</v>
      </c>
      <c r="E635" s="22" t="str">
        <f aca="false">IF(D635="","",IFERROR(VLOOKUP(D635,$A$2:$B$1656,2,FALSE()),""))</f>
        <v>States &amp; Transformations</v>
      </c>
      <c r="F635" s="22" t="n">
        <v>2</v>
      </c>
      <c r="G635" s="22" t="s">
        <v>2758</v>
      </c>
      <c r="H635" s="22" t="s">
        <v>2759</v>
      </c>
      <c r="I635" s="22"/>
      <c r="J635" s="22" t="s">
        <v>2760</v>
      </c>
      <c r="K635" s="22" t="s">
        <v>2757</v>
      </c>
      <c r="L635" s="22" t="s">
        <v>184</v>
      </c>
      <c r="M635" s="22" t="s">
        <v>206</v>
      </c>
    </row>
    <row r="636" customFormat="false" ht="43.5" hidden="false" customHeight="true" outlineLevel="0" collapsed="false">
      <c r="A636" s="22" t="s">
        <v>2761</v>
      </c>
      <c r="B636" s="22" t="s">
        <v>2762</v>
      </c>
      <c r="C636" s="22" t="s">
        <v>53</v>
      </c>
      <c r="D636" s="22" t="s">
        <v>190</v>
      </c>
      <c r="E636" s="22" t="str">
        <f aca="false">IF(D636="","",IFERROR(VLOOKUP(D636,$A$2:$B$1656,2,FALSE()),""))</f>
        <v>States &amp; Transformations</v>
      </c>
      <c r="F636" s="22" t="n">
        <v>2</v>
      </c>
      <c r="G636" s="22" t="s">
        <v>2763</v>
      </c>
      <c r="H636" s="22" t="s">
        <v>2759</v>
      </c>
      <c r="I636" s="22"/>
      <c r="J636" s="22" t="s">
        <v>2760</v>
      </c>
      <c r="K636" s="22" t="s">
        <v>2762</v>
      </c>
      <c r="L636" s="22" t="s">
        <v>184</v>
      </c>
      <c r="M636" s="22" t="s">
        <v>206</v>
      </c>
    </row>
    <row r="637" customFormat="false" ht="43.5" hidden="false" customHeight="true" outlineLevel="0" collapsed="false">
      <c r="A637" s="22" t="s">
        <v>2764</v>
      </c>
      <c r="B637" s="22" t="s">
        <v>2765</v>
      </c>
      <c r="C637" s="22" t="s">
        <v>53</v>
      </c>
      <c r="D637" s="22" t="s">
        <v>190</v>
      </c>
      <c r="E637" s="22" t="str">
        <f aca="false">IF(D637="","",IFERROR(VLOOKUP(D637,$A$2:$B$1656,2,FALSE()),""))</f>
        <v>States &amp; Transformations</v>
      </c>
      <c r="F637" s="22" t="n">
        <v>2</v>
      </c>
      <c r="G637" s="22" t="s">
        <v>2766</v>
      </c>
      <c r="H637" s="22" t="s">
        <v>2759</v>
      </c>
      <c r="I637" s="22"/>
      <c r="J637" s="22" t="s">
        <v>2760</v>
      </c>
      <c r="K637" s="22" t="s">
        <v>2765</v>
      </c>
      <c r="L637" s="22" t="s">
        <v>184</v>
      </c>
      <c r="M637" s="22" t="s">
        <v>206</v>
      </c>
    </row>
    <row r="638" customFormat="false" ht="43.5" hidden="false" customHeight="true" outlineLevel="0" collapsed="false">
      <c r="A638" s="22" t="s">
        <v>2767</v>
      </c>
      <c r="B638" s="22" t="s">
        <v>2768</v>
      </c>
      <c r="C638" s="22" t="s">
        <v>53</v>
      </c>
      <c r="D638" s="22" t="s">
        <v>190</v>
      </c>
      <c r="E638" s="22" t="str">
        <f aca="false">IF(D638="","",IFERROR(VLOOKUP(D638,$A$2:$B$1656,2,FALSE()),""))</f>
        <v>States &amp; Transformations</v>
      </c>
      <c r="F638" s="22" t="n">
        <v>2</v>
      </c>
      <c r="G638" s="22" t="s">
        <v>2769</v>
      </c>
      <c r="H638" s="22" t="s">
        <v>2759</v>
      </c>
      <c r="I638" s="22"/>
      <c r="J638" s="22" t="s">
        <v>2760</v>
      </c>
      <c r="K638" s="22" t="s">
        <v>2768</v>
      </c>
      <c r="L638" s="22" t="s">
        <v>184</v>
      </c>
      <c r="M638" s="22" t="s">
        <v>206</v>
      </c>
    </row>
    <row r="639" customFormat="false" ht="43.5" hidden="false" customHeight="true" outlineLevel="0" collapsed="false">
      <c r="A639" s="22" t="s">
        <v>2770</v>
      </c>
      <c r="B639" s="22" t="s">
        <v>2771</v>
      </c>
      <c r="C639" s="22" t="s">
        <v>53</v>
      </c>
      <c r="D639" s="22" t="s">
        <v>190</v>
      </c>
      <c r="E639" s="22" t="str">
        <f aca="false">IF(D639="","",IFERROR(VLOOKUP(D639,$A$2:$B$1656,2,FALSE()),""))</f>
        <v>States &amp; Transformations</v>
      </c>
      <c r="F639" s="22" t="n">
        <v>2</v>
      </c>
      <c r="G639" s="22" t="s">
        <v>2772</v>
      </c>
      <c r="H639" s="22" t="s">
        <v>2759</v>
      </c>
      <c r="I639" s="22"/>
      <c r="J639" s="22" t="s">
        <v>2760</v>
      </c>
      <c r="K639" s="22" t="s">
        <v>2771</v>
      </c>
      <c r="L639" s="22" t="s">
        <v>184</v>
      </c>
      <c r="M639" s="22" t="s">
        <v>206</v>
      </c>
    </row>
    <row r="640" customFormat="false" ht="43.5" hidden="false" customHeight="true" outlineLevel="0" collapsed="false">
      <c r="A640" s="22" t="s">
        <v>2773</v>
      </c>
      <c r="B640" s="22" t="s">
        <v>2774</v>
      </c>
      <c r="C640" s="22" t="s">
        <v>53</v>
      </c>
      <c r="D640" s="22" t="s">
        <v>2756</v>
      </c>
      <c r="E640" s="22" t="str">
        <f aca="false">IF(D640="","",IFERROR(VLOOKUP(D640,$A$2:$B$1656,2,FALSE()),""))</f>
        <v>Death and Undeath States</v>
      </c>
      <c r="F640" s="22" t="n">
        <v>3</v>
      </c>
      <c r="G640" s="22" t="s">
        <v>2775</v>
      </c>
      <c r="H640" s="22" t="s">
        <v>2776</v>
      </c>
      <c r="I640" s="22" t="s">
        <v>2777</v>
      </c>
      <c r="J640" s="22" t="s">
        <v>2778</v>
      </c>
      <c r="K640" s="22" t="s">
        <v>2777</v>
      </c>
      <c r="L640" s="22" t="s">
        <v>184</v>
      </c>
      <c r="M640" s="22" t="s">
        <v>253</v>
      </c>
    </row>
    <row r="641" customFormat="false" ht="43.5" hidden="false" customHeight="true" outlineLevel="0" collapsed="false">
      <c r="A641" s="22" t="s">
        <v>2779</v>
      </c>
      <c r="B641" s="22" t="s">
        <v>2780</v>
      </c>
      <c r="C641" s="22" t="s">
        <v>53</v>
      </c>
      <c r="D641" s="22" t="s">
        <v>2756</v>
      </c>
      <c r="E641" s="22" t="str">
        <f aca="false">IF(D641="","",IFERROR(VLOOKUP(D641,$A$2:$B$1656,2,FALSE()),""))</f>
        <v>Death and Undeath States</v>
      </c>
      <c r="F641" s="22" t="n">
        <v>3</v>
      </c>
      <c r="G641" s="22" t="s">
        <v>2781</v>
      </c>
      <c r="H641" s="22" t="s">
        <v>2776</v>
      </c>
      <c r="I641" s="22" t="s">
        <v>2782</v>
      </c>
      <c r="J641" s="22" t="s">
        <v>2778</v>
      </c>
      <c r="K641" s="22" t="s">
        <v>2782</v>
      </c>
      <c r="L641" s="22" t="s">
        <v>184</v>
      </c>
      <c r="M641" s="22" t="s">
        <v>253</v>
      </c>
    </row>
    <row r="642" customFormat="false" ht="43.5" hidden="false" customHeight="true" outlineLevel="0" collapsed="false">
      <c r="A642" s="22" t="s">
        <v>2783</v>
      </c>
      <c r="B642" s="22" t="s">
        <v>2784</v>
      </c>
      <c r="C642" s="22" t="s">
        <v>53</v>
      </c>
      <c r="D642" s="22" t="s">
        <v>2756</v>
      </c>
      <c r="E642" s="22" t="str">
        <f aca="false">IF(D642="","",IFERROR(VLOOKUP(D642,$A$2:$B$1656,2,FALSE()),""))</f>
        <v>Death and Undeath States</v>
      </c>
      <c r="F642" s="22" t="n">
        <v>3</v>
      </c>
      <c r="G642" s="22" t="s">
        <v>2785</v>
      </c>
      <c r="H642" s="22" t="s">
        <v>2776</v>
      </c>
      <c r="I642" s="22" t="s">
        <v>2786</v>
      </c>
      <c r="J642" s="22" t="s">
        <v>2778</v>
      </c>
      <c r="K642" s="22" t="s">
        <v>2786</v>
      </c>
      <c r="L642" s="22" t="s">
        <v>184</v>
      </c>
      <c r="M642" s="22" t="s">
        <v>253</v>
      </c>
    </row>
    <row r="643" customFormat="false" ht="43.5" hidden="false" customHeight="true" outlineLevel="0" collapsed="false">
      <c r="A643" s="22" t="s">
        <v>2787</v>
      </c>
      <c r="B643" s="22" t="s">
        <v>2788</v>
      </c>
      <c r="C643" s="22" t="s">
        <v>53</v>
      </c>
      <c r="D643" s="22" t="s">
        <v>2756</v>
      </c>
      <c r="E643" s="22" t="str">
        <f aca="false">IF(D643="","",IFERROR(VLOOKUP(D643,$A$2:$B$1656,2,FALSE()),""))</f>
        <v>Death and Undeath States</v>
      </c>
      <c r="F643" s="22" t="n">
        <v>3</v>
      </c>
      <c r="G643" s="22" t="s">
        <v>2789</v>
      </c>
      <c r="H643" s="22" t="s">
        <v>2776</v>
      </c>
      <c r="I643" s="22" t="s">
        <v>2790</v>
      </c>
      <c r="J643" s="22" t="s">
        <v>2778</v>
      </c>
      <c r="K643" s="22" t="s">
        <v>2790</v>
      </c>
      <c r="L643" s="22" t="s">
        <v>184</v>
      </c>
      <c r="M643" s="22" t="s">
        <v>253</v>
      </c>
    </row>
    <row r="644" customFormat="false" ht="43.5" hidden="false" customHeight="true" outlineLevel="0" collapsed="false">
      <c r="A644" s="22" t="s">
        <v>2791</v>
      </c>
      <c r="B644" s="22" t="s">
        <v>2792</v>
      </c>
      <c r="C644" s="22" t="s">
        <v>53</v>
      </c>
      <c r="D644" s="22" t="s">
        <v>2756</v>
      </c>
      <c r="E644" s="22" t="str">
        <f aca="false">IF(D644="","",IFERROR(VLOOKUP(D644,$A$2:$B$1656,2,FALSE()),""))</f>
        <v>Death and Undeath States</v>
      </c>
      <c r="F644" s="22" t="n">
        <v>3</v>
      </c>
      <c r="G644" s="22" t="s">
        <v>2793</v>
      </c>
      <c r="H644" s="22" t="s">
        <v>2776</v>
      </c>
      <c r="I644" s="22" t="s">
        <v>2794</v>
      </c>
      <c r="J644" s="22" t="s">
        <v>2778</v>
      </c>
      <c r="K644" s="22" t="s">
        <v>2794</v>
      </c>
      <c r="L644" s="22" t="s">
        <v>184</v>
      </c>
      <c r="M644" s="22" t="s">
        <v>253</v>
      </c>
    </row>
    <row r="645" customFormat="false" ht="43.5" hidden="false" customHeight="true" outlineLevel="0" collapsed="false">
      <c r="A645" s="22" t="s">
        <v>2795</v>
      </c>
      <c r="B645" s="22" t="s">
        <v>2796</v>
      </c>
      <c r="C645" s="22" t="s">
        <v>53</v>
      </c>
      <c r="D645" s="22" t="s">
        <v>2756</v>
      </c>
      <c r="E645" s="22" t="str">
        <f aca="false">IF(D645="","",IFERROR(VLOOKUP(D645,$A$2:$B$1656,2,FALSE()),""))</f>
        <v>Death and Undeath States</v>
      </c>
      <c r="F645" s="22" t="n">
        <v>3</v>
      </c>
      <c r="G645" s="22" t="s">
        <v>2797</v>
      </c>
      <c r="H645" s="22" t="s">
        <v>2776</v>
      </c>
      <c r="I645" s="22" t="s">
        <v>2798</v>
      </c>
      <c r="J645" s="22" t="s">
        <v>2778</v>
      </c>
      <c r="K645" s="22" t="s">
        <v>2798</v>
      </c>
      <c r="L645" s="22" t="s">
        <v>184</v>
      </c>
      <c r="M645" s="22" t="s">
        <v>253</v>
      </c>
    </row>
    <row r="646" customFormat="false" ht="43.5" hidden="false" customHeight="true" outlineLevel="0" collapsed="false">
      <c r="A646" s="22" t="s">
        <v>2799</v>
      </c>
      <c r="B646" s="22" t="s">
        <v>2800</v>
      </c>
      <c r="C646" s="22" t="s">
        <v>53</v>
      </c>
      <c r="D646" s="22" t="s">
        <v>2756</v>
      </c>
      <c r="E646" s="22" t="str">
        <f aca="false">IF(D646="","",IFERROR(VLOOKUP(D646,$A$2:$B$1656,2,FALSE()),""))</f>
        <v>Death and Undeath States</v>
      </c>
      <c r="F646" s="22" t="n">
        <v>3</v>
      </c>
      <c r="G646" s="22" t="s">
        <v>2801</v>
      </c>
      <c r="H646" s="22" t="s">
        <v>2776</v>
      </c>
      <c r="I646" s="22" t="s">
        <v>2802</v>
      </c>
      <c r="J646" s="22" t="s">
        <v>2778</v>
      </c>
      <c r="K646" s="22" t="s">
        <v>2802</v>
      </c>
      <c r="L646" s="22" t="s">
        <v>184</v>
      </c>
      <c r="M646" s="22" t="s">
        <v>253</v>
      </c>
    </row>
    <row r="647" customFormat="false" ht="43.5" hidden="false" customHeight="true" outlineLevel="0" collapsed="false">
      <c r="A647" s="22" t="s">
        <v>2803</v>
      </c>
      <c r="B647" s="22" t="s">
        <v>2804</v>
      </c>
      <c r="C647" s="22" t="s">
        <v>53</v>
      </c>
      <c r="D647" s="22" t="s">
        <v>2756</v>
      </c>
      <c r="E647" s="22" t="str">
        <f aca="false">IF(D647="","",IFERROR(VLOOKUP(D647,$A$2:$B$1656,2,FALSE()),""))</f>
        <v>Death and Undeath States</v>
      </c>
      <c r="F647" s="22" t="n">
        <v>3</v>
      </c>
      <c r="G647" s="22" t="s">
        <v>2805</v>
      </c>
      <c r="H647" s="22" t="s">
        <v>2776</v>
      </c>
      <c r="I647" s="22" t="s">
        <v>2806</v>
      </c>
      <c r="J647" s="22" t="s">
        <v>2778</v>
      </c>
      <c r="K647" s="22" t="s">
        <v>2806</v>
      </c>
      <c r="L647" s="22" t="s">
        <v>184</v>
      </c>
      <c r="M647" s="22" t="s">
        <v>253</v>
      </c>
    </row>
    <row r="648" customFormat="false" ht="43.5" hidden="false" customHeight="true" outlineLevel="0" collapsed="false">
      <c r="A648" s="22" t="s">
        <v>2807</v>
      </c>
      <c r="B648" s="22" t="s">
        <v>2808</v>
      </c>
      <c r="C648" s="22" t="s">
        <v>53</v>
      </c>
      <c r="D648" s="22" t="s">
        <v>2756</v>
      </c>
      <c r="E648" s="22" t="str">
        <f aca="false">IF(D648="","",IFERROR(VLOOKUP(D648,$A$2:$B$1656,2,FALSE()),""))</f>
        <v>Death and Undeath States</v>
      </c>
      <c r="F648" s="22" t="n">
        <v>3</v>
      </c>
      <c r="G648" s="22" t="s">
        <v>2809</v>
      </c>
      <c r="H648" s="22" t="s">
        <v>2776</v>
      </c>
      <c r="I648" s="22" t="s">
        <v>2810</v>
      </c>
      <c r="J648" s="22" t="s">
        <v>2778</v>
      </c>
      <c r="K648" s="22" t="s">
        <v>2810</v>
      </c>
      <c r="L648" s="22" t="s">
        <v>184</v>
      </c>
      <c r="M648" s="22" t="s">
        <v>253</v>
      </c>
    </row>
    <row r="649" customFormat="false" ht="43.5" hidden="false" customHeight="true" outlineLevel="0" collapsed="false">
      <c r="A649" s="22" t="s">
        <v>2811</v>
      </c>
      <c r="B649" s="22" t="s">
        <v>2812</v>
      </c>
      <c r="C649" s="22" t="s">
        <v>53</v>
      </c>
      <c r="D649" s="22" t="s">
        <v>2756</v>
      </c>
      <c r="E649" s="22" t="str">
        <f aca="false">IF(D649="","",IFERROR(VLOOKUP(D649,$A$2:$B$1656,2,FALSE()),""))</f>
        <v>Death and Undeath States</v>
      </c>
      <c r="F649" s="22" t="n">
        <v>3</v>
      </c>
      <c r="G649" s="22" t="s">
        <v>2813</v>
      </c>
      <c r="H649" s="22" t="s">
        <v>2776</v>
      </c>
      <c r="I649" s="22" t="s">
        <v>2814</v>
      </c>
      <c r="J649" s="22" t="s">
        <v>2778</v>
      </c>
      <c r="K649" s="22" t="s">
        <v>2814</v>
      </c>
      <c r="L649" s="22" t="s">
        <v>184</v>
      </c>
      <c r="M649" s="22" t="s">
        <v>253</v>
      </c>
    </row>
    <row r="650" customFormat="false" ht="43.5" hidden="false" customHeight="true" outlineLevel="0" collapsed="false">
      <c r="A650" s="22" t="s">
        <v>2815</v>
      </c>
      <c r="B650" s="22" t="s">
        <v>2816</v>
      </c>
      <c r="C650" s="22" t="s">
        <v>53</v>
      </c>
      <c r="D650" s="22" t="s">
        <v>2756</v>
      </c>
      <c r="E650" s="22" t="str">
        <f aca="false">IF(D650="","",IFERROR(VLOOKUP(D650,$A$2:$B$1656,2,FALSE()),""))</f>
        <v>Death and Undeath States</v>
      </c>
      <c r="F650" s="22" t="n">
        <v>3</v>
      </c>
      <c r="G650" s="22" t="s">
        <v>2817</v>
      </c>
      <c r="H650" s="22" t="s">
        <v>2776</v>
      </c>
      <c r="I650" s="22" t="s">
        <v>2818</v>
      </c>
      <c r="J650" s="22" t="s">
        <v>2778</v>
      </c>
      <c r="K650" s="22" t="s">
        <v>2818</v>
      </c>
      <c r="L650" s="22" t="s">
        <v>184</v>
      </c>
      <c r="M650" s="22" t="s">
        <v>253</v>
      </c>
    </row>
    <row r="651" customFormat="false" ht="43.5" hidden="false" customHeight="true" outlineLevel="0" collapsed="false">
      <c r="A651" s="22" t="s">
        <v>2819</v>
      </c>
      <c r="B651" s="22" t="s">
        <v>2820</v>
      </c>
      <c r="C651" s="22" t="s">
        <v>53</v>
      </c>
      <c r="D651" s="22" t="s">
        <v>2756</v>
      </c>
      <c r="E651" s="22" t="str">
        <f aca="false">IF(D651="","",IFERROR(VLOOKUP(D651,$A$2:$B$1656,2,FALSE()),""))</f>
        <v>Death and Undeath States</v>
      </c>
      <c r="F651" s="22" t="n">
        <v>3</v>
      </c>
      <c r="G651" s="22" t="s">
        <v>2821</v>
      </c>
      <c r="H651" s="22" t="s">
        <v>2776</v>
      </c>
      <c r="I651" s="22" t="s">
        <v>2822</v>
      </c>
      <c r="J651" s="22" t="s">
        <v>2778</v>
      </c>
      <c r="K651" s="22" t="s">
        <v>2822</v>
      </c>
      <c r="L651" s="22" t="s">
        <v>184</v>
      </c>
      <c r="M651" s="22" t="s">
        <v>253</v>
      </c>
    </row>
    <row r="652" customFormat="false" ht="43.5" hidden="false" customHeight="true" outlineLevel="0" collapsed="false">
      <c r="A652" s="22" t="s">
        <v>2823</v>
      </c>
      <c r="B652" s="22" t="s">
        <v>2408</v>
      </c>
      <c r="C652" s="22" t="s">
        <v>53</v>
      </c>
      <c r="D652" s="22" t="s">
        <v>2756</v>
      </c>
      <c r="E652" s="22" t="str">
        <f aca="false">IF(D652="","",IFERROR(VLOOKUP(D652,$A$2:$B$1656,2,FALSE()),""))</f>
        <v>Death and Undeath States</v>
      </c>
      <c r="F652" s="22" t="n">
        <v>3</v>
      </c>
      <c r="G652" s="22" t="s">
        <v>2824</v>
      </c>
      <c r="H652" s="22" t="s">
        <v>2776</v>
      </c>
      <c r="I652" s="22" t="s">
        <v>2825</v>
      </c>
      <c r="J652" s="22" t="s">
        <v>2778</v>
      </c>
      <c r="K652" s="22" t="s">
        <v>2825</v>
      </c>
      <c r="L652" s="22" t="s">
        <v>184</v>
      </c>
      <c r="M652" s="22" t="s">
        <v>253</v>
      </c>
    </row>
    <row r="653" customFormat="false" ht="43.5" hidden="false" customHeight="true" outlineLevel="0" collapsed="false">
      <c r="A653" s="22" t="s">
        <v>2826</v>
      </c>
      <c r="B653" s="22" t="s">
        <v>2827</v>
      </c>
      <c r="C653" s="22" t="s">
        <v>53</v>
      </c>
      <c r="D653" s="22" t="s">
        <v>2756</v>
      </c>
      <c r="E653" s="22" t="str">
        <f aca="false">IF(D653="","",IFERROR(VLOOKUP(D653,$A$2:$B$1656,2,FALSE()),""))</f>
        <v>Death and Undeath States</v>
      </c>
      <c r="F653" s="22" t="n">
        <v>3</v>
      </c>
      <c r="G653" s="22" t="s">
        <v>2828</v>
      </c>
      <c r="H653" s="22" t="s">
        <v>2776</v>
      </c>
      <c r="I653" s="22" t="s">
        <v>2829</v>
      </c>
      <c r="J653" s="22" t="s">
        <v>2778</v>
      </c>
      <c r="K653" s="22" t="s">
        <v>2829</v>
      </c>
      <c r="L653" s="22" t="s">
        <v>184</v>
      </c>
      <c r="M653" s="22" t="s">
        <v>253</v>
      </c>
    </row>
    <row r="654" customFormat="false" ht="43.5" hidden="false" customHeight="true" outlineLevel="0" collapsed="false">
      <c r="A654" s="22" t="s">
        <v>2830</v>
      </c>
      <c r="B654" s="22" t="s">
        <v>2831</v>
      </c>
      <c r="C654" s="22" t="s">
        <v>53</v>
      </c>
      <c r="D654" s="22" t="s">
        <v>2756</v>
      </c>
      <c r="E654" s="22" t="str">
        <f aca="false">IF(D654="","",IFERROR(VLOOKUP(D654,$A$2:$B$1656,2,FALSE()),""))</f>
        <v>Death and Undeath States</v>
      </c>
      <c r="F654" s="22" t="n">
        <v>3</v>
      </c>
      <c r="G654" s="22" t="s">
        <v>2832</v>
      </c>
      <c r="H654" s="22" t="s">
        <v>2776</v>
      </c>
      <c r="I654" s="22" t="s">
        <v>2833</v>
      </c>
      <c r="J654" s="22" t="s">
        <v>2778</v>
      </c>
      <c r="K654" s="22" t="s">
        <v>2833</v>
      </c>
      <c r="L654" s="22" t="s">
        <v>184</v>
      </c>
      <c r="M654" s="22" t="s">
        <v>253</v>
      </c>
    </row>
    <row r="655" customFormat="false" ht="43.5" hidden="false" customHeight="true" outlineLevel="0" collapsed="false">
      <c r="A655" s="22" t="s">
        <v>2834</v>
      </c>
      <c r="B655" s="22" t="s">
        <v>2835</v>
      </c>
      <c r="C655" s="22" t="s">
        <v>53</v>
      </c>
      <c r="D655" s="22" t="s">
        <v>2756</v>
      </c>
      <c r="E655" s="22" t="str">
        <f aca="false">IF(D655="","",IFERROR(VLOOKUP(D655,$A$2:$B$1656,2,FALSE()),""))</f>
        <v>Death and Undeath States</v>
      </c>
      <c r="F655" s="22" t="n">
        <v>3</v>
      </c>
      <c r="G655" s="22" t="s">
        <v>2836</v>
      </c>
      <c r="H655" s="22" t="s">
        <v>2776</v>
      </c>
      <c r="I655" s="22" t="s">
        <v>2837</v>
      </c>
      <c r="J655" s="22" t="s">
        <v>2778</v>
      </c>
      <c r="K655" s="22" t="s">
        <v>2837</v>
      </c>
      <c r="L655" s="22" t="s">
        <v>184</v>
      </c>
      <c r="M655" s="22" t="s">
        <v>253</v>
      </c>
    </row>
    <row r="656" customFormat="false" ht="43.5" hidden="false" customHeight="true" outlineLevel="0" collapsed="false">
      <c r="A656" s="22" t="s">
        <v>2838</v>
      </c>
      <c r="B656" s="22" t="s">
        <v>2839</v>
      </c>
      <c r="C656" s="22" t="s">
        <v>53</v>
      </c>
      <c r="D656" s="22" t="s">
        <v>2761</v>
      </c>
      <c r="E656" s="22" t="str">
        <f aca="false">IF(D656="","",IFERROR(VLOOKUP(D656,$A$2:$B$1656,2,FALSE()),""))</f>
        <v>Bodily Transformation States</v>
      </c>
      <c r="F656" s="22" t="n">
        <v>3</v>
      </c>
      <c r="G656" s="22" t="s">
        <v>2840</v>
      </c>
      <c r="H656" s="22" t="s">
        <v>2776</v>
      </c>
      <c r="I656" s="22" t="s">
        <v>2841</v>
      </c>
      <c r="J656" s="22" t="s">
        <v>2842</v>
      </c>
      <c r="K656" s="22" t="s">
        <v>2841</v>
      </c>
      <c r="L656" s="22" t="s">
        <v>184</v>
      </c>
      <c r="M656" s="22" t="s">
        <v>253</v>
      </c>
    </row>
    <row r="657" customFormat="false" ht="43.5" hidden="false" customHeight="true" outlineLevel="0" collapsed="false">
      <c r="A657" s="22" t="s">
        <v>2843</v>
      </c>
      <c r="B657" s="22" t="s">
        <v>2844</v>
      </c>
      <c r="C657" s="22" t="s">
        <v>53</v>
      </c>
      <c r="D657" s="22" t="s">
        <v>2761</v>
      </c>
      <c r="E657" s="22" t="str">
        <f aca="false">IF(D657="","",IFERROR(VLOOKUP(D657,$A$2:$B$1656,2,FALSE()),""))</f>
        <v>Bodily Transformation States</v>
      </c>
      <c r="F657" s="22" t="n">
        <v>3</v>
      </c>
      <c r="G657" s="22" t="s">
        <v>2845</v>
      </c>
      <c r="H657" s="22" t="s">
        <v>2776</v>
      </c>
      <c r="I657" s="22" t="s">
        <v>2846</v>
      </c>
      <c r="J657" s="22" t="s">
        <v>2842</v>
      </c>
      <c r="K657" s="22" t="s">
        <v>2846</v>
      </c>
      <c r="L657" s="22" t="s">
        <v>184</v>
      </c>
      <c r="M657" s="22" t="s">
        <v>253</v>
      </c>
    </row>
    <row r="658" customFormat="false" ht="43.5" hidden="false" customHeight="true" outlineLevel="0" collapsed="false">
      <c r="A658" s="22" t="s">
        <v>2847</v>
      </c>
      <c r="B658" s="22" t="s">
        <v>2848</v>
      </c>
      <c r="C658" s="22" t="s">
        <v>53</v>
      </c>
      <c r="D658" s="22" t="s">
        <v>2761</v>
      </c>
      <c r="E658" s="22" t="str">
        <f aca="false">IF(D658="","",IFERROR(VLOOKUP(D658,$A$2:$B$1656,2,FALSE()),""))</f>
        <v>Bodily Transformation States</v>
      </c>
      <c r="F658" s="22" t="n">
        <v>3</v>
      </c>
      <c r="G658" s="22" t="s">
        <v>2849</v>
      </c>
      <c r="H658" s="22" t="s">
        <v>2776</v>
      </c>
      <c r="I658" s="22" t="s">
        <v>2850</v>
      </c>
      <c r="J658" s="22" t="s">
        <v>2842</v>
      </c>
      <c r="K658" s="22" t="s">
        <v>2850</v>
      </c>
      <c r="L658" s="22" t="s">
        <v>184</v>
      </c>
      <c r="M658" s="22" t="s">
        <v>253</v>
      </c>
    </row>
    <row r="659" customFormat="false" ht="43.5" hidden="false" customHeight="true" outlineLevel="0" collapsed="false">
      <c r="A659" s="22" t="s">
        <v>2851</v>
      </c>
      <c r="B659" s="22" t="s">
        <v>2852</v>
      </c>
      <c r="C659" s="22" t="s">
        <v>53</v>
      </c>
      <c r="D659" s="22" t="s">
        <v>2761</v>
      </c>
      <c r="E659" s="22" t="str">
        <f aca="false">IF(D659="","",IFERROR(VLOOKUP(D659,$A$2:$B$1656,2,FALSE()),""))</f>
        <v>Bodily Transformation States</v>
      </c>
      <c r="F659" s="22" t="n">
        <v>3</v>
      </c>
      <c r="G659" s="22" t="s">
        <v>2853</v>
      </c>
      <c r="H659" s="22" t="s">
        <v>2776</v>
      </c>
      <c r="I659" s="22" t="s">
        <v>2854</v>
      </c>
      <c r="J659" s="22" t="s">
        <v>2842</v>
      </c>
      <c r="K659" s="22" t="s">
        <v>2854</v>
      </c>
      <c r="L659" s="22" t="s">
        <v>184</v>
      </c>
      <c r="M659" s="22" t="s">
        <v>253</v>
      </c>
    </row>
    <row r="660" customFormat="false" ht="43.5" hidden="false" customHeight="true" outlineLevel="0" collapsed="false">
      <c r="A660" s="22" t="s">
        <v>2855</v>
      </c>
      <c r="B660" s="22" t="s">
        <v>2856</v>
      </c>
      <c r="C660" s="22" t="s">
        <v>53</v>
      </c>
      <c r="D660" s="22" t="s">
        <v>2761</v>
      </c>
      <c r="E660" s="22" t="str">
        <f aca="false">IF(D660="","",IFERROR(VLOOKUP(D660,$A$2:$B$1656,2,FALSE()),""))</f>
        <v>Bodily Transformation States</v>
      </c>
      <c r="F660" s="22" t="n">
        <v>3</v>
      </c>
      <c r="G660" s="22" t="s">
        <v>2857</v>
      </c>
      <c r="H660" s="22" t="s">
        <v>2776</v>
      </c>
      <c r="I660" s="22" t="s">
        <v>2858</v>
      </c>
      <c r="J660" s="22" t="s">
        <v>2842</v>
      </c>
      <c r="K660" s="22" t="s">
        <v>2858</v>
      </c>
      <c r="L660" s="22" t="s">
        <v>184</v>
      </c>
      <c r="M660" s="22" t="s">
        <v>253</v>
      </c>
    </row>
    <row r="661" customFormat="false" ht="43.5" hidden="false" customHeight="true" outlineLevel="0" collapsed="false">
      <c r="A661" s="22" t="s">
        <v>2859</v>
      </c>
      <c r="B661" s="22" t="s">
        <v>2860</v>
      </c>
      <c r="C661" s="22" t="s">
        <v>53</v>
      </c>
      <c r="D661" s="22" t="s">
        <v>2761</v>
      </c>
      <c r="E661" s="22" t="str">
        <f aca="false">IF(D661="","",IFERROR(VLOOKUP(D661,$A$2:$B$1656,2,FALSE()),""))</f>
        <v>Bodily Transformation States</v>
      </c>
      <c r="F661" s="22" t="n">
        <v>3</v>
      </c>
      <c r="G661" s="22" t="s">
        <v>2861</v>
      </c>
      <c r="H661" s="22" t="s">
        <v>2776</v>
      </c>
      <c r="I661" s="22" t="s">
        <v>2862</v>
      </c>
      <c r="J661" s="22" t="s">
        <v>2842</v>
      </c>
      <c r="K661" s="22" t="s">
        <v>2862</v>
      </c>
      <c r="L661" s="22" t="s">
        <v>184</v>
      </c>
      <c r="M661" s="22" t="s">
        <v>253</v>
      </c>
    </row>
    <row r="662" customFormat="false" ht="43.5" hidden="false" customHeight="true" outlineLevel="0" collapsed="false">
      <c r="A662" s="22" t="s">
        <v>2863</v>
      </c>
      <c r="B662" s="22" t="s">
        <v>2864</v>
      </c>
      <c r="C662" s="22" t="s">
        <v>53</v>
      </c>
      <c r="D662" s="22" t="s">
        <v>2761</v>
      </c>
      <c r="E662" s="22" t="str">
        <f aca="false">IF(D662="","",IFERROR(VLOOKUP(D662,$A$2:$B$1656,2,FALSE()),""))</f>
        <v>Bodily Transformation States</v>
      </c>
      <c r="F662" s="22" t="n">
        <v>3</v>
      </c>
      <c r="G662" s="22" t="s">
        <v>2865</v>
      </c>
      <c r="H662" s="22" t="s">
        <v>2776</v>
      </c>
      <c r="I662" s="22" t="s">
        <v>2866</v>
      </c>
      <c r="J662" s="22" t="s">
        <v>2842</v>
      </c>
      <c r="K662" s="22" t="s">
        <v>2866</v>
      </c>
      <c r="L662" s="22" t="s">
        <v>184</v>
      </c>
      <c r="M662" s="22" t="s">
        <v>253</v>
      </c>
    </row>
    <row r="663" customFormat="false" ht="43.5" hidden="false" customHeight="true" outlineLevel="0" collapsed="false">
      <c r="A663" s="22" t="s">
        <v>2867</v>
      </c>
      <c r="B663" s="22" t="s">
        <v>2868</v>
      </c>
      <c r="C663" s="22" t="s">
        <v>53</v>
      </c>
      <c r="D663" s="22" t="s">
        <v>2761</v>
      </c>
      <c r="E663" s="22" t="str">
        <f aca="false">IF(D663="","",IFERROR(VLOOKUP(D663,$A$2:$B$1656,2,FALSE()),""))</f>
        <v>Bodily Transformation States</v>
      </c>
      <c r="F663" s="22" t="n">
        <v>3</v>
      </c>
      <c r="G663" s="22" t="s">
        <v>2869</v>
      </c>
      <c r="H663" s="22" t="s">
        <v>2776</v>
      </c>
      <c r="I663" s="22" t="s">
        <v>2870</v>
      </c>
      <c r="J663" s="22" t="s">
        <v>2842</v>
      </c>
      <c r="K663" s="22" t="s">
        <v>2870</v>
      </c>
      <c r="L663" s="22" t="s">
        <v>184</v>
      </c>
      <c r="M663" s="22" t="s">
        <v>253</v>
      </c>
    </row>
    <row r="664" customFormat="false" ht="43.5" hidden="false" customHeight="true" outlineLevel="0" collapsed="false">
      <c r="A664" s="22" t="s">
        <v>2871</v>
      </c>
      <c r="B664" s="22" t="s">
        <v>2872</v>
      </c>
      <c r="C664" s="22" t="s">
        <v>53</v>
      </c>
      <c r="D664" s="22" t="s">
        <v>2761</v>
      </c>
      <c r="E664" s="22" t="str">
        <f aca="false">IF(D664="","",IFERROR(VLOOKUP(D664,$A$2:$B$1656,2,FALSE()),""))</f>
        <v>Bodily Transformation States</v>
      </c>
      <c r="F664" s="22" t="n">
        <v>3</v>
      </c>
      <c r="G664" s="22" t="s">
        <v>2873</v>
      </c>
      <c r="H664" s="22" t="s">
        <v>2776</v>
      </c>
      <c r="I664" s="22" t="s">
        <v>2874</v>
      </c>
      <c r="J664" s="22" t="s">
        <v>2842</v>
      </c>
      <c r="K664" s="22" t="s">
        <v>2874</v>
      </c>
      <c r="L664" s="22" t="s">
        <v>184</v>
      </c>
      <c r="M664" s="22" t="s">
        <v>253</v>
      </c>
    </row>
    <row r="665" customFormat="false" ht="43.5" hidden="false" customHeight="true" outlineLevel="0" collapsed="false">
      <c r="A665" s="22" t="s">
        <v>2875</v>
      </c>
      <c r="B665" s="22" t="s">
        <v>2876</v>
      </c>
      <c r="C665" s="22" t="s">
        <v>53</v>
      </c>
      <c r="D665" s="22" t="s">
        <v>2761</v>
      </c>
      <c r="E665" s="22" t="str">
        <f aca="false">IF(D665="","",IFERROR(VLOOKUP(D665,$A$2:$B$1656,2,FALSE()),""))</f>
        <v>Bodily Transformation States</v>
      </c>
      <c r="F665" s="22" t="n">
        <v>3</v>
      </c>
      <c r="G665" s="22" t="s">
        <v>2877</v>
      </c>
      <c r="H665" s="22" t="s">
        <v>2776</v>
      </c>
      <c r="I665" s="22" t="s">
        <v>2878</v>
      </c>
      <c r="J665" s="22" t="s">
        <v>2842</v>
      </c>
      <c r="K665" s="22" t="s">
        <v>2878</v>
      </c>
      <c r="L665" s="22" t="s">
        <v>184</v>
      </c>
      <c r="M665" s="22" t="s">
        <v>253</v>
      </c>
    </row>
    <row r="666" customFormat="false" ht="43.5" hidden="false" customHeight="true" outlineLevel="0" collapsed="false">
      <c r="A666" s="22" t="s">
        <v>2879</v>
      </c>
      <c r="B666" s="22" t="s">
        <v>2880</v>
      </c>
      <c r="C666" s="22" t="s">
        <v>53</v>
      </c>
      <c r="D666" s="22" t="s">
        <v>2761</v>
      </c>
      <c r="E666" s="22" t="str">
        <f aca="false">IF(D666="","",IFERROR(VLOOKUP(D666,$A$2:$B$1656,2,FALSE()),""))</f>
        <v>Bodily Transformation States</v>
      </c>
      <c r="F666" s="22" t="n">
        <v>3</v>
      </c>
      <c r="G666" s="22" t="s">
        <v>2881</v>
      </c>
      <c r="H666" s="22" t="s">
        <v>2776</v>
      </c>
      <c r="I666" s="22" t="s">
        <v>2882</v>
      </c>
      <c r="J666" s="22" t="s">
        <v>2842</v>
      </c>
      <c r="K666" s="22" t="s">
        <v>2882</v>
      </c>
      <c r="L666" s="22" t="s">
        <v>184</v>
      </c>
      <c r="M666" s="22" t="s">
        <v>253</v>
      </c>
    </row>
    <row r="667" customFormat="false" ht="43.5" hidden="false" customHeight="true" outlineLevel="0" collapsed="false">
      <c r="A667" s="22" t="s">
        <v>2883</v>
      </c>
      <c r="B667" s="22" t="s">
        <v>2884</v>
      </c>
      <c r="C667" s="22" t="s">
        <v>53</v>
      </c>
      <c r="D667" s="22" t="s">
        <v>2761</v>
      </c>
      <c r="E667" s="22" t="str">
        <f aca="false">IF(D667="","",IFERROR(VLOOKUP(D667,$A$2:$B$1656,2,FALSE()),""))</f>
        <v>Bodily Transformation States</v>
      </c>
      <c r="F667" s="22" t="n">
        <v>3</v>
      </c>
      <c r="G667" s="22" t="s">
        <v>2885</v>
      </c>
      <c r="H667" s="22" t="s">
        <v>2776</v>
      </c>
      <c r="I667" s="22" t="s">
        <v>2886</v>
      </c>
      <c r="J667" s="22" t="s">
        <v>2842</v>
      </c>
      <c r="K667" s="22" t="s">
        <v>2886</v>
      </c>
      <c r="L667" s="22" t="s">
        <v>184</v>
      </c>
      <c r="M667" s="22" t="s">
        <v>253</v>
      </c>
    </row>
    <row r="668" customFormat="false" ht="43.5" hidden="false" customHeight="true" outlineLevel="0" collapsed="false">
      <c r="A668" s="22" t="s">
        <v>2887</v>
      </c>
      <c r="B668" s="22" t="s">
        <v>2888</v>
      </c>
      <c r="C668" s="22" t="s">
        <v>53</v>
      </c>
      <c r="D668" s="22" t="s">
        <v>2761</v>
      </c>
      <c r="E668" s="22" t="str">
        <f aca="false">IF(D668="","",IFERROR(VLOOKUP(D668,$A$2:$B$1656,2,FALSE()),""))</f>
        <v>Bodily Transformation States</v>
      </c>
      <c r="F668" s="22" t="n">
        <v>3</v>
      </c>
      <c r="G668" s="22" t="s">
        <v>2889</v>
      </c>
      <c r="H668" s="22" t="s">
        <v>2776</v>
      </c>
      <c r="I668" s="22" t="s">
        <v>2890</v>
      </c>
      <c r="J668" s="22" t="s">
        <v>2842</v>
      </c>
      <c r="K668" s="22" t="s">
        <v>2890</v>
      </c>
      <c r="L668" s="22" t="s">
        <v>184</v>
      </c>
      <c r="M668" s="22" t="s">
        <v>253</v>
      </c>
    </row>
    <row r="669" customFormat="false" ht="43.5" hidden="false" customHeight="true" outlineLevel="0" collapsed="false">
      <c r="A669" s="22" t="s">
        <v>2891</v>
      </c>
      <c r="B669" s="22" t="s">
        <v>2892</v>
      </c>
      <c r="C669" s="22" t="s">
        <v>53</v>
      </c>
      <c r="D669" s="22" t="s">
        <v>2761</v>
      </c>
      <c r="E669" s="22" t="str">
        <f aca="false">IF(D669="","",IFERROR(VLOOKUP(D669,$A$2:$B$1656,2,FALSE()),""))</f>
        <v>Bodily Transformation States</v>
      </c>
      <c r="F669" s="22" t="n">
        <v>3</v>
      </c>
      <c r="G669" s="22" t="s">
        <v>2893</v>
      </c>
      <c r="H669" s="22" t="s">
        <v>2776</v>
      </c>
      <c r="I669" s="22" t="s">
        <v>2894</v>
      </c>
      <c r="J669" s="22" t="s">
        <v>2842</v>
      </c>
      <c r="K669" s="22" t="s">
        <v>2894</v>
      </c>
      <c r="L669" s="22" t="s">
        <v>184</v>
      </c>
      <c r="M669" s="22" t="s">
        <v>253</v>
      </c>
    </row>
    <row r="670" customFormat="false" ht="43.5" hidden="false" customHeight="true" outlineLevel="0" collapsed="false">
      <c r="A670" s="22" t="s">
        <v>2895</v>
      </c>
      <c r="B670" s="22" t="s">
        <v>2896</v>
      </c>
      <c r="C670" s="22" t="s">
        <v>53</v>
      </c>
      <c r="D670" s="22" t="s">
        <v>2761</v>
      </c>
      <c r="E670" s="22" t="str">
        <f aca="false">IF(D670="","",IFERROR(VLOOKUP(D670,$A$2:$B$1656,2,FALSE()),""))</f>
        <v>Bodily Transformation States</v>
      </c>
      <c r="F670" s="22" t="n">
        <v>3</v>
      </c>
      <c r="G670" s="22" t="s">
        <v>2897</v>
      </c>
      <c r="H670" s="22" t="s">
        <v>2776</v>
      </c>
      <c r="I670" s="22" t="s">
        <v>2898</v>
      </c>
      <c r="J670" s="22" t="s">
        <v>2842</v>
      </c>
      <c r="K670" s="22" t="s">
        <v>2898</v>
      </c>
      <c r="L670" s="22" t="s">
        <v>184</v>
      </c>
      <c r="M670" s="22" t="s">
        <v>253</v>
      </c>
    </row>
    <row r="671" customFormat="false" ht="43.5" hidden="false" customHeight="true" outlineLevel="0" collapsed="false">
      <c r="A671" s="22" t="s">
        <v>2899</v>
      </c>
      <c r="B671" s="22" t="s">
        <v>2900</v>
      </c>
      <c r="C671" s="22" t="s">
        <v>53</v>
      </c>
      <c r="D671" s="22" t="s">
        <v>2761</v>
      </c>
      <c r="E671" s="22" t="str">
        <f aca="false">IF(D671="","",IFERROR(VLOOKUP(D671,$A$2:$B$1656,2,FALSE()),""))</f>
        <v>Bodily Transformation States</v>
      </c>
      <c r="F671" s="22" t="n">
        <v>3</v>
      </c>
      <c r="G671" s="22" t="s">
        <v>2901</v>
      </c>
      <c r="H671" s="22" t="s">
        <v>2776</v>
      </c>
      <c r="I671" s="22" t="s">
        <v>2902</v>
      </c>
      <c r="J671" s="22" t="s">
        <v>2842</v>
      </c>
      <c r="K671" s="22" t="s">
        <v>2902</v>
      </c>
      <c r="L671" s="22" t="s">
        <v>184</v>
      </c>
      <c r="M671" s="22" t="s">
        <v>253</v>
      </c>
    </row>
    <row r="672" customFormat="false" ht="43.5" hidden="false" customHeight="true" outlineLevel="0" collapsed="false">
      <c r="A672" s="22" t="s">
        <v>2903</v>
      </c>
      <c r="B672" s="22" t="s">
        <v>2904</v>
      </c>
      <c r="C672" s="22" t="s">
        <v>53</v>
      </c>
      <c r="D672" s="22" t="s">
        <v>2761</v>
      </c>
      <c r="E672" s="22" t="str">
        <f aca="false">IF(D672="","",IFERROR(VLOOKUP(D672,$A$2:$B$1656,2,FALSE()),""))</f>
        <v>Bodily Transformation States</v>
      </c>
      <c r="F672" s="22" t="n">
        <v>3</v>
      </c>
      <c r="G672" s="22" t="s">
        <v>2905</v>
      </c>
      <c r="H672" s="22" t="s">
        <v>2776</v>
      </c>
      <c r="I672" s="22" t="s">
        <v>2906</v>
      </c>
      <c r="J672" s="22" t="s">
        <v>2842</v>
      </c>
      <c r="K672" s="22" t="s">
        <v>2906</v>
      </c>
      <c r="L672" s="22" t="s">
        <v>184</v>
      </c>
      <c r="M672" s="22" t="s">
        <v>253</v>
      </c>
    </row>
    <row r="673" customFormat="false" ht="43.5" hidden="false" customHeight="true" outlineLevel="0" collapsed="false">
      <c r="A673" s="22" t="s">
        <v>2907</v>
      </c>
      <c r="B673" s="22" t="s">
        <v>2908</v>
      </c>
      <c r="C673" s="22" t="s">
        <v>53</v>
      </c>
      <c r="D673" s="22" t="s">
        <v>2761</v>
      </c>
      <c r="E673" s="22" t="str">
        <f aca="false">IF(D673="","",IFERROR(VLOOKUP(D673,$A$2:$B$1656,2,FALSE()),""))</f>
        <v>Bodily Transformation States</v>
      </c>
      <c r="F673" s="22" t="n">
        <v>3</v>
      </c>
      <c r="G673" s="22" t="s">
        <v>2909</v>
      </c>
      <c r="H673" s="22" t="s">
        <v>2776</v>
      </c>
      <c r="I673" s="22" t="s">
        <v>2910</v>
      </c>
      <c r="J673" s="22" t="s">
        <v>2842</v>
      </c>
      <c r="K673" s="22" t="s">
        <v>2910</v>
      </c>
      <c r="L673" s="22" t="s">
        <v>184</v>
      </c>
      <c r="M673" s="22" t="s">
        <v>253</v>
      </c>
    </row>
    <row r="674" customFormat="false" ht="43.5" hidden="false" customHeight="true" outlineLevel="0" collapsed="false">
      <c r="A674" s="22" t="s">
        <v>2911</v>
      </c>
      <c r="B674" s="22" t="s">
        <v>2912</v>
      </c>
      <c r="C674" s="22" t="s">
        <v>53</v>
      </c>
      <c r="D674" s="22" t="s">
        <v>2761</v>
      </c>
      <c r="E674" s="22" t="str">
        <f aca="false">IF(D674="","",IFERROR(VLOOKUP(D674,$A$2:$B$1656,2,FALSE()),""))</f>
        <v>Bodily Transformation States</v>
      </c>
      <c r="F674" s="22" t="n">
        <v>3</v>
      </c>
      <c r="G674" s="22" t="s">
        <v>2913</v>
      </c>
      <c r="H674" s="22" t="s">
        <v>2776</v>
      </c>
      <c r="I674" s="22" t="s">
        <v>2914</v>
      </c>
      <c r="J674" s="22" t="s">
        <v>2842</v>
      </c>
      <c r="K674" s="22" t="s">
        <v>2914</v>
      </c>
      <c r="L674" s="22" t="s">
        <v>184</v>
      </c>
      <c r="M674" s="22" t="s">
        <v>253</v>
      </c>
    </row>
    <row r="675" customFormat="false" ht="43.5" hidden="false" customHeight="true" outlineLevel="0" collapsed="false">
      <c r="A675" s="22" t="s">
        <v>2915</v>
      </c>
      <c r="B675" s="22" t="s">
        <v>2916</v>
      </c>
      <c r="C675" s="22" t="s">
        <v>53</v>
      </c>
      <c r="D675" s="22" t="s">
        <v>2761</v>
      </c>
      <c r="E675" s="22" t="str">
        <f aca="false">IF(D675="","",IFERROR(VLOOKUP(D675,$A$2:$B$1656,2,FALSE()),""))</f>
        <v>Bodily Transformation States</v>
      </c>
      <c r="F675" s="22" t="n">
        <v>3</v>
      </c>
      <c r="G675" s="22" t="s">
        <v>2917</v>
      </c>
      <c r="H675" s="22" t="s">
        <v>2776</v>
      </c>
      <c r="I675" s="22" t="s">
        <v>2918</v>
      </c>
      <c r="J675" s="22" t="s">
        <v>2842</v>
      </c>
      <c r="K675" s="22" t="s">
        <v>2918</v>
      </c>
      <c r="L675" s="22" t="s">
        <v>184</v>
      </c>
      <c r="M675" s="22" t="s">
        <v>253</v>
      </c>
    </row>
    <row r="676" customFormat="false" ht="43.5" hidden="false" customHeight="true" outlineLevel="0" collapsed="false">
      <c r="A676" s="22" t="s">
        <v>2919</v>
      </c>
      <c r="B676" s="22" t="s">
        <v>2920</v>
      </c>
      <c r="C676" s="22" t="s">
        <v>53</v>
      </c>
      <c r="D676" s="22" t="s">
        <v>2761</v>
      </c>
      <c r="E676" s="22" t="str">
        <f aca="false">IF(D676="","",IFERROR(VLOOKUP(D676,$A$2:$B$1656,2,FALSE()),""))</f>
        <v>Bodily Transformation States</v>
      </c>
      <c r="F676" s="22" t="n">
        <v>3</v>
      </c>
      <c r="G676" s="22" t="s">
        <v>2921</v>
      </c>
      <c r="H676" s="22" t="s">
        <v>2776</v>
      </c>
      <c r="I676" s="22" t="s">
        <v>2922</v>
      </c>
      <c r="J676" s="22" t="s">
        <v>2842</v>
      </c>
      <c r="K676" s="22" t="s">
        <v>2922</v>
      </c>
      <c r="L676" s="22" t="s">
        <v>184</v>
      </c>
      <c r="M676" s="22" t="s">
        <v>253</v>
      </c>
    </row>
    <row r="677" customFormat="false" ht="43.5" hidden="false" customHeight="true" outlineLevel="0" collapsed="false">
      <c r="A677" s="22" t="s">
        <v>2923</v>
      </c>
      <c r="B677" s="22" t="s">
        <v>2924</v>
      </c>
      <c r="C677" s="22" t="s">
        <v>53</v>
      </c>
      <c r="D677" s="22" t="s">
        <v>2761</v>
      </c>
      <c r="E677" s="22" t="str">
        <f aca="false">IF(D677="","",IFERROR(VLOOKUP(D677,$A$2:$B$1656,2,FALSE()),""))</f>
        <v>Bodily Transformation States</v>
      </c>
      <c r="F677" s="22" t="n">
        <v>3</v>
      </c>
      <c r="G677" s="22" t="s">
        <v>2925</v>
      </c>
      <c r="H677" s="22" t="s">
        <v>2776</v>
      </c>
      <c r="I677" s="22" t="s">
        <v>2926</v>
      </c>
      <c r="J677" s="22" t="s">
        <v>2842</v>
      </c>
      <c r="K677" s="22" t="s">
        <v>2926</v>
      </c>
      <c r="L677" s="22" t="s">
        <v>184</v>
      </c>
      <c r="M677" s="22" t="s">
        <v>253</v>
      </c>
    </row>
    <row r="678" customFormat="false" ht="43.5" hidden="false" customHeight="true" outlineLevel="0" collapsed="false">
      <c r="A678" s="22" t="s">
        <v>2927</v>
      </c>
      <c r="B678" s="22" t="s">
        <v>2928</v>
      </c>
      <c r="C678" s="22" t="s">
        <v>53</v>
      </c>
      <c r="D678" s="22" t="s">
        <v>2761</v>
      </c>
      <c r="E678" s="22" t="str">
        <f aca="false">IF(D678="","",IFERROR(VLOOKUP(D678,$A$2:$B$1656,2,FALSE()),""))</f>
        <v>Bodily Transformation States</v>
      </c>
      <c r="F678" s="22" t="n">
        <v>3</v>
      </c>
      <c r="G678" s="22" t="s">
        <v>2929</v>
      </c>
      <c r="H678" s="22" t="s">
        <v>2776</v>
      </c>
      <c r="I678" s="22" t="s">
        <v>2930</v>
      </c>
      <c r="J678" s="22" t="s">
        <v>2842</v>
      </c>
      <c r="K678" s="22" t="s">
        <v>2930</v>
      </c>
      <c r="L678" s="22" t="s">
        <v>184</v>
      </c>
      <c r="M678" s="22" t="s">
        <v>253</v>
      </c>
    </row>
    <row r="679" customFormat="false" ht="43.5" hidden="false" customHeight="true" outlineLevel="0" collapsed="false">
      <c r="A679" s="22" t="s">
        <v>2931</v>
      </c>
      <c r="B679" s="22" t="s">
        <v>2932</v>
      </c>
      <c r="C679" s="22" t="s">
        <v>53</v>
      </c>
      <c r="D679" s="22" t="s">
        <v>2761</v>
      </c>
      <c r="E679" s="22" t="str">
        <f aca="false">IF(D679="","",IFERROR(VLOOKUP(D679,$A$2:$B$1656,2,FALSE()),""))</f>
        <v>Bodily Transformation States</v>
      </c>
      <c r="F679" s="22" t="n">
        <v>3</v>
      </c>
      <c r="G679" s="22" t="s">
        <v>2933</v>
      </c>
      <c r="H679" s="22" t="s">
        <v>2776</v>
      </c>
      <c r="I679" s="22" t="s">
        <v>2934</v>
      </c>
      <c r="J679" s="22" t="s">
        <v>2842</v>
      </c>
      <c r="K679" s="22" t="s">
        <v>2934</v>
      </c>
      <c r="L679" s="22" t="s">
        <v>184</v>
      </c>
      <c r="M679" s="22" t="s">
        <v>253</v>
      </c>
    </row>
    <row r="680" customFormat="false" ht="43.5" hidden="false" customHeight="true" outlineLevel="0" collapsed="false">
      <c r="A680" s="22" t="s">
        <v>2935</v>
      </c>
      <c r="B680" s="22" t="s">
        <v>2936</v>
      </c>
      <c r="C680" s="22" t="s">
        <v>53</v>
      </c>
      <c r="D680" s="22" t="s">
        <v>2761</v>
      </c>
      <c r="E680" s="22" t="str">
        <f aca="false">IF(D680="","",IFERROR(VLOOKUP(D680,$A$2:$B$1656,2,FALSE()),""))</f>
        <v>Bodily Transformation States</v>
      </c>
      <c r="F680" s="22" t="n">
        <v>3</v>
      </c>
      <c r="G680" s="22" t="s">
        <v>2937</v>
      </c>
      <c r="H680" s="22" t="s">
        <v>2776</v>
      </c>
      <c r="I680" s="22" t="s">
        <v>2938</v>
      </c>
      <c r="J680" s="22" t="s">
        <v>2842</v>
      </c>
      <c r="K680" s="22" t="s">
        <v>2938</v>
      </c>
      <c r="L680" s="22" t="s">
        <v>184</v>
      </c>
      <c r="M680" s="22" t="s">
        <v>253</v>
      </c>
    </row>
    <row r="681" customFormat="false" ht="43.5" hidden="false" customHeight="true" outlineLevel="0" collapsed="false">
      <c r="A681" s="22" t="s">
        <v>2939</v>
      </c>
      <c r="B681" s="22" t="s">
        <v>2940</v>
      </c>
      <c r="C681" s="22" t="s">
        <v>53</v>
      </c>
      <c r="D681" s="22" t="s">
        <v>2761</v>
      </c>
      <c r="E681" s="22" t="str">
        <f aca="false">IF(D681="","",IFERROR(VLOOKUP(D681,$A$2:$B$1656,2,FALSE()),""))</f>
        <v>Bodily Transformation States</v>
      </c>
      <c r="F681" s="22" t="n">
        <v>3</v>
      </c>
      <c r="G681" s="22" t="s">
        <v>2941</v>
      </c>
      <c r="H681" s="22" t="s">
        <v>2776</v>
      </c>
      <c r="I681" s="22" t="s">
        <v>2942</v>
      </c>
      <c r="J681" s="22" t="s">
        <v>2842</v>
      </c>
      <c r="K681" s="22" t="s">
        <v>2942</v>
      </c>
      <c r="L681" s="22" t="s">
        <v>184</v>
      </c>
      <c r="M681" s="22" t="s">
        <v>253</v>
      </c>
    </row>
    <row r="682" customFormat="false" ht="43.5" hidden="false" customHeight="true" outlineLevel="0" collapsed="false">
      <c r="A682" s="22" t="s">
        <v>2943</v>
      </c>
      <c r="B682" s="22" t="s">
        <v>2944</v>
      </c>
      <c r="C682" s="22" t="s">
        <v>53</v>
      </c>
      <c r="D682" s="22" t="s">
        <v>2761</v>
      </c>
      <c r="E682" s="22" t="str">
        <f aca="false">IF(D682="","",IFERROR(VLOOKUP(D682,$A$2:$B$1656,2,FALSE()),""))</f>
        <v>Bodily Transformation States</v>
      </c>
      <c r="F682" s="22" t="n">
        <v>3</v>
      </c>
      <c r="G682" s="22" t="s">
        <v>2945</v>
      </c>
      <c r="H682" s="22" t="s">
        <v>2776</v>
      </c>
      <c r="I682" s="22" t="s">
        <v>2946</v>
      </c>
      <c r="J682" s="22" t="s">
        <v>2842</v>
      </c>
      <c r="K682" s="22" t="s">
        <v>2946</v>
      </c>
      <c r="L682" s="22" t="s">
        <v>184</v>
      </c>
      <c r="M682" s="22" t="s">
        <v>253</v>
      </c>
    </row>
    <row r="683" customFormat="false" ht="43.5" hidden="false" customHeight="true" outlineLevel="0" collapsed="false">
      <c r="A683" s="22" t="s">
        <v>2947</v>
      </c>
      <c r="B683" s="22" t="s">
        <v>2948</v>
      </c>
      <c r="C683" s="22" t="s">
        <v>53</v>
      </c>
      <c r="D683" s="22" t="s">
        <v>2761</v>
      </c>
      <c r="E683" s="22" t="str">
        <f aca="false">IF(D683="","",IFERROR(VLOOKUP(D683,$A$2:$B$1656,2,FALSE()),""))</f>
        <v>Bodily Transformation States</v>
      </c>
      <c r="F683" s="22" t="n">
        <v>3</v>
      </c>
      <c r="G683" s="22" t="s">
        <v>2949</v>
      </c>
      <c r="H683" s="22" t="s">
        <v>2776</v>
      </c>
      <c r="I683" s="22" t="s">
        <v>2950</v>
      </c>
      <c r="J683" s="22" t="s">
        <v>2842</v>
      </c>
      <c r="K683" s="22" t="s">
        <v>2950</v>
      </c>
      <c r="L683" s="22" t="s">
        <v>184</v>
      </c>
      <c r="M683" s="22" t="s">
        <v>253</v>
      </c>
    </row>
    <row r="684" customFormat="false" ht="43.5" hidden="false" customHeight="true" outlineLevel="0" collapsed="false">
      <c r="A684" s="22" t="s">
        <v>2951</v>
      </c>
      <c r="B684" s="22" t="s">
        <v>2952</v>
      </c>
      <c r="C684" s="22" t="s">
        <v>53</v>
      </c>
      <c r="D684" s="22" t="s">
        <v>2761</v>
      </c>
      <c r="E684" s="22" t="str">
        <f aca="false">IF(D684="","",IFERROR(VLOOKUP(D684,$A$2:$B$1656,2,FALSE()),""))</f>
        <v>Bodily Transformation States</v>
      </c>
      <c r="F684" s="22" t="n">
        <v>3</v>
      </c>
      <c r="G684" s="22" t="s">
        <v>2953</v>
      </c>
      <c r="H684" s="22" t="s">
        <v>2776</v>
      </c>
      <c r="I684" s="22" t="s">
        <v>2954</v>
      </c>
      <c r="J684" s="22" t="s">
        <v>2842</v>
      </c>
      <c r="K684" s="22" t="s">
        <v>2954</v>
      </c>
      <c r="L684" s="22" t="s">
        <v>184</v>
      </c>
      <c r="M684" s="22" t="s">
        <v>253</v>
      </c>
    </row>
    <row r="685" customFormat="false" ht="43.5" hidden="false" customHeight="true" outlineLevel="0" collapsed="false">
      <c r="A685" s="22" t="s">
        <v>2955</v>
      </c>
      <c r="B685" s="22" t="s">
        <v>2956</v>
      </c>
      <c r="C685" s="22" t="s">
        <v>53</v>
      </c>
      <c r="D685" s="22" t="s">
        <v>2761</v>
      </c>
      <c r="E685" s="22" t="str">
        <f aca="false">IF(D685="","",IFERROR(VLOOKUP(D685,$A$2:$B$1656,2,FALSE()),""))</f>
        <v>Bodily Transformation States</v>
      </c>
      <c r="F685" s="22" t="n">
        <v>3</v>
      </c>
      <c r="G685" s="22" t="s">
        <v>2957</v>
      </c>
      <c r="H685" s="22" t="s">
        <v>2776</v>
      </c>
      <c r="I685" s="22" t="s">
        <v>2958</v>
      </c>
      <c r="J685" s="22" t="s">
        <v>2842</v>
      </c>
      <c r="K685" s="22" t="s">
        <v>2958</v>
      </c>
      <c r="L685" s="22" t="s">
        <v>184</v>
      </c>
      <c r="M685" s="22" t="s">
        <v>253</v>
      </c>
    </row>
    <row r="686" customFormat="false" ht="43.5" hidden="false" customHeight="true" outlineLevel="0" collapsed="false">
      <c r="A686" s="22" t="s">
        <v>2959</v>
      </c>
      <c r="B686" s="22" t="s">
        <v>2960</v>
      </c>
      <c r="C686" s="22" t="s">
        <v>53</v>
      </c>
      <c r="D686" s="22" t="s">
        <v>2764</v>
      </c>
      <c r="E686" s="22" t="str">
        <f aca="false">IF(D686="","",IFERROR(VLOOKUP(D686,$A$2:$B$1656,2,FALSE()),""))</f>
        <v>Spiritual and Identity States</v>
      </c>
      <c r="F686" s="22" t="n">
        <v>3</v>
      </c>
      <c r="G686" s="22" t="s">
        <v>2961</v>
      </c>
      <c r="H686" s="22" t="s">
        <v>2776</v>
      </c>
      <c r="I686" s="22" t="s">
        <v>2962</v>
      </c>
      <c r="J686" s="22" t="s">
        <v>2963</v>
      </c>
      <c r="K686" s="22" t="s">
        <v>2962</v>
      </c>
      <c r="L686" s="22" t="s">
        <v>184</v>
      </c>
      <c r="M686" s="22" t="s">
        <v>253</v>
      </c>
    </row>
    <row r="687" customFormat="false" ht="43.5" hidden="false" customHeight="true" outlineLevel="0" collapsed="false">
      <c r="A687" s="22" t="s">
        <v>2964</v>
      </c>
      <c r="B687" s="22" t="s">
        <v>2965</v>
      </c>
      <c r="C687" s="22" t="s">
        <v>53</v>
      </c>
      <c r="D687" s="22" t="s">
        <v>2764</v>
      </c>
      <c r="E687" s="22" t="str">
        <f aca="false">IF(D687="","",IFERROR(VLOOKUP(D687,$A$2:$B$1656,2,FALSE()),""))</f>
        <v>Spiritual and Identity States</v>
      </c>
      <c r="F687" s="22" t="n">
        <v>3</v>
      </c>
      <c r="G687" s="22" t="s">
        <v>2966</v>
      </c>
      <c r="H687" s="22" t="s">
        <v>2776</v>
      </c>
      <c r="I687" s="22" t="s">
        <v>2967</v>
      </c>
      <c r="J687" s="22" t="s">
        <v>2963</v>
      </c>
      <c r="K687" s="22" t="s">
        <v>2967</v>
      </c>
      <c r="L687" s="22" t="s">
        <v>184</v>
      </c>
      <c r="M687" s="22" t="s">
        <v>253</v>
      </c>
    </row>
    <row r="688" customFormat="false" ht="43.5" hidden="false" customHeight="true" outlineLevel="0" collapsed="false">
      <c r="A688" s="22" t="s">
        <v>2968</v>
      </c>
      <c r="B688" s="22" t="s">
        <v>2458</v>
      </c>
      <c r="C688" s="22" t="s">
        <v>53</v>
      </c>
      <c r="D688" s="22" t="s">
        <v>2764</v>
      </c>
      <c r="E688" s="22" t="str">
        <f aca="false">IF(D688="","",IFERROR(VLOOKUP(D688,$A$2:$B$1656,2,FALSE()),""))</f>
        <v>Spiritual and Identity States</v>
      </c>
      <c r="F688" s="22" t="n">
        <v>3</v>
      </c>
      <c r="G688" s="22" t="s">
        <v>2969</v>
      </c>
      <c r="H688" s="22" t="s">
        <v>2776</v>
      </c>
      <c r="I688" s="22" t="s">
        <v>2970</v>
      </c>
      <c r="J688" s="22" t="s">
        <v>2963</v>
      </c>
      <c r="K688" s="22" t="s">
        <v>2970</v>
      </c>
      <c r="L688" s="22" t="s">
        <v>184</v>
      </c>
      <c r="M688" s="22" t="s">
        <v>253</v>
      </c>
    </row>
    <row r="689" customFormat="false" ht="43.5" hidden="false" customHeight="true" outlineLevel="0" collapsed="false">
      <c r="A689" s="22" t="s">
        <v>2971</v>
      </c>
      <c r="B689" s="22" t="s">
        <v>2972</v>
      </c>
      <c r="C689" s="22" t="s">
        <v>53</v>
      </c>
      <c r="D689" s="22" t="s">
        <v>2764</v>
      </c>
      <c r="E689" s="22" t="str">
        <f aca="false">IF(D689="","",IFERROR(VLOOKUP(D689,$A$2:$B$1656,2,FALSE()),""))</f>
        <v>Spiritual and Identity States</v>
      </c>
      <c r="F689" s="22" t="n">
        <v>3</v>
      </c>
      <c r="G689" s="22" t="s">
        <v>2973</v>
      </c>
      <c r="H689" s="22" t="s">
        <v>2776</v>
      </c>
      <c r="I689" s="22" t="s">
        <v>2974</v>
      </c>
      <c r="J689" s="22" t="s">
        <v>2963</v>
      </c>
      <c r="K689" s="22" t="s">
        <v>2974</v>
      </c>
      <c r="L689" s="22" t="s">
        <v>184</v>
      </c>
      <c r="M689" s="22" t="s">
        <v>253</v>
      </c>
    </row>
    <row r="690" customFormat="false" ht="43.5" hidden="false" customHeight="true" outlineLevel="0" collapsed="false">
      <c r="A690" s="22" t="s">
        <v>2975</v>
      </c>
      <c r="B690" s="22" t="s">
        <v>2976</v>
      </c>
      <c r="C690" s="22" t="s">
        <v>53</v>
      </c>
      <c r="D690" s="22" t="s">
        <v>2764</v>
      </c>
      <c r="E690" s="22" t="str">
        <f aca="false">IF(D690="","",IFERROR(VLOOKUP(D690,$A$2:$B$1656,2,FALSE()),""))</f>
        <v>Spiritual and Identity States</v>
      </c>
      <c r="F690" s="22" t="n">
        <v>3</v>
      </c>
      <c r="G690" s="22" t="s">
        <v>2977</v>
      </c>
      <c r="H690" s="22" t="s">
        <v>2776</v>
      </c>
      <c r="I690" s="22" t="s">
        <v>2978</v>
      </c>
      <c r="J690" s="22" t="s">
        <v>2963</v>
      </c>
      <c r="K690" s="22" t="s">
        <v>2978</v>
      </c>
      <c r="L690" s="22" t="s">
        <v>184</v>
      </c>
      <c r="M690" s="22" t="s">
        <v>253</v>
      </c>
    </row>
    <row r="691" customFormat="false" ht="43.5" hidden="false" customHeight="true" outlineLevel="0" collapsed="false">
      <c r="A691" s="22" t="s">
        <v>2979</v>
      </c>
      <c r="B691" s="22" t="s">
        <v>2980</v>
      </c>
      <c r="C691" s="22" t="s">
        <v>53</v>
      </c>
      <c r="D691" s="22" t="s">
        <v>2764</v>
      </c>
      <c r="E691" s="22" t="str">
        <f aca="false">IF(D691="","",IFERROR(VLOOKUP(D691,$A$2:$B$1656,2,FALSE()),""))</f>
        <v>Spiritual and Identity States</v>
      </c>
      <c r="F691" s="22" t="n">
        <v>3</v>
      </c>
      <c r="G691" s="22" t="s">
        <v>2981</v>
      </c>
      <c r="H691" s="22" t="s">
        <v>2776</v>
      </c>
      <c r="I691" s="22" t="s">
        <v>2982</v>
      </c>
      <c r="J691" s="22" t="s">
        <v>2963</v>
      </c>
      <c r="K691" s="22" t="s">
        <v>2982</v>
      </c>
      <c r="L691" s="22" t="s">
        <v>184</v>
      </c>
      <c r="M691" s="22" t="s">
        <v>253</v>
      </c>
    </row>
    <row r="692" customFormat="false" ht="43.5" hidden="false" customHeight="true" outlineLevel="0" collapsed="false">
      <c r="A692" s="22" t="s">
        <v>2983</v>
      </c>
      <c r="B692" s="22" t="s">
        <v>2984</v>
      </c>
      <c r="C692" s="22" t="s">
        <v>53</v>
      </c>
      <c r="D692" s="22" t="s">
        <v>2764</v>
      </c>
      <c r="E692" s="22" t="str">
        <f aca="false">IF(D692="","",IFERROR(VLOOKUP(D692,$A$2:$B$1656,2,FALSE()),""))</f>
        <v>Spiritual and Identity States</v>
      </c>
      <c r="F692" s="22" t="n">
        <v>3</v>
      </c>
      <c r="G692" s="22" t="s">
        <v>2985</v>
      </c>
      <c r="H692" s="22" t="s">
        <v>2776</v>
      </c>
      <c r="I692" s="22" t="s">
        <v>2986</v>
      </c>
      <c r="J692" s="22" t="s">
        <v>2963</v>
      </c>
      <c r="K692" s="22" t="s">
        <v>2986</v>
      </c>
      <c r="L692" s="22" t="s">
        <v>184</v>
      </c>
      <c r="M692" s="22" t="s">
        <v>253</v>
      </c>
    </row>
    <row r="693" customFormat="false" ht="43.5" hidden="false" customHeight="true" outlineLevel="0" collapsed="false">
      <c r="A693" s="22" t="s">
        <v>2987</v>
      </c>
      <c r="B693" s="22" t="s">
        <v>2988</v>
      </c>
      <c r="C693" s="22" t="s">
        <v>53</v>
      </c>
      <c r="D693" s="22" t="s">
        <v>2764</v>
      </c>
      <c r="E693" s="22" t="str">
        <f aca="false">IF(D693="","",IFERROR(VLOOKUP(D693,$A$2:$B$1656,2,FALSE()),""))</f>
        <v>Spiritual and Identity States</v>
      </c>
      <c r="F693" s="22" t="n">
        <v>3</v>
      </c>
      <c r="G693" s="22" t="s">
        <v>2989</v>
      </c>
      <c r="H693" s="22" t="s">
        <v>2776</v>
      </c>
      <c r="I693" s="22" t="s">
        <v>2990</v>
      </c>
      <c r="J693" s="22" t="s">
        <v>2963</v>
      </c>
      <c r="K693" s="22" t="s">
        <v>2990</v>
      </c>
      <c r="L693" s="22" t="s">
        <v>184</v>
      </c>
      <c r="M693" s="22" t="s">
        <v>253</v>
      </c>
    </row>
    <row r="694" customFormat="false" ht="43.5" hidden="false" customHeight="true" outlineLevel="0" collapsed="false">
      <c r="A694" s="22" t="s">
        <v>2991</v>
      </c>
      <c r="B694" s="22" t="s">
        <v>2992</v>
      </c>
      <c r="C694" s="22" t="s">
        <v>53</v>
      </c>
      <c r="D694" s="22" t="s">
        <v>2764</v>
      </c>
      <c r="E694" s="22" t="str">
        <f aca="false">IF(D694="","",IFERROR(VLOOKUP(D694,$A$2:$B$1656,2,FALSE()),""))</f>
        <v>Spiritual and Identity States</v>
      </c>
      <c r="F694" s="22" t="n">
        <v>3</v>
      </c>
      <c r="G694" s="22" t="s">
        <v>2993</v>
      </c>
      <c r="H694" s="22" t="s">
        <v>2776</v>
      </c>
      <c r="I694" s="22" t="s">
        <v>2994</v>
      </c>
      <c r="J694" s="22" t="s">
        <v>2963</v>
      </c>
      <c r="K694" s="22" t="s">
        <v>2994</v>
      </c>
      <c r="L694" s="22" t="s">
        <v>184</v>
      </c>
      <c r="M694" s="22" t="s">
        <v>253</v>
      </c>
    </row>
    <row r="695" customFormat="false" ht="43.5" hidden="false" customHeight="true" outlineLevel="0" collapsed="false">
      <c r="A695" s="22" t="s">
        <v>2995</v>
      </c>
      <c r="B695" s="22" t="s">
        <v>2996</v>
      </c>
      <c r="C695" s="22" t="s">
        <v>53</v>
      </c>
      <c r="D695" s="22" t="s">
        <v>2764</v>
      </c>
      <c r="E695" s="22" t="str">
        <f aca="false">IF(D695="","",IFERROR(VLOOKUP(D695,$A$2:$B$1656,2,FALSE()),""))</f>
        <v>Spiritual and Identity States</v>
      </c>
      <c r="F695" s="22" t="n">
        <v>3</v>
      </c>
      <c r="G695" s="22" t="s">
        <v>2997</v>
      </c>
      <c r="H695" s="22" t="s">
        <v>2776</v>
      </c>
      <c r="I695" s="22" t="s">
        <v>2998</v>
      </c>
      <c r="J695" s="22" t="s">
        <v>2963</v>
      </c>
      <c r="K695" s="22" t="s">
        <v>2998</v>
      </c>
      <c r="L695" s="22" t="s">
        <v>184</v>
      </c>
      <c r="M695" s="22" t="s">
        <v>253</v>
      </c>
    </row>
    <row r="696" customFormat="false" ht="43.5" hidden="false" customHeight="true" outlineLevel="0" collapsed="false">
      <c r="A696" s="22" t="s">
        <v>2999</v>
      </c>
      <c r="B696" s="22" t="s">
        <v>3000</v>
      </c>
      <c r="C696" s="22" t="s">
        <v>53</v>
      </c>
      <c r="D696" s="22" t="s">
        <v>2764</v>
      </c>
      <c r="E696" s="22" t="str">
        <f aca="false">IF(D696="","",IFERROR(VLOOKUP(D696,$A$2:$B$1656,2,FALSE()),""))</f>
        <v>Spiritual and Identity States</v>
      </c>
      <c r="F696" s="22" t="n">
        <v>3</v>
      </c>
      <c r="G696" s="22" t="s">
        <v>3001</v>
      </c>
      <c r="H696" s="22" t="s">
        <v>2776</v>
      </c>
      <c r="I696" s="22" t="s">
        <v>3002</v>
      </c>
      <c r="J696" s="22" t="s">
        <v>2963</v>
      </c>
      <c r="K696" s="22" t="s">
        <v>3002</v>
      </c>
      <c r="L696" s="22" t="s">
        <v>184</v>
      </c>
      <c r="M696" s="22" t="s">
        <v>253</v>
      </c>
    </row>
    <row r="697" customFormat="false" ht="43.5" hidden="false" customHeight="true" outlineLevel="0" collapsed="false">
      <c r="A697" s="22" t="s">
        <v>3003</v>
      </c>
      <c r="B697" s="22" t="s">
        <v>3004</v>
      </c>
      <c r="C697" s="22" t="s">
        <v>53</v>
      </c>
      <c r="D697" s="22" t="s">
        <v>2764</v>
      </c>
      <c r="E697" s="22" t="str">
        <f aca="false">IF(D697="","",IFERROR(VLOOKUP(D697,$A$2:$B$1656,2,FALSE()),""))</f>
        <v>Spiritual and Identity States</v>
      </c>
      <c r="F697" s="22" t="n">
        <v>3</v>
      </c>
      <c r="G697" s="22" t="s">
        <v>3005</v>
      </c>
      <c r="H697" s="22" t="s">
        <v>2776</v>
      </c>
      <c r="I697" s="22" t="s">
        <v>3006</v>
      </c>
      <c r="J697" s="22" t="s">
        <v>2963</v>
      </c>
      <c r="K697" s="22" t="s">
        <v>3006</v>
      </c>
      <c r="L697" s="22" t="s">
        <v>184</v>
      </c>
      <c r="M697" s="22" t="s">
        <v>253</v>
      </c>
    </row>
    <row r="698" customFormat="false" ht="43.5" hidden="false" customHeight="true" outlineLevel="0" collapsed="false">
      <c r="A698" s="22" t="s">
        <v>3007</v>
      </c>
      <c r="B698" s="22" t="s">
        <v>3008</v>
      </c>
      <c r="C698" s="22" t="s">
        <v>53</v>
      </c>
      <c r="D698" s="22" t="s">
        <v>2764</v>
      </c>
      <c r="E698" s="22" t="str">
        <f aca="false">IF(D698="","",IFERROR(VLOOKUP(D698,$A$2:$B$1656,2,FALSE()),""))</f>
        <v>Spiritual and Identity States</v>
      </c>
      <c r="F698" s="22" t="n">
        <v>3</v>
      </c>
      <c r="G698" s="22" t="s">
        <v>3009</v>
      </c>
      <c r="H698" s="22" t="s">
        <v>2776</v>
      </c>
      <c r="I698" s="22" t="s">
        <v>3010</v>
      </c>
      <c r="J698" s="22" t="s">
        <v>2963</v>
      </c>
      <c r="K698" s="22" t="s">
        <v>3010</v>
      </c>
      <c r="L698" s="22" t="s">
        <v>184</v>
      </c>
      <c r="M698" s="22" t="s">
        <v>253</v>
      </c>
    </row>
    <row r="699" customFormat="false" ht="43.5" hidden="false" customHeight="true" outlineLevel="0" collapsed="false">
      <c r="A699" s="22" t="s">
        <v>3011</v>
      </c>
      <c r="B699" s="22" t="s">
        <v>3012</v>
      </c>
      <c r="C699" s="22" t="s">
        <v>53</v>
      </c>
      <c r="D699" s="22" t="s">
        <v>2764</v>
      </c>
      <c r="E699" s="22" t="str">
        <f aca="false">IF(D699="","",IFERROR(VLOOKUP(D699,$A$2:$B$1656,2,FALSE()),""))</f>
        <v>Spiritual and Identity States</v>
      </c>
      <c r="F699" s="22" t="n">
        <v>3</v>
      </c>
      <c r="G699" s="22" t="s">
        <v>3013</v>
      </c>
      <c r="H699" s="22" t="s">
        <v>2776</v>
      </c>
      <c r="I699" s="22" t="s">
        <v>3014</v>
      </c>
      <c r="J699" s="22" t="s">
        <v>2963</v>
      </c>
      <c r="K699" s="22" t="s">
        <v>3014</v>
      </c>
      <c r="L699" s="22" t="s">
        <v>184</v>
      </c>
      <c r="M699" s="22" t="s">
        <v>253</v>
      </c>
    </row>
    <row r="700" customFormat="false" ht="43.5" hidden="false" customHeight="true" outlineLevel="0" collapsed="false">
      <c r="A700" s="22" t="s">
        <v>3015</v>
      </c>
      <c r="B700" s="22" t="s">
        <v>3016</v>
      </c>
      <c r="C700" s="22" t="s">
        <v>53</v>
      </c>
      <c r="D700" s="22" t="s">
        <v>2764</v>
      </c>
      <c r="E700" s="22" t="str">
        <f aca="false">IF(D700="","",IFERROR(VLOOKUP(D700,$A$2:$B$1656,2,FALSE()),""))</f>
        <v>Spiritual and Identity States</v>
      </c>
      <c r="F700" s="22" t="n">
        <v>3</v>
      </c>
      <c r="G700" s="22" t="s">
        <v>3017</v>
      </c>
      <c r="H700" s="22" t="s">
        <v>2776</v>
      </c>
      <c r="I700" s="22" t="s">
        <v>3018</v>
      </c>
      <c r="J700" s="22" t="s">
        <v>2963</v>
      </c>
      <c r="K700" s="22" t="s">
        <v>3018</v>
      </c>
      <c r="L700" s="22" t="s">
        <v>3019</v>
      </c>
      <c r="M700" s="22" t="s">
        <v>253</v>
      </c>
    </row>
    <row r="701" customFormat="false" ht="43.5" hidden="false" customHeight="true" outlineLevel="0" collapsed="false">
      <c r="A701" s="22" t="s">
        <v>3020</v>
      </c>
      <c r="B701" s="22" t="s">
        <v>3021</v>
      </c>
      <c r="C701" s="22" t="s">
        <v>53</v>
      </c>
      <c r="D701" s="22" t="s">
        <v>2764</v>
      </c>
      <c r="E701" s="22" t="str">
        <f aca="false">IF(D701="","",IFERROR(VLOOKUP(D701,$A$2:$B$1656,2,FALSE()),""))</f>
        <v>Spiritual and Identity States</v>
      </c>
      <c r="F701" s="22" t="n">
        <v>3</v>
      </c>
      <c r="G701" s="22" t="s">
        <v>3022</v>
      </c>
      <c r="H701" s="22" t="s">
        <v>2776</v>
      </c>
      <c r="I701" s="22" t="s">
        <v>3023</v>
      </c>
      <c r="J701" s="22" t="s">
        <v>2963</v>
      </c>
      <c r="K701" s="22" t="s">
        <v>3023</v>
      </c>
      <c r="L701" s="22" t="s">
        <v>184</v>
      </c>
      <c r="M701" s="22" t="s">
        <v>253</v>
      </c>
    </row>
    <row r="702" customFormat="false" ht="43.5" hidden="false" customHeight="true" outlineLevel="0" collapsed="false">
      <c r="A702" s="22" t="s">
        <v>3024</v>
      </c>
      <c r="B702" s="22" t="s">
        <v>3025</v>
      </c>
      <c r="C702" s="22" t="s">
        <v>53</v>
      </c>
      <c r="D702" s="22" t="s">
        <v>2764</v>
      </c>
      <c r="E702" s="22" t="str">
        <f aca="false">IF(D702="","",IFERROR(VLOOKUP(D702,$A$2:$B$1656,2,FALSE()),""))</f>
        <v>Spiritual and Identity States</v>
      </c>
      <c r="F702" s="22" t="n">
        <v>3</v>
      </c>
      <c r="G702" s="22" t="s">
        <v>3026</v>
      </c>
      <c r="H702" s="22" t="s">
        <v>2776</v>
      </c>
      <c r="I702" s="22" t="s">
        <v>3027</v>
      </c>
      <c r="J702" s="22" t="s">
        <v>2963</v>
      </c>
      <c r="K702" s="22" t="s">
        <v>3027</v>
      </c>
      <c r="L702" s="22" t="s">
        <v>184</v>
      </c>
      <c r="M702" s="22" t="s">
        <v>253</v>
      </c>
    </row>
    <row r="703" customFormat="false" ht="43.5" hidden="false" customHeight="true" outlineLevel="0" collapsed="false">
      <c r="A703" s="22" t="s">
        <v>3028</v>
      </c>
      <c r="B703" s="22" t="s">
        <v>3029</v>
      </c>
      <c r="C703" s="22" t="s">
        <v>53</v>
      </c>
      <c r="D703" s="22" t="s">
        <v>2764</v>
      </c>
      <c r="E703" s="22" t="str">
        <f aca="false">IF(D703="","",IFERROR(VLOOKUP(D703,$A$2:$B$1656,2,FALSE()),""))</f>
        <v>Spiritual and Identity States</v>
      </c>
      <c r="F703" s="22" t="n">
        <v>3</v>
      </c>
      <c r="G703" s="22" t="s">
        <v>3030</v>
      </c>
      <c r="H703" s="22" t="s">
        <v>2776</v>
      </c>
      <c r="I703" s="22" t="s">
        <v>3031</v>
      </c>
      <c r="J703" s="22" t="s">
        <v>2963</v>
      </c>
      <c r="K703" s="22" t="s">
        <v>3031</v>
      </c>
      <c r="L703" s="22" t="s">
        <v>184</v>
      </c>
      <c r="M703" s="22" t="s">
        <v>253</v>
      </c>
    </row>
    <row r="704" customFormat="false" ht="43.5" hidden="false" customHeight="true" outlineLevel="0" collapsed="false">
      <c r="A704" s="22" t="s">
        <v>3032</v>
      </c>
      <c r="B704" s="22" t="s">
        <v>3033</v>
      </c>
      <c r="C704" s="22" t="s">
        <v>53</v>
      </c>
      <c r="D704" s="22" t="s">
        <v>2764</v>
      </c>
      <c r="E704" s="22" t="str">
        <f aca="false">IF(D704="","",IFERROR(VLOOKUP(D704,$A$2:$B$1656,2,FALSE()),""))</f>
        <v>Spiritual and Identity States</v>
      </c>
      <c r="F704" s="22" t="n">
        <v>3</v>
      </c>
      <c r="G704" s="22" t="s">
        <v>3034</v>
      </c>
      <c r="H704" s="22" t="s">
        <v>2776</v>
      </c>
      <c r="I704" s="22" t="s">
        <v>3035</v>
      </c>
      <c r="J704" s="22" t="s">
        <v>2963</v>
      </c>
      <c r="K704" s="22" t="s">
        <v>3035</v>
      </c>
      <c r="L704" s="22" t="s">
        <v>184</v>
      </c>
      <c r="M704" s="22" t="s">
        <v>253</v>
      </c>
    </row>
    <row r="705" customFormat="false" ht="43.5" hidden="false" customHeight="true" outlineLevel="0" collapsed="false">
      <c r="A705" s="22" t="s">
        <v>3036</v>
      </c>
      <c r="B705" s="22" t="s">
        <v>3037</v>
      </c>
      <c r="C705" s="22" t="s">
        <v>53</v>
      </c>
      <c r="D705" s="22" t="s">
        <v>2764</v>
      </c>
      <c r="E705" s="22" t="str">
        <f aca="false">IF(D705="","",IFERROR(VLOOKUP(D705,$A$2:$B$1656,2,FALSE()),""))</f>
        <v>Spiritual and Identity States</v>
      </c>
      <c r="F705" s="22" t="n">
        <v>3</v>
      </c>
      <c r="G705" s="22" t="s">
        <v>3038</v>
      </c>
      <c r="H705" s="22" t="s">
        <v>2776</v>
      </c>
      <c r="I705" s="22" t="s">
        <v>3039</v>
      </c>
      <c r="J705" s="22" t="s">
        <v>2963</v>
      </c>
      <c r="K705" s="22" t="s">
        <v>3039</v>
      </c>
      <c r="L705" s="22" t="s">
        <v>184</v>
      </c>
      <c r="M705" s="22" t="s">
        <v>253</v>
      </c>
    </row>
    <row r="706" customFormat="false" ht="43.5" hidden="false" customHeight="true" outlineLevel="0" collapsed="false">
      <c r="A706" s="22" t="s">
        <v>3040</v>
      </c>
      <c r="B706" s="22" t="s">
        <v>3041</v>
      </c>
      <c r="C706" s="22" t="s">
        <v>53</v>
      </c>
      <c r="D706" s="22" t="s">
        <v>2764</v>
      </c>
      <c r="E706" s="22" t="str">
        <f aca="false">IF(D706="","",IFERROR(VLOOKUP(D706,$A$2:$B$1656,2,FALSE()),""))</f>
        <v>Spiritual and Identity States</v>
      </c>
      <c r="F706" s="22" t="n">
        <v>3</v>
      </c>
      <c r="G706" s="22" t="s">
        <v>3042</v>
      </c>
      <c r="H706" s="22" t="s">
        <v>2776</v>
      </c>
      <c r="I706" s="22" t="s">
        <v>3043</v>
      </c>
      <c r="J706" s="22" t="s">
        <v>2963</v>
      </c>
      <c r="K706" s="22" t="s">
        <v>3043</v>
      </c>
      <c r="L706" s="22" t="s">
        <v>184</v>
      </c>
      <c r="M706" s="22" t="s">
        <v>253</v>
      </c>
    </row>
    <row r="707" customFormat="false" ht="43.5" hidden="false" customHeight="true" outlineLevel="0" collapsed="false">
      <c r="A707" s="22" t="s">
        <v>3044</v>
      </c>
      <c r="B707" s="22" t="s">
        <v>3045</v>
      </c>
      <c r="C707" s="22" t="s">
        <v>53</v>
      </c>
      <c r="D707" s="22" t="s">
        <v>2764</v>
      </c>
      <c r="E707" s="22" t="str">
        <f aca="false">IF(D707="","",IFERROR(VLOOKUP(D707,$A$2:$B$1656,2,FALSE()),""))</f>
        <v>Spiritual and Identity States</v>
      </c>
      <c r="F707" s="22" t="n">
        <v>3</v>
      </c>
      <c r="G707" s="22" t="s">
        <v>3046</v>
      </c>
      <c r="H707" s="22" t="s">
        <v>2776</v>
      </c>
      <c r="I707" s="22" t="s">
        <v>3047</v>
      </c>
      <c r="J707" s="22" t="s">
        <v>2963</v>
      </c>
      <c r="K707" s="22" t="s">
        <v>3047</v>
      </c>
      <c r="L707" s="22" t="s">
        <v>184</v>
      </c>
      <c r="M707" s="22" t="s">
        <v>253</v>
      </c>
    </row>
    <row r="708" customFormat="false" ht="43.5" hidden="false" customHeight="true" outlineLevel="0" collapsed="false">
      <c r="A708" s="22" t="s">
        <v>3048</v>
      </c>
      <c r="B708" s="22" t="s">
        <v>3049</v>
      </c>
      <c r="C708" s="22" t="s">
        <v>53</v>
      </c>
      <c r="D708" s="22" t="s">
        <v>2764</v>
      </c>
      <c r="E708" s="22" t="str">
        <f aca="false">IF(D708="","",IFERROR(VLOOKUP(D708,$A$2:$B$1656,2,FALSE()),""))</f>
        <v>Spiritual and Identity States</v>
      </c>
      <c r="F708" s="22" t="n">
        <v>3</v>
      </c>
      <c r="G708" s="22" t="s">
        <v>3050</v>
      </c>
      <c r="H708" s="22" t="s">
        <v>2776</v>
      </c>
      <c r="I708" s="22" t="s">
        <v>3051</v>
      </c>
      <c r="J708" s="22" t="s">
        <v>2963</v>
      </c>
      <c r="K708" s="22" t="s">
        <v>3051</v>
      </c>
      <c r="L708" s="22" t="s">
        <v>184</v>
      </c>
      <c r="M708" s="22" t="s">
        <v>253</v>
      </c>
    </row>
    <row r="709" customFormat="false" ht="43.5" hidden="false" customHeight="true" outlineLevel="0" collapsed="false">
      <c r="A709" s="22" t="s">
        <v>3052</v>
      </c>
      <c r="B709" s="22" t="s">
        <v>3053</v>
      </c>
      <c r="C709" s="22" t="s">
        <v>53</v>
      </c>
      <c r="D709" s="22" t="s">
        <v>2764</v>
      </c>
      <c r="E709" s="22" t="str">
        <f aca="false">IF(D709="","",IFERROR(VLOOKUP(D709,$A$2:$B$1656,2,FALSE()),""))</f>
        <v>Spiritual and Identity States</v>
      </c>
      <c r="F709" s="22" t="n">
        <v>3</v>
      </c>
      <c r="G709" s="22" t="s">
        <v>3054</v>
      </c>
      <c r="H709" s="22" t="s">
        <v>2776</v>
      </c>
      <c r="I709" s="22" t="s">
        <v>3055</v>
      </c>
      <c r="J709" s="22" t="s">
        <v>2963</v>
      </c>
      <c r="K709" s="22" t="s">
        <v>3055</v>
      </c>
      <c r="L709" s="22" t="s">
        <v>184</v>
      </c>
      <c r="M709" s="22" t="s">
        <v>253</v>
      </c>
    </row>
    <row r="710" customFormat="false" ht="43.5" hidden="false" customHeight="true" outlineLevel="0" collapsed="false">
      <c r="A710" s="22" t="s">
        <v>3056</v>
      </c>
      <c r="B710" s="22" t="s">
        <v>3057</v>
      </c>
      <c r="C710" s="22" t="s">
        <v>53</v>
      </c>
      <c r="D710" s="22" t="s">
        <v>2764</v>
      </c>
      <c r="E710" s="22" t="str">
        <f aca="false">IF(D710="","",IFERROR(VLOOKUP(D710,$A$2:$B$1656,2,FALSE()),""))</f>
        <v>Spiritual and Identity States</v>
      </c>
      <c r="F710" s="22" t="n">
        <v>3</v>
      </c>
      <c r="G710" s="22" t="s">
        <v>3058</v>
      </c>
      <c r="H710" s="22" t="s">
        <v>2776</v>
      </c>
      <c r="I710" s="22" t="s">
        <v>3059</v>
      </c>
      <c r="J710" s="22" t="s">
        <v>2963</v>
      </c>
      <c r="K710" s="22" t="s">
        <v>3059</v>
      </c>
      <c r="L710" s="22" t="s">
        <v>184</v>
      </c>
      <c r="M710" s="22" t="s">
        <v>253</v>
      </c>
    </row>
    <row r="711" customFormat="false" ht="43.5" hidden="false" customHeight="true" outlineLevel="0" collapsed="false">
      <c r="A711" s="22" t="s">
        <v>3060</v>
      </c>
      <c r="B711" s="22" t="s">
        <v>3061</v>
      </c>
      <c r="C711" s="22" t="s">
        <v>53</v>
      </c>
      <c r="D711" s="22" t="s">
        <v>2764</v>
      </c>
      <c r="E711" s="22" t="str">
        <f aca="false">IF(D711="","",IFERROR(VLOOKUP(D711,$A$2:$B$1656,2,FALSE()),""))</f>
        <v>Spiritual and Identity States</v>
      </c>
      <c r="F711" s="22" t="n">
        <v>3</v>
      </c>
      <c r="G711" s="22" t="s">
        <v>3062</v>
      </c>
      <c r="H711" s="22" t="s">
        <v>2776</v>
      </c>
      <c r="I711" s="22" t="s">
        <v>3063</v>
      </c>
      <c r="J711" s="22" t="s">
        <v>2963</v>
      </c>
      <c r="K711" s="22" t="s">
        <v>3063</v>
      </c>
      <c r="L711" s="22" t="s">
        <v>184</v>
      </c>
      <c r="M711" s="22" t="s">
        <v>253</v>
      </c>
    </row>
    <row r="712" customFormat="false" ht="43.5" hidden="false" customHeight="true" outlineLevel="0" collapsed="false">
      <c r="A712" s="22" t="s">
        <v>3064</v>
      </c>
      <c r="B712" s="22" t="s">
        <v>3065</v>
      </c>
      <c r="C712" s="22" t="s">
        <v>53</v>
      </c>
      <c r="D712" s="22" t="s">
        <v>2767</v>
      </c>
      <c r="E712" s="22" t="str">
        <f aca="false">IF(D712="","",IFERROR(VLOOKUP(D712,$A$2:$B$1656,2,FALSE()),""))</f>
        <v>Empowerment, Bond, and Alignment States</v>
      </c>
      <c r="F712" s="22" t="n">
        <v>3</v>
      </c>
      <c r="G712" s="22" t="s">
        <v>3066</v>
      </c>
      <c r="H712" s="22" t="s">
        <v>2776</v>
      </c>
      <c r="I712" s="22" t="s">
        <v>3067</v>
      </c>
      <c r="J712" s="22" t="s">
        <v>3068</v>
      </c>
      <c r="K712" s="22" t="s">
        <v>3067</v>
      </c>
      <c r="L712" s="22" t="s">
        <v>184</v>
      </c>
      <c r="M712" s="22" t="s">
        <v>253</v>
      </c>
    </row>
    <row r="713" customFormat="false" ht="43.5" hidden="false" customHeight="true" outlineLevel="0" collapsed="false">
      <c r="A713" s="22" t="s">
        <v>3069</v>
      </c>
      <c r="B713" s="22" t="s">
        <v>3070</v>
      </c>
      <c r="C713" s="22" t="s">
        <v>53</v>
      </c>
      <c r="D713" s="22" t="s">
        <v>2767</v>
      </c>
      <c r="E713" s="22" t="str">
        <f aca="false">IF(D713="","",IFERROR(VLOOKUP(D713,$A$2:$B$1656,2,FALSE()),""))</f>
        <v>Empowerment, Bond, and Alignment States</v>
      </c>
      <c r="F713" s="22" t="n">
        <v>3</v>
      </c>
      <c r="G713" s="22" t="s">
        <v>3071</v>
      </c>
      <c r="H713" s="22" t="s">
        <v>2776</v>
      </c>
      <c r="I713" s="22" t="s">
        <v>3072</v>
      </c>
      <c r="J713" s="22" t="s">
        <v>3068</v>
      </c>
      <c r="K713" s="22" t="s">
        <v>3072</v>
      </c>
      <c r="L713" s="22" t="s">
        <v>184</v>
      </c>
      <c r="M713" s="22" t="s">
        <v>253</v>
      </c>
    </row>
    <row r="714" customFormat="false" ht="43.5" hidden="false" customHeight="true" outlineLevel="0" collapsed="false">
      <c r="A714" s="22" t="s">
        <v>3073</v>
      </c>
      <c r="B714" s="22" t="s">
        <v>3074</v>
      </c>
      <c r="C714" s="22" t="s">
        <v>53</v>
      </c>
      <c r="D714" s="22" t="s">
        <v>2767</v>
      </c>
      <c r="E714" s="22" t="str">
        <f aca="false">IF(D714="","",IFERROR(VLOOKUP(D714,$A$2:$B$1656,2,FALSE()),""))</f>
        <v>Empowerment, Bond, and Alignment States</v>
      </c>
      <c r="F714" s="22" t="n">
        <v>3</v>
      </c>
      <c r="G714" s="22" t="s">
        <v>3075</v>
      </c>
      <c r="H714" s="22" t="s">
        <v>2776</v>
      </c>
      <c r="I714" s="22" t="s">
        <v>3076</v>
      </c>
      <c r="J714" s="22" t="s">
        <v>3068</v>
      </c>
      <c r="K714" s="22" t="s">
        <v>3076</v>
      </c>
      <c r="L714" s="22" t="s">
        <v>184</v>
      </c>
      <c r="M714" s="22" t="s">
        <v>253</v>
      </c>
    </row>
    <row r="715" customFormat="false" ht="43.5" hidden="false" customHeight="true" outlineLevel="0" collapsed="false">
      <c r="A715" s="22" t="s">
        <v>3077</v>
      </c>
      <c r="B715" s="22" t="s">
        <v>3078</v>
      </c>
      <c r="C715" s="22" t="s">
        <v>53</v>
      </c>
      <c r="D715" s="22" t="s">
        <v>2767</v>
      </c>
      <c r="E715" s="22" t="str">
        <f aca="false">IF(D715="","",IFERROR(VLOOKUP(D715,$A$2:$B$1656,2,FALSE()),""))</f>
        <v>Empowerment, Bond, and Alignment States</v>
      </c>
      <c r="F715" s="22" t="n">
        <v>3</v>
      </c>
      <c r="G715" s="22" t="s">
        <v>3079</v>
      </c>
      <c r="H715" s="22" t="s">
        <v>2776</v>
      </c>
      <c r="I715" s="22" t="s">
        <v>3080</v>
      </c>
      <c r="J715" s="22" t="s">
        <v>3068</v>
      </c>
      <c r="K715" s="22" t="s">
        <v>3080</v>
      </c>
      <c r="L715" s="22" t="s">
        <v>184</v>
      </c>
      <c r="M715" s="22" t="s">
        <v>253</v>
      </c>
    </row>
    <row r="716" customFormat="false" ht="43.5" hidden="false" customHeight="true" outlineLevel="0" collapsed="false">
      <c r="A716" s="22" t="s">
        <v>3081</v>
      </c>
      <c r="B716" s="22" t="s">
        <v>3082</v>
      </c>
      <c r="C716" s="22" t="s">
        <v>53</v>
      </c>
      <c r="D716" s="22" t="s">
        <v>2767</v>
      </c>
      <c r="E716" s="22" t="str">
        <f aca="false">IF(D716="","",IFERROR(VLOOKUP(D716,$A$2:$B$1656,2,FALSE()),""))</f>
        <v>Empowerment, Bond, and Alignment States</v>
      </c>
      <c r="F716" s="22" t="n">
        <v>3</v>
      </c>
      <c r="G716" s="22" t="s">
        <v>3083</v>
      </c>
      <c r="H716" s="22" t="s">
        <v>2776</v>
      </c>
      <c r="I716" s="22" t="s">
        <v>3084</v>
      </c>
      <c r="J716" s="22" t="s">
        <v>3068</v>
      </c>
      <c r="K716" s="22" t="s">
        <v>3084</v>
      </c>
      <c r="L716" s="22" t="s">
        <v>184</v>
      </c>
      <c r="M716" s="22" t="s">
        <v>253</v>
      </c>
    </row>
    <row r="717" customFormat="false" ht="43.5" hidden="false" customHeight="true" outlineLevel="0" collapsed="false">
      <c r="A717" s="22" t="s">
        <v>3085</v>
      </c>
      <c r="B717" s="22" t="s">
        <v>3086</v>
      </c>
      <c r="C717" s="22" t="s">
        <v>53</v>
      </c>
      <c r="D717" s="22" t="s">
        <v>2767</v>
      </c>
      <c r="E717" s="22" t="str">
        <f aca="false">IF(D717="","",IFERROR(VLOOKUP(D717,$A$2:$B$1656,2,FALSE()),""))</f>
        <v>Empowerment, Bond, and Alignment States</v>
      </c>
      <c r="F717" s="22" t="n">
        <v>3</v>
      </c>
      <c r="G717" s="22" t="s">
        <v>3087</v>
      </c>
      <c r="H717" s="22" t="s">
        <v>2776</v>
      </c>
      <c r="I717" s="22" t="s">
        <v>3088</v>
      </c>
      <c r="J717" s="22" t="s">
        <v>3068</v>
      </c>
      <c r="K717" s="22" t="s">
        <v>3088</v>
      </c>
      <c r="L717" s="22" t="s">
        <v>184</v>
      </c>
      <c r="M717" s="22" t="s">
        <v>253</v>
      </c>
    </row>
    <row r="718" customFormat="false" ht="43.5" hidden="false" customHeight="true" outlineLevel="0" collapsed="false">
      <c r="A718" s="22" t="s">
        <v>3089</v>
      </c>
      <c r="B718" s="22" t="s">
        <v>3090</v>
      </c>
      <c r="C718" s="22" t="s">
        <v>53</v>
      </c>
      <c r="D718" s="22" t="s">
        <v>2767</v>
      </c>
      <c r="E718" s="22" t="str">
        <f aca="false">IF(D718="","",IFERROR(VLOOKUP(D718,$A$2:$B$1656,2,FALSE()),""))</f>
        <v>Empowerment, Bond, and Alignment States</v>
      </c>
      <c r="F718" s="22" t="n">
        <v>3</v>
      </c>
      <c r="G718" s="22" t="s">
        <v>3091</v>
      </c>
      <c r="H718" s="22" t="s">
        <v>2776</v>
      </c>
      <c r="I718" s="22" t="s">
        <v>3092</v>
      </c>
      <c r="J718" s="22" t="s">
        <v>3068</v>
      </c>
      <c r="K718" s="22" t="s">
        <v>3092</v>
      </c>
      <c r="L718" s="22" t="s">
        <v>184</v>
      </c>
      <c r="M718" s="22" t="s">
        <v>253</v>
      </c>
    </row>
    <row r="719" customFormat="false" ht="43.5" hidden="false" customHeight="true" outlineLevel="0" collapsed="false">
      <c r="A719" s="22" t="s">
        <v>3093</v>
      </c>
      <c r="B719" s="22" t="s">
        <v>3094</v>
      </c>
      <c r="C719" s="22" t="s">
        <v>53</v>
      </c>
      <c r="D719" s="22" t="s">
        <v>2767</v>
      </c>
      <c r="E719" s="22" t="str">
        <f aca="false">IF(D719="","",IFERROR(VLOOKUP(D719,$A$2:$B$1656,2,FALSE()),""))</f>
        <v>Empowerment, Bond, and Alignment States</v>
      </c>
      <c r="F719" s="22" t="n">
        <v>3</v>
      </c>
      <c r="G719" s="22" t="s">
        <v>3095</v>
      </c>
      <c r="H719" s="22" t="s">
        <v>2776</v>
      </c>
      <c r="I719" s="22" t="s">
        <v>3096</v>
      </c>
      <c r="J719" s="22" t="s">
        <v>3068</v>
      </c>
      <c r="K719" s="22" t="s">
        <v>3096</v>
      </c>
      <c r="L719" s="22" t="s">
        <v>184</v>
      </c>
      <c r="M719" s="22" t="s">
        <v>253</v>
      </c>
    </row>
    <row r="720" customFormat="false" ht="43.5" hidden="false" customHeight="true" outlineLevel="0" collapsed="false">
      <c r="A720" s="22" t="s">
        <v>3097</v>
      </c>
      <c r="B720" s="22" t="s">
        <v>3098</v>
      </c>
      <c r="C720" s="22" t="s">
        <v>53</v>
      </c>
      <c r="D720" s="22" t="s">
        <v>2767</v>
      </c>
      <c r="E720" s="22" t="str">
        <f aca="false">IF(D720="","",IFERROR(VLOOKUP(D720,$A$2:$B$1656,2,FALSE()),""))</f>
        <v>Empowerment, Bond, and Alignment States</v>
      </c>
      <c r="F720" s="22" t="n">
        <v>3</v>
      </c>
      <c r="G720" s="22" t="s">
        <v>3099</v>
      </c>
      <c r="H720" s="22" t="s">
        <v>2776</v>
      </c>
      <c r="I720" s="22" t="s">
        <v>3100</v>
      </c>
      <c r="J720" s="22" t="s">
        <v>3068</v>
      </c>
      <c r="K720" s="22" t="s">
        <v>3100</v>
      </c>
      <c r="L720" s="22" t="s">
        <v>184</v>
      </c>
      <c r="M720" s="22" t="s">
        <v>253</v>
      </c>
    </row>
    <row r="721" customFormat="false" ht="43.5" hidden="false" customHeight="true" outlineLevel="0" collapsed="false">
      <c r="A721" s="22" t="s">
        <v>3101</v>
      </c>
      <c r="B721" s="22" t="s">
        <v>3102</v>
      </c>
      <c r="C721" s="22" t="s">
        <v>53</v>
      </c>
      <c r="D721" s="22" t="s">
        <v>2767</v>
      </c>
      <c r="E721" s="22" t="str">
        <f aca="false">IF(D721="","",IFERROR(VLOOKUP(D721,$A$2:$B$1656,2,FALSE()),""))</f>
        <v>Empowerment, Bond, and Alignment States</v>
      </c>
      <c r="F721" s="22" t="n">
        <v>3</v>
      </c>
      <c r="G721" s="22" t="s">
        <v>3103</v>
      </c>
      <c r="H721" s="22" t="s">
        <v>2776</v>
      </c>
      <c r="I721" s="22" t="s">
        <v>3104</v>
      </c>
      <c r="J721" s="22" t="s">
        <v>3068</v>
      </c>
      <c r="K721" s="22" t="s">
        <v>3104</v>
      </c>
      <c r="L721" s="22" t="s">
        <v>184</v>
      </c>
      <c r="M721" s="22" t="s">
        <v>253</v>
      </c>
    </row>
    <row r="722" customFormat="false" ht="43.5" hidden="false" customHeight="true" outlineLevel="0" collapsed="false">
      <c r="A722" s="22" t="s">
        <v>3105</v>
      </c>
      <c r="B722" s="22" t="s">
        <v>3106</v>
      </c>
      <c r="C722" s="22" t="s">
        <v>53</v>
      </c>
      <c r="D722" s="22" t="s">
        <v>2767</v>
      </c>
      <c r="E722" s="22" t="str">
        <f aca="false">IF(D722="","",IFERROR(VLOOKUP(D722,$A$2:$B$1656,2,FALSE()),""))</f>
        <v>Empowerment, Bond, and Alignment States</v>
      </c>
      <c r="F722" s="22" t="n">
        <v>3</v>
      </c>
      <c r="G722" s="22" t="s">
        <v>3107</v>
      </c>
      <c r="H722" s="22" t="s">
        <v>2776</v>
      </c>
      <c r="I722" s="22" t="s">
        <v>3108</v>
      </c>
      <c r="J722" s="22" t="s">
        <v>3068</v>
      </c>
      <c r="K722" s="22" t="s">
        <v>3108</v>
      </c>
      <c r="L722" s="22" t="s">
        <v>184</v>
      </c>
      <c r="M722" s="22" t="s">
        <v>253</v>
      </c>
    </row>
    <row r="723" customFormat="false" ht="43.5" hidden="false" customHeight="true" outlineLevel="0" collapsed="false">
      <c r="A723" s="22" t="s">
        <v>3109</v>
      </c>
      <c r="B723" s="22" t="s">
        <v>3110</v>
      </c>
      <c r="C723" s="22" t="s">
        <v>53</v>
      </c>
      <c r="D723" s="22" t="s">
        <v>2767</v>
      </c>
      <c r="E723" s="22" t="str">
        <f aca="false">IF(D723="","",IFERROR(VLOOKUP(D723,$A$2:$B$1656,2,FALSE()),""))</f>
        <v>Empowerment, Bond, and Alignment States</v>
      </c>
      <c r="F723" s="22" t="n">
        <v>3</v>
      </c>
      <c r="G723" s="22" t="s">
        <v>3111</v>
      </c>
      <c r="H723" s="22" t="s">
        <v>2776</v>
      </c>
      <c r="I723" s="22" t="s">
        <v>3112</v>
      </c>
      <c r="J723" s="22" t="s">
        <v>3068</v>
      </c>
      <c r="K723" s="22" t="s">
        <v>3112</v>
      </c>
      <c r="L723" s="22" t="s">
        <v>184</v>
      </c>
      <c r="M723" s="22" t="s">
        <v>253</v>
      </c>
    </row>
    <row r="724" customFormat="false" ht="43.5" hidden="false" customHeight="true" outlineLevel="0" collapsed="false">
      <c r="A724" s="22" t="s">
        <v>3113</v>
      </c>
      <c r="B724" s="22" t="s">
        <v>2988</v>
      </c>
      <c r="C724" s="22" t="s">
        <v>53</v>
      </c>
      <c r="D724" s="22" t="s">
        <v>2767</v>
      </c>
      <c r="E724" s="22" t="str">
        <f aca="false">IF(D724="","",IFERROR(VLOOKUP(D724,$A$2:$B$1656,2,FALSE()),""))</f>
        <v>Empowerment, Bond, and Alignment States</v>
      </c>
      <c r="F724" s="22" t="n">
        <v>3</v>
      </c>
      <c r="G724" s="22" t="s">
        <v>3114</v>
      </c>
      <c r="H724" s="22" t="s">
        <v>2776</v>
      </c>
      <c r="I724" s="22" t="s">
        <v>3115</v>
      </c>
      <c r="J724" s="22" t="s">
        <v>3068</v>
      </c>
      <c r="K724" s="22" t="s">
        <v>3115</v>
      </c>
      <c r="L724" s="22" t="s">
        <v>184</v>
      </c>
      <c r="M724" s="22" t="s">
        <v>253</v>
      </c>
    </row>
    <row r="725" customFormat="false" ht="43.5" hidden="false" customHeight="true" outlineLevel="0" collapsed="false">
      <c r="A725" s="22" t="s">
        <v>3116</v>
      </c>
      <c r="B725" s="22" t="s">
        <v>3117</v>
      </c>
      <c r="C725" s="22" t="s">
        <v>53</v>
      </c>
      <c r="D725" s="22" t="s">
        <v>2767</v>
      </c>
      <c r="E725" s="22" t="str">
        <f aca="false">IF(D725="","",IFERROR(VLOOKUP(D725,$A$2:$B$1656,2,FALSE()),""))</f>
        <v>Empowerment, Bond, and Alignment States</v>
      </c>
      <c r="F725" s="22" t="n">
        <v>3</v>
      </c>
      <c r="G725" s="22" t="s">
        <v>3118</v>
      </c>
      <c r="H725" s="22" t="s">
        <v>2776</v>
      </c>
      <c r="I725" s="22" t="s">
        <v>3119</v>
      </c>
      <c r="J725" s="22" t="s">
        <v>3068</v>
      </c>
      <c r="K725" s="22" t="s">
        <v>3119</v>
      </c>
      <c r="L725" s="22" t="s">
        <v>184</v>
      </c>
      <c r="M725" s="22" t="s">
        <v>253</v>
      </c>
    </row>
    <row r="726" customFormat="false" ht="43.5" hidden="false" customHeight="true" outlineLevel="0" collapsed="false">
      <c r="A726" s="22" t="s">
        <v>3120</v>
      </c>
      <c r="B726" s="22" t="s">
        <v>3121</v>
      </c>
      <c r="C726" s="22" t="s">
        <v>53</v>
      </c>
      <c r="D726" s="22" t="s">
        <v>2767</v>
      </c>
      <c r="E726" s="22" t="str">
        <f aca="false">IF(D726="","",IFERROR(VLOOKUP(D726,$A$2:$B$1656,2,FALSE()),""))</f>
        <v>Empowerment, Bond, and Alignment States</v>
      </c>
      <c r="F726" s="22" t="n">
        <v>3</v>
      </c>
      <c r="G726" s="22" t="s">
        <v>3122</v>
      </c>
      <c r="H726" s="22" t="s">
        <v>2776</v>
      </c>
      <c r="I726" s="22" t="s">
        <v>3123</v>
      </c>
      <c r="J726" s="22" t="s">
        <v>3068</v>
      </c>
      <c r="K726" s="22" t="s">
        <v>3123</v>
      </c>
      <c r="L726" s="22" t="s">
        <v>184</v>
      </c>
      <c r="M726" s="22" t="s">
        <v>253</v>
      </c>
    </row>
    <row r="727" customFormat="false" ht="43.5" hidden="false" customHeight="true" outlineLevel="0" collapsed="false">
      <c r="A727" s="22" t="s">
        <v>3124</v>
      </c>
      <c r="B727" s="22" t="s">
        <v>3125</v>
      </c>
      <c r="C727" s="22" t="s">
        <v>53</v>
      </c>
      <c r="D727" s="22" t="s">
        <v>2767</v>
      </c>
      <c r="E727" s="22" t="str">
        <f aca="false">IF(D727="","",IFERROR(VLOOKUP(D727,$A$2:$B$1656,2,FALSE()),""))</f>
        <v>Empowerment, Bond, and Alignment States</v>
      </c>
      <c r="F727" s="22" t="n">
        <v>3</v>
      </c>
      <c r="G727" s="22" t="s">
        <v>3126</v>
      </c>
      <c r="H727" s="22" t="s">
        <v>2776</v>
      </c>
      <c r="I727" s="22" t="s">
        <v>3127</v>
      </c>
      <c r="J727" s="22" t="s">
        <v>3068</v>
      </c>
      <c r="K727" s="22" t="s">
        <v>3127</v>
      </c>
      <c r="L727" s="22" t="s">
        <v>184</v>
      </c>
      <c r="M727" s="22" t="s">
        <v>253</v>
      </c>
    </row>
    <row r="728" customFormat="false" ht="43.5" hidden="false" customHeight="true" outlineLevel="0" collapsed="false">
      <c r="A728" s="22" t="s">
        <v>3128</v>
      </c>
      <c r="B728" s="22" t="s">
        <v>3129</v>
      </c>
      <c r="C728" s="22" t="s">
        <v>53</v>
      </c>
      <c r="D728" s="22" t="s">
        <v>2767</v>
      </c>
      <c r="E728" s="22" t="str">
        <f aca="false">IF(D728="","",IFERROR(VLOOKUP(D728,$A$2:$B$1656,2,FALSE()),""))</f>
        <v>Empowerment, Bond, and Alignment States</v>
      </c>
      <c r="F728" s="22" t="n">
        <v>3</v>
      </c>
      <c r="G728" s="22" t="s">
        <v>3130</v>
      </c>
      <c r="H728" s="22" t="s">
        <v>2776</v>
      </c>
      <c r="I728" s="22" t="s">
        <v>3131</v>
      </c>
      <c r="J728" s="22" t="s">
        <v>3068</v>
      </c>
      <c r="K728" s="22" t="s">
        <v>3131</v>
      </c>
      <c r="L728" s="22" t="s">
        <v>184</v>
      </c>
      <c r="M728" s="22" t="s">
        <v>253</v>
      </c>
    </row>
    <row r="729" customFormat="false" ht="43.5" hidden="false" customHeight="true" outlineLevel="0" collapsed="false">
      <c r="A729" s="22" t="s">
        <v>3132</v>
      </c>
      <c r="B729" s="22" t="s">
        <v>3133</v>
      </c>
      <c r="C729" s="22" t="s">
        <v>53</v>
      </c>
      <c r="D729" s="22" t="s">
        <v>2767</v>
      </c>
      <c r="E729" s="22" t="str">
        <f aca="false">IF(D729="","",IFERROR(VLOOKUP(D729,$A$2:$B$1656,2,FALSE()),""))</f>
        <v>Empowerment, Bond, and Alignment States</v>
      </c>
      <c r="F729" s="22" t="n">
        <v>3</v>
      </c>
      <c r="G729" s="22" t="s">
        <v>3134</v>
      </c>
      <c r="H729" s="22" t="s">
        <v>2776</v>
      </c>
      <c r="I729" s="22" t="s">
        <v>3135</v>
      </c>
      <c r="J729" s="22" t="s">
        <v>3068</v>
      </c>
      <c r="K729" s="22" t="s">
        <v>3135</v>
      </c>
      <c r="L729" s="22" t="s">
        <v>184</v>
      </c>
      <c r="M729" s="22" t="s">
        <v>253</v>
      </c>
    </row>
    <row r="730" customFormat="false" ht="43.5" hidden="false" customHeight="true" outlineLevel="0" collapsed="false">
      <c r="A730" s="22" t="s">
        <v>3136</v>
      </c>
      <c r="B730" s="22" t="s">
        <v>3137</v>
      </c>
      <c r="C730" s="22" t="s">
        <v>53</v>
      </c>
      <c r="D730" s="22" t="s">
        <v>2767</v>
      </c>
      <c r="E730" s="22" t="str">
        <f aca="false">IF(D730="","",IFERROR(VLOOKUP(D730,$A$2:$B$1656,2,FALSE()),""))</f>
        <v>Empowerment, Bond, and Alignment States</v>
      </c>
      <c r="F730" s="22" t="n">
        <v>3</v>
      </c>
      <c r="G730" s="22" t="s">
        <v>3138</v>
      </c>
      <c r="H730" s="22" t="s">
        <v>2776</v>
      </c>
      <c r="I730" s="22" t="s">
        <v>3139</v>
      </c>
      <c r="J730" s="22" t="s">
        <v>3068</v>
      </c>
      <c r="K730" s="22" t="s">
        <v>3139</v>
      </c>
      <c r="L730" s="22" t="s">
        <v>184</v>
      </c>
      <c r="M730" s="22" t="s">
        <v>253</v>
      </c>
    </row>
    <row r="731" customFormat="false" ht="43.5" hidden="false" customHeight="true" outlineLevel="0" collapsed="false">
      <c r="A731" s="22" t="s">
        <v>3140</v>
      </c>
      <c r="B731" s="22" t="s">
        <v>3141</v>
      </c>
      <c r="C731" s="22" t="s">
        <v>53</v>
      </c>
      <c r="D731" s="22" t="s">
        <v>2767</v>
      </c>
      <c r="E731" s="22" t="str">
        <f aca="false">IF(D731="","",IFERROR(VLOOKUP(D731,$A$2:$B$1656,2,FALSE()),""))</f>
        <v>Empowerment, Bond, and Alignment States</v>
      </c>
      <c r="F731" s="22" t="n">
        <v>3</v>
      </c>
      <c r="G731" s="22" t="s">
        <v>3142</v>
      </c>
      <c r="H731" s="22" t="s">
        <v>2776</v>
      </c>
      <c r="I731" s="22" t="s">
        <v>3143</v>
      </c>
      <c r="J731" s="22" t="s">
        <v>3068</v>
      </c>
      <c r="K731" s="22" t="s">
        <v>3143</v>
      </c>
      <c r="L731" s="22" t="s">
        <v>184</v>
      </c>
      <c r="M731" s="22" t="s">
        <v>253</v>
      </c>
    </row>
    <row r="732" customFormat="false" ht="43.5" hidden="false" customHeight="true" outlineLevel="0" collapsed="false">
      <c r="A732" s="22" t="s">
        <v>3144</v>
      </c>
      <c r="B732" s="22" t="s">
        <v>3145</v>
      </c>
      <c r="C732" s="22" t="s">
        <v>53</v>
      </c>
      <c r="D732" s="22" t="s">
        <v>2767</v>
      </c>
      <c r="E732" s="22" t="str">
        <f aca="false">IF(D732="","",IFERROR(VLOOKUP(D732,$A$2:$B$1656,2,FALSE()),""))</f>
        <v>Empowerment, Bond, and Alignment States</v>
      </c>
      <c r="F732" s="22" t="n">
        <v>3</v>
      </c>
      <c r="G732" s="22" t="s">
        <v>3146</v>
      </c>
      <c r="H732" s="22" t="s">
        <v>2776</v>
      </c>
      <c r="I732" s="22" t="s">
        <v>3147</v>
      </c>
      <c r="J732" s="22" t="s">
        <v>3068</v>
      </c>
      <c r="K732" s="22" t="s">
        <v>3147</v>
      </c>
      <c r="L732" s="22" t="s">
        <v>184</v>
      </c>
      <c r="M732" s="22" t="s">
        <v>253</v>
      </c>
    </row>
    <row r="733" customFormat="false" ht="43.5" hidden="false" customHeight="true" outlineLevel="0" collapsed="false">
      <c r="A733" s="22" t="s">
        <v>3148</v>
      </c>
      <c r="B733" s="22" t="s">
        <v>3149</v>
      </c>
      <c r="C733" s="22" t="s">
        <v>53</v>
      </c>
      <c r="D733" s="22" t="s">
        <v>2767</v>
      </c>
      <c r="E733" s="22" t="str">
        <f aca="false">IF(D733="","",IFERROR(VLOOKUP(D733,$A$2:$B$1656,2,FALSE()),""))</f>
        <v>Empowerment, Bond, and Alignment States</v>
      </c>
      <c r="F733" s="22" t="n">
        <v>3</v>
      </c>
      <c r="G733" s="22" t="s">
        <v>3150</v>
      </c>
      <c r="H733" s="22" t="s">
        <v>2776</v>
      </c>
      <c r="I733" s="22" t="s">
        <v>3151</v>
      </c>
      <c r="J733" s="22" t="s">
        <v>3068</v>
      </c>
      <c r="K733" s="22" t="s">
        <v>3151</v>
      </c>
      <c r="L733" s="22" t="s">
        <v>184</v>
      </c>
      <c r="M733" s="22" t="s">
        <v>253</v>
      </c>
    </row>
    <row r="734" customFormat="false" ht="43.5" hidden="false" customHeight="true" outlineLevel="0" collapsed="false">
      <c r="A734" s="22" t="s">
        <v>3152</v>
      </c>
      <c r="B734" s="22" t="s">
        <v>3153</v>
      </c>
      <c r="C734" s="22" t="s">
        <v>53</v>
      </c>
      <c r="D734" s="22" t="s">
        <v>2767</v>
      </c>
      <c r="E734" s="22" t="str">
        <f aca="false">IF(D734="","",IFERROR(VLOOKUP(D734,$A$2:$B$1656,2,FALSE()),""))</f>
        <v>Empowerment, Bond, and Alignment States</v>
      </c>
      <c r="F734" s="22" t="n">
        <v>3</v>
      </c>
      <c r="G734" s="22" t="s">
        <v>3154</v>
      </c>
      <c r="H734" s="22" t="s">
        <v>2776</v>
      </c>
      <c r="I734" s="22" t="s">
        <v>3155</v>
      </c>
      <c r="J734" s="22" t="s">
        <v>3068</v>
      </c>
      <c r="K734" s="22" t="s">
        <v>3155</v>
      </c>
      <c r="L734" s="22" t="s">
        <v>184</v>
      </c>
      <c r="M734" s="22" t="s">
        <v>253</v>
      </c>
    </row>
    <row r="735" customFormat="false" ht="43.5" hidden="false" customHeight="true" outlineLevel="0" collapsed="false">
      <c r="A735" s="22" t="s">
        <v>3156</v>
      </c>
      <c r="B735" s="22" t="s">
        <v>3157</v>
      </c>
      <c r="C735" s="22" t="s">
        <v>53</v>
      </c>
      <c r="D735" s="22" t="s">
        <v>2767</v>
      </c>
      <c r="E735" s="22" t="str">
        <f aca="false">IF(D735="","",IFERROR(VLOOKUP(D735,$A$2:$B$1656,2,FALSE()),""))</f>
        <v>Empowerment, Bond, and Alignment States</v>
      </c>
      <c r="F735" s="22" t="n">
        <v>3</v>
      </c>
      <c r="G735" s="22" t="s">
        <v>3158</v>
      </c>
      <c r="H735" s="22" t="s">
        <v>2776</v>
      </c>
      <c r="I735" s="22" t="s">
        <v>3159</v>
      </c>
      <c r="J735" s="22" t="s">
        <v>3068</v>
      </c>
      <c r="K735" s="22" t="s">
        <v>3159</v>
      </c>
      <c r="L735" s="22" t="s">
        <v>184</v>
      </c>
      <c r="M735" s="22" t="s">
        <v>253</v>
      </c>
    </row>
    <row r="736" customFormat="false" ht="43.5" hidden="false" customHeight="true" outlineLevel="0" collapsed="false">
      <c r="A736" s="22" t="s">
        <v>3160</v>
      </c>
      <c r="B736" s="22" t="s">
        <v>3161</v>
      </c>
      <c r="C736" s="22" t="s">
        <v>53</v>
      </c>
      <c r="D736" s="22" t="s">
        <v>2767</v>
      </c>
      <c r="E736" s="22" t="str">
        <f aca="false">IF(D736="","",IFERROR(VLOOKUP(D736,$A$2:$B$1656,2,FALSE()),""))</f>
        <v>Empowerment, Bond, and Alignment States</v>
      </c>
      <c r="F736" s="22" t="n">
        <v>3</v>
      </c>
      <c r="G736" s="22" t="s">
        <v>3162</v>
      </c>
      <c r="H736" s="22" t="s">
        <v>2776</v>
      </c>
      <c r="I736" s="22" t="s">
        <v>3163</v>
      </c>
      <c r="J736" s="22" t="s">
        <v>3068</v>
      </c>
      <c r="K736" s="22" t="s">
        <v>3163</v>
      </c>
      <c r="L736" s="22" t="s">
        <v>184</v>
      </c>
      <c r="M736" s="22" t="s">
        <v>253</v>
      </c>
    </row>
    <row r="737" customFormat="false" ht="43.5" hidden="false" customHeight="true" outlineLevel="0" collapsed="false">
      <c r="A737" s="22" t="s">
        <v>3164</v>
      </c>
      <c r="B737" s="22" t="s">
        <v>3165</v>
      </c>
      <c r="C737" s="22" t="s">
        <v>53</v>
      </c>
      <c r="D737" s="22" t="s">
        <v>2770</v>
      </c>
      <c r="E737" s="22" t="str">
        <f aca="false">IF(D737="","",IFERROR(VLOOKUP(D737,$A$2:$B$1656,2,FALSE()),""))</f>
        <v>Displacement and Meta-Narrative States</v>
      </c>
      <c r="F737" s="22" t="n">
        <v>3</v>
      </c>
      <c r="G737" s="22" t="s">
        <v>3166</v>
      </c>
      <c r="H737" s="22" t="s">
        <v>2776</v>
      </c>
      <c r="I737" s="22" t="s">
        <v>3167</v>
      </c>
      <c r="J737" s="22" t="s">
        <v>3168</v>
      </c>
      <c r="K737" s="22" t="s">
        <v>3167</v>
      </c>
      <c r="L737" s="22" t="s">
        <v>184</v>
      </c>
      <c r="M737" s="22" t="s">
        <v>253</v>
      </c>
    </row>
    <row r="738" customFormat="false" ht="43.5" hidden="false" customHeight="true" outlineLevel="0" collapsed="false">
      <c r="A738" s="22" t="s">
        <v>3169</v>
      </c>
      <c r="B738" s="22" t="s">
        <v>3170</v>
      </c>
      <c r="C738" s="22" t="s">
        <v>53</v>
      </c>
      <c r="D738" s="22" t="s">
        <v>2770</v>
      </c>
      <c r="E738" s="22" t="str">
        <f aca="false">IF(D738="","",IFERROR(VLOOKUP(D738,$A$2:$B$1656,2,FALSE()),""))</f>
        <v>Displacement and Meta-Narrative States</v>
      </c>
      <c r="F738" s="22" t="n">
        <v>3</v>
      </c>
      <c r="G738" s="22" t="s">
        <v>3171</v>
      </c>
      <c r="H738" s="22" t="s">
        <v>2776</v>
      </c>
      <c r="I738" s="22" t="s">
        <v>3172</v>
      </c>
      <c r="J738" s="22" t="s">
        <v>3168</v>
      </c>
      <c r="K738" s="22" t="s">
        <v>3172</v>
      </c>
      <c r="L738" s="22" t="s">
        <v>184</v>
      </c>
      <c r="M738" s="22" t="s">
        <v>253</v>
      </c>
    </row>
    <row r="739" customFormat="false" ht="43.5" hidden="false" customHeight="true" outlineLevel="0" collapsed="false">
      <c r="A739" s="22" t="s">
        <v>3173</v>
      </c>
      <c r="B739" s="22" t="s">
        <v>3174</v>
      </c>
      <c r="C739" s="22" t="s">
        <v>53</v>
      </c>
      <c r="D739" s="22" t="s">
        <v>2770</v>
      </c>
      <c r="E739" s="22" t="str">
        <f aca="false">IF(D739="","",IFERROR(VLOOKUP(D739,$A$2:$B$1656,2,FALSE()),""))</f>
        <v>Displacement and Meta-Narrative States</v>
      </c>
      <c r="F739" s="22" t="n">
        <v>3</v>
      </c>
      <c r="G739" s="22" t="s">
        <v>3175</v>
      </c>
      <c r="H739" s="22" t="s">
        <v>2776</v>
      </c>
      <c r="I739" s="22" t="s">
        <v>3176</v>
      </c>
      <c r="J739" s="22" t="s">
        <v>3168</v>
      </c>
      <c r="K739" s="22" t="s">
        <v>3176</v>
      </c>
      <c r="L739" s="22" t="s">
        <v>184</v>
      </c>
      <c r="M739" s="22" t="s">
        <v>253</v>
      </c>
    </row>
    <row r="740" customFormat="false" ht="43.5" hidden="false" customHeight="true" outlineLevel="0" collapsed="false">
      <c r="A740" s="22" t="s">
        <v>3177</v>
      </c>
      <c r="B740" s="22" t="s">
        <v>3178</v>
      </c>
      <c r="C740" s="22" t="s">
        <v>53</v>
      </c>
      <c r="D740" s="22" t="s">
        <v>2770</v>
      </c>
      <c r="E740" s="22" t="str">
        <f aca="false">IF(D740="","",IFERROR(VLOOKUP(D740,$A$2:$B$1656,2,FALSE()),""))</f>
        <v>Displacement and Meta-Narrative States</v>
      </c>
      <c r="F740" s="22" t="n">
        <v>3</v>
      </c>
      <c r="G740" s="22" t="s">
        <v>3179</v>
      </c>
      <c r="H740" s="22" t="s">
        <v>2776</v>
      </c>
      <c r="I740" s="22" t="s">
        <v>3180</v>
      </c>
      <c r="J740" s="22" t="s">
        <v>3168</v>
      </c>
      <c r="K740" s="22" t="s">
        <v>3180</v>
      </c>
      <c r="L740" s="22" t="s">
        <v>184</v>
      </c>
      <c r="M740" s="22" t="s">
        <v>253</v>
      </c>
    </row>
    <row r="741" customFormat="false" ht="43.5" hidden="false" customHeight="true" outlineLevel="0" collapsed="false">
      <c r="A741" s="22" t="s">
        <v>3181</v>
      </c>
      <c r="B741" s="22" t="s">
        <v>3182</v>
      </c>
      <c r="C741" s="22" t="s">
        <v>53</v>
      </c>
      <c r="D741" s="22" t="s">
        <v>2770</v>
      </c>
      <c r="E741" s="22" t="str">
        <f aca="false">IF(D741="","",IFERROR(VLOOKUP(D741,$A$2:$B$1656,2,FALSE()),""))</f>
        <v>Displacement and Meta-Narrative States</v>
      </c>
      <c r="F741" s="22" t="n">
        <v>3</v>
      </c>
      <c r="G741" s="22" t="s">
        <v>3183</v>
      </c>
      <c r="H741" s="22" t="s">
        <v>2776</v>
      </c>
      <c r="I741" s="22" t="s">
        <v>3184</v>
      </c>
      <c r="J741" s="22" t="s">
        <v>3168</v>
      </c>
      <c r="K741" s="22" t="s">
        <v>3184</v>
      </c>
      <c r="L741" s="22" t="s">
        <v>184</v>
      </c>
      <c r="M741" s="22" t="s">
        <v>253</v>
      </c>
    </row>
    <row r="742" customFormat="false" ht="43.5" hidden="false" customHeight="true" outlineLevel="0" collapsed="false">
      <c r="A742" s="22" t="s">
        <v>3185</v>
      </c>
      <c r="B742" s="22" t="s">
        <v>3186</v>
      </c>
      <c r="C742" s="22" t="s">
        <v>53</v>
      </c>
      <c r="D742" s="22" t="s">
        <v>2770</v>
      </c>
      <c r="E742" s="22" t="str">
        <f aca="false">IF(D742="","",IFERROR(VLOOKUP(D742,$A$2:$B$1656,2,FALSE()),""))</f>
        <v>Displacement and Meta-Narrative States</v>
      </c>
      <c r="F742" s="22" t="n">
        <v>3</v>
      </c>
      <c r="G742" s="22" t="s">
        <v>3187</v>
      </c>
      <c r="H742" s="22" t="s">
        <v>2776</v>
      </c>
      <c r="I742" s="22" t="s">
        <v>3188</v>
      </c>
      <c r="J742" s="22" t="s">
        <v>3168</v>
      </c>
      <c r="K742" s="22" t="s">
        <v>3188</v>
      </c>
      <c r="L742" s="22" t="s">
        <v>184</v>
      </c>
      <c r="M742" s="22" t="s">
        <v>253</v>
      </c>
    </row>
    <row r="743" customFormat="false" ht="43.5" hidden="false" customHeight="true" outlineLevel="0" collapsed="false">
      <c r="A743" s="22" t="s">
        <v>3189</v>
      </c>
      <c r="B743" s="22" t="s">
        <v>3190</v>
      </c>
      <c r="C743" s="22" t="s">
        <v>53</v>
      </c>
      <c r="D743" s="22" t="s">
        <v>2770</v>
      </c>
      <c r="E743" s="22" t="str">
        <f aca="false">IF(D743="","",IFERROR(VLOOKUP(D743,$A$2:$B$1656,2,FALSE()),""))</f>
        <v>Displacement and Meta-Narrative States</v>
      </c>
      <c r="F743" s="22" t="n">
        <v>3</v>
      </c>
      <c r="G743" s="22" t="s">
        <v>3191</v>
      </c>
      <c r="H743" s="22" t="s">
        <v>2776</v>
      </c>
      <c r="I743" s="22" t="s">
        <v>3192</v>
      </c>
      <c r="J743" s="22" t="s">
        <v>3168</v>
      </c>
      <c r="K743" s="22" t="s">
        <v>3192</v>
      </c>
      <c r="L743" s="22" t="s">
        <v>184</v>
      </c>
      <c r="M743" s="22" t="s">
        <v>253</v>
      </c>
    </row>
    <row r="744" customFormat="false" ht="43.5" hidden="false" customHeight="true" outlineLevel="0" collapsed="false">
      <c r="A744" s="22" t="s">
        <v>3193</v>
      </c>
      <c r="B744" s="22" t="s">
        <v>3194</v>
      </c>
      <c r="C744" s="22" t="s">
        <v>53</v>
      </c>
      <c r="D744" s="22" t="s">
        <v>2770</v>
      </c>
      <c r="E744" s="22" t="str">
        <f aca="false">IF(D744="","",IFERROR(VLOOKUP(D744,$A$2:$B$1656,2,FALSE()),""))</f>
        <v>Displacement and Meta-Narrative States</v>
      </c>
      <c r="F744" s="22" t="n">
        <v>3</v>
      </c>
      <c r="G744" s="22" t="s">
        <v>3195</v>
      </c>
      <c r="H744" s="22" t="s">
        <v>2776</v>
      </c>
      <c r="I744" s="22" t="s">
        <v>3196</v>
      </c>
      <c r="J744" s="22" t="s">
        <v>3168</v>
      </c>
      <c r="K744" s="22" t="s">
        <v>3196</v>
      </c>
      <c r="L744" s="22" t="s">
        <v>184</v>
      </c>
      <c r="M744" s="22" t="s">
        <v>253</v>
      </c>
    </row>
    <row r="745" customFormat="false" ht="43.5" hidden="false" customHeight="true" outlineLevel="0" collapsed="false">
      <c r="A745" s="22" t="s">
        <v>3197</v>
      </c>
      <c r="B745" s="22" t="s">
        <v>3198</v>
      </c>
      <c r="C745" s="22" t="s">
        <v>53</v>
      </c>
      <c r="D745" s="22" t="s">
        <v>2770</v>
      </c>
      <c r="E745" s="22" t="str">
        <f aca="false">IF(D745="","",IFERROR(VLOOKUP(D745,$A$2:$B$1656,2,FALSE()),""))</f>
        <v>Displacement and Meta-Narrative States</v>
      </c>
      <c r="F745" s="22" t="n">
        <v>3</v>
      </c>
      <c r="G745" s="22" t="s">
        <v>3199</v>
      </c>
      <c r="H745" s="22" t="s">
        <v>2776</v>
      </c>
      <c r="I745" s="22" t="s">
        <v>3200</v>
      </c>
      <c r="J745" s="22" t="s">
        <v>3168</v>
      </c>
      <c r="K745" s="22" t="s">
        <v>3200</v>
      </c>
      <c r="L745" s="22" t="s">
        <v>184</v>
      </c>
      <c r="M745" s="22" t="s">
        <v>253</v>
      </c>
    </row>
    <row r="746" customFormat="false" ht="43.5" hidden="false" customHeight="true" outlineLevel="0" collapsed="false">
      <c r="A746" s="22" t="s">
        <v>3201</v>
      </c>
      <c r="B746" s="22" t="s">
        <v>3202</v>
      </c>
      <c r="C746" s="22" t="s">
        <v>53</v>
      </c>
      <c r="D746" s="22" t="s">
        <v>2770</v>
      </c>
      <c r="E746" s="22" t="str">
        <f aca="false">IF(D746="","",IFERROR(VLOOKUP(D746,$A$2:$B$1656,2,FALSE()),""))</f>
        <v>Displacement and Meta-Narrative States</v>
      </c>
      <c r="F746" s="22" t="n">
        <v>3</v>
      </c>
      <c r="G746" s="22" t="s">
        <v>3203</v>
      </c>
      <c r="H746" s="22" t="s">
        <v>2776</v>
      </c>
      <c r="I746" s="22" t="s">
        <v>3204</v>
      </c>
      <c r="J746" s="22" t="s">
        <v>3168</v>
      </c>
      <c r="K746" s="22" t="s">
        <v>3204</v>
      </c>
      <c r="L746" s="22" t="s">
        <v>184</v>
      </c>
      <c r="M746" s="22" t="s">
        <v>253</v>
      </c>
    </row>
    <row r="747" customFormat="false" ht="43.5" hidden="false" customHeight="true" outlineLevel="0" collapsed="false">
      <c r="A747" s="22" t="s">
        <v>3205</v>
      </c>
      <c r="B747" s="22" t="s">
        <v>3206</v>
      </c>
      <c r="C747" s="22" t="s">
        <v>53</v>
      </c>
      <c r="D747" s="22" t="s">
        <v>2770</v>
      </c>
      <c r="E747" s="22" t="str">
        <f aca="false">IF(D747="","",IFERROR(VLOOKUP(D747,$A$2:$B$1656,2,FALSE()),""))</f>
        <v>Displacement and Meta-Narrative States</v>
      </c>
      <c r="F747" s="22" t="n">
        <v>3</v>
      </c>
      <c r="G747" s="22" t="s">
        <v>3207</v>
      </c>
      <c r="H747" s="22" t="s">
        <v>2776</v>
      </c>
      <c r="I747" s="22" t="s">
        <v>3208</v>
      </c>
      <c r="J747" s="22" t="s">
        <v>3168</v>
      </c>
      <c r="K747" s="22" t="s">
        <v>3208</v>
      </c>
      <c r="L747" s="22" t="s">
        <v>184</v>
      </c>
      <c r="M747" s="22" t="s">
        <v>253</v>
      </c>
    </row>
    <row r="748" customFormat="false" ht="43.5" hidden="false" customHeight="true" outlineLevel="0" collapsed="false">
      <c r="A748" s="22" t="s">
        <v>3209</v>
      </c>
      <c r="B748" s="22" t="s">
        <v>3210</v>
      </c>
      <c r="C748" s="22" t="s">
        <v>53</v>
      </c>
      <c r="D748" s="22" t="s">
        <v>2770</v>
      </c>
      <c r="E748" s="22" t="str">
        <f aca="false">IF(D748="","",IFERROR(VLOOKUP(D748,$A$2:$B$1656,2,FALSE()),""))</f>
        <v>Displacement and Meta-Narrative States</v>
      </c>
      <c r="F748" s="22" t="n">
        <v>3</v>
      </c>
      <c r="G748" s="22" t="s">
        <v>3211</v>
      </c>
      <c r="H748" s="22" t="s">
        <v>2776</v>
      </c>
      <c r="I748" s="22" t="s">
        <v>3212</v>
      </c>
      <c r="J748" s="22" t="s">
        <v>3168</v>
      </c>
      <c r="K748" s="22" t="s">
        <v>3212</v>
      </c>
      <c r="L748" s="22" t="s">
        <v>184</v>
      </c>
      <c r="M748" s="22" t="s">
        <v>253</v>
      </c>
    </row>
    <row r="749" customFormat="false" ht="43.5" hidden="false" customHeight="true" outlineLevel="0" collapsed="false">
      <c r="A749" s="22" t="s">
        <v>3213</v>
      </c>
      <c r="B749" s="22" t="s">
        <v>3214</v>
      </c>
      <c r="C749" s="22" t="s">
        <v>53</v>
      </c>
      <c r="D749" s="22" t="s">
        <v>2770</v>
      </c>
      <c r="E749" s="22" t="str">
        <f aca="false">IF(D749="","",IFERROR(VLOOKUP(D749,$A$2:$B$1656,2,FALSE()),""))</f>
        <v>Displacement and Meta-Narrative States</v>
      </c>
      <c r="F749" s="22" t="n">
        <v>3</v>
      </c>
      <c r="G749" s="22" t="s">
        <v>3215</v>
      </c>
      <c r="H749" s="22" t="s">
        <v>2776</v>
      </c>
      <c r="I749" s="22" t="s">
        <v>3216</v>
      </c>
      <c r="J749" s="22" t="s">
        <v>3168</v>
      </c>
      <c r="K749" s="22" t="s">
        <v>3216</v>
      </c>
      <c r="L749" s="22" t="s">
        <v>184</v>
      </c>
      <c r="M749" s="22" t="s">
        <v>253</v>
      </c>
    </row>
    <row r="750" customFormat="false" ht="43.5" hidden="false" customHeight="true" outlineLevel="0" collapsed="false">
      <c r="A750" s="22" t="s">
        <v>3217</v>
      </c>
      <c r="B750" s="22" t="s">
        <v>3218</v>
      </c>
      <c r="C750" s="22" t="s">
        <v>53</v>
      </c>
      <c r="D750" s="22" t="s">
        <v>2770</v>
      </c>
      <c r="E750" s="22" t="str">
        <f aca="false">IF(D750="","",IFERROR(VLOOKUP(D750,$A$2:$B$1656,2,FALSE()),""))</f>
        <v>Displacement and Meta-Narrative States</v>
      </c>
      <c r="F750" s="22" t="n">
        <v>3</v>
      </c>
      <c r="G750" s="22" t="s">
        <v>3219</v>
      </c>
      <c r="H750" s="22" t="s">
        <v>2776</v>
      </c>
      <c r="I750" s="22" t="s">
        <v>3220</v>
      </c>
      <c r="J750" s="22" t="s">
        <v>3168</v>
      </c>
      <c r="K750" s="22" t="s">
        <v>3220</v>
      </c>
      <c r="L750" s="22" t="s">
        <v>184</v>
      </c>
      <c r="M750" s="22" t="s">
        <v>253</v>
      </c>
    </row>
    <row r="751" customFormat="false" ht="43.5" hidden="false" customHeight="true" outlineLevel="0" collapsed="false">
      <c r="A751" s="22" t="s">
        <v>3221</v>
      </c>
      <c r="B751" s="22" t="s">
        <v>3222</v>
      </c>
      <c r="C751" s="22" t="s">
        <v>53</v>
      </c>
      <c r="D751" s="22" t="s">
        <v>2770</v>
      </c>
      <c r="E751" s="22" t="str">
        <f aca="false">IF(D751="","",IFERROR(VLOOKUP(D751,$A$2:$B$1656,2,FALSE()),""))</f>
        <v>Displacement and Meta-Narrative States</v>
      </c>
      <c r="F751" s="22" t="n">
        <v>3</v>
      </c>
      <c r="G751" s="22" t="s">
        <v>3223</v>
      </c>
      <c r="H751" s="22" t="s">
        <v>2776</v>
      </c>
      <c r="I751" s="22" t="s">
        <v>3224</v>
      </c>
      <c r="J751" s="22" t="s">
        <v>3168</v>
      </c>
      <c r="K751" s="22" t="s">
        <v>3224</v>
      </c>
      <c r="L751" s="22" t="s">
        <v>184</v>
      </c>
      <c r="M751" s="22" t="s">
        <v>253</v>
      </c>
    </row>
    <row r="752" customFormat="false" ht="43.5" hidden="false" customHeight="true" outlineLevel="0" collapsed="false">
      <c r="A752" s="22" t="s">
        <v>3225</v>
      </c>
      <c r="B752" s="22" t="s">
        <v>3226</v>
      </c>
      <c r="C752" s="22" t="s">
        <v>53</v>
      </c>
      <c r="D752" s="22" t="s">
        <v>2770</v>
      </c>
      <c r="E752" s="22" t="str">
        <f aca="false">IF(D752="","",IFERROR(VLOOKUP(D752,$A$2:$B$1656,2,FALSE()),""))</f>
        <v>Displacement and Meta-Narrative States</v>
      </c>
      <c r="F752" s="22" t="n">
        <v>3</v>
      </c>
      <c r="G752" s="22" t="s">
        <v>3227</v>
      </c>
      <c r="H752" s="22" t="s">
        <v>2776</v>
      </c>
      <c r="I752" s="22" t="s">
        <v>3228</v>
      </c>
      <c r="J752" s="22" t="s">
        <v>3168</v>
      </c>
      <c r="K752" s="22" t="s">
        <v>3228</v>
      </c>
      <c r="L752" s="22" t="s">
        <v>184</v>
      </c>
      <c r="M752" s="22" t="s">
        <v>253</v>
      </c>
    </row>
    <row r="753" customFormat="false" ht="43.5" hidden="false" customHeight="true" outlineLevel="0" collapsed="false">
      <c r="A753" s="22" t="s">
        <v>3229</v>
      </c>
      <c r="B753" s="22" t="s">
        <v>3230</v>
      </c>
      <c r="C753" s="22" t="s">
        <v>53</v>
      </c>
      <c r="D753" s="22" t="s">
        <v>2770</v>
      </c>
      <c r="E753" s="22" t="str">
        <f aca="false">IF(D753="","",IFERROR(VLOOKUP(D753,$A$2:$B$1656,2,FALSE()),""))</f>
        <v>Displacement and Meta-Narrative States</v>
      </c>
      <c r="F753" s="22" t="n">
        <v>3</v>
      </c>
      <c r="G753" s="22" t="s">
        <v>3231</v>
      </c>
      <c r="H753" s="22" t="s">
        <v>2776</v>
      </c>
      <c r="I753" s="22" t="s">
        <v>3232</v>
      </c>
      <c r="J753" s="22" t="s">
        <v>3168</v>
      </c>
      <c r="K753" s="22" t="s">
        <v>3232</v>
      </c>
      <c r="L753" s="22" t="s">
        <v>184</v>
      </c>
      <c r="M753" s="22" t="s">
        <v>253</v>
      </c>
    </row>
    <row r="754" customFormat="false" ht="43.5" hidden="false" customHeight="true" outlineLevel="0" collapsed="false">
      <c r="A754" s="22" t="s">
        <v>3233</v>
      </c>
      <c r="B754" s="22" t="s">
        <v>3234</v>
      </c>
      <c r="C754" s="22" t="s">
        <v>53</v>
      </c>
      <c r="D754" s="22" t="s">
        <v>2770</v>
      </c>
      <c r="E754" s="22" t="str">
        <f aca="false">IF(D754="","",IFERROR(VLOOKUP(D754,$A$2:$B$1656,2,FALSE()),""))</f>
        <v>Displacement and Meta-Narrative States</v>
      </c>
      <c r="F754" s="22" t="n">
        <v>3</v>
      </c>
      <c r="G754" s="22" t="s">
        <v>3235</v>
      </c>
      <c r="H754" s="22" t="s">
        <v>2776</v>
      </c>
      <c r="I754" s="22" t="s">
        <v>3236</v>
      </c>
      <c r="J754" s="22" t="s">
        <v>3168</v>
      </c>
      <c r="K754" s="22" t="s">
        <v>3236</v>
      </c>
      <c r="L754" s="22" t="s">
        <v>184</v>
      </c>
      <c r="M754" s="22" t="s">
        <v>253</v>
      </c>
    </row>
    <row r="755" customFormat="false" ht="43.5" hidden="false" customHeight="true" outlineLevel="0" collapsed="false">
      <c r="A755" s="22" t="s">
        <v>3237</v>
      </c>
      <c r="B755" s="22" t="s">
        <v>3238</v>
      </c>
      <c r="C755" s="22" t="s">
        <v>53</v>
      </c>
      <c r="D755" s="22" t="s">
        <v>2770</v>
      </c>
      <c r="E755" s="22" t="str">
        <f aca="false">IF(D755="","",IFERROR(VLOOKUP(D755,$A$2:$B$1656,2,FALSE()),""))</f>
        <v>Displacement and Meta-Narrative States</v>
      </c>
      <c r="F755" s="22" t="n">
        <v>3</v>
      </c>
      <c r="G755" s="22" t="s">
        <v>3239</v>
      </c>
      <c r="H755" s="22" t="s">
        <v>2776</v>
      </c>
      <c r="I755" s="22" t="s">
        <v>3240</v>
      </c>
      <c r="J755" s="22" t="s">
        <v>3168</v>
      </c>
      <c r="K755" s="22" t="s">
        <v>3240</v>
      </c>
      <c r="L755" s="22" t="s">
        <v>184</v>
      </c>
      <c r="M755" s="22" t="s">
        <v>253</v>
      </c>
    </row>
    <row r="756" customFormat="false" ht="43.5" hidden="false" customHeight="true" outlineLevel="0" collapsed="false">
      <c r="A756" s="22" t="s">
        <v>3241</v>
      </c>
      <c r="B756" s="22" t="s">
        <v>3242</v>
      </c>
      <c r="C756" s="22" t="s">
        <v>53</v>
      </c>
      <c r="D756" s="22" t="s">
        <v>2770</v>
      </c>
      <c r="E756" s="22" t="str">
        <f aca="false">IF(D756="","",IFERROR(VLOOKUP(D756,$A$2:$B$1656,2,FALSE()),""))</f>
        <v>Displacement and Meta-Narrative States</v>
      </c>
      <c r="F756" s="22" t="n">
        <v>3</v>
      </c>
      <c r="G756" s="22" t="s">
        <v>3243</v>
      </c>
      <c r="H756" s="22" t="s">
        <v>2776</v>
      </c>
      <c r="I756" s="22" t="s">
        <v>3244</v>
      </c>
      <c r="J756" s="22" t="s">
        <v>3168</v>
      </c>
      <c r="K756" s="22" t="s">
        <v>3244</v>
      </c>
      <c r="L756" s="22" t="s">
        <v>3245</v>
      </c>
      <c r="M756" s="22" t="s">
        <v>253</v>
      </c>
    </row>
    <row r="757" customFormat="false" ht="43.5" hidden="false" customHeight="true" outlineLevel="0" collapsed="false">
      <c r="A757" s="22" t="s">
        <v>3246</v>
      </c>
      <c r="B757" s="22" t="s">
        <v>3247</v>
      </c>
      <c r="C757" s="22" t="s">
        <v>55</v>
      </c>
      <c r="D757" s="22" t="s">
        <v>192</v>
      </c>
      <c r="E757" s="22" t="str">
        <f aca="false">IF(D757="","",IFERROR(VLOOKUP(D757,$A$2:$B$1656,2,FALSE()),""))</f>
        <v>Institutions &amp; Affiliations</v>
      </c>
      <c r="F757" s="22" t="n">
        <v>2</v>
      </c>
      <c r="G757" s="22" t="s">
        <v>3248</v>
      </c>
      <c r="H757" s="22" t="s">
        <v>3249</v>
      </c>
      <c r="I757" s="22"/>
      <c r="J757" s="22" t="s">
        <v>3250</v>
      </c>
      <c r="K757" s="22" t="s">
        <v>3247</v>
      </c>
      <c r="L757" s="22" t="s">
        <v>184</v>
      </c>
      <c r="M757" s="22" t="s">
        <v>206</v>
      </c>
    </row>
    <row r="758" customFormat="false" ht="43.5" hidden="false" customHeight="true" outlineLevel="0" collapsed="false">
      <c r="A758" s="22" t="s">
        <v>3251</v>
      </c>
      <c r="B758" s="22" t="s">
        <v>3252</v>
      </c>
      <c r="C758" s="22" t="s">
        <v>55</v>
      </c>
      <c r="D758" s="22" t="s">
        <v>192</v>
      </c>
      <c r="E758" s="22" t="str">
        <f aca="false">IF(D758="","",IFERROR(VLOOKUP(D758,$A$2:$B$1656,2,FALSE()),""))</f>
        <v>Institutions &amp; Affiliations</v>
      </c>
      <c r="F758" s="22" t="n">
        <v>2</v>
      </c>
      <c r="G758" s="22" t="s">
        <v>3253</v>
      </c>
      <c r="H758" s="22" t="s">
        <v>3249</v>
      </c>
      <c r="I758" s="22"/>
      <c r="J758" s="22" t="s">
        <v>3250</v>
      </c>
      <c r="K758" s="22" t="s">
        <v>3252</v>
      </c>
      <c r="L758" s="22" t="s">
        <v>184</v>
      </c>
      <c r="M758" s="22" t="s">
        <v>206</v>
      </c>
    </row>
    <row r="759" customFormat="false" ht="43.5" hidden="false" customHeight="true" outlineLevel="0" collapsed="false">
      <c r="A759" s="22" t="s">
        <v>3254</v>
      </c>
      <c r="B759" s="22" t="s">
        <v>3255</v>
      </c>
      <c r="C759" s="22" t="s">
        <v>55</v>
      </c>
      <c r="D759" s="22" t="s">
        <v>192</v>
      </c>
      <c r="E759" s="22" t="str">
        <f aca="false">IF(D759="","",IFERROR(VLOOKUP(D759,$A$2:$B$1656,2,FALSE()),""))</f>
        <v>Institutions &amp; Affiliations</v>
      </c>
      <c r="F759" s="22" t="n">
        <v>2</v>
      </c>
      <c r="G759" s="22" t="s">
        <v>3256</v>
      </c>
      <c r="H759" s="22" t="s">
        <v>3249</v>
      </c>
      <c r="I759" s="22"/>
      <c r="J759" s="22" t="s">
        <v>3250</v>
      </c>
      <c r="K759" s="22" t="s">
        <v>3255</v>
      </c>
      <c r="L759" s="22" t="s">
        <v>184</v>
      </c>
      <c r="M759" s="22" t="s">
        <v>206</v>
      </c>
    </row>
    <row r="760" customFormat="false" ht="43.5" hidden="false" customHeight="true" outlineLevel="0" collapsed="false">
      <c r="A760" s="22" t="s">
        <v>3257</v>
      </c>
      <c r="B760" s="22" t="s">
        <v>3258</v>
      </c>
      <c r="C760" s="22" t="s">
        <v>55</v>
      </c>
      <c r="D760" s="22" t="s">
        <v>192</v>
      </c>
      <c r="E760" s="22" t="str">
        <f aca="false">IF(D760="","",IFERROR(VLOOKUP(D760,$A$2:$B$1656,2,FALSE()),""))</f>
        <v>Institutions &amp; Affiliations</v>
      </c>
      <c r="F760" s="22" t="n">
        <v>2</v>
      </c>
      <c r="G760" s="22" t="s">
        <v>3259</v>
      </c>
      <c r="H760" s="22" t="s">
        <v>3249</v>
      </c>
      <c r="I760" s="22"/>
      <c r="J760" s="22" t="s">
        <v>3250</v>
      </c>
      <c r="K760" s="22" t="s">
        <v>3258</v>
      </c>
      <c r="L760" s="22" t="s">
        <v>184</v>
      </c>
      <c r="M760" s="22" t="s">
        <v>206</v>
      </c>
    </row>
    <row r="761" customFormat="false" ht="43.5" hidden="false" customHeight="true" outlineLevel="0" collapsed="false">
      <c r="A761" s="22" t="s">
        <v>3260</v>
      </c>
      <c r="B761" s="22" t="s">
        <v>3261</v>
      </c>
      <c r="C761" s="22" t="s">
        <v>55</v>
      </c>
      <c r="D761" s="22" t="s">
        <v>3246</v>
      </c>
      <c r="E761" s="22" t="str">
        <f aca="false">IF(D761="","",IFERROR(VLOOKUP(D761,$A$2:$B$1656,2,FALSE()),""))</f>
        <v>Professional and Economic Organizations</v>
      </c>
      <c r="F761" s="22" t="n">
        <v>3</v>
      </c>
      <c r="G761" s="22" t="s">
        <v>3262</v>
      </c>
      <c r="H761" s="22" t="s">
        <v>3263</v>
      </c>
      <c r="I761" s="22" t="s">
        <v>3264</v>
      </c>
      <c r="J761" s="22" t="s">
        <v>3265</v>
      </c>
      <c r="K761" s="22" t="s">
        <v>3264</v>
      </c>
      <c r="L761" s="22" t="s">
        <v>184</v>
      </c>
      <c r="M761" s="22" t="s">
        <v>253</v>
      </c>
    </row>
    <row r="762" customFormat="false" ht="43.5" hidden="false" customHeight="true" outlineLevel="0" collapsed="false">
      <c r="A762" s="22" t="s">
        <v>3266</v>
      </c>
      <c r="B762" s="22" t="s">
        <v>3267</v>
      </c>
      <c r="C762" s="22" t="s">
        <v>55</v>
      </c>
      <c r="D762" s="22" t="s">
        <v>3246</v>
      </c>
      <c r="E762" s="22" t="str">
        <f aca="false">IF(D762="","",IFERROR(VLOOKUP(D762,$A$2:$B$1656,2,FALSE()),""))</f>
        <v>Professional and Economic Organizations</v>
      </c>
      <c r="F762" s="22" t="n">
        <v>3</v>
      </c>
      <c r="G762" s="22" t="s">
        <v>3268</v>
      </c>
      <c r="H762" s="22" t="s">
        <v>3263</v>
      </c>
      <c r="I762" s="22" t="s">
        <v>3269</v>
      </c>
      <c r="J762" s="22" t="s">
        <v>3265</v>
      </c>
      <c r="K762" s="22" t="s">
        <v>3269</v>
      </c>
      <c r="L762" s="22" t="s">
        <v>184</v>
      </c>
      <c r="M762" s="22" t="s">
        <v>253</v>
      </c>
    </row>
    <row r="763" customFormat="false" ht="43.5" hidden="false" customHeight="true" outlineLevel="0" collapsed="false">
      <c r="A763" s="22" t="s">
        <v>3270</v>
      </c>
      <c r="B763" s="22" t="s">
        <v>3271</v>
      </c>
      <c r="C763" s="22" t="s">
        <v>55</v>
      </c>
      <c r="D763" s="22" t="s">
        <v>3246</v>
      </c>
      <c r="E763" s="22" t="str">
        <f aca="false">IF(D763="","",IFERROR(VLOOKUP(D763,$A$2:$B$1656,2,FALSE()),""))</f>
        <v>Professional and Economic Organizations</v>
      </c>
      <c r="F763" s="22" t="n">
        <v>3</v>
      </c>
      <c r="G763" s="22" t="s">
        <v>3272</v>
      </c>
      <c r="H763" s="22" t="s">
        <v>3263</v>
      </c>
      <c r="I763" s="22" t="s">
        <v>3273</v>
      </c>
      <c r="J763" s="22" t="s">
        <v>3265</v>
      </c>
      <c r="K763" s="22" t="s">
        <v>3273</v>
      </c>
      <c r="L763" s="22" t="s">
        <v>184</v>
      </c>
      <c r="M763" s="22" t="s">
        <v>253</v>
      </c>
    </row>
    <row r="764" customFormat="false" ht="43.5" hidden="false" customHeight="true" outlineLevel="0" collapsed="false">
      <c r="A764" s="22" t="s">
        <v>3274</v>
      </c>
      <c r="B764" s="22" t="s">
        <v>3275</v>
      </c>
      <c r="C764" s="22" t="s">
        <v>55</v>
      </c>
      <c r="D764" s="22" t="s">
        <v>3246</v>
      </c>
      <c r="E764" s="22" t="str">
        <f aca="false">IF(D764="","",IFERROR(VLOOKUP(D764,$A$2:$B$1656,2,FALSE()),""))</f>
        <v>Professional and Economic Organizations</v>
      </c>
      <c r="F764" s="22" t="n">
        <v>3</v>
      </c>
      <c r="G764" s="22" t="s">
        <v>3276</v>
      </c>
      <c r="H764" s="22" t="s">
        <v>3263</v>
      </c>
      <c r="I764" s="22" t="s">
        <v>3277</v>
      </c>
      <c r="J764" s="22" t="s">
        <v>3265</v>
      </c>
      <c r="K764" s="22" t="s">
        <v>3277</v>
      </c>
      <c r="L764" s="22" t="s">
        <v>184</v>
      </c>
      <c r="M764" s="22" t="s">
        <v>253</v>
      </c>
    </row>
    <row r="765" customFormat="false" ht="43.5" hidden="false" customHeight="true" outlineLevel="0" collapsed="false">
      <c r="A765" s="22" t="s">
        <v>3278</v>
      </c>
      <c r="B765" s="22" t="s">
        <v>3279</v>
      </c>
      <c r="C765" s="22" t="s">
        <v>55</v>
      </c>
      <c r="D765" s="22" t="s">
        <v>3246</v>
      </c>
      <c r="E765" s="22" t="str">
        <f aca="false">IF(D765="","",IFERROR(VLOOKUP(D765,$A$2:$B$1656,2,FALSE()),""))</f>
        <v>Professional and Economic Organizations</v>
      </c>
      <c r="F765" s="22" t="n">
        <v>3</v>
      </c>
      <c r="G765" s="22" t="s">
        <v>3280</v>
      </c>
      <c r="H765" s="22" t="s">
        <v>3263</v>
      </c>
      <c r="I765" s="22" t="s">
        <v>3281</v>
      </c>
      <c r="J765" s="22" t="s">
        <v>3265</v>
      </c>
      <c r="K765" s="22" t="s">
        <v>3281</v>
      </c>
      <c r="L765" s="22" t="s">
        <v>184</v>
      </c>
      <c r="M765" s="22" t="s">
        <v>253</v>
      </c>
    </row>
    <row r="766" customFormat="false" ht="43.5" hidden="false" customHeight="true" outlineLevel="0" collapsed="false">
      <c r="A766" s="22" t="s">
        <v>3282</v>
      </c>
      <c r="B766" s="22" t="s">
        <v>3283</v>
      </c>
      <c r="C766" s="22" t="s">
        <v>55</v>
      </c>
      <c r="D766" s="22" t="s">
        <v>3246</v>
      </c>
      <c r="E766" s="22" t="str">
        <f aca="false">IF(D766="","",IFERROR(VLOOKUP(D766,$A$2:$B$1656,2,FALSE()),""))</f>
        <v>Professional and Economic Organizations</v>
      </c>
      <c r="F766" s="22" t="n">
        <v>3</v>
      </c>
      <c r="G766" s="22" t="s">
        <v>3284</v>
      </c>
      <c r="H766" s="22" t="s">
        <v>3263</v>
      </c>
      <c r="I766" s="22" t="s">
        <v>3285</v>
      </c>
      <c r="J766" s="22" t="s">
        <v>3265</v>
      </c>
      <c r="K766" s="22" t="s">
        <v>3285</v>
      </c>
      <c r="L766" s="22" t="s">
        <v>184</v>
      </c>
      <c r="M766" s="22" t="s">
        <v>253</v>
      </c>
    </row>
    <row r="767" customFormat="false" ht="43.5" hidden="false" customHeight="true" outlineLevel="0" collapsed="false">
      <c r="A767" s="22" t="s">
        <v>3286</v>
      </c>
      <c r="B767" s="22" t="s">
        <v>3287</v>
      </c>
      <c r="C767" s="22" t="s">
        <v>55</v>
      </c>
      <c r="D767" s="22" t="s">
        <v>3246</v>
      </c>
      <c r="E767" s="22" t="str">
        <f aca="false">IF(D767="","",IFERROR(VLOOKUP(D767,$A$2:$B$1656,2,FALSE()),""))</f>
        <v>Professional and Economic Organizations</v>
      </c>
      <c r="F767" s="22" t="n">
        <v>3</v>
      </c>
      <c r="G767" s="22" t="s">
        <v>3288</v>
      </c>
      <c r="H767" s="22" t="s">
        <v>3263</v>
      </c>
      <c r="I767" s="22" t="s">
        <v>3289</v>
      </c>
      <c r="J767" s="22" t="s">
        <v>3265</v>
      </c>
      <c r="K767" s="22" t="s">
        <v>3289</v>
      </c>
      <c r="L767" s="22" t="s">
        <v>184</v>
      </c>
      <c r="M767" s="22" t="s">
        <v>253</v>
      </c>
    </row>
    <row r="768" customFormat="false" ht="43.5" hidden="false" customHeight="true" outlineLevel="0" collapsed="false">
      <c r="A768" s="22" t="s">
        <v>3290</v>
      </c>
      <c r="B768" s="22" t="s">
        <v>3291</v>
      </c>
      <c r="C768" s="22" t="s">
        <v>55</v>
      </c>
      <c r="D768" s="22" t="s">
        <v>3246</v>
      </c>
      <c r="E768" s="22" t="str">
        <f aca="false">IF(D768="","",IFERROR(VLOOKUP(D768,$A$2:$B$1656,2,FALSE()),""))</f>
        <v>Professional and Economic Organizations</v>
      </c>
      <c r="F768" s="22" t="n">
        <v>3</v>
      </c>
      <c r="G768" s="22" t="s">
        <v>3292</v>
      </c>
      <c r="H768" s="22" t="s">
        <v>3263</v>
      </c>
      <c r="I768" s="22" t="s">
        <v>3293</v>
      </c>
      <c r="J768" s="22" t="s">
        <v>3265</v>
      </c>
      <c r="K768" s="22" t="s">
        <v>3293</v>
      </c>
      <c r="L768" s="22" t="s">
        <v>184</v>
      </c>
      <c r="M768" s="22" t="s">
        <v>253</v>
      </c>
    </row>
    <row r="769" customFormat="false" ht="43.5" hidden="false" customHeight="true" outlineLevel="0" collapsed="false">
      <c r="A769" s="22" t="s">
        <v>3294</v>
      </c>
      <c r="B769" s="22" t="s">
        <v>3295</v>
      </c>
      <c r="C769" s="22" t="s">
        <v>55</v>
      </c>
      <c r="D769" s="22" t="s">
        <v>3246</v>
      </c>
      <c r="E769" s="22" t="str">
        <f aca="false">IF(D769="","",IFERROR(VLOOKUP(D769,$A$2:$B$1656,2,FALSE()),""))</f>
        <v>Professional and Economic Organizations</v>
      </c>
      <c r="F769" s="22" t="n">
        <v>3</v>
      </c>
      <c r="G769" s="22" t="s">
        <v>3296</v>
      </c>
      <c r="H769" s="22" t="s">
        <v>3263</v>
      </c>
      <c r="I769" s="22" t="s">
        <v>3297</v>
      </c>
      <c r="J769" s="22" t="s">
        <v>3265</v>
      </c>
      <c r="K769" s="22" t="s">
        <v>3297</v>
      </c>
      <c r="L769" s="22" t="s">
        <v>184</v>
      </c>
      <c r="M769" s="22" t="s">
        <v>253</v>
      </c>
    </row>
    <row r="770" customFormat="false" ht="43.5" hidden="false" customHeight="true" outlineLevel="0" collapsed="false">
      <c r="A770" s="22" t="s">
        <v>3298</v>
      </c>
      <c r="B770" s="22" t="s">
        <v>3299</v>
      </c>
      <c r="C770" s="22" t="s">
        <v>55</v>
      </c>
      <c r="D770" s="22" t="s">
        <v>3246</v>
      </c>
      <c r="E770" s="22" t="str">
        <f aca="false">IF(D770="","",IFERROR(VLOOKUP(D770,$A$2:$B$1656,2,FALSE()),""))</f>
        <v>Professional and Economic Organizations</v>
      </c>
      <c r="F770" s="22" t="n">
        <v>3</v>
      </c>
      <c r="G770" s="22" t="s">
        <v>3300</v>
      </c>
      <c r="H770" s="22" t="s">
        <v>3263</v>
      </c>
      <c r="I770" s="22" t="s">
        <v>3301</v>
      </c>
      <c r="J770" s="22" t="s">
        <v>3265</v>
      </c>
      <c r="K770" s="22" t="s">
        <v>3301</v>
      </c>
      <c r="L770" s="22" t="s">
        <v>184</v>
      </c>
      <c r="M770" s="22" t="s">
        <v>253</v>
      </c>
    </row>
    <row r="771" customFormat="false" ht="43.5" hidden="false" customHeight="true" outlineLevel="0" collapsed="false">
      <c r="A771" s="22" t="s">
        <v>3302</v>
      </c>
      <c r="B771" s="22" t="s">
        <v>3303</v>
      </c>
      <c r="C771" s="22" t="s">
        <v>55</v>
      </c>
      <c r="D771" s="22" t="s">
        <v>3246</v>
      </c>
      <c r="E771" s="22" t="str">
        <f aca="false">IF(D771="","",IFERROR(VLOOKUP(D771,$A$2:$B$1656,2,FALSE()),""))</f>
        <v>Professional and Economic Organizations</v>
      </c>
      <c r="F771" s="22" t="n">
        <v>3</v>
      </c>
      <c r="G771" s="22" t="s">
        <v>3304</v>
      </c>
      <c r="H771" s="22" t="s">
        <v>3263</v>
      </c>
      <c r="I771" s="22" t="s">
        <v>3305</v>
      </c>
      <c r="J771" s="22" t="s">
        <v>3265</v>
      </c>
      <c r="K771" s="22" t="s">
        <v>3305</v>
      </c>
      <c r="L771" s="22" t="s">
        <v>184</v>
      </c>
      <c r="M771" s="22" t="s">
        <v>253</v>
      </c>
    </row>
    <row r="772" customFormat="false" ht="43.5" hidden="false" customHeight="true" outlineLevel="0" collapsed="false">
      <c r="A772" s="22" t="s">
        <v>3306</v>
      </c>
      <c r="B772" s="22" t="s">
        <v>3307</v>
      </c>
      <c r="C772" s="22" t="s">
        <v>55</v>
      </c>
      <c r="D772" s="22" t="s">
        <v>3246</v>
      </c>
      <c r="E772" s="22" t="str">
        <f aca="false">IF(D772="","",IFERROR(VLOOKUP(D772,$A$2:$B$1656,2,FALSE()),""))</f>
        <v>Professional and Economic Organizations</v>
      </c>
      <c r="F772" s="22" t="n">
        <v>3</v>
      </c>
      <c r="G772" s="22" t="s">
        <v>3308</v>
      </c>
      <c r="H772" s="22" t="s">
        <v>3263</v>
      </c>
      <c r="I772" s="22" t="s">
        <v>3309</v>
      </c>
      <c r="J772" s="22" t="s">
        <v>3265</v>
      </c>
      <c r="K772" s="22" t="s">
        <v>3309</v>
      </c>
      <c r="L772" s="22" t="s">
        <v>184</v>
      </c>
      <c r="M772" s="22" t="s">
        <v>253</v>
      </c>
    </row>
    <row r="773" customFormat="false" ht="43.5" hidden="false" customHeight="true" outlineLevel="0" collapsed="false">
      <c r="A773" s="22" t="s">
        <v>3310</v>
      </c>
      <c r="B773" s="22" t="s">
        <v>3311</v>
      </c>
      <c r="C773" s="22" t="s">
        <v>55</v>
      </c>
      <c r="D773" s="22" t="s">
        <v>3246</v>
      </c>
      <c r="E773" s="22" t="str">
        <f aca="false">IF(D773="","",IFERROR(VLOOKUP(D773,$A$2:$B$1656,2,FALSE()),""))</f>
        <v>Professional and Economic Organizations</v>
      </c>
      <c r="F773" s="22" t="n">
        <v>3</v>
      </c>
      <c r="G773" s="22" t="s">
        <v>3312</v>
      </c>
      <c r="H773" s="22" t="s">
        <v>3263</v>
      </c>
      <c r="I773" s="22" t="s">
        <v>3313</v>
      </c>
      <c r="J773" s="22" t="s">
        <v>3265</v>
      </c>
      <c r="K773" s="22" t="s">
        <v>3313</v>
      </c>
      <c r="L773" s="22" t="s">
        <v>184</v>
      </c>
      <c r="M773" s="22" t="s">
        <v>253</v>
      </c>
    </row>
    <row r="774" customFormat="false" ht="43.5" hidden="false" customHeight="true" outlineLevel="0" collapsed="false">
      <c r="A774" s="22" t="s">
        <v>3314</v>
      </c>
      <c r="B774" s="22" t="s">
        <v>3315</v>
      </c>
      <c r="C774" s="22" t="s">
        <v>55</v>
      </c>
      <c r="D774" s="22" t="s">
        <v>3246</v>
      </c>
      <c r="E774" s="22" t="str">
        <f aca="false">IF(D774="","",IFERROR(VLOOKUP(D774,$A$2:$B$1656,2,FALSE()),""))</f>
        <v>Professional and Economic Organizations</v>
      </c>
      <c r="F774" s="22" t="n">
        <v>3</v>
      </c>
      <c r="G774" s="22" t="s">
        <v>3316</v>
      </c>
      <c r="H774" s="22" t="s">
        <v>3263</v>
      </c>
      <c r="I774" s="22" t="s">
        <v>3317</v>
      </c>
      <c r="J774" s="22" t="s">
        <v>3265</v>
      </c>
      <c r="K774" s="22" t="s">
        <v>3317</v>
      </c>
      <c r="L774" s="22" t="s">
        <v>184</v>
      </c>
      <c r="M774" s="22" t="s">
        <v>253</v>
      </c>
    </row>
    <row r="775" customFormat="false" ht="43.5" hidden="false" customHeight="true" outlineLevel="0" collapsed="false">
      <c r="A775" s="22" t="s">
        <v>3318</v>
      </c>
      <c r="B775" s="22" t="s">
        <v>3319</v>
      </c>
      <c r="C775" s="22" t="s">
        <v>55</v>
      </c>
      <c r="D775" s="22" t="s">
        <v>3246</v>
      </c>
      <c r="E775" s="22" t="str">
        <f aca="false">IF(D775="","",IFERROR(VLOOKUP(D775,$A$2:$B$1656,2,FALSE()),""))</f>
        <v>Professional and Economic Organizations</v>
      </c>
      <c r="F775" s="22" t="n">
        <v>3</v>
      </c>
      <c r="G775" s="22" t="s">
        <v>3320</v>
      </c>
      <c r="H775" s="22" t="s">
        <v>3263</v>
      </c>
      <c r="I775" s="22" t="s">
        <v>3321</v>
      </c>
      <c r="J775" s="22" t="s">
        <v>3265</v>
      </c>
      <c r="K775" s="22" t="s">
        <v>3321</v>
      </c>
      <c r="L775" s="22" t="s">
        <v>184</v>
      </c>
      <c r="M775" s="22" t="s">
        <v>253</v>
      </c>
    </row>
    <row r="776" customFormat="false" ht="43.5" hidden="false" customHeight="true" outlineLevel="0" collapsed="false">
      <c r="A776" s="22" t="s">
        <v>3322</v>
      </c>
      <c r="B776" s="22" t="s">
        <v>3323</v>
      </c>
      <c r="C776" s="22" t="s">
        <v>55</v>
      </c>
      <c r="D776" s="22" t="s">
        <v>3251</v>
      </c>
      <c r="E776" s="22" t="str">
        <f aca="false">IF(D776="","",IFERROR(VLOOKUP(D776,$A$2:$B$1656,2,FALSE()),""))</f>
        <v>Martial and Protective Organizations</v>
      </c>
      <c r="F776" s="22" t="n">
        <v>3</v>
      </c>
      <c r="G776" s="22" t="s">
        <v>3324</v>
      </c>
      <c r="H776" s="22" t="s">
        <v>3263</v>
      </c>
      <c r="I776" s="22" t="s">
        <v>3325</v>
      </c>
      <c r="J776" s="22" t="s">
        <v>3326</v>
      </c>
      <c r="K776" s="22" t="s">
        <v>3325</v>
      </c>
      <c r="L776" s="22" t="s">
        <v>184</v>
      </c>
      <c r="M776" s="22" t="s">
        <v>253</v>
      </c>
    </row>
    <row r="777" customFormat="false" ht="43.5" hidden="false" customHeight="true" outlineLevel="0" collapsed="false">
      <c r="A777" s="22" t="s">
        <v>3327</v>
      </c>
      <c r="B777" s="22" t="s">
        <v>3328</v>
      </c>
      <c r="C777" s="22" t="s">
        <v>55</v>
      </c>
      <c r="D777" s="22" t="s">
        <v>3251</v>
      </c>
      <c r="E777" s="22" t="str">
        <f aca="false">IF(D777="","",IFERROR(VLOOKUP(D777,$A$2:$B$1656,2,FALSE()),""))</f>
        <v>Martial and Protective Organizations</v>
      </c>
      <c r="F777" s="22" t="n">
        <v>3</v>
      </c>
      <c r="G777" s="22" t="s">
        <v>3329</v>
      </c>
      <c r="H777" s="22" t="s">
        <v>3263</v>
      </c>
      <c r="I777" s="22" t="s">
        <v>3330</v>
      </c>
      <c r="J777" s="22" t="s">
        <v>3326</v>
      </c>
      <c r="K777" s="22" t="s">
        <v>3330</v>
      </c>
      <c r="L777" s="22" t="s">
        <v>184</v>
      </c>
      <c r="M777" s="22" t="s">
        <v>253</v>
      </c>
    </row>
    <row r="778" customFormat="false" ht="43.5" hidden="false" customHeight="true" outlineLevel="0" collapsed="false">
      <c r="A778" s="22" t="s">
        <v>3331</v>
      </c>
      <c r="B778" s="22" t="s">
        <v>3332</v>
      </c>
      <c r="C778" s="22" t="s">
        <v>55</v>
      </c>
      <c r="D778" s="22" t="s">
        <v>3251</v>
      </c>
      <c r="E778" s="22" t="str">
        <f aca="false">IF(D778="","",IFERROR(VLOOKUP(D778,$A$2:$B$1656,2,FALSE()),""))</f>
        <v>Martial and Protective Organizations</v>
      </c>
      <c r="F778" s="22" t="n">
        <v>3</v>
      </c>
      <c r="G778" s="22" t="s">
        <v>3333</v>
      </c>
      <c r="H778" s="22" t="s">
        <v>3263</v>
      </c>
      <c r="I778" s="22" t="s">
        <v>3334</v>
      </c>
      <c r="J778" s="22" t="s">
        <v>3326</v>
      </c>
      <c r="K778" s="22" t="s">
        <v>3334</v>
      </c>
      <c r="L778" s="22" t="s">
        <v>184</v>
      </c>
      <c r="M778" s="22" t="s">
        <v>253</v>
      </c>
    </row>
    <row r="779" customFormat="false" ht="43.5" hidden="false" customHeight="true" outlineLevel="0" collapsed="false">
      <c r="A779" s="22" t="s">
        <v>3335</v>
      </c>
      <c r="B779" s="22" t="s">
        <v>3336</v>
      </c>
      <c r="C779" s="22" t="s">
        <v>55</v>
      </c>
      <c r="D779" s="22" t="s">
        <v>3251</v>
      </c>
      <c r="E779" s="22" t="str">
        <f aca="false">IF(D779="","",IFERROR(VLOOKUP(D779,$A$2:$B$1656,2,FALSE()),""))</f>
        <v>Martial and Protective Organizations</v>
      </c>
      <c r="F779" s="22" t="n">
        <v>3</v>
      </c>
      <c r="G779" s="22" t="s">
        <v>3337</v>
      </c>
      <c r="H779" s="22" t="s">
        <v>3263</v>
      </c>
      <c r="I779" s="22" t="s">
        <v>3338</v>
      </c>
      <c r="J779" s="22" t="s">
        <v>3326</v>
      </c>
      <c r="K779" s="22" t="s">
        <v>3338</v>
      </c>
      <c r="L779" s="22" t="s">
        <v>184</v>
      </c>
      <c r="M779" s="22" t="s">
        <v>253</v>
      </c>
    </row>
    <row r="780" customFormat="false" ht="43.5" hidden="false" customHeight="true" outlineLevel="0" collapsed="false">
      <c r="A780" s="22" t="s">
        <v>3339</v>
      </c>
      <c r="B780" s="22" t="s">
        <v>3340</v>
      </c>
      <c r="C780" s="22" t="s">
        <v>55</v>
      </c>
      <c r="D780" s="22" t="s">
        <v>3251</v>
      </c>
      <c r="E780" s="22" t="str">
        <f aca="false">IF(D780="","",IFERROR(VLOOKUP(D780,$A$2:$B$1656,2,FALSE()),""))</f>
        <v>Martial and Protective Organizations</v>
      </c>
      <c r="F780" s="22" t="n">
        <v>3</v>
      </c>
      <c r="G780" s="22" t="s">
        <v>3341</v>
      </c>
      <c r="H780" s="22" t="s">
        <v>3263</v>
      </c>
      <c r="I780" s="22" t="s">
        <v>3342</v>
      </c>
      <c r="J780" s="22" t="s">
        <v>3326</v>
      </c>
      <c r="K780" s="22" t="s">
        <v>3342</v>
      </c>
      <c r="L780" s="22" t="s">
        <v>184</v>
      </c>
      <c r="M780" s="22" t="s">
        <v>253</v>
      </c>
    </row>
    <row r="781" customFormat="false" ht="43.5" hidden="false" customHeight="true" outlineLevel="0" collapsed="false">
      <c r="A781" s="22" t="s">
        <v>3343</v>
      </c>
      <c r="B781" s="22" t="s">
        <v>3344</v>
      </c>
      <c r="C781" s="22" t="s">
        <v>55</v>
      </c>
      <c r="D781" s="22" t="s">
        <v>3251</v>
      </c>
      <c r="E781" s="22" t="str">
        <f aca="false">IF(D781="","",IFERROR(VLOOKUP(D781,$A$2:$B$1656,2,FALSE()),""))</f>
        <v>Martial and Protective Organizations</v>
      </c>
      <c r="F781" s="22" t="n">
        <v>3</v>
      </c>
      <c r="G781" s="22" t="s">
        <v>3345</v>
      </c>
      <c r="H781" s="22" t="s">
        <v>3263</v>
      </c>
      <c r="I781" s="22" t="s">
        <v>3346</v>
      </c>
      <c r="J781" s="22" t="s">
        <v>3326</v>
      </c>
      <c r="K781" s="22" t="s">
        <v>3346</v>
      </c>
      <c r="L781" s="22" t="s">
        <v>184</v>
      </c>
      <c r="M781" s="22" t="s">
        <v>253</v>
      </c>
    </row>
    <row r="782" customFormat="false" ht="43.5" hidden="false" customHeight="true" outlineLevel="0" collapsed="false">
      <c r="A782" s="22" t="s">
        <v>3347</v>
      </c>
      <c r="B782" s="22" t="s">
        <v>3348</v>
      </c>
      <c r="C782" s="22" t="s">
        <v>55</v>
      </c>
      <c r="D782" s="22" t="s">
        <v>3251</v>
      </c>
      <c r="E782" s="22" t="str">
        <f aca="false">IF(D782="","",IFERROR(VLOOKUP(D782,$A$2:$B$1656,2,FALSE()),""))</f>
        <v>Martial and Protective Organizations</v>
      </c>
      <c r="F782" s="22" t="n">
        <v>3</v>
      </c>
      <c r="G782" s="22" t="s">
        <v>3349</v>
      </c>
      <c r="H782" s="22" t="s">
        <v>3263</v>
      </c>
      <c r="I782" s="22" t="s">
        <v>3350</v>
      </c>
      <c r="J782" s="22" t="s">
        <v>3326</v>
      </c>
      <c r="K782" s="22" t="s">
        <v>3350</v>
      </c>
      <c r="L782" s="22" t="s">
        <v>184</v>
      </c>
      <c r="M782" s="22" t="s">
        <v>253</v>
      </c>
    </row>
    <row r="783" customFormat="false" ht="43.5" hidden="false" customHeight="true" outlineLevel="0" collapsed="false">
      <c r="A783" s="22" t="s">
        <v>3351</v>
      </c>
      <c r="B783" s="22" t="s">
        <v>3352</v>
      </c>
      <c r="C783" s="22" t="s">
        <v>55</v>
      </c>
      <c r="D783" s="22" t="s">
        <v>3251</v>
      </c>
      <c r="E783" s="22" t="str">
        <f aca="false">IF(D783="","",IFERROR(VLOOKUP(D783,$A$2:$B$1656,2,FALSE()),""))</f>
        <v>Martial and Protective Organizations</v>
      </c>
      <c r="F783" s="22" t="n">
        <v>3</v>
      </c>
      <c r="G783" s="22" t="s">
        <v>3353</v>
      </c>
      <c r="H783" s="22" t="s">
        <v>3263</v>
      </c>
      <c r="I783" s="22" t="s">
        <v>3354</v>
      </c>
      <c r="J783" s="22" t="s">
        <v>3326</v>
      </c>
      <c r="K783" s="22" t="s">
        <v>3354</v>
      </c>
      <c r="L783" s="22" t="s">
        <v>184</v>
      </c>
      <c r="M783" s="22" t="s">
        <v>253</v>
      </c>
    </row>
    <row r="784" customFormat="false" ht="43.5" hidden="false" customHeight="true" outlineLevel="0" collapsed="false">
      <c r="A784" s="22" t="s">
        <v>3355</v>
      </c>
      <c r="B784" s="22" t="s">
        <v>3356</v>
      </c>
      <c r="C784" s="22" t="s">
        <v>55</v>
      </c>
      <c r="D784" s="22" t="s">
        <v>3251</v>
      </c>
      <c r="E784" s="22" t="str">
        <f aca="false">IF(D784="","",IFERROR(VLOOKUP(D784,$A$2:$B$1656,2,FALSE()),""))</f>
        <v>Martial and Protective Organizations</v>
      </c>
      <c r="F784" s="22" t="n">
        <v>3</v>
      </c>
      <c r="G784" s="22" t="s">
        <v>3357</v>
      </c>
      <c r="H784" s="22" t="s">
        <v>3263</v>
      </c>
      <c r="I784" s="22" t="s">
        <v>3358</v>
      </c>
      <c r="J784" s="22" t="s">
        <v>3326</v>
      </c>
      <c r="K784" s="22" t="s">
        <v>3358</v>
      </c>
      <c r="L784" s="22" t="s">
        <v>3359</v>
      </c>
      <c r="M784" s="22" t="s">
        <v>253</v>
      </c>
    </row>
    <row r="785" customFormat="false" ht="43.5" hidden="false" customHeight="true" outlineLevel="0" collapsed="false">
      <c r="A785" s="22" t="s">
        <v>3360</v>
      </c>
      <c r="B785" s="22" t="s">
        <v>3361</v>
      </c>
      <c r="C785" s="22" t="s">
        <v>55</v>
      </c>
      <c r="D785" s="22" t="s">
        <v>3251</v>
      </c>
      <c r="E785" s="22" t="str">
        <f aca="false">IF(D785="","",IFERROR(VLOOKUP(D785,$A$2:$B$1656,2,FALSE()),""))</f>
        <v>Martial and Protective Organizations</v>
      </c>
      <c r="F785" s="22" t="n">
        <v>3</v>
      </c>
      <c r="G785" s="22" t="s">
        <v>3362</v>
      </c>
      <c r="H785" s="22" t="s">
        <v>3263</v>
      </c>
      <c r="I785" s="22" t="s">
        <v>3363</v>
      </c>
      <c r="J785" s="22" t="s">
        <v>3326</v>
      </c>
      <c r="K785" s="22" t="s">
        <v>3363</v>
      </c>
      <c r="L785" s="22" t="s">
        <v>184</v>
      </c>
      <c r="M785" s="22" t="s">
        <v>253</v>
      </c>
    </row>
    <row r="786" customFormat="false" ht="43.5" hidden="false" customHeight="true" outlineLevel="0" collapsed="false">
      <c r="A786" s="22" t="s">
        <v>3364</v>
      </c>
      <c r="B786" s="22" t="s">
        <v>3365</v>
      </c>
      <c r="C786" s="22" t="s">
        <v>55</v>
      </c>
      <c r="D786" s="22" t="s">
        <v>3251</v>
      </c>
      <c r="E786" s="22" t="str">
        <f aca="false">IF(D786="","",IFERROR(VLOOKUP(D786,$A$2:$B$1656,2,FALSE()),""))</f>
        <v>Martial and Protective Organizations</v>
      </c>
      <c r="F786" s="22" t="n">
        <v>3</v>
      </c>
      <c r="G786" s="22" t="s">
        <v>3366</v>
      </c>
      <c r="H786" s="22" t="s">
        <v>3263</v>
      </c>
      <c r="I786" s="22" t="s">
        <v>3367</v>
      </c>
      <c r="J786" s="22" t="s">
        <v>3326</v>
      </c>
      <c r="K786" s="22" t="s">
        <v>3367</v>
      </c>
      <c r="L786" s="22" t="s">
        <v>184</v>
      </c>
      <c r="M786" s="22" t="s">
        <v>253</v>
      </c>
    </row>
    <row r="787" customFormat="false" ht="43.5" hidden="false" customHeight="true" outlineLevel="0" collapsed="false">
      <c r="A787" s="22" t="s">
        <v>3368</v>
      </c>
      <c r="B787" s="22" t="s">
        <v>3369</v>
      </c>
      <c r="C787" s="22" t="s">
        <v>55</v>
      </c>
      <c r="D787" s="22" t="s">
        <v>3251</v>
      </c>
      <c r="E787" s="22" t="str">
        <f aca="false">IF(D787="","",IFERROR(VLOOKUP(D787,$A$2:$B$1656,2,FALSE()),""))</f>
        <v>Martial and Protective Organizations</v>
      </c>
      <c r="F787" s="22" t="n">
        <v>3</v>
      </c>
      <c r="G787" s="22" t="s">
        <v>3370</v>
      </c>
      <c r="H787" s="22" t="s">
        <v>3263</v>
      </c>
      <c r="I787" s="22" t="s">
        <v>3371</v>
      </c>
      <c r="J787" s="22" t="s">
        <v>3326</v>
      </c>
      <c r="K787" s="22" t="s">
        <v>3371</v>
      </c>
      <c r="L787" s="22" t="s">
        <v>184</v>
      </c>
      <c r="M787" s="22" t="s">
        <v>253</v>
      </c>
    </row>
    <row r="788" customFormat="false" ht="43.5" hidden="false" customHeight="true" outlineLevel="0" collapsed="false">
      <c r="A788" s="22" t="s">
        <v>3372</v>
      </c>
      <c r="B788" s="22" t="s">
        <v>3373</v>
      </c>
      <c r="C788" s="22" t="s">
        <v>55</v>
      </c>
      <c r="D788" s="22" t="s">
        <v>3251</v>
      </c>
      <c r="E788" s="22" t="str">
        <f aca="false">IF(D788="","",IFERROR(VLOOKUP(D788,$A$2:$B$1656,2,FALSE()),""))</f>
        <v>Martial and Protective Organizations</v>
      </c>
      <c r="F788" s="22" t="n">
        <v>3</v>
      </c>
      <c r="G788" s="22" t="s">
        <v>3374</v>
      </c>
      <c r="H788" s="22" t="s">
        <v>3263</v>
      </c>
      <c r="I788" s="22" t="s">
        <v>3375</v>
      </c>
      <c r="J788" s="22" t="s">
        <v>3326</v>
      </c>
      <c r="K788" s="22" t="s">
        <v>3375</v>
      </c>
      <c r="L788" s="22" t="s">
        <v>184</v>
      </c>
      <c r="M788" s="22" t="s">
        <v>253</v>
      </c>
    </row>
    <row r="789" customFormat="false" ht="43.5" hidden="false" customHeight="true" outlineLevel="0" collapsed="false">
      <c r="A789" s="22" t="s">
        <v>3376</v>
      </c>
      <c r="B789" s="22" t="s">
        <v>3377</v>
      </c>
      <c r="C789" s="22" t="s">
        <v>55</v>
      </c>
      <c r="D789" s="22" t="s">
        <v>3251</v>
      </c>
      <c r="E789" s="22" t="str">
        <f aca="false">IF(D789="","",IFERROR(VLOOKUP(D789,$A$2:$B$1656,2,FALSE()),""))</f>
        <v>Martial and Protective Organizations</v>
      </c>
      <c r="F789" s="22" t="n">
        <v>3</v>
      </c>
      <c r="G789" s="22" t="s">
        <v>3378</v>
      </c>
      <c r="H789" s="22" t="s">
        <v>3263</v>
      </c>
      <c r="I789" s="22" t="s">
        <v>3379</v>
      </c>
      <c r="J789" s="22" t="s">
        <v>3326</v>
      </c>
      <c r="K789" s="22" t="s">
        <v>3379</v>
      </c>
      <c r="L789" s="22" t="s">
        <v>184</v>
      </c>
      <c r="M789" s="22" t="s">
        <v>253</v>
      </c>
    </row>
    <row r="790" customFormat="false" ht="43.5" hidden="false" customHeight="true" outlineLevel="0" collapsed="false">
      <c r="A790" s="22" t="s">
        <v>3380</v>
      </c>
      <c r="B790" s="22" t="s">
        <v>3381</v>
      </c>
      <c r="C790" s="22" t="s">
        <v>55</v>
      </c>
      <c r="D790" s="22" t="s">
        <v>3251</v>
      </c>
      <c r="E790" s="22" t="str">
        <f aca="false">IF(D790="","",IFERROR(VLOOKUP(D790,$A$2:$B$1656,2,FALSE()),""))</f>
        <v>Martial and Protective Organizations</v>
      </c>
      <c r="F790" s="22" t="n">
        <v>3</v>
      </c>
      <c r="G790" s="22" t="s">
        <v>3382</v>
      </c>
      <c r="H790" s="22" t="s">
        <v>3263</v>
      </c>
      <c r="I790" s="22" t="s">
        <v>3383</v>
      </c>
      <c r="J790" s="22" t="s">
        <v>3326</v>
      </c>
      <c r="K790" s="22" t="s">
        <v>3383</v>
      </c>
      <c r="L790" s="22" t="s">
        <v>184</v>
      </c>
      <c r="M790" s="22" t="s">
        <v>253</v>
      </c>
    </row>
    <row r="791" customFormat="false" ht="43.5" hidden="false" customHeight="true" outlineLevel="0" collapsed="false">
      <c r="A791" s="22" t="s">
        <v>3384</v>
      </c>
      <c r="B791" s="22" t="s">
        <v>3385</v>
      </c>
      <c r="C791" s="22" t="s">
        <v>55</v>
      </c>
      <c r="D791" s="22" t="s">
        <v>3251</v>
      </c>
      <c r="E791" s="22" t="str">
        <f aca="false">IF(D791="","",IFERROR(VLOOKUP(D791,$A$2:$B$1656,2,FALSE()),""))</f>
        <v>Martial and Protective Organizations</v>
      </c>
      <c r="F791" s="22" t="n">
        <v>3</v>
      </c>
      <c r="G791" s="22" t="s">
        <v>3386</v>
      </c>
      <c r="H791" s="22" t="s">
        <v>3263</v>
      </c>
      <c r="I791" s="22" t="s">
        <v>3387</v>
      </c>
      <c r="J791" s="22" t="s">
        <v>3326</v>
      </c>
      <c r="K791" s="22" t="s">
        <v>3387</v>
      </c>
      <c r="L791" s="22" t="s">
        <v>184</v>
      </c>
      <c r="M791" s="22" t="s">
        <v>253</v>
      </c>
    </row>
    <row r="792" customFormat="false" ht="43.5" hidden="false" customHeight="true" outlineLevel="0" collapsed="false">
      <c r="A792" s="22" t="s">
        <v>3388</v>
      </c>
      <c r="B792" s="22" t="s">
        <v>3389</v>
      </c>
      <c r="C792" s="22" t="s">
        <v>55</v>
      </c>
      <c r="D792" s="22" t="s">
        <v>3251</v>
      </c>
      <c r="E792" s="22" t="str">
        <f aca="false">IF(D792="","",IFERROR(VLOOKUP(D792,$A$2:$B$1656,2,FALSE()),""))</f>
        <v>Martial and Protective Organizations</v>
      </c>
      <c r="F792" s="22" t="n">
        <v>3</v>
      </c>
      <c r="G792" s="22" t="s">
        <v>3390</v>
      </c>
      <c r="H792" s="22" t="s">
        <v>3263</v>
      </c>
      <c r="I792" s="22" t="s">
        <v>3391</v>
      </c>
      <c r="J792" s="22" t="s">
        <v>3326</v>
      </c>
      <c r="K792" s="22" t="s">
        <v>3391</v>
      </c>
      <c r="L792" s="22" t="s">
        <v>184</v>
      </c>
      <c r="M792" s="22" t="s">
        <v>253</v>
      </c>
    </row>
    <row r="793" customFormat="false" ht="43.5" hidden="false" customHeight="true" outlineLevel="0" collapsed="false">
      <c r="A793" s="22" t="s">
        <v>3392</v>
      </c>
      <c r="B793" s="22" t="s">
        <v>3393</v>
      </c>
      <c r="C793" s="22" t="s">
        <v>55</v>
      </c>
      <c r="D793" s="22" t="s">
        <v>3251</v>
      </c>
      <c r="E793" s="22" t="str">
        <f aca="false">IF(D793="","",IFERROR(VLOOKUP(D793,$A$2:$B$1656,2,FALSE()),""))</f>
        <v>Martial and Protective Organizations</v>
      </c>
      <c r="F793" s="22" t="n">
        <v>3</v>
      </c>
      <c r="G793" s="22" t="s">
        <v>3394</v>
      </c>
      <c r="H793" s="22" t="s">
        <v>3263</v>
      </c>
      <c r="I793" s="22" t="s">
        <v>3395</v>
      </c>
      <c r="J793" s="22" t="s">
        <v>3326</v>
      </c>
      <c r="K793" s="22" t="s">
        <v>3395</v>
      </c>
      <c r="L793" s="22" t="s">
        <v>184</v>
      </c>
      <c r="M793" s="22" t="s">
        <v>253</v>
      </c>
    </row>
    <row r="794" customFormat="false" ht="43.5" hidden="false" customHeight="true" outlineLevel="0" collapsed="false">
      <c r="A794" s="22" t="s">
        <v>3396</v>
      </c>
      <c r="B794" s="22" t="s">
        <v>3397</v>
      </c>
      <c r="C794" s="22" t="s">
        <v>55</v>
      </c>
      <c r="D794" s="22" t="s">
        <v>3251</v>
      </c>
      <c r="E794" s="22" t="str">
        <f aca="false">IF(D794="","",IFERROR(VLOOKUP(D794,$A$2:$B$1656,2,FALSE()),""))</f>
        <v>Martial and Protective Organizations</v>
      </c>
      <c r="F794" s="22" t="n">
        <v>3</v>
      </c>
      <c r="G794" s="22" t="s">
        <v>3398</v>
      </c>
      <c r="H794" s="22" t="s">
        <v>3263</v>
      </c>
      <c r="I794" s="22" t="s">
        <v>3399</v>
      </c>
      <c r="J794" s="22" t="s">
        <v>3326</v>
      </c>
      <c r="K794" s="22" t="s">
        <v>3399</v>
      </c>
      <c r="L794" s="22" t="s">
        <v>184</v>
      </c>
      <c r="M794" s="22" t="s">
        <v>253</v>
      </c>
    </row>
    <row r="795" customFormat="false" ht="43.5" hidden="false" customHeight="true" outlineLevel="0" collapsed="false">
      <c r="A795" s="22" t="s">
        <v>3400</v>
      </c>
      <c r="B795" s="22" t="s">
        <v>3401</v>
      </c>
      <c r="C795" s="22" t="s">
        <v>55</v>
      </c>
      <c r="D795" s="22" t="s">
        <v>3251</v>
      </c>
      <c r="E795" s="22" t="str">
        <f aca="false">IF(D795="","",IFERROR(VLOOKUP(D795,$A$2:$B$1656,2,FALSE()),""))</f>
        <v>Martial and Protective Organizations</v>
      </c>
      <c r="F795" s="22" t="n">
        <v>3</v>
      </c>
      <c r="G795" s="22" t="s">
        <v>3402</v>
      </c>
      <c r="H795" s="22" t="s">
        <v>3263</v>
      </c>
      <c r="I795" s="22" t="s">
        <v>3403</v>
      </c>
      <c r="J795" s="22" t="s">
        <v>3326</v>
      </c>
      <c r="K795" s="22" t="s">
        <v>3403</v>
      </c>
      <c r="L795" s="22" t="s">
        <v>184</v>
      </c>
      <c r="M795" s="22" t="s">
        <v>253</v>
      </c>
    </row>
    <row r="796" customFormat="false" ht="43.5" hidden="false" customHeight="true" outlineLevel="0" collapsed="false">
      <c r="A796" s="22" t="s">
        <v>3404</v>
      </c>
      <c r="B796" s="22" t="s">
        <v>3405</v>
      </c>
      <c r="C796" s="22" t="s">
        <v>55</v>
      </c>
      <c r="D796" s="22" t="s">
        <v>3254</v>
      </c>
      <c r="E796" s="22" t="str">
        <f aca="false">IF(D796="","",IFERROR(VLOOKUP(D796,$A$2:$B$1656,2,FALSE()),""))</f>
        <v>Religious and Magical Organizations</v>
      </c>
      <c r="F796" s="22" t="n">
        <v>3</v>
      </c>
      <c r="G796" s="22" t="s">
        <v>3406</v>
      </c>
      <c r="H796" s="22" t="s">
        <v>3263</v>
      </c>
      <c r="I796" s="22" t="s">
        <v>3407</v>
      </c>
      <c r="J796" s="22" t="s">
        <v>3408</v>
      </c>
      <c r="K796" s="22" t="s">
        <v>3407</v>
      </c>
      <c r="L796" s="22" t="s">
        <v>184</v>
      </c>
      <c r="M796" s="22" t="s">
        <v>253</v>
      </c>
    </row>
    <row r="797" customFormat="false" ht="43.5" hidden="false" customHeight="true" outlineLevel="0" collapsed="false">
      <c r="A797" s="22" t="s">
        <v>3409</v>
      </c>
      <c r="B797" s="22" t="s">
        <v>3410</v>
      </c>
      <c r="C797" s="22" t="s">
        <v>55</v>
      </c>
      <c r="D797" s="22" t="s">
        <v>3254</v>
      </c>
      <c r="E797" s="22" t="str">
        <f aca="false">IF(D797="","",IFERROR(VLOOKUP(D797,$A$2:$B$1656,2,FALSE()),""))</f>
        <v>Religious and Magical Organizations</v>
      </c>
      <c r="F797" s="22" t="n">
        <v>3</v>
      </c>
      <c r="G797" s="22" t="s">
        <v>3411</v>
      </c>
      <c r="H797" s="22" t="s">
        <v>3263</v>
      </c>
      <c r="I797" s="22" t="s">
        <v>3412</v>
      </c>
      <c r="J797" s="22" t="s">
        <v>3408</v>
      </c>
      <c r="K797" s="22" t="s">
        <v>3412</v>
      </c>
      <c r="L797" s="22" t="s">
        <v>184</v>
      </c>
      <c r="M797" s="22" t="s">
        <v>253</v>
      </c>
    </row>
    <row r="798" customFormat="false" ht="43.5" hidden="false" customHeight="true" outlineLevel="0" collapsed="false">
      <c r="A798" s="22" t="s">
        <v>3413</v>
      </c>
      <c r="B798" s="22" t="s">
        <v>3414</v>
      </c>
      <c r="C798" s="22" t="s">
        <v>55</v>
      </c>
      <c r="D798" s="22" t="s">
        <v>3254</v>
      </c>
      <c r="E798" s="22" t="str">
        <f aca="false">IF(D798="","",IFERROR(VLOOKUP(D798,$A$2:$B$1656,2,FALSE()),""))</f>
        <v>Religious and Magical Organizations</v>
      </c>
      <c r="F798" s="22" t="n">
        <v>3</v>
      </c>
      <c r="G798" s="22" t="s">
        <v>3415</v>
      </c>
      <c r="H798" s="22" t="s">
        <v>3263</v>
      </c>
      <c r="I798" s="22" t="s">
        <v>3416</v>
      </c>
      <c r="J798" s="22" t="s">
        <v>3408</v>
      </c>
      <c r="K798" s="22" t="s">
        <v>3416</v>
      </c>
      <c r="L798" s="22" t="s">
        <v>3417</v>
      </c>
      <c r="M798" s="22" t="s">
        <v>253</v>
      </c>
    </row>
    <row r="799" customFormat="false" ht="43.5" hidden="false" customHeight="true" outlineLevel="0" collapsed="false">
      <c r="A799" s="22" t="s">
        <v>3418</v>
      </c>
      <c r="B799" s="22" t="s">
        <v>3419</v>
      </c>
      <c r="C799" s="22" t="s">
        <v>55</v>
      </c>
      <c r="D799" s="22" t="s">
        <v>3254</v>
      </c>
      <c r="E799" s="22" t="str">
        <f aca="false">IF(D799="","",IFERROR(VLOOKUP(D799,$A$2:$B$1656,2,FALSE()),""))</f>
        <v>Religious and Magical Organizations</v>
      </c>
      <c r="F799" s="22" t="n">
        <v>3</v>
      </c>
      <c r="G799" s="22" t="s">
        <v>3420</v>
      </c>
      <c r="H799" s="22" t="s">
        <v>3263</v>
      </c>
      <c r="I799" s="22" t="s">
        <v>3421</v>
      </c>
      <c r="J799" s="22" t="s">
        <v>3408</v>
      </c>
      <c r="K799" s="22" t="s">
        <v>3421</v>
      </c>
      <c r="L799" s="22" t="s">
        <v>184</v>
      </c>
      <c r="M799" s="22" t="s">
        <v>253</v>
      </c>
    </row>
    <row r="800" customFormat="false" ht="43.5" hidden="false" customHeight="true" outlineLevel="0" collapsed="false">
      <c r="A800" s="22" t="s">
        <v>3422</v>
      </c>
      <c r="B800" s="22" t="s">
        <v>3423</v>
      </c>
      <c r="C800" s="22" t="s">
        <v>55</v>
      </c>
      <c r="D800" s="22" t="s">
        <v>3254</v>
      </c>
      <c r="E800" s="22" t="str">
        <f aca="false">IF(D800="","",IFERROR(VLOOKUP(D800,$A$2:$B$1656,2,FALSE()),""))</f>
        <v>Religious and Magical Organizations</v>
      </c>
      <c r="F800" s="22" t="n">
        <v>3</v>
      </c>
      <c r="G800" s="22" t="s">
        <v>3424</v>
      </c>
      <c r="H800" s="22" t="s">
        <v>3263</v>
      </c>
      <c r="I800" s="22" t="s">
        <v>3425</v>
      </c>
      <c r="J800" s="22" t="s">
        <v>3408</v>
      </c>
      <c r="K800" s="22" t="s">
        <v>3425</v>
      </c>
      <c r="L800" s="22" t="s">
        <v>184</v>
      </c>
      <c r="M800" s="22" t="s">
        <v>253</v>
      </c>
    </row>
    <row r="801" customFormat="false" ht="43.5" hidden="false" customHeight="true" outlineLevel="0" collapsed="false">
      <c r="A801" s="22" t="s">
        <v>3426</v>
      </c>
      <c r="B801" s="22" t="s">
        <v>3427</v>
      </c>
      <c r="C801" s="22" t="s">
        <v>55</v>
      </c>
      <c r="D801" s="22" t="s">
        <v>3254</v>
      </c>
      <c r="E801" s="22" t="str">
        <f aca="false">IF(D801="","",IFERROR(VLOOKUP(D801,$A$2:$B$1656,2,FALSE()),""))</f>
        <v>Religious and Magical Organizations</v>
      </c>
      <c r="F801" s="22" t="n">
        <v>3</v>
      </c>
      <c r="G801" s="22" t="s">
        <v>3428</v>
      </c>
      <c r="H801" s="22" t="s">
        <v>3263</v>
      </c>
      <c r="I801" s="22" t="s">
        <v>3429</v>
      </c>
      <c r="J801" s="22" t="s">
        <v>3408</v>
      </c>
      <c r="K801" s="22" t="s">
        <v>3429</v>
      </c>
      <c r="L801" s="22" t="s">
        <v>184</v>
      </c>
      <c r="M801" s="22" t="s">
        <v>253</v>
      </c>
    </row>
    <row r="802" customFormat="false" ht="43.5" hidden="false" customHeight="true" outlineLevel="0" collapsed="false">
      <c r="A802" s="22" t="s">
        <v>3430</v>
      </c>
      <c r="B802" s="22" t="s">
        <v>3431</v>
      </c>
      <c r="C802" s="22" t="s">
        <v>55</v>
      </c>
      <c r="D802" s="22" t="s">
        <v>3254</v>
      </c>
      <c r="E802" s="22" t="str">
        <f aca="false">IF(D802="","",IFERROR(VLOOKUP(D802,$A$2:$B$1656,2,FALSE()),""))</f>
        <v>Religious and Magical Organizations</v>
      </c>
      <c r="F802" s="22" t="n">
        <v>3</v>
      </c>
      <c r="G802" s="22" t="s">
        <v>3432</v>
      </c>
      <c r="H802" s="22" t="s">
        <v>3263</v>
      </c>
      <c r="I802" s="22" t="s">
        <v>3433</v>
      </c>
      <c r="J802" s="22" t="s">
        <v>3408</v>
      </c>
      <c r="K802" s="22" t="s">
        <v>3433</v>
      </c>
      <c r="L802" s="22" t="s">
        <v>184</v>
      </c>
      <c r="M802" s="22" t="s">
        <v>253</v>
      </c>
    </row>
    <row r="803" customFormat="false" ht="43.5" hidden="false" customHeight="true" outlineLevel="0" collapsed="false">
      <c r="A803" s="22" t="s">
        <v>3434</v>
      </c>
      <c r="B803" s="22" t="s">
        <v>3435</v>
      </c>
      <c r="C803" s="22" t="s">
        <v>55</v>
      </c>
      <c r="D803" s="22" t="s">
        <v>3254</v>
      </c>
      <c r="E803" s="22" t="str">
        <f aca="false">IF(D803="","",IFERROR(VLOOKUP(D803,$A$2:$B$1656,2,FALSE()),""))</f>
        <v>Religious and Magical Organizations</v>
      </c>
      <c r="F803" s="22" t="n">
        <v>3</v>
      </c>
      <c r="G803" s="22" t="s">
        <v>3436</v>
      </c>
      <c r="H803" s="22" t="s">
        <v>3263</v>
      </c>
      <c r="I803" s="22" t="s">
        <v>3437</v>
      </c>
      <c r="J803" s="22" t="s">
        <v>3408</v>
      </c>
      <c r="K803" s="22" t="s">
        <v>3437</v>
      </c>
      <c r="L803" s="22" t="s">
        <v>184</v>
      </c>
      <c r="M803" s="22" t="s">
        <v>253</v>
      </c>
    </row>
    <row r="804" customFormat="false" ht="43.5" hidden="false" customHeight="true" outlineLevel="0" collapsed="false">
      <c r="A804" s="22" t="s">
        <v>3438</v>
      </c>
      <c r="B804" s="22" t="s">
        <v>3439</v>
      </c>
      <c r="C804" s="22" t="s">
        <v>55</v>
      </c>
      <c r="D804" s="22" t="s">
        <v>3254</v>
      </c>
      <c r="E804" s="22" t="str">
        <f aca="false">IF(D804="","",IFERROR(VLOOKUP(D804,$A$2:$B$1656,2,FALSE()),""))</f>
        <v>Religious and Magical Organizations</v>
      </c>
      <c r="F804" s="22" t="n">
        <v>3</v>
      </c>
      <c r="G804" s="22" t="s">
        <v>3440</v>
      </c>
      <c r="H804" s="22" t="s">
        <v>3263</v>
      </c>
      <c r="I804" s="22" t="s">
        <v>3441</v>
      </c>
      <c r="J804" s="22" t="s">
        <v>3408</v>
      </c>
      <c r="K804" s="22" t="s">
        <v>3441</v>
      </c>
      <c r="L804" s="22" t="s">
        <v>184</v>
      </c>
      <c r="M804" s="22" t="s">
        <v>253</v>
      </c>
    </row>
    <row r="805" customFormat="false" ht="43.5" hidden="false" customHeight="true" outlineLevel="0" collapsed="false">
      <c r="A805" s="22" t="s">
        <v>3442</v>
      </c>
      <c r="B805" s="22" t="s">
        <v>3443</v>
      </c>
      <c r="C805" s="22" t="s">
        <v>55</v>
      </c>
      <c r="D805" s="22" t="s">
        <v>3254</v>
      </c>
      <c r="E805" s="22" t="str">
        <f aca="false">IF(D805="","",IFERROR(VLOOKUP(D805,$A$2:$B$1656,2,FALSE()),""))</f>
        <v>Religious and Magical Organizations</v>
      </c>
      <c r="F805" s="22" t="n">
        <v>3</v>
      </c>
      <c r="G805" s="22" t="s">
        <v>3444</v>
      </c>
      <c r="H805" s="22" t="s">
        <v>3263</v>
      </c>
      <c r="I805" s="22" t="s">
        <v>3445</v>
      </c>
      <c r="J805" s="22" t="s">
        <v>3408</v>
      </c>
      <c r="K805" s="22" t="s">
        <v>3445</v>
      </c>
      <c r="L805" s="22" t="s">
        <v>184</v>
      </c>
      <c r="M805" s="22" t="s">
        <v>253</v>
      </c>
    </row>
    <row r="806" customFormat="false" ht="43.5" hidden="false" customHeight="true" outlineLevel="0" collapsed="false">
      <c r="A806" s="22" t="s">
        <v>3446</v>
      </c>
      <c r="B806" s="22" t="s">
        <v>3447</v>
      </c>
      <c r="C806" s="22" t="s">
        <v>55</v>
      </c>
      <c r="D806" s="22" t="s">
        <v>3254</v>
      </c>
      <c r="E806" s="22" t="str">
        <f aca="false">IF(D806="","",IFERROR(VLOOKUP(D806,$A$2:$B$1656,2,FALSE()),""))</f>
        <v>Religious and Magical Organizations</v>
      </c>
      <c r="F806" s="22" t="n">
        <v>3</v>
      </c>
      <c r="G806" s="22" t="s">
        <v>3448</v>
      </c>
      <c r="H806" s="22" t="s">
        <v>3263</v>
      </c>
      <c r="I806" s="22" t="s">
        <v>3449</v>
      </c>
      <c r="J806" s="22" t="s">
        <v>3408</v>
      </c>
      <c r="K806" s="22" t="s">
        <v>3449</v>
      </c>
      <c r="L806" s="22" t="s">
        <v>3450</v>
      </c>
      <c r="M806" s="22" t="s">
        <v>253</v>
      </c>
    </row>
    <row r="807" customFormat="false" ht="43.5" hidden="false" customHeight="true" outlineLevel="0" collapsed="false">
      <c r="A807" s="22" t="s">
        <v>3451</v>
      </c>
      <c r="B807" s="22" t="s">
        <v>3452</v>
      </c>
      <c r="C807" s="22" t="s">
        <v>55</v>
      </c>
      <c r="D807" s="22" t="s">
        <v>3254</v>
      </c>
      <c r="E807" s="22" t="str">
        <f aca="false">IF(D807="","",IFERROR(VLOOKUP(D807,$A$2:$B$1656,2,FALSE()),""))</f>
        <v>Religious and Magical Organizations</v>
      </c>
      <c r="F807" s="22" t="n">
        <v>3</v>
      </c>
      <c r="G807" s="22" t="s">
        <v>3453</v>
      </c>
      <c r="H807" s="22" t="s">
        <v>3263</v>
      </c>
      <c r="I807" s="22" t="s">
        <v>3454</v>
      </c>
      <c r="J807" s="22" t="s">
        <v>3408</v>
      </c>
      <c r="K807" s="22" t="s">
        <v>3454</v>
      </c>
      <c r="L807" s="22" t="s">
        <v>184</v>
      </c>
      <c r="M807" s="22" t="s">
        <v>253</v>
      </c>
    </row>
    <row r="808" customFormat="false" ht="43.5" hidden="false" customHeight="true" outlineLevel="0" collapsed="false">
      <c r="A808" s="22" t="s">
        <v>3455</v>
      </c>
      <c r="B808" s="22" t="s">
        <v>3456</v>
      </c>
      <c r="C808" s="22" t="s">
        <v>55</v>
      </c>
      <c r="D808" s="22" t="s">
        <v>3254</v>
      </c>
      <c r="E808" s="22" t="str">
        <f aca="false">IF(D808="","",IFERROR(VLOOKUP(D808,$A$2:$B$1656,2,FALSE()),""))</f>
        <v>Religious and Magical Organizations</v>
      </c>
      <c r="F808" s="22" t="n">
        <v>3</v>
      </c>
      <c r="G808" s="22" t="s">
        <v>3457</v>
      </c>
      <c r="H808" s="22" t="s">
        <v>3263</v>
      </c>
      <c r="I808" s="22" t="s">
        <v>3458</v>
      </c>
      <c r="J808" s="22" t="s">
        <v>3408</v>
      </c>
      <c r="K808" s="22" t="s">
        <v>3458</v>
      </c>
      <c r="L808" s="22" t="s">
        <v>184</v>
      </c>
      <c r="M808" s="22" t="s">
        <v>253</v>
      </c>
    </row>
    <row r="809" customFormat="false" ht="43.5" hidden="false" customHeight="true" outlineLevel="0" collapsed="false">
      <c r="A809" s="22" t="s">
        <v>3459</v>
      </c>
      <c r="B809" s="22" t="s">
        <v>3460</v>
      </c>
      <c r="C809" s="22" t="s">
        <v>55</v>
      </c>
      <c r="D809" s="22" t="s">
        <v>3254</v>
      </c>
      <c r="E809" s="22" t="str">
        <f aca="false">IF(D809="","",IFERROR(VLOOKUP(D809,$A$2:$B$1656,2,FALSE()),""))</f>
        <v>Religious and Magical Organizations</v>
      </c>
      <c r="F809" s="22" t="n">
        <v>3</v>
      </c>
      <c r="G809" s="22" t="s">
        <v>3461</v>
      </c>
      <c r="H809" s="22" t="s">
        <v>3263</v>
      </c>
      <c r="I809" s="22" t="s">
        <v>3462</v>
      </c>
      <c r="J809" s="22" t="s">
        <v>3408</v>
      </c>
      <c r="K809" s="22" t="s">
        <v>3462</v>
      </c>
      <c r="L809" s="22" t="s">
        <v>184</v>
      </c>
      <c r="M809" s="22" t="s">
        <v>253</v>
      </c>
    </row>
    <row r="810" customFormat="false" ht="43.5" hidden="false" customHeight="true" outlineLevel="0" collapsed="false">
      <c r="A810" s="22" t="s">
        <v>3463</v>
      </c>
      <c r="B810" s="22" t="s">
        <v>3464</v>
      </c>
      <c r="C810" s="22" t="s">
        <v>55</v>
      </c>
      <c r="D810" s="22" t="s">
        <v>3254</v>
      </c>
      <c r="E810" s="22" t="str">
        <f aca="false">IF(D810="","",IFERROR(VLOOKUP(D810,$A$2:$B$1656,2,FALSE()),""))</f>
        <v>Religious and Magical Organizations</v>
      </c>
      <c r="F810" s="22" t="n">
        <v>3</v>
      </c>
      <c r="G810" s="22" t="s">
        <v>3465</v>
      </c>
      <c r="H810" s="22" t="s">
        <v>3263</v>
      </c>
      <c r="I810" s="22" t="s">
        <v>3466</v>
      </c>
      <c r="J810" s="22" t="s">
        <v>3408</v>
      </c>
      <c r="K810" s="22" t="s">
        <v>3466</v>
      </c>
      <c r="L810" s="22" t="s">
        <v>184</v>
      </c>
      <c r="M810" s="22" t="s">
        <v>253</v>
      </c>
    </row>
    <row r="811" customFormat="false" ht="43.5" hidden="false" customHeight="true" outlineLevel="0" collapsed="false">
      <c r="A811" s="22" t="s">
        <v>3467</v>
      </c>
      <c r="B811" s="22" t="s">
        <v>3468</v>
      </c>
      <c r="C811" s="22" t="s">
        <v>55</v>
      </c>
      <c r="D811" s="22" t="s">
        <v>3254</v>
      </c>
      <c r="E811" s="22" t="str">
        <f aca="false">IF(D811="","",IFERROR(VLOOKUP(D811,$A$2:$B$1656,2,FALSE()),""))</f>
        <v>Religious and Magical Organizations</v>
      </c>
      <c r="F811" s="22" t="n">
        <v>3</v>
      </c>
      <c r="G811" s="22" t="s">
        <v>3469</v>
      </c>
      <c r="H811" s="22" t="s">
        <v>3263</v>
      </c>
      <c r="I811" s="22" t="s">
        <v>3470</v>
      </c>
      <c r="J811" s="22" t="s">
        <v>3408</v>
      </c>
      <c r="K811" s="22" t="s">
        <v>3470</v>
      </c>
      <c r="L811" s="22" t="s">
        <v>184</v>
      </c>
      <c r="M811" s="22" t="s">
        <v>253</v>
      </c>
    </row>
    <row r="812" customFormat="false" ht="43.5" hidden="false" customHeight="true" outlineLevel="0" collapsed="false">
      <c r="A812" s="22" t="s">
        <v>3471</v>
      </c>
      <c r="B812" s="22" t="s">
        <v>3472</v>
      </c>
      <c r="C812" s="22" t="s">
        <v>55</v>
      </c>
      <c r="D812" s="22" t="s">
        <v>3254</v>
      </c>
      <c r="E812" s="22" t="str">
        <f aca="false">IF(D812="","",IFERROR(VLOOKUP(D812,$A$2:$B$1656,2,FALSE()),""))</f>
        <v>Religious and Magical Organizations</v>
      </c>
      <c r="F812" s="22" t="n">
        <v>3</v>
      </c>
      <c r="G812" s="22" t="s">
        <v>3473</v>
      </c>
      <c r="H812" s="22" t="s">
        <v>3263</v>
      </c>
      <c r="I812" s="22" t="s">
        <v>3474</v>
      </c>
      <c r="J812" s="22" t="s">
        <v>3408</v>
      </c>
      <c r="K812" s="22" t="s">
        <v>3474</v>
      </c>
      <c r="L812" s="22" t="s">
        <v>184</v>
      </c>
      <c r="M812" s="22" t="s">
        <v>253</v>
      </c>
    </row>
    <row r="813" customFormat="false" ht="43.5" hidden="false" customHeight="true" outlineLevel="0" collapsed="false">
      <c r="A813" s="22" t="s">
        <v>3475</v>
      </c>
      <c r="B813" s="22" t="s">
        <v>3476</v>
      </c>
      <c r="C813" s="22" t="s">
        <v>55</v>
      </c>
      <c r="D813" s="22" t="s">
        <v>3254</v>
      </c>
      <c r="E813" s="22" t="str">
        <f aca="false">IF(D813="","",IFERROR(VLOOKUP(D813,$A$2:$B$1656,2,FALSE()),""))</f>
        <v>Religious and Magical Organizations</v>
      </c>
      <c r="F813" s="22" t="n">
        <v>3</v>
      </c>
      <c r="G813" s="22" t="s">
        <v>3477</v>
      </c>
      <c r="H813" s="22" t="s">
        <v>3263</v>
      </c>
      <c r="I813" s="22" t="s">
        <v>3478</v>
      </c>
      <c r="J813" s="22" t="s">
        <v>3408</v>
      </c>
      <c r="K813" s="22" t="s">
        <v>3478</v>
      </c>
      <c r="L813" s="22" t="s">
        <v>184</v>
      </c>
      <c r="M813" s="22" t="s">
        <v>253</v>
      </c>
    </row>
    <row r="814" customFormat="false" ht="43.5" hidden="false" customHeight="true" outlineLevel="0" collapsed="false">
      <c r="A814" s="22" t="s">
        <v>3479</v>
      </c>
      <c r="B814" s="22" t="s">
        <v>3480</v>
      </c>
      <c r="C814" s="22" t="s">
        <v>55</v>
      </c>
      <c r="D814" s="22" t="s">
        <v>3254</v>
      </c>
      <c r="E814" s="22" t="str">
        <f aca="false">IF(D814="","",IFERROR(VLOOKUP(D814,$A$2:$B$1656,2,FALSE()),""))</f>
        <v>Religious and Magical Organizations</v>
      </c>
      <c r="F814" s="22" t="n">
        <v>3</v>
      </c>
      <c r="G814" s="22" t="s">
        <v>3481</v>
      </c>
      <c r="H814" s="22" t="s">
        <v>3263</v>
      </c>
      <c r="I814" s="22" t="s">
        <v>3482</v>
      </c>
      <c r="J814" s="22" t="s">
        <v>3408</v>
      </c>
      <c r="K814" s="22" t="s">
        <v>3482</v>
      </c>
      <c r="L814" s="22" t="s">
        <v>184</v>
      </c>
      <c r="M814" s="22" t="s">
        <v>253</v>
      </c>
    </row>
    <row r="815" customFormat="false" ht="43.5" hidden="false" customHeight="true" outlineLevel="0" collapsed="false">
      <c r="A815" s="22" t="s">
        <v>3483</v>
      </c>
      <c r="B815" s="22" t="s">
        <v>3484</v>
      </c>
      <c r="C815" s="22" t="s">
        <v>55</v>
      </c>
      <c r="D815" s="22" t="s">
        <v>3254</v>
      </c>
      <c r="E815" s="22" t="str">
        <f aca="false">IF(D815="","",IFERROR(VLOOKUP(D815,$A$2:$B$1656,2,FALSE()),""))</f>
        <v>Religious and Magical Organizations</v>
      </c>
      <c r="F815" s="22" t="n">
        <v>3</v>
      </c>
      <c r="G815" s="22" t="s">
        <v>3485</v>
      </c>
      <c r="H815" s="22" t="s">
        <v>3263</v>
      </c>
      <c r="I815" s="22" t="s">
        <v>3486</v>
      </c>
      <c r="J815" s="22" t="s">
        <v>3408</v>
      </c>
      <c r="K815" s="22" t="s">
        <v>3486</v>
      </c>
      <c r="L815" s="22" t="s">
        <v>184</v>
      </c>
      <c r="M815" s="22" t="s">
        <v>253</v>
      </c>
    </row>
    <row r="816" customFormat="false" ht="43.5" hidden="false" customHeight="true" outlineLevel="0" collapsed="false">
      <c r="A816" s="22" t="s">
        <v>3487</v>
      </c>
      <c r="B816" s="22" t="s">
        <v>3488</v>
      </c>
      <c r="C816" s="22" t="s">
        <v>55</v>
      </c>
      <c r="D816" s="22" t="s">
        <v>3257</v>
      </c>
      <c r="E816" s="22" t="str">
        <f aca="false">IF(D816="","",IFERROR(VLOOKUP(D816,$A$2:$B$1656,2,FALSE()),""))</f>
        <v>Kinship, Political, and Secret Organizations</v>
      </c>
      <c r="F816" s="22" t="n">
        <v>3</v>
      </c>
      <c r="G816" s="22" t="s">
        <v>3489</v>
      </c>
      <c r="H816" s="22" t="s">
        <v>3263</v>
      </c>
      <c r="I816" s="22" t="s">
        <v>3490</v>
      </c>
      <c r="J816" s="22" t="s">
        <v>3491</v>
      </c>
      <c r="K816" s="22" t="s">
        <v>3490</v>
      </c>
      <c r="L816" s="22" t="s">
        <v>184</v>
      </c>
      <c r="M816" s="22" t="s">
        <v>253</v>
      </c>
    </row>
    <row r="817" customFormat="false" ht="43.5" hidden="false" customHeight="true" outlineLevel="0" collapsed="false">
      <c r="A817" s="22" t="s">
        <v>3492</v>
      </c>
      <c r="B817" s="22" t="s">
        <v>3493</v>
      </c>
      <c r="C817" s="22" t="s">
        <v>55</v>
      </c>
      <c r="D817" s="22" t="s">
        <v>3257</v>
      </c>
      <c r="E817" s="22" t="str">
        <f aca="false">IF(D817="","",IFERROR(VLOOKUP(D817,$A$2:$B$1656,2,FALSE()),""))</f>
        <v>Kinship, Political, and Secret Organizations</v>
      </c>
      <c r="F817" s="22" t="n">
        <v>3</v>
      </c>
      <c r="G817" s="22" t="s">
        <v>3494</v>
      </c>
      <c r="H817" s="22" t="s">
        <v>3263</v>
      </c>
      <c r="I817" s="22" t="s">
        <v>3495</v>
      </c>
      <c r="J817" s="22" t="s">
        <v>3491</v>
      </c>
      <c r="K817" s="22" t="s">
        <v>3495</v>
      </c>
      <c r="L817" s="22" t="s">
        <v>184</v>
      </c>
      <c r="M817" s="22" t="s">
        <v>253</v>
      </c>
    </row>
    <row r="818" customFormat="false" ht="43.5" hidden="false" customHeight="true" outlineLevel="0" collapsed="false">
      <c r="A818" s="22" t="s">
        <v>3496</v>
      </c>
      <c r="B818" s="22" t="s">
        <v>3497</v>
      </c>
      <c r="C818" s="22" t="s">
        <v>55</v>
      </c>
      <c r="D818" s="22" t="s">
        <v>3257</v>
      </c>
      <c r="E818" s="22" t="str">
        <f aca="false">IF(D818="","",IFERROR(VLOOKUP(D818,$A$2:$B$1656,2,FALSE()),""))</f>
        <v>Kinship, Political, and Secret Organizations</v>
      </c>
      <c r="F818" s="22" t="n">
        <v>3</v>
      </c>
      <c r="G818" s="22" t="s">
        <v>3498</v>
      </c>
      <c r="H818" s="22" t="s">
        <v>3263</v>
      </c>
      <c r="I818" s="22" t="s">
        <v>3499</v>
      </c>
      <c r="J818" s="22" t="s">
        <v>3491</v>
      </c>
      <c r="K818" s="22" t="s">
        <v>3499</v>
      </c>
      <c r="L818" s="22" t="s">
        <v>3500</v>
      </c>
      <c r="M818" s="22" t="s">
        <v>253</v>
      </c>
    </row>
    <row r="819" customFormat="false" ht="43.5" hidden="false" customHeight="true" outlineLevel="0" collapsed="false">
      <c r="A819" s="22" t="s">
        <v>3501</v>
      </c>
      <c r="B819" s="22" t="s">
        <v>3502</v>
      </c>
      <c r="C819" s="22" t="s">
        <v>55</v>
      </c>
      <c r="D819" s="22" t="s">
        <v>3257</v>
      </c>
      <c r="E819" s="22" t="str">
        <f aca="false">IF(D819="","",IFERROR(VLOOKUP(D819,$A$2:$B$1656,2,FALSE()),""))</f>
        <v>Kinship, Political, and Secret Organizations</v>
      </c>
      <c r="F819" s="22" t="n">
        <v>3</v>
      </c>
      <c r="G819" s="22" t="s">
        <v>3503</v>
      </c>
      <c r="H819" s="22" t="s">
        <v>3263</v>
      </c>
      <c r="I819" s="22" t="s">
        <v>3504</v>
      </c>
      <c r="J819" s="22" t="s">
        <v>3491</v>
      </c>
      <c r="K819" s="22" t="s">
        <v>3504</v>
      </c>
      <c r="L819" s="22" t="s">
        <v>184</v>
      </c>
      <c r="M819" s="22" t="s">
        <v>253</v>
      </c>
    </row>
    <row r="820" customFormat="false" ht="43.5" hidden="false" customHeight="true" outlineLevel="0" collapsed="false">
      <c r="A820" s="22" t="s">
        <v>3505</v>
      </c>
      <c r="B820" s="22" t="s">
        <v>3506</v>
      </c>
      <c r="C820" s="22" t="s">
        <v>55</v>
      </c>
      <c r="D820" s="22" t="s">
        <v>3257</v>
      </c>
      <c r="E820" s="22" t="str">
        <f aca="false">IF(D820="","",IFERROR(VLOOKUP(D820,$A$2:$B$1656,2,FALSE()),""))</f>
        <v>Kinship, Political, and Secret Organizations</v>
      </c>
      <c r="F820" s="22" t="n">
        <v>3</v>
      </c>
      <c r="G820" s="22" t="s">
        <v>3507</v>
      </c>
      <c r="H820" s="22" t="s">
        <v>3263</v>
      </c>
      <c r="I820" s="22" t="s">
        <v>3508</v>
      </c>
      <c r="J820" s="22" t="s">
        <v>3491</v>
      </c>
      <c r="K820" s="22" t="s">
        <v>3508</v>
      </c>
      <c r="L820" s="22" t="s">
        <v>184</v>
      </c>
      <c r="M820" s="22" t="s">
        <v>253</v>
      </c>
    </row>
    <row r="821" customFormat="false" ht="43.5" hidden="false" customHeight="true" outlineLevel="0" collapsed="false">
      <c r="A821" s="22" t="s">
        <v>3509</v>
      </c>
      <c r="B821" s="22" t="s">
        <v>3510</v>
      </c>
      <c r="C821" s="22" t="s">
        <v>55</v>
      </c>
      <c r="D821" s="22" t="s">
        <v>3257</v>
      </c>
      <c r="E821" s="22" t="str">
        <f aca="false">IF(D821="","",IFERROR(VLOOKUP(D821,$A$2:$B$1656,2,FALSE()),""))</f>
        <v>Kinship, Political, and Secret Organizations</v>
      </c>
      <c r="F821" s="22" t="n">
        <v>3</v>
      </c>
      <c r="G821" s="22" t="s">
        <v>3511</v>
      </c>
      <c r="H821" s="22" t="s">
        <v>3263</v>
      </c>
      <c r="I821" s="22" t="s">
        <v>3512</v>
      </c>
      <c r="J821" s="22" t="s">
        <v>3491</v>
      </c>
      <c r="K821" s="22" t="s">
        <v>3512</v>
      </c>
      <c r="L821" s="22" t="s">
        <v>184</v>
      </c>
      <c r="M821" s="22" t="s">
        <v>253</v>
      </c>
    </row>
    <row r="822" customFormat="false" ht="43.5" hidden="false" customHeight="true" outlineLevel="0" collapsed="false">
      <c r="A822" s="22" t="s">
        <v>3513</v>
      </c>
      <c r="B822" s="22" t="s">
        <v>3514</v>
      </c>
      <c r="C822" s="22" t="s">
        <v>55</v>
      </c>
      <c r="D822" s="22" t="s">
        <v>3257</v>
      </c>
      <c r="E822" s="22" t="str">
        <f aca="false">IF(D822="","",IFERROR(VLOOKUP(D822,$A$2:$B$1656,2,FALSE()),""))</f>
        <v>Kinship, Political, and Secret Organizations</v>
      </c>
      <c r="F822" s="22" t="n">
        <v>3</v>
      </c>
      <c r="G822" s="22" t="s">
        <v>3515</v>
      </c>
      <c r="H822" s="22" t="s">
        <v>3263</v>
      </c>
      <c r="I822" s="22" t="s">
        <v>3516</v>
      </c>
      <c r="J822" s="22" t="s">
        <v>3491</v>
      </c>
      <c r="K822" s="22" t="s">
        <v>3516</v>
      </c>
      <c r="L822" s="22" t="s">
        <v>184</v>
      </c>
      <c r="M822" s="22" t="s">
        <v>253</v>
      </c>
    </row>
    <row r="823" customFormat="false" ht="43.5" hidden="false" customHeight="true" outlineLevel="0" collapsed="false">
      <c r="A823" s="22" t="s">
        <v>3517</v>
      </c>
      <c r="B823" s="22" t="s">
        <v>3518</v>
      </c>
      <c r="C823" s="22" t="s">
        <v>55</v>
      </c>
      <c r="D823" s="22" t="s">
        <v>3257</v>
      </c>
      <c r="E823" s="22" t="str">
        <f aca="false">IF(D823="","",IFERROR(VLOOKUP(D823,$A$2:$B$1656,2,FALSE()),""))</f>
        <v>Kinship, Political, and Secret Organizations</v>
      </c>
      <c r="F823" s="22" t="n">
        <v>3</v>
      </c>
      <c r="G823" s="22" t="s">
        <v>3519</v>
      </c>
      <c r="H823" s="22" t="s">
        <v>3263</v>
      </c>
      <c r="I823" s="22" t="s">
        <v>3520</v>
      </c>
      <c r="J823" s="22" t="s">
        <v>3491</v>
      </c>
      <c r="K823" s="22" t="s">
        <v>3520</v>
      </c>
      <c r="L823" s="22" t="s">
        <v>3521</v>
      </c>
      <c r="M823" s="22" t="s">
        <v>253</v>
      </c>
    </row>
    <row r="824" customFormat="false" ht="43.5" hidden="false" customHeight="true" outlineLevel="0" collapsed="false">
      <c r="A824" s="22" t="s">
        <v>3522</v>
      </c>
      <c r="B824" s="22" t="s">
        <v>3523</v>
      </c>
      <c r="C824" s="22" t="s">
        <v>55</v>
      </c>
      <c r="D824" s="22" t="s">
        <v>3257</v>
      </c>
      <c r="E824" s="22" t="str">
        <f aca="false">IF(D824="","",IFERROR(VLOOKUP(D824,$A$2:$B$1656,2,FALSE()),""))</f>
        <v>Kinship, Political, and Secret Organizations</v>
      </c>
      <c r="F824" s="22" t="n">
        <v>3</v>
      </c>
      <c r="G824" s="22" t="s">
        <v>3524</v>
      </c>
      <c r="H824" s="22" t="s">
        <v>3263</v>
      </c>
      <c r="I824" s="22" t="s">
        <v>3525</v>
      </c>
      <c r="J824" s="22" t="s">
        <v>3491</v>
      </c>
      <c r="K824" s="22" t="s">
        <v>3525</v>
      </c>
      <c r="L824" s="22" t="s">
        <v>184</v>
      </c>
      <c r="M824" s="22" t="s">
        <v>253</v>
      </c>
    </row>
    <row r="825" customFormat="false" ht="43.5" hidden="false" customHeight="true" outlineLevel="0" collapsed="false">
      <c r="A825" s="22" t="s">
        <v>3526</v>
      </c>
      <c r="B825" s="22" t="s">
        <v>3527</v>
      </c>
      <c r="C825" s="22" t="s">
        <v>55</v>
      </c>
      <c r="D825" s="22" t="s">
        <v>3257</v>
      </c>
      <c r="E825" s="22" t="str">
        <f aca="false">IF(D825="","",IFERROR(VLOOKUP(D825,$A$2:$B$1656,2,FALSE()),""))</f>
        <v>Kinship, Political, and Secret Organizations</v>
      </c>
      <c r="F825" s="22" t="n">
        <v>3</v>
      </c>
      <c r="G825" s="22" t="s">
        <v>3528</v>
      </c>
      <c r="H825" s="22" t="s">
        <v>3263</v>
      </c>
      <c r="I825" s="22" t="s">
        <v>3529</v>
      </c>
      <c r="J825" s="22" t="s">
        <v>3491</v>
      </c>
      <c r="K825" s="22" t="s">
        <v>3529</v>
      </c>
      <c r="L825" s="22" t="s">
        <v>184</v>
      </c>
      <c r="M825" s="22" t="s">
        <v>253</v>
      </c>
    </row>
    <row r="826" customFormat="false" ht="43.5" hidden="false" customHeight="true" outlineLevel="0" collapsed="false">
      <c r="A826" s="22" t="s">
        <v>3530</v>
      </c>
      <c r="B826" s="22" t="s">
        <v>3531</v>
      </c>
      <c r="C826" s="22" t="s">
        <v>55</v>
      </c>
      <c r="D826" s="22" t="s">
        <v>3257</v>
      </c>
      <c r="E826" s="22" t="str">
        <f aca="false">IF(D826="","",IFERROR(VLOOKUP(D826,$A$2:$B$1656,2,FALSE()),""))</f>
        <v>Kinship, Political, and Secret Organizations</v>
      </c>
      <c r="F826" s="22" t="n">
        <v>3</v>
      </c>
      <c r="G826" s="22" t="s">
        <v>3532</v>
      </c>
      <c r="H826" s="22" t="s">
        <v>3263</v>
      </c>
      <c r="I826" s="22" t="s">
        <v>3533</v>
      </c>
      <c r="J826" s="22" t="s">
        <v>3491</v>
      </c>
      <c r="K826" s="22" t="s">
        <v>3533</v>
      </c>
      <c r="L826" s="22" t="s">
        <v>184</v>
      </c>
      <c r="M826" s="22" t="s">
        <v>253</v>
      </c>
    </row>
    <row r="827" customFormat="false" ht="43.5" hidden="false" customHeight="true" outlineLevel="0" collapsed="false">
      <c r="A827" s="22" t="s">
        <v>3534</v>
      </c>
      <c r="B827" s="22" t="s">
        <v>3535</v>
      </c>
      <c r="C827" s="22" t="s">
        <v>55</v>
      </c>
      <c r="D827" s="22" t="s">
        <v>3257</v>
      </c>
      <c r="E827" s="22" t="str">
        <f aca="false">IF(D827="","",IFERROR(VLOOKUP(D827,$A$2:$B$1656,2,FALSE()),""))</f>
        <v>Kinship, Political, and Secret Organizations</v>
      </c>
      <c r="F827" s="22" t="n">
        <v>3</v>
      </c>
      <c r="G827" s="22" t="s">
        <v>3536</v>
      </c>
      <c r="H827" s="22" t="s">
        <v>3263</v>
      </c>
      <c r="I827" s="22" t="s">
        <v>3537</v>
      </c>
      <c r="J827" s="22" t="s">
        <v>3491</v>
      </c>
      <c r="K827" s="22" t="s">
        <v>3537</v>
      </c>
      <c r="L827" s="22" t="s">
        <v>184</v>
      </c>
      <c r="M827" s="22" t="s">
        <v>253</v>
      </c>
    </row>
    <row r="828" customFormat="false" ht="43.5" hidden="false" customHeight="true" outlineLevel="0" collapsed="false">
      <c r="A828" s="22" t="s">
        <v>3538</v>
      </c>
      <c r="B828" s="22" t="s">
        <v>3539</v>
      </c>
      <c r="C828" s="22" t="s">
        <v>55</v>
      </c>
      <c r="D828" s="22" t="s">
        <v>3257</v>
      </c>
      <c r="E828" s="22" t="str">
        <f aca="false">IF(D828="","",IFERROR(VLOOKUP(D828,$A$2:$B$1656,2,FALSE()),""))</f>
        <v>Kinship, Political, and Secret Organizations</v>
      </c>
      <c r="F828" s="22" t="n">
        <v>3</v>
      </c>
      <c r="G828" s="22" t="s">
        <v>3540</v>
      </c>
      <c r="H828" s="22" t="s">
        <v>3263</v>
      </c>
      <c r="I828" s="22" t="s">
        <v>3541</v>
      </c>
      <c r="J828" s="22" t="s">
        <v>3491</v>
      </c>
      <c r="K828" s="22" t="s">
        <v>3541</v>
      </c>
      <c r="L828" s="22" t="s">
        <v>184</v>
      </c>
      <c r="M828" s="22" t="s">
        <v>253</v>
      </c>
    </row>
    <row r="829" customFormat="false" ht="43.5" hidden="false" customHeight="true" outlineLevel="0" collapsed="false">
      <c r="A829" s="22" t="s">
        <v>3542</v>
      </c>
      <c r="B829" s="22" t="s">
        <v>3543</v>
      </c>
      <c r="C829" s="22" t="s">
        <v>55</v>
      </c>
      <c r="D829" s="22" t="s">
        <v>3257</v>
      </c>
      <c r="E829" s="22" t="str">
        <f aca="false">IF(D829="","",IFERROR(VLOOKUP(D829,$A$2:$B$1656,2,FALSE()),""))</f>
        <v>Kinship, Political, and Secret Organizations</v>
      </c>
      <c r="F829" s="22" t="n">
        <v>3</v>
      </c>
      <c r="G829" s="22" t="s">
        <v>3544</v>
      </c>
      <c r="H829" s="22" t="s">
        <v>3263</v>
      </c>
      <c r="I829" s="22" t="s">
        <v>3545</v>
      </c>
      <c r="J829" s="22" t="s">
        <v>3491</v>
      </c>
      <c r="K829" s="22" t="s">
        <v>3545</v>
      </c>
      <c r="L829" s="22" t="s">
        <v>184</v>
      </c>
      <c r="M829" s="22" t="s">
        <v>253</v>
      </c>
    </row>
    <row r="830" customFormat="false" ht="43.5" hidden="false" customHeight="true" outlineLevel="0" collapsed="false">
      <c r="A830" s="22" t="s">
        <v>3546</v>
      </c>
      <c r="B830" s="22" t="s">
        <v>3547</v>
      </c>
      <c r="C830" s="22" t="s">
        <v>55</v>
      </c>
      <c r="D830" s="22" t="s">
        <v>3257</v>
      </c>
      <c r="E830" s="22" t="str">
        <f aca="false">IF(D830="","",IFERROR(VLOOKUP(D830,$A$2:$B$1656,2,FALSE()),""))</f>
        <v>Kinship, Political, and Secret Organizations</v>
      </c>
      <c r="F830" s="22" t="n">
        <v>3</v>
      </c>
      <c r="G830" s="22" t="s">
        <v>3548</v>
      </c>
      <c r="H830" s="22" t="s">
        <v>3263</v>
      </c>
      <c r="I830" s="22" t="s">
        <v>3549</v>
      </c>
      <c r="J830" s="22" t="s">
        <v>3491</v>
      </c>
      <c r="K830" s="22" t="s">
        <v>3549</v>
      </c>
      <c r="L830" s="22" t="s">
        <v>184</v>
      </c>
      <c r="M830" s="22" t="s">
        <v>253</v>
      </c>
    </row>
    <row r="831" customFormat="false" ht="43.5" hidden="false" customHeight="true" outlineLevel="0" collapsed="false">
      <c r="A831" s="22" t="s">
        <v>3550</v>
      </c>
      <c r="B831" s="22" t="s">
        <v>3551</v>
      </c>
      <c r="C831" s="22" t="s">
        <v>55</v>
      </c>
      <c r="D831" s="22" t="s">
        <v>3257</v>
      </c>
      <c r="E831" s="22" t="str">
        <f aca="false">IF(D831="","",IFERROR(VLOOKUP(D831,$A$2:$B$1656,2,FALSE()),""))</f>
        <v>Kinship, Political, and Secret Organizations</v>
      </c>
      <c r="F831" s="22" t="n">
        <v>3</v>
      </c>
      <c r="G831" s="22" t="s">
        <v>3552</v>
      </c>
      <c r="H831" s="22" t="s">
        <v>3263</v>
      </c>
      <c r="I831" s="22" t="s">
        <v>3553</v>
      </c>
      <c r="J831" s="22" t="s">
        <v>3491</v>
      </c>
      <c r="K831" s="22" t="s">
        <v>3553</v>
      </c>
      <c r="L831" s="22" t="s">
        <v>184</v>
      </c>
      <c r="M831" s="22" t="s">
        <v>253</v>
      </c>
    </row>
    <row r="832" customFormat="false" ht="43.5" hidden="false" customHeight="true" outlineLevel="0" collapsed="false">
      <c r="A832" s="22" t="s">
        <v>3554</v>
      </c>
      <c r="B832" s="22" t="s">
        <v>3555</v>
      </c>
      <c r="C832" s="22" t="s">
        <v>55</v>
      </c>
      <c r="D832" s="22" t="s">
        <v>3257</v>
      </c>
      <c r="E832" s="22" t="str">
        <f aca="false">IF(D832="","",IFERROR(VLOOKUP(D832,$A$2:$B$1656,2,FALSE()),""))</f>
        <v>Kinship, Political, and Secret Organizations</v>
      </c>
      <c r="F832" s="22" t="n">
        <v>3</v>
      </c>
      <c r="G832" s="22" t="s">
        <v>3556</v>
      </c>
      <c r="H832" s="22" t="s">
        <v>3263</v>
      </c>
      <c r="I832" s="22" t="s">
        <v>3557</v>
      </c>
      <c r="J832" s="22" t="s">
        <v>3491</v>
      </c>
      <c r="K832" s="22" t="s">
        <v>3557</v>
      </c>
      <c r="L832" s="22" t="s">
        <v>184</v>
      </c>
      <c r="M832" s="22" t="s">
        <v>253</v>
      </c>
    </row>
    <row r="833" customFormat="false" ht="43.5" hidden="false" customHeight="true" outlineLevel="0" collapsed="false">
      <c r="A833" s="22" t="s">
        <v>3558</v>
      </c>
      <c r="B833" s="22" t="s">
        <v>3559</v>
      </c>
      <c r="C833" s="22" t="s">
        <v>55</v>
      </c>
      <c r="D833" s="22" t="s">
        <v>3257</v>
      </c>
      <c r="E833" s="22" t="str">
        <f aca="false">IF(D833="","",IFERROR(VLOOKUP(D833,$A$2:$B$1656,2,FALSE()),""))</f>
        <v>Kinship, Political, and Secret Organizations</v>
      </c>
      <c r="F833" s="22" t="n">
        <v>3</v>
      </c>
      <c r="G833" s="22" t="s">
        <v>3560</v>
      </c>
      <c r="H833" s="22" t="s">
        <v>3263</v>
      </c>
      <c r="I833" s="22" t="s">
        <v>3561</v>
      </c>
      <c r="J833" s="22" t="s">
        <v>3491</v>
      </c>
      <c r="K833" s="22" t="s">
        <v>3561</v>
      </c>
      <c r="L833" s="22" t="s">
        <v>184</v>
      </c>
      <c r="M833" s="22" t="s">
        <v>253</v>
      </c>
    </row>
    <row r="834" customFormat="false" ht="43.5" hidden="false" customHeight="true" outlineLevel="0" collapsed="false">
      <c r="A834" s="22" t="s">
        <v>3562</v>
      </c>
      <c r="B834" s="22" t="s">
        <v>3563</v>
      </c>
      <c r="C834" s="22" t="s">
        <v>55</v>
      </c>
      <c r="D834" s="22" t="s">
        <v>3257</v>
      </c>
      <c r="E834" s="22" t="str">
        <f aca="false">IF(D834="","",IFERROR(VLOOKUP(D834,$A$2:$B$1656,2,FALSE()),""))</f>
        <v>Kinship, Political, and Secret Organizations</v>
      </c>
      <c r="F834" s="22" t="n">
        <v>3</v>
      </c>
      <c r="G834" s="22" t="s">
        <v>3564</v>
      </c>
      <c r="H834" s="22" t="s">
        <v>3263</v>
      </c>
      <c r="I834" s="22" t="s">
        <v>3565</v>
      </c>
      <c r="J834" s="22" t="s">
        <v>3491</v>
      </c>
      <c r="K834" s="22" t="s">
        <v>3565</v>
      </c>
      <c r="L834" s="22" t="s">
        <v>184</v>
      </c>
      <c r="M834" s="22" t="s">
        <v>253</v>
      </c>
    </row>
    <row r="835" customFormat="false" ht="43.5" hidden="false" customHeight="true" outlineLevel="0" collapsed="false">
      <c r="A835" s="22" t="s">
        <v>3566</v>
      </c>
      <c r="B835" s="22" t="s">
        <v>3567</v>
      </c>
      <c r="C835" s="22" t="s">
        <v>55</v>
      </c>
      <c r="D835" s="22" t="s">
        <v>3257</v>
      </c>
      <c r="E835" s="22" t="str">
        <f aca="false">IF(D835="","",IFERROR(VLOOKUP(D835,$A$2:$B$1656,2,FALSE()),""))</f>
        <v>Kinship, Political, and Secret Organizations</v>
      </c>
      <c r="F835" s="22" t="n">
        <v>3</v>
      </c>
      <c r="G835" s="22" t="s">
        <v>3568</v>
      </c>
      <c r="H835" s="22" t="s">
        <v>3263</v>
      </c>
      <c r="I835" s="22" t="s">
        <v>3569</v>
      </c>
      <c r="J835" s="22" t="s">
        <v>3491</v>
      </c>
      <c r="K835" s="22" t="s">
        <v>3569</v>
      </c>
      <c r="L835" s="22" t="s">
        <v>184</v>
      </c>
      <c r="M835" s="22" t="s">
        <v>253</v>
      </c>
    </row>
    <row r="836" customFormat="false" ht="43.5" hidden="false" customHeight="true" outlineLevel="0" collapsed="false">
      <c r="A836" s="22" t="s">
        <v>3570</v>
      </c>
      <c r="B836" s="22" t="s">
        <v>3571</v>
      </c>
      <c r="C836" s="22" t="s">
        <v>55</v>
      </c>
      <c r="D836" s="22" t="s">
        <v>3257</v>
      </c>
      <c r="E836" s="22" t="str">
        <f aca="false">IF(D836="","",IFERROR(VLOOKUP(D836,$A$2:$B$1656,2,FALSE()),""))</f>
        <v>Kinship, Political, and Secret Organizations</v>
      </c>
      <c r="F836" s="22" t="n">
        <v>3</v>
      </c>
      <c r="G836" s="22" t="s">
        <v>3572</v>
      </c>
      <c r="H836" s="22" t="s">
        <v>3263</v>
      </c>
      <c r="I836" s="22" t="s">
        <v>3573</v>
      </c>
      <c r="J836" s="22" t="s">
        <v>3491</v>
      </c>
      <c r="K836" s="22" t="s">
        <v>3573</v>
      </c>
      <c r="L836" s="22" t="s">
        <v>184</v>
      </c>
      <c r="M836" s="22" t="s">
        <v>253</v>
      </c>
    </row>
    <row r="837" customFormat="false" ht="43.5" hidden="false" customHeight="true" outlineLevel="0" collapsed="false">
      <c r="A837" s="22" t="s">
        <v>3574</v>
      </c>
      <c r="B837" s="22" t="s">
        <v>3575</v>
      </c>
      <c r="C837" s="22" t="s">
        <v>55</v>
      </c>
      <c r="D837" s="22" t="s">
        <v>3257</v>
      </c>
      <c r="E837" s="22" t="str">
        <f aca="false">IF(D837="","",IFERROR(VLOOKUP(D837,$A$2:$B$1656,2,FALSE()),""))</f>
        <v>Kinship, Political, and Secret Organizations</v>
      </c>
      <c r="F837" s="22" t="n">
        <v>3</v>
      </c>
      <c r="G837" s="22" t="s">
        <v>3576</v>
      </c>
      <c r="H837" s="22" t="s">
        <v>3263</v>
      </c>
      <c r="I837" s="22" t="s">
        <v>3577</v>
      </c>
      <c r="J837" s="22" t="s">
        <v>3491</v>
      </c>
      <c r="K837" s="22" t="s">
        <v>3577</v>
      </c>
      <c r="L837" s="22" t="s">
        <v>184</v>
      </c>
      <c r="M837" s="22" t="s">
        <v>253</v>
      </c>
    </row>
    <row r="838" customFormat="false" ht="43.5" hidden="false" customHeight="true" outlineLevel="0" collapsed="false">
      <c r="A838" s="22" t="s">
        <v>3578</v>
      </c>
      <c r="B838" s="22" t="s">
        <v>3579</v>
      </c>
      <c r="C838" s="22" t="s">
        <v>57</v>
      </c>
      <c r="D838" s="22" t="s">
        <v>194</v>
      </c>
      <c r="E838" s="22" t="str">
        <f aca="false">IF(D838="","",IFERROR(VLOOKUP(D838,$A$2:$B$1656,2,FALSE()),""))</f>
        <v>Narrative Archetypes</v>
      </c>
      <c r="F838" s="22" t="n">
        <v>2</v>
      </c>
      <c r="G838" s="22" t="s">
        <v>3580</v>
      </c>
      <c r="H838" s="22" t="s">
        <v>3581</v>
      </c>
      <c r="I838" s="22"/>
      <c r="J838" s="22" t="s">
        <v>3582</v>
      </c>
      <c r="K838" s="22" t="s">
        <v>3579</v>
      </c>
      <c r="L838" s="22" t="s">
        <v>184</v>
      </c>
      <c r="M838" s="22" t="s">
        <v>206</v>
      </c>
    </row>
    <row r="839" customFormat="false" ht="43.5" hidden="false" customHeight="true" outlineLevel="0" collapsed="false">
      <c r="A839" s="22" t="s">
        <v>3583</v>
      </c>
      <c r="B839" s="22" t="s">
        <v>3584</v>
      </c>
      <c r="C839" s="22" t="s">
        <v>57</v>
      </c>
      <c r="D839" s="22" t="s">
        <v>194</v>
      </c>
      <c r="E839" s="22" t="str">
        <f aca="false">IF(D839="","",IFERROR(VLOOKUP(D839,$A$2:$B$1656,2,FALSE()),""))</f>
        <v>Narrative Archetypes</v>
      </c>
      <c r="F839" s="22" t="n">
        <v>2</v>
      </c>
      <c r="G839" s="22" t="s">
        <v>3585</v>
      </c>
      <c r="H839" s="22" t="s">
        <v>3581</v>
      </c>
      <c r="I839" s="22"/>
      <c r="J839" s="22" t="s">
        <v>3582</v>
      </c>
      <c r="K839" s="22" t="s">
        <v>3584</v>
      </c>
      <c r="L839" s="22" t="s">
        <v>184</v>
      </c>
      <c r="M839" s="22" t="s">
        <v>206</v>
      </c>
    </row>
    <row r="840" customFormat="false" ht="43.5" hidden="false" customHeight="true" outlineLevel="0" collapsed="false">
      <c r="A840" s="22" t="s">
        <v>3586</v>
      </c>
      <c r="B840" s="22" t="s">
        <v>3587</v>
      </c>
      <c r="C840" s="22" t="s">
        <v>57</v>
      </c>
      <c r="D840" s="22" t="s">
        <v>194</v>
      </c>
      <c r="E840" s="22" t="str">
        <f aca="false">IF(D840="","",IFERROR(VLOOKUP(D840,$A$2:$B$1656,2,FALSE()),""))</f>
        <v>Narrative Archetypes</v>
      </c>
      <c r="F840" s="22" t="n">
        <v>2</v>
      </c>
      <c r="G840" s="22" t="s">
        <v>3588</v>
      </c>
      <c r="H840" s="22" t="s">
        <v>3581</v>
      </c>
      <c r="I840" s="22"/>
      <c r="J840" s="22" t="s">
        <v>3582</v>
      </c>
      <c r="K840" s="22" t="s">
        <v>3587</v>
      </c>
      <c r="L840" s="22" t="s">
        <v>184</v>
      </c>
      <c r="M840" s="22" t="s">
        <v>206</v>
      </c>
    </row>
    <row r="841" customFormat="false" ht="43.5" hidden="false" customHeight="true" outlineLevel="0" collapsed="false">
      <c r="A841" s="22" t="s">
        <v>3589</v>
      </c>
      <c r="B841" s="22" t="s">
        <v>3590</v>
      </c>
      <c r="C841" s="22" t="s">
        <v>57</v>
      </c>
      <c r="D841" s="22" t="s">
        <v>194</v>
      </c>
      <c r="E841" s="22" t="str">
        <f aca="false">IF(D841="","",IFERROR(VLOOKUP(D841,$A$2:$B$1656,2,FALSE()),""))</f>
        <v>Narrative Archetypes</v>
      </c>
      <c r="F841" s="22" t="n">
        <v>2</v>
      </c>
      <c r="G841" s="22" t="s">
        <v>3591</v>
      </c>
      <c r="H841" s="22" t="s">
        <v>3581</v>
      </c>
      <c r="I841" s="22"/>
      <c r="J841" s="22" t="s">
        <v>3582</v>
      </c>
      <c r="K841" s="22" t="s">
        <v>3590</v>
      </c>
      <c r="L841" s="22" t="s">
        <v>184</v>
      </c>
      <c r="M841" s="22" t="s">
        <v>206</v>
      </c>
    </row>
    <row r="842" customFormat="false" ht="43.5" hidden="false" customHeight="true" outlineLevel="0" collapsed="false">
      <c r="A842" s="22" t="s">
        <v>3592</v>
      </c>
      <c r="B842" s="22" t="s">
        <v>3593</v>
      </c>
      <c r="C842" s="22" t="s">
        <v>57</v>
      </c>
      <c r="D842" s="22" t="s">
        <v>3578</v>
      </c>
      <c r="E842" s="22" t="str">
        <f aca="false">IF(D842="","",IFERROR(VLOOKUP(D842,$A$2:$B$1656,2,FALSE()),""))</f>
        <v>Hero and Protagonist Archetypes</v>
      </c>
      <c r="F842" s="22" t="n">
        <v>3</v>
      </c>
      <c r="G842" s="22" t="s">
        <v>3594</v>
      </c>
      <c r="H842" s="22" t="s">
        <v>3595</v>
      </c>
      <c r="I842" s="22" t="s">
        <v>3596</v>
      </c>
      <c r="J842" s="22" t="s">
        <v>3597</v>
      </c>
      <c r="K842" s="22" t="s">
        <v>3596</v>
      </c>
      <c r="L842" s="22" t="s">
        <v>184</v>
      </c>
      <c r="M842" s="22" t="s">
        <v>253</v>
      </c>
    </row>
    <row r="843" customFormat="false" ht="43.5" hidden="false" customHeight="true" outlineLevel="0" collapsed="false">
      <c r="A843" s="22" t="s">
        <v>3598</v>
      </c>
      <c r="B843" s="22" t="s">
        <v>3599</v>
      </c>
      <c r="C843" s="22" t="s">
        <v>57</v>
      </c>
      <c r="D843" s="22" t="s">
        <v>3578</v>
      </c>
      <c r="E843" s="22" t="str">
        <f aca="false">IF(D843="","",IFERROR(VLOOKUP(D843,$A$2:$B$1656,2,FALSE()),""))</f>
        <v>Hero and Protagonist Archetypes</v>
      </c>
      <c r="F843" s="22" t="n">
        <v>3</v>
      </c>
      <c r="G843" s="22" t="s">
        <v>3600</v>
      </c>
      <c r="H843" s="22" t="s">
        <v>3595</v>
      </c>
      <c r="I843" s="22" t="s">
        <v>3601</v>
      </c>
      <c r="J843" s="22" t="s">
        <v>3597</v>
      </c>
      <c r="K843" s="22" t="s">
        <v>3601</v>
      </c>
      <c r="L843" s="22" t="s">
        <v>184</v>
      </c>
      <c r="M843" s="22" t="s">
        <v>253</v>
      </c>
    </row>
    <row r="844" customFormat="false" ht="43.5" hidden="false" customHeight="true" outlineLevel="0" collapsed="false">
      <c r="A844" s="22" t="s">
        <v>3602</v>
      </c>
      <c r="B844" s="22" t="s">
        <v>3603</v>
      </c>
      <c r="C844" s="22" t="s">
        <v>57</v>
      </c>
      <c r="D844" s="22" t="s">
        <v>3578</v>
      </c>
      <c r="E844" s="22" t="str">
        <f aca="false">IF(D844="","",IFERROR(VLOOKUP(D844,$A$2:$B$1656,2,FALSE()),""))</f>
        <v>Hero and Protagonist Archetypes</v>
      </c>
      <c r="F844" s="22" t="n">
        <v>3</v>
      </c>
      <c r="G844" s="22" t="s">
        <v>3604</v>
      </c>
      <c r="H844" s="22" t="s">
        <v>3595</v>
      </c>
      <c r="I844" s="22" t="s">
        <v>3605</v>
      </c>
      <c r="J844" s="22" t="s">
        <v>3597</v>
      </c>
      <c r="K844" s="22" t="s">
        <v>3605</v>
      </c>
      <c r="L844" s="22" t="s">
        <v>184</v>
      </c>
      <c r="M844" s="22" t="s">
        <v>253</v>
      </c>
    </row>
    <row r="845" customFormat="false" ht="43.5" hidden="false" customHeight="true" outlineLevel="0" collapsed="false">
      <c r="A845" s="22" t="s">
        <v>3606</v>
      </c>
      <c r="B845" s="22" t="s">
        <v>3607</v>
      </c>
      <c r="C845" s="22" t="s">
        <v>57</v>
      </c>
      <c r="D845" s="22" t="s">
        <v>3578</v>
      </c>
      <c r="E845" s="22" t="str">
        <f aca="false">IF(D845="","",IFERROR(VLOOKUP(D845,$A$2:$B$1656,2,FALSE()),""))</f>
        <v>Hero and Protagonist Archetypes</v>
      </c>
      <c r="F845" s="22" t="n">
        <v>3</v>
      </c>
      <c r="G845" s="22" t="s">
        <v>3608</v>
      </c>
      <c r="H845" s="22" t="s">
        <v>3595</v>
      </c>
      <c r="I845" s="22" t="s">
        <v>3609</v>
      </c>
      <c r="J845" s="22" t="s">
        <v>3597</v>
      </c>
      <c r="K845" s="22" t="s">
        <v>3609</v>
      </c>
      <c r="L845" s="22" t="s">
        <v>184</v>
      </c>
      <c r="M845" s="22" t="s">
        <v>253</v>
      </c>
    </row>
    <row r="846" customFormat="false" ht="43.5" hidden="false" customHeight="true" outlineLevel="0" collapsed="false">
      <c r="A846" s="22" t="s">
        <v>3610</v>
      </c>
      <c r="B846" s="22" t="s">
        <v>3611</v>
      </c>
      <c r="C846" s="22" t="s">
        <v>57</v>
      </c>
      <c r="D846" s="22" t="s">
        <v>3578</v>
      </c>
      <c r="E846" s="22" t="str">
        <f aca="false">IF(D846="","",IFERROR(VLOOKUP(D846,$A$2:$B$1656,2,FALSE()),""))</f>
        <v>Hero and Protagonist Archetypes</v>
      </c>
      <c r="F846" s="22" t="n">
        <v>3</v>
      </c>
      <c r="G846" s="22" t="s">
        <v>3612</v>
      </c>
      <c r="H846" s="22" t="s">
        <v>3595</v>
      </c>
      <c r="I846" s="22" t="s">
        <v>3613</v>
      </c>
      <c r="J846" s="22" t="s">
        <v>3597</v>
      </c>
      <c r="K846" s="22" t="s">
        <v>3613</v>
      </c>
      <c r="L846" s="22" t="s">
        <v>184</v>
      </c>
      <c r="M846" s="22" t="s">
        <v>253</v>
      </c>
    </row>
    <row r="847" customFormat="false" ht="43.5" hidden="false" customHeight="true" outlineLevel="0" collapsed="false">
      <c r="A847" s="22" t="s">
        <v>3614</v>
      </c>
      <c r="B847" s="22" t="s">
        <v>3615</v>
      </c>
      <c r="C847" s="22" t="s">
        <v>57</v>
      </c>
      <c r="D847" s="22" t="s">
        <v>3578</v>
      </c>
      <c r="E847" s="22" t="str">
        <f aca="false">IF(D847="","",IFERROR(VLOOKUP(D847,$A$2:$B$1656,2,FALSE()),""))</f>
        <v>Hero and Protagonist Archetypes</v>
      </c>
      <c r="F847" s="22" t="n">
        <v>3</v>
      </c>
      <c r="G847" s="22" t="s">
        <v>3616</v>
      </c>
      <c r="H847" s="22" t="s">
        <v>3595</v>
      </c>
      <c r="I847" s="22" t="s">
        <v>3617</v>
      </c>
      <c r="J847" s="22" t="s">
        <v>3597</v>
      </c>
      <c r="K847" s="22" t="s">
        <v>3617</v>
      </c>
      <c r="L847" s="22" t="s">
        <v>184</v>
      </c>
      <c r="M847" s="22" t="s">
        <v>253</v>
      </c>
    </row>
    <row r="848" customFormat="false" ht="43.5" hidden="false" customHeight="true" outlineLevel="0" collapsed="false">
      <c r="A848" s="22" t="s">
        <v>3618</v>
      </c>
      <c r="B848" s="22" t="s">
        <v>3619</v>
      </c>
      <c r="C848" s="22" t="s">
        <v>57</v>
      </c>
      <c r="D848" s="22" t="s">
        <v>3578</v>
      </c>
      <c r="E848" s="22" t="str">
        <f aca="false">IF(D848="","",IFERROR(VLOOKUP(D848,$A$2:$B$1656,2,FALSE()),""))</f>
        <v>Hero and Protagonist Archetypes</v>
      </c>
      <c r="F848" s="22" t="n">
        <v>3</v>
      </c>
      <c r="G848" s="22" t="s">
        <v>3620</v>
      </c>
      <c r="H848" s="22" t="s">
        <v>3595</v>
      </c>
      <c r="I848" s="22" t="s">
        <v>3621</v>
      </c>
      <c r="J848" s="22" t="s">
        <v>3597</v>
      </c>
      <c r="K848" s="22" t="s">
        <v>3621</v>
      </c>
      <c r="L848" s="22" t="s">
        <v>184</v>
      </c>
      <c r="M848" s="22" t="s">
        <v>253</v>
      </c>
    </row>
    <row r="849" customFormat="false" ht="43.5" hidden="false" customHeight="true" outlineLevel="0" collapsed="false">
      <c r="A849" s="22" t="s">
        <v>3622</v>
      </c>
      <c r="B849" s="22" t="s">
        <v>3623</v>
      </c>
      <c r="C849" s="22" t="s">
        <v>57</v>
      </c>
      <c r="D849" s="22" t="s">
        <v>3578</v>
      </c>
      <c r="E849" s="22" t="str">
        <f aca="false">IF(D849="","",IFERROR(VLOOKUP(D849,$A$2:$B$1656,2,FALSE()),""))</f>
        <v>Hero and Protagonist Archetypes</v>
      </c>
      <c r="F849" s="22" t="n">
        <v>3</v>
      </c>
      <c r="G849" s="22" t="s">
        <v>3624</v>
      </c>
      <c r="H849" s="22" t="s">
        <v>3595</v>
      </c>
      <c r="I849" s="22" t="s">
        <v>3625</v>
      </c>
      <c r="J849" s="22" t="s">
        <v>3597</v>
      </c>
      <c r="K849" s="22" t="s">
        <v>3625</v>
      </c>
      <c r="L849" s="22" t="s">
        <v>184</v>
      </c>
      <c r="M849" s="22" t="s">
        <v>253</v>
      </c>
    </row>
    <row r="850" customFormat="false" ht="43.5" hidden="false" customHeight="true" outlineLevel="0" collapsed="false">
      <c r="A850" s="22" t="s">
        <v>3626</v>
      </c>
      <c r="B850" s="22" t="s">
        <v>3627</v>
      </c>
      <c r="C850" s="22" t="s">
        <v>57</v>
      </c>
      <c r="D850" s="22" t="s">
        <v>3578</v>
      </c>
      <c r="E850" s="22" t="str">
        <f aca="false">IF(D850="","",IFERROR(VLOOKUP(D850,$A$2:$B$1656,2,FALSE()),""))</f>
        <v>Hero and Protagonist Archetypes</v>
      </c>
      <c r="F850" s="22" t="n">
        <v>3</v>
      </c>
      <c r="G850" s="22" t="s">
        <v>3628</v>
      </c>
      <c r="H850" s="22" t="s">
        <v>3595</v>
      </c>
      <c r="I850" s="22" t="s">
        <v>3629</v>
      </c>
      <c r="J850" s="22" t="s">
        <v>3597</v>
      </c>
      <c r="K850" s="22" t="s">
        <v>3629</v>
      </c>
      <c r="L850" s="22" t="s">
        <v>184</v>
      </c>
      <c r="M850" s="22" t="s">
        <v>253</v>
      </c>
    </row>
    <row r="851" customFormat="false" ht="43.5" hidden="false" customHeight="true" outlineLevel="0" collapsed="false">
      <c r="A851" s="22" t="s">
        <v>3630</v>
      </c>
      <c r="B851" s="22" t="s">
        <v>3631</v>
      </c>
      <c r="C851" s="22" t="s">
        <v>57</v>
      </c>
      <c r="D851" s="22" t="s">
        <v>3578</v>
      </c>
      <c r="E851" s="22" t="str">
        <f aca="false">IF(D851="","",IFERROR(VLOOKUP(D851,$A$2:$B$1656,2,FALSE()),""))</f>
        <v>Hero and Protagonist Archetypes</v>
      </c>
      <c r="F851" s="22" t="n">
        <v>3</v>
      </c>
      <c r="G851" s="22" t="s">
        <v>3632</v>
      </c>
      <c r="H851" s="22" t="s">
        <v>3595</v>
      </c>
      <c r="I851" s="22" t="s">
        <v>3633</v>
      </c>
      <c r="J851" s="22" t="s">
        <v>3597</v>
      </c>
      <c r="K851" s="22" t="s">
        <v>3633</v>
      </c>
      <c r="L851" s="22" t="s">
        <v>184</v>
      </c>
      <c r="M851" s="22" t="s">
        <v>253</v>
      </c>
    </row>
    <row r="852" customFormat="false" ht="43.5" hidden="false" customHeight="true" outlineLevel="0" collapsed="false">
      <c r="A852" s="22" t="s">
        <v>3634</v>
      </c>
      <c r="B852" s="22" t="s">
        <v>3635</v>
      </c>
      <c r="C852" s="22" t="s">
        <v>57</v>
      </c>
      <c r="D852" s="22" t="s">
        <v>3578</v>
      </c>
      <c r="E852" s="22" t="str">
        <f aca="false">IF(D852="","",IFERROR(VLOOKUP(D852,$A$2:$B$1656,2,FALSE()),""))</f>
        <v>Hero and Protagonist Archetypes</v>
      </c>
      <c r="F852" s="22" t="n">
        <v>3</v>
      </c>
      <c r="G852" s="22" t="s">
        <v>3636</v>
      </c>
      <c r="H852" s="22" t="s">
        <v>3595</v>
      </c>
      <c r="I852" s="22" t="s">
        <v>3637</v>
      </c>
      <c r="J852" s="22" t="s">
        <v>3597</v>
      </c>
      <c r="K852" s="22" t="s">
        <v>3637</v>
      </c>
      <c r="L852" s="22" t="s">
        <v>184</v>
      </c>
      <c r="M852" s="22" t="s">
        <v>253</v>
      </c>
    </row>
    <row r="853" customFormat="false" ht="43.5" hidden="false" customHeight="true" outlineLevel="0" collapsed="false">
      <c r="A853" s="22" t="s">
        <v>3638</v>
      </c>
      <c r="B853" s="22" t="s">
        <v>3639</v>
      </c>
      <c r="C853" s="22" t="s">
        <v>57</v>
      </c>
      <c r="D853" s="22" t="s">
        <v>3578</v>
      </c>
      <c r="E853" s="22" t="str">
        <f aca="false">IF(D853="","",IFERROR(VLOOKUP(D853,$A$2:$B$1656,2,FALSE()),""))</f>
        <v>Hero and Protagonist Archetypes</v>
      </c>
      <c r="F853" s="22" t="n">
        <v>3</v>
      </c>
      <c r="G853" s="22" t="s">
        <v>3640</v>
      </c>
      <c r="H853" s="22" t="s">
        <v>3595</v>
      </c>
      <c r="I853" s="22" t="s">
        <v>3641</v>
      </c>
      <c r="J853" s="22" t="s">
        <v>3597</v>
      </c>
      <c r="K853" s="22" t="s">
        <v>3641</v>
      </c>
      <c r="L853" s="22" t="s">
        <v>184</v>
      </c>
      <c r="M853" s="22" t="s">
        <v>253</v>
      </c>
    </row>
    <row r="854" customFormat="false" ht="43.5" hidden="false" customHeight="true" outlineLevel="0" collapsed="false">
      <c r="A854" s="22" t="s">
        <v>3642</v>
      </c>
      <c r="B854" s="22" t="s">
        <v>3643</v>
      </c>
      <c r="C854" s="22" t="s">
        <v>57</v>
      </c>
      <c r="D854" s="22" t="s">
        <v>3578</v>
      </c>
      <c r="E854" s="22" t="str">
        <f aca="false">IF(D854="","",IFERROR(VLOOKUP(D854,$A$2:$B$1656,2,FALSE()),""))</f>
        <v>Hero and Protagonist Archetypes</v>
      </c>
      <c r="F854" s="22" t="n">
        <v>3</v>
      </c>
      <c r="G854" s="22" t="s">
        <v>3644</v>
      </c>
      <c r="H854" s="22" t="s">
        <v>3595</v>
      </c>
      <c r="I854" s="22" t="s">
        <v>3645</v>
      </c>
      <c r="J854" s="22" t="s">
        <v>3597</v>
      </c>
      <c r="K854" s="22" t="s">
        <v>3645</v>
      </c>
      <c r="L854" s="22" t="s">
        <v>184</v>
      </c>
      <c r="M854" s="22" t="s">
        <v>253</v>
      </c>
    </row>
    <row r="855" customFormat="false" ht="43.5" hidden="false" customHeight="true" outlineLevel="0" collapsed="false">
      <c r="A855" s="22" t="s">
        <v>3646</v>
      </c>
      <c r="B855" s="22" t="s">
        <v>3647</v>
      </c>
      <c r="C855" s="22" t="s">
        <v>57</v>
      </c>
      <c r="D855" s="22" t="s">
        <v>3578</v>
      </c>
      <c r="E855" s="22" t="str">
        <f aca="false">IF(D855="","",IFERROR(VLOOKUP(D855,$A$2:$B$1656,2,FALSE()),""))</f>
        <v>Hero and Protagonist Archetypes</v>
      </c>
      <c r="F855" s="22" t="n">
        <v>3</v>
      </c>
      <c r="G855" s="22" t="s">
        <v>3648</v>
      </c>
      <c r="H855" s="22" t="s">
        <v>3595</v>
      </c>
      <c r="I855" s="22" t="s">
        <v>3649</v>
      </c>
      <c r="J855" s="22" t="s">
        <v>3597</v>
      </c>
      <c r="K855" s="22" t="s">
        <v>3649</v>
      </c>
      <c r="L855" s="22" t="s">
        <v>184</v>
      </c>
      <c r="M855" s="22" t="s">
        <v>253</v>
      </c>
    </row>
    <row r="856" customFormat="false" ht="43.5" hidden="false" customHeight="true" outlineLevel="0" collapsed="false">
      <c r="A856" s="22" t="s">
        <v>3650</v>
      </c>
      <c r="B856" s="22" t="s">
        <v>3651</v>
      </c>
      <c r="C856" s="22" t="s">
        <v>57</v>
      </c>
      <c r="D856" s="22" t="s">
        <v>3578</v>
      </c>
      <c r="E856" s="22" t="str">
        <f aca="false">IF(D856="","",IFERROR(VLOOKUP(D856,$A$2:$B$1656,2,FALSE()),""))</f>
        <v>Hero and Protagonist Archetypes</v>
      </c>
      <c r="F856" s="22" t="n">
        <v>3</v>
      </c>
      <c r="G856" s="22" t="s">
        <v>3652</v>
      </c>
      <c r="H856" s="22" t="s">
        <v>3595</v>
      </c>
      <c r="I856" s="22" t="s">
        <v>3653</v>
      </c>
      <c r="J856" s="22" t="s">
        <v>3597</v>
      </c>
      <c r="K856" s="22" t="s">
        <v>3653</v>
      </c>
      <c r="L856" s="22" t="s">
        <v>184</v>
      </c>
      <c r="M856" s="22" t="s">
        <v>253</v>
      </c>
    </row>
    <row r="857" customFormat="false" ht="43.5" hidden="false" customHeight="true" outlineLevel="0" collapsed="false">
      <c r="A857" s="22" t="s">
        <v>3654</v>
      </c>
      <c r="B857" s="22" t="s">
        <v>3655</v>
      </c>
      <c r="C857" s="22" t="s">
        <v>57</v>
      </c>
      <c r="D857" s="22" t="s">
        <v>3578</v>
      </c>
      <c r="E857" s="22" t="str">
        <f aca="false">IF(D857="","",IFERROR(VLOOKUP(D857,$A$2:$B$1656,2,FALSE()),""))</f>
        <v>Hero and Protagonist Archetypes</v>
      </c>
      <c r="F857" s="22" t="n">
        <v>3</v>
      </c>
      <c r="G857" s="22" t="s">
        <v>3656</v>
      </c>
      <c r="H857" s="22" t="s">
        <v>3595</v>
      </c>
      <c r="I857" s="22" t="s">
        <v>3657</v>
      </c>
      <c r="J857" s="22" t="s">
        <v>3597</v>
      </c>
      <c r="K857" s="22" t="s">
        <v>3657</v>
      </c>
      <c r="L857" s="22" t="s">
        <v>184</v>
      </c>
      <c r="M857" s="22" t="s">
        <v>253</v>
      </c>
    </row>
    <row r="858" customFormat="false" ht="43.5" hidden="false" customHeight="true" outlineLevel="0" collapsed="false">
      <c r="A858" s="22" t="s">
        <v>3658</v>
      </c>
      <c r="B858" s="22" t="s">
        <v>3659</v>
      </c>
      <c r="C858" s="22" t="s">
        <v>57</v>
      </c>
      <c r="D858" s="22" t="s">
        <v>3578</v>
      </c>
      <c r="E858" s="22" t="str">
        <f aca="false">IF(D858="","",IFERROR(VLOOKUP(D858,$A$2:$B$1656,2,FALSE()),""))</f>
        <v>Hero and Protagonist Archetypes</v>
      </c>
      <c r="F858" s="22" t="n">
        <v>3</v>
      </c>
      <c r="G858" s="22" t="s">
        <v>3660</v>
      </c>
      <c r="H858" s="22" t="s">
        <v>3595</v>
      </c>
      <c r="I858" s="22" t="s">
        <v>3661</v>
      </c>
      <c r="J858" s="22" t="s">
        <v>3597</v>
      </c>
      <c r="K858" s="22" t="s">
        <v>3661</v>
      </c>
      <c r="L858" s="22" t="s">
        <v>184</v>
      </c>
      <c r="M858" s="22" t="s">
        <v>253</v>
      </c>
    </row>
    <row r="859" customFormat="false" ht="43.5" hidden="false" customHeight="true" outlineLevel="0" collapsed="false">
      <c r="A859" s="22" t="s">
        <v>3662</v>
      </c>
      <c r="B859" s="22" t="s">
        <v>3663</v>
      </c>
      <c r="C859" s="22" t="s">
        <v>57</v>
      </c>
      <c r="D859" s="22" t="s">
        <v>3578</v>
      </c>
      <c r="E859" s="22" t="str">
        <f aca="false">IF(D859="","",IFERROR(VLOOKUP(D859,$A$2:$B$1656,2,FALSE()),""))</f>
        <v>Hero and Protagonist Archetypes</v>
      </c>
      <c r="F859" s="22" t="n">
        <v>3</v>
      </c>
      <c r="G859" s="22" t="s">
        <v>3664</v>
      </c>
      <c r="H859" s="22" t="s">
        <v>3595</v>
      </c>
      <c r="I859" s="22" t="s">
        <v>3665</v>
      </c>
      <c r="J859" s="22" t="s">
        <v>3597</v>
      </c>
      <c r="K859" s="22" t="s">
        <v>3665</v>
      </c>
      <c r="L859" s="22" t="s">
        <v>184</v>
      </c>
      <c r="M859" s="22" t="s">
        <v>253</v>
      </c>
    </row>
    <row r="860" customFormat="false" ht="43.5" hidden="false" customHeight="true" outlineLevel="0" collapsed="false">
      <c r="A860" s="22" t="s">
        <v>3666</v>
      </c>
      <c r="B860" s="22" t="s">
        <v>3667</v>
      </c>
      <c r="C860" s="22" t="s">
        <v>57</v>
      </c>
      <c r="D860" s="22" t="s">
        <v>3578</v>
      </c>
      <c r="E860" s="22" t="str">
        <f aca="false">IF(D860="","",IFERROR(VLOOKUP(D860,$A$2:$B$1656,2,FALSE()),""))</f>
        <v>Hero and Protagonist Archetypes</v>
      </c>
      <c r="F860" s="22" t="n">
        <v>3</v>
      </c>
      <c r="G860" s="22" t="s">
        <v>3668</v>
      </c>
      <c r="H860" s="22" t="s">
        <v>3595</v>
      </c>
      <c r="I860" s="22" t="s">
        <v>3669</v>
      </c>
      <c r="J860" s="22" t="s">
        <v>3597</v>
      </c>
      <c r="K860" s="22" t="s">
        <v>3669</v>
      </c>
      <c r="L860" s="22" t="s">
        <v>184</v>
      </c>
      <c r="M860" s="22" t="s">
        <v>253</v>
      </c>
    </row>
    <row r="861" customFormat="false" ht="43.5" hidden="false" customHeight="true" outlineLevel="0" collapsed="false">
      <c r="A861" s="22" t="s">
        <v>3670</v>
      </c>
      <c r="B861" s="22" t="s">
        <v>3671</v>
      </c>
      <c r="C861" s="22" t="s">
        <v>57</v>
      </c>
      <c r="D861" s="22" t="s">
        <v>3578</v>
      </c>
      <c r="E861" s="22" t="str">
        <f aca="false">IF(D861="","",IFERROR(VLOOKUP(D861,$A$2:$B$1656,2,FALSE()),""))</f>
        <v>Hero and Protagonist Archetypes</v>
      </c>
      <c r="F861" s="22" t="n">
        <v>3</v>
      </c>
      <c r="G861" s="22" t="s">
        <v>3672</v>
      </c>
      <c r="H861" s="22" t="s">
        <v>3595</v>
      </c>
      <c r="I861" s="22" t="s">
        <v>3673</v>
      </c>
      <c r="J861" s="22" t="s">
        <v>3597</v>
      </c>
      <c r="K861" s="22" t="s">
        <v>3673</v>
      </c>
      <c r="L861" s="22" t="s">
        <v>184</v>
      </c>
      <c r="M861" s="22" t="s">
        <v>253</v>
      </c>
    </row>
    <row r="862" customFormat="false" ht="43.5" hidden="false" customHeight="true" outlineLevel="0" collapsed="false">
      <c r="A862" s="22" t="s">
        <v>3674</v>
      </c>
      <c r="B862" s="22" t="s">
        <v>3675</v>
      </c>
      <c r="C862" s="22" t="s">
        <v>57</v>
      </c>
      <c r="D862" s="22" t="s">
        <v>3578</v>
      </c>
      <c r="E862" s="22" t="str">
        <f aca="false">IF(D862="","",IFERROR(VLOOKUP(D862,$A$2:$B$1656,2,FALSE()),""))</f>
        <v>Hero and Protagonist Archetypes</v>
      </c>
      <c r="F862" s="22" t="n">
        <v>3</v>
      </c>
      <c r="G862" s="22" t="s">
        <v>3676</v>
      </c>
      <c r="H862" s="22" t="s">
        <v>3595</v>
      </c>
      <c r="I862" s="22" t="s">
        <v>3677</v>
      </c>
      <c r="J862" s="22" t="s">
        <v>3597</v>
      </c>
      <c r="K862" s="22" t="s">
        <v>3677</v>
      </c>
      <c r="L862" s="22" t="s">
        <v>184</v>
      </c>
      <c r="M862" s="22" t="s">
        <v>253</v>
      </c>
    </row>
    <row r="863" customFormat="false" ht="43.5" hidden="false" customHeight="true" outlineLevel="0" collapsed="false">
      <c r="A863" s="22" t="s">
        <v>3678</v>
      </c>
      <c r="B863" s="22" t="s">
        <v>3679</v>
      </c>
      <c r="C863" s="22" t="s">
        <v>57</v>
      </c>
      <c r="D863" s="22" t="s">
        <v>3578</v>
      </c>
      <c r="E863" s="22" t="str">
        <f aca="false">IF(D863="","",IFERROR(VLOOKUP(D863,$A$2:$B$1656,2,FALSE()),""))</f>
        <v>Hero and Protagonist Archetypes</v>
      </c>
      <c r="F863" s="22" t="n">
        <v>3</v>
      </c>
      <c r="G863" s="22" t="s">
        <v>3680</v>
      </c>
      <c r="H863" s="22" t="s">
        <v>3595</v>
      </c>
      <c r="I863" s="22" t="s">
        <v>3681</v>
      </c>
      <c r="J863" s="22" t="s">
        <v>3597</v>
      </c>
      <c r="K863" s="22" t="s">
        <v>3681</v>
      </c>
      <c r="L863" s="22" t="s">
        <v>184</v>
      </c>
      <c r="M863" s="22" t="s">
        <v>253</v>
      </c>
    </row>
    <row r="864" customFormat="false" ht="43.5" hidden="false" customHeight="true" outlineLevel="0" collapsed="false">
      <c r="A864" s="22" t="s">
        <v>3682</v>
      </c>
      <c r="B864" s="22" t="s">
        <v>3683</v>
      </c>
      <c r="C864" s="22" t="s">
        <v>57</v>
      </c>
      <c r="D864" s="22" t="s">
        <v>3578</v>
      </c>
      <c r="E864" s="22" t="str">
        <f aca="false">IF(D864="","",IFERROR(VLOOKUP(D864,$A$2:$B$1656,2,FALSE()),""))</f>
        <v>Hero and Protagonist Archetypes</v>
      </c>
      <c r="F864" s="22" t="n">
        <v>3</v>
      </c>
      <c r="G864" s="22" t="s">
        <v>3684</v>
      </c>
      <c r="H864" s="22" t="s">
        <v>3595</v>
      </c>
      <c r="I864" s="22" t="s">
        <v>3685</v>
      </c>
      <c r="J864" s="22" t="s">
        <v>3597</v>
      </c>
      <c r="K864" s="22" t="s">
        <v>3685</v>
      </c>
      <c r="L864" s="22" t="s">
        <v>184</v>
      </c>
      <c r="M864" s="22" t="s">
        <v>253</v>
      </c>
    </row>
    <row r="865" customFormat="false" ht="43.5" hidden="false" customHeight="true" outlineLevel="0" collapsed="false">
      <c r="A865" s="22" t="s">
        <v>3686</v>
      </c>
      <c r="B865" s="22" t="s">
        <v>3687</v>
      </c>
      <c r="C865" s="22" t="s">
        <v>57</v>
      </c>
      <c r="D865" s="22" t="s">
        <v>3578</v>
      </c>
      <c r="E865" s="22" t="str">
        <f aca="false">IF(D865="","",IFERROR(VLOOKUP(D865,$A$2:$B$1656,2,FALSE()),""))</f>
        <v>Hero and Protagonist Archetypes</v>
      </c>
      <c r="F865" s="22" t="n">
        <v>3</v>
      </c>
      <c r="G865" s="22" t="s">
        <v>3688</v>
      </c>
      <c r="H865" s="22" t="s">
        <v>3595</v>
      </c>
      <c r="I865" s="22" t="s">
        <v>3689</v>
      </c>
      <c r="J865" s="22" t="s">
        <v>3597</v>
      </c>
      <c r="K865" s="22" t="s">
        <v>3689</v>
      </c>
      <c r="L865" s="22" t="s">
        <v>184</v>
      </c>
      <c r="M865" s="22" t="s">
        <v>253</v>
      </c>
    </row>
    <row r="866" customFormat="false" ht="43.5" hidden="false" customHeight="true" outlineLevel="0" collapsed="false">
      <c r="A866" s="22" t="s">
        <v>3690</v>
      </c>
      <c r="B866" s="22" t="s">
        <v>3691</v>
      </c>
      <c r="C866" s="22" t="s">
        <v>57</v>
      </c>
      <c r="D866" s="22" t="s">
        <v>3578</v>
      </c>
      <c r="E866" s="22" t="str">
        <f aca="false">IF(D866="","",IFERROR(VLOOKUP(D866,$A$2:$B$1656,2,FALSE()),""))</f>
        <v>Hero and Protagonist Archetypes</v>
      </c>
      <c r="F866" s="22" t="n">
        <v>3</v>
      </c>
      <c r="G866" s="22" t="s">
        <v>3692</v>
      </c>
      <c r="H866" s="22" t="s">
        <v>3595</v>
      </c>
      <c r="I866" s="22" t="s">
        <v>3693</v>
      </c>
      <c r="J866" s="22" t="s">
        <v>3597</v>
      </c>
      <c r="K866" s="22" t="s">
        <v>3693</v>
      </c>
      <c r="L866" s="22" t="s">
        <v>184</v>
      </c>
      <c r="M866" s="22" t="s">
        <v>253</v>
      </c>
    </row>
    <row r="867" customFormat="false" ht="43.5" hidden="false" customHeight="true" outlineLevel="0" collapsed="false">
      <c r="A867" s="22" t="s">
        <v>3694</v>
      </c>
      <c r="B867" s="22" t="s">
        <v>3695</v>
      </c>
      <c r="C867" s="22" t="s">
        <v>57</v>
      </c>
      <c r="D867" s="22" t="s">
        <v>3578</v>
      </c>
      <c r="E867" s="22" t="str">
        <f aca="false">IF(D867="","",IFERROR(VLOOKUP(D867,$A$2:$B$1656,2,FALSE()),""))</f>
        <v>Hero and Protagonist Archetypes</v>
      </c>
      <c r="F867" s="22" t="n">
        <v>3</v>
      </c>
      <c r="G867" s="22" t="s">
        <v>3696</v>
      </c>
      <c r="H867" s="22" t="s">
        <v>3595</v>
      </c>
      <c r="I867" s="22" t="s">
        <v>3697</v>
      </c>
      <c r="J867" s="22" t="s">
        <v>3597</v>
      </c>
      <c r="K867" s="22" t="s">
        <v>3697</v>
      </c>
      <c r="L867" s="22" t="s">
        <v>184</v>
      </c>
      <c r="M867" s="22" t="s">
        <v>253</v>
      </c>
    </row>
    <row r="868" customFormat="false" ht="43.5" hidden="false" customHeight="true" outlineLevel="0" collapsed="false">
      <c r="A868" s="22" t="s">
        <v>3698</v>
      </c>
      <c r="B868" s="22" t="s">
        <v>3699</v>
      </c>
      <c r="C868" s="22" t="s">
        <v>57</v>
      </c>
      <c r="D868" s="22" t="s">
        <v>3578</v>
      </c>
      <c r="E868" s="22" t="str">
        <f aca="false">IF(D868="","",IFERROR(VLOOKUP(D868,$A$2:$B$1656,2,FALSE()),""))</f>
        <v>Hero and Protagonist Archetypes</v>
      </c>
      <c r="F868" s="22" t="n">
        <v>3</v>
      </c>
      <c r="G868" s="22" t="s">
        <v>3700</v>
      </c>
      <c r="H868" s="22" t="s">
        <v>3595</v>
      </c>
      <c r="I868" s="22" t="s">
        <v>3701</v>
      </c>
      <c r="J868" s="22" t="s">
        <v>3597</v>
      </c>
      <c r="K868" s="22" t="s">
        <v>3701</v>
      </c>
      <c r="L868" s="22" t="s">
        <v>184</v>
      </c>
      <c r="M868" s="22" t="s">
        <v>253</v>
      </c>
    </row>
    <row r="869" customFormat="false" ht="43.5" hidden="false" customHeight="true" outlineLevel="0" collapsed="false">
      <c r="A869" s="22" t="s">
        <v>3702</v>
      </c>
      <c r="B869" s="22" t="s">
        <v>3190</v>
      </c>
      <c r="C869" s="22" t="s">
        <v>57</v>
      </c>
      <c r="D869" s="22" t="s">
        <v>3578</v>
      </c>
      <c r="E869" s="22" t="str">
        <f aca="false">IF(D869="","",IFERROR(VLOOKUP(D869,$A$2:$B$1656,2,FALSE()),""))</f>
        <v>Hero and Protagonist Archetypes</v>
      </c>
      <c r="F869" s="22" t="n">
        <v>3</v>
      </c>
      <c r="G869" s="22" t="s">
        <v>3703</v>
      </c>
      <c r="H869" s="22" t="s">
        <v>3595</v>
      </c>
      <c r="I869" s="22" t="s">
        <v>3704</v>
      </c>
      <c r="J869" s="22" t="s">
        <v>3597</v>
      </c>
      <c r="K869" s="22" t="s">
        <v>3704</v>
      </c>
      <c r="L869" s="22" t="s">
        <v>184</v>
      </c>
      <c r="M869" s="22" t="s">
        <v>253</v>
      </c>
    </row>
    <row r="870" customFormat="false" ht="43.5" hidden="false" customHeight="true" outlineLevel="0" collapsed="false">
      <c r="A870" s="22" t="s">
        <v>3705</v>
      </c>
      <c r="B870" s="22" t="s">
        <v>3706</v>
      </c>
      <c r="C870" s="22" t="s">
        <v>57</v>
      </c>
      <c r="D870" s="22" t="s">
        <v>3578</v>
      </c>
      <c r="E870" s="22" t="str">
        <f aca="false">IF(D870="","",IFERROR(VLOOKUP(D870,$A$2:$B$1656,2,FALSE()),""))</f>
        <v>Hero and Protagonist Archetypes</v>
      </c>
      <c r="F870" s="22" t="n">
        <v>3</v>
      </c>
      <c r="G870" s="22" t="s">
        <v>3707</v>
      </c>
      <c r="H870" s="22" t="s">
        <v>3595</v>
      </c>
      <c r="I870" s="22" t="s">
        <v>3708</v>
      </c>
      <c r="J870" s="22" t="s">
        <v>3597</v>
      </c>
      <c r="K870" s="22" t="s">
        <v>3708</v>
      </c>
      <c r="L870" s="22" t="s">
        <v>184</v>
      </c>
      <c r="M870" s="22" t="s">
        <v>253</v>
      </c>
    </row>
    <row r="871" customFormat="false" ht="43.5" hidden="false" customHeight="true" outlineLevel="0" collapsed="false">
      <c r="A871" s="22" t="s">
        <v>3709</v>
      </c>
      <c r="B871" s="22" t="s">
        <v>3710</v>
      </c>
      <c r="C871" s="22" t="s">
        <v>57</v>
      </c>
      <c r="D871" s="22" t="s">
        <v>3578</v>
      </c>
      <c r="E871" s="22" t="str">
        <f aca="false">IF(D871="","",IFERROR(VLOOKUP(D871,$A$2:$B$1656,2,FALSE()),""))</f>
        <v>Hero and Protagonist Archetypes</v>
      </c>
      <c r="F871" s="22" t="n">
        <v>3</v>
      </c>
      <c r="G871" s="22" t="s">
        <v>3711</v>
      </c>
      <c r="H871" s="22" t="s">
        <v>3595</v>
      </c>
      <c r="I871" s="22" t="s">
        <v>3712</v>
      </c>
      <c r="J871" s="22" t="s">
        <v>3597</v>
      </c>
      <c r="K871" s="22" t="s">
        <v>3712</v>
      </c>
      <c r="L871" s="22" t="s">
        <v>184</v>
      </c>
      <c r="M871" s="22" t="s">
        <v>253</v>
      </c>
    </row>
    <row r="872" customFormat="false" ht="43.5" hidden="false" customHeight="true" outlineLevel="0" collapsed="false">
      <c r="A872" s="22" t="s">
        <v>3713</v>
      </c>
      <c r="B872" s="22" t="s">
        <v>3714</v>
      </c>
      <c r="C872" s="22" t="s">
        <v>57</v>
      </c>
      <c r="D872" s="22" t="s">
        <v>3578</v>
      </c>
      <c r="E872" s="22" t="str">
        <f aca="false">IF(D872="","",IFERROR(VLOOKUP(D872,$A$2:$B$1656,2,FALSE()),""))</f>
        <v>Hero and Protagonist Archetypes</v>
      </c>
      <c r="F872" s="22" t="n">
        <v>3</v>
      </c>
      <c r="G872" s="22" t="s">
        <v>3715</v>
      </c>
      <c r="H872" s="22" t="s">
        <v>3595</v>
      </c>
      <c r="I872" s="22" t="s">
        <v>3716</v>
      </c>
      <c r="J872" s="22" t="s">
        <v>3597</v>
      </c>
      <c r="K872" s="22" t="s">
        <v>3716</v>
      </c>
      <c r="L872" s="22" t="s">
        <v>184</v>
      </c>
      <c r="M872" s="22" t="s">
        <v>253</v>
      </c>
    </row>
    <row r="873" customFormat="false" ht="43.5" hidden="false" customHeight="true" outlineLevel="0" collapsed="false">
      <c r="A873" s="22" t="s">
        <v>3717</v>
      </c>
      <c r="B873" s="22" t="s">
        <v>3718</v>
      </c>
      <c r="C873" s="22" t="s">
        <v>57</v>
      </c>
      <c r="D873" s="22" t="s">
        <v>3578</v>
      </c>
      <c r="E873" s="22" t="str">
        <f aca="false">IF(D873="","",IFERROR(VLOOKUP(D873,$A$2:$B$1656,2,FALSE()),""))</f>
        <v>Hero and Protagonist Archetypes</v>
      </c>
      <c r="F873" s="22" t="n">
        <v>3</v>
      </c>
      <c r="G873" s="22" t="s">
        <v>3719</v>
      </c>
      <c r="H873" s="22" t="s">
        <v>3595</v>
      </c>
      <c r="I873" s="22" t="s">
        <v>3720</v>
      </c>
      <c r="J873" s="22" t="s">
        <v>3597</v>
      </c>
      <c r="K873" s="22" t="s">
        <v>3720</v>
      </c>
      <c r="L873" s="22" t="s">
        <v>184</v>
      </c>
      <c r="M873" s="22" t="s">
        <v>253</v>
      </c>
    </row>
    <row r="874" customFormat="false" ht="43.5" hidden="false" customHeight="true" outlineLevel="0" collapsed="false">
      <c r="A874" s="22" t="s">
        <v>3721</v>
      </c>
      <c r="B874" s="22" t="s">
        <v>3722</v>
      </c>
      <c r="C874" s="22" t="s">
        <v>57</v>
      </c>
      <c r="D874" s="22" t="s">
        <v>3578</v>
      </c>
      <c r="E874" s="22" t="str">
        <f aca="false">IF(D874="","",IFERROR(VLOOKUP(D874,$A$2:$B$1656,2,FALSE()),""))</f>
        <v>Hero and Protagonist Archetypes</v>
      </c>
      <c r="F874" s="22" t="n">
        <v>3</v>
      </c>
      <c r="G874" s="22" t="s">
        <v>3723</v>
      </c>
      <c r="H874" s="22" t="s">
        <v>3595</v>
      </c>
      <c r="I874" s="22" t="s">
        <v>3724</v>
      </c>
      <c r="J874" s="22" t="s">
        <v>3597</v>
      </c>
      <c r="K874" s="22" t="s">
        <v>3724</v>
      </c>
      <c r="L874" s="22" t="s">
        <v>184</v>
      </c>
      <c r="M874" s="22" t="s">
        <v>253</v>
      </c>
    </row>
    <row r="875" customFormat="false" ht="43.5" hidden="false" customHeight="true" outlineLevel="0" collapsed="false">
      <c r="A875" s="22" t="s">
        <v>3725</v>
      </c>
      <c r="B875" s="22" t="s">
        <v>3726</v>
      </c>
      <c r="C875" s="22" t="s">
        <v>57</v>
      </c>
      <c r="D875" s="22" t="s">
        <v>3578</v>
      </c>
      <c r="E875" s="22" t="str">
        <f aca="false">IF(D875="","",IFERROR(VLOOKUP(D875,$A$2:$B$1656,2,FALSE()),""))</f>
        <v>Hero and Protagonist Archetypes</v>
      </c>
      <c r="F875" s="22" t="n">
        <v>3</v>
      </c>
      <c r="G875" s="22" t="s">
        <v>3727</v>
      </c>
      <c r="H875" s="22" t="s">
        <v>3595</v>
      </c>
      <c r="I875" s="22" t="s">
        <v>3728</v>
      </c>
      <c r="J875" s="22" t="s">
        <v>3597</v>
      </c>
      <c r="K875" s="22" t="s">
        <v>3728</v>
      </c>
      <c r="L875" s="22" t="s">
        <v>184</v>
      </c>
      <c r="M875" s="22" t="s">
        <v>253</v>
      </c>
    </row>
    <row r="876" customFormat="false" ht="43.5" hidden="false" customHeight="true" outlineLevel="0" collapsed="false">
      <c r="A876" s="22" t="s">
        <v>3729</v>
      </c>
      <c r="B876" s="22" t="s">
        <v>3730</v>
      </c>
      <c r="C876" s="22" t="s">
        <v>57</v>
      </c>
      <c r="D876" s="22" t="s">
        <v>3578</v>
      </c>
      <c r="E876" s="22" t="str">
        <f aca="false">IF(D876="","",IFERROR(VLOOKUP(D876,$A$2:$B$1656,2,FALSE()),""))</f>
        <v>Hero and Protagonist Archetypes</v>
      </c>
      <c r="F876" s="22" t="n">
        <v>3</v>
      </c>
      <c r="G876" s="22" t="s">
        <v>3731</v>
      </c>
      <c r="H876" s="22" t="s">
        <v>3595</v>
      </c>
      <c r="I876" s="22" t="s">
        <v>3732</v>
      </c>
      <c r="J876" s="22" t="s">
        <v>3597</v>
      </c>
      <c r="K876" s="22" t="s">
        <v>3732</v>
      </c>
      <c r="L876" s="22" t="s">
        <v>184</v>
      </c>
      <c r="M876" s="22" t="s">
        <v>253</v>
      </c>
    </row>
    <row r="877" customFormat="false" ht="43.5" hidden="false" customHeight="true" outlineLevel="0" collapsed="false">
      <c r="A877" s="22" t="s">
        <v>3733</v>
      </c>
      <c r="B877" s="22" t="s">
        <v>3734</v>
      </c>
      <c r="C877" s="22" t="s">
        <v>57</v>
      </c>
      <c r="D877" s="22" t="s">
        <v>3578</v>
      </c>
      <c r="E877" s="22" t="str">
        <f aca="false">IF(D877="","",IFERROR(VLOOKUP(D877,$A$2:$B$1656,2,FALSE()),""))</f>
        <v>Hero and Protagonist Archetypes</v>
      </c>
      <c r="F877" s="22" t="n">
        <v>3</v>
      </c>
      <c r="G877" s="22" t="s">
        <v>3735</v>
      </c>
      <c r="H877" s="22" t="s">
        <v>3595</v>
      </c>
      <c r="I877" s="22" t="s">
        <v>3736</v>
      </c>
      <c r="J877" s="22" t="s">
        <v>3597</v>
      </c>
      <c r="K877" s="22" t="s">
        <v>3736</v>
      </c>
      <c r="L877" s="22" t="s">
        <v>184</v>
      </c>
      <c r="M877" s="22" t="s">
        <v>253</v>
      </c>
    </row>
    <row r="878" customFormat="false" ht="43.5" hidden="false" customHeight="true" outlineLevel="0" collapsed="false">
      <c r="A878" s="22" t="s">
        <v>3737</v>
      </c>
      <c r="B878" s="22" t="s">
        <v>3738</v>
      </c>
      <c r="C878" s="22" t="s">
        <v>57</v>
      </c>
      <c r="D878" s="22" t="s">
        <v>3578</v>
      </c>
      <c r="E878" s="22" t="str">
        <f aca="false">IF(D878="","",IFERROR(VLOOKUP(D878,$A$2:$B$1656,2,FALSE()),""))</f>
        <v>Hero and Protagonist Archetypes</v>
      </c>
      <c r="F878" s="22" t="n">
        <v>3</v>
      </c>
      <c r="G878" s="22" t="s">
        <v>3739</v>
      </c>
      <c r="H878" s="22" t="s">
        <v>3595</v>
      </c>
      <c r="I878" s="22" t="s">
        <v>3740</v>
      </c>
      <c r="J878" s="22" t="s">
        <v>3597</v>
      </c>
      <c r="K878" s="22" t="s">
        <v>3740</v>
      </c>
      <c r="L878" s="22" t="s">
        <v>184</v>
      </c>
      <c r="M878" s="22" t="s">
        <v>253</v>
      </c>
    </row>
    <row r="879" customFormat="false" ht="43.5" hidden="false" customHeight="true" outlineLevel="0" collapsed="false">
      <c r="A879" s="22" t="s">
        <v>3741</v>
      </c>
      <c r="B879" s="22" t="s">
        <v>3742</v>
      </c>
      <c r="C879" s="22" t="s">
        <v>57</v>
      </c>
      <c r="D879" s="22" t="s">
        <v>3578</v>
      </c>
      <c r="E879" s="22" t="str">
        <f aca="false">IF(D879="","",IFERROR(VLOOKUP(D879,$A$2:$B$1656,2,FALSE()),""))</f>
        <v>Hero and Protagonist Archetypes</v>
      </c>
      <c r="F879" s="22" t="n">
        <v>3</v>
      </c>
      <c r="G879" s="22" t="s">
        <v>3743</v>
      </c>
      <c r="H879" s="22" t="s">
        <v>3595</v>
      </c>
      <c r="I879" s="22" t="s">
        <v>3744</v>
      </c>
      <c r="J879" s="22" t="s">
        <v>3597</v>
      </c>
      <c r="K879" s="22" t="s">
        <v>3744</v>
      </c>
      <c r="L879" s="22" t="s">
        <v>184</v>
      </c>
      <c r="M879" s="22" t="s">
        <v>253</v>
      </c>
    </row>
    <row r="880" customFormat="false" ht="43.5" hidden="false" customHeight="true" outlineLevel="0" collapsed="false">
      <c r="A880" s="22" t="s">
        <v>3745</v>
      </c>
      <c r="B880" s="22" t="s">
        <v>3746</v>
      </c>
      <c r="C880" s="22" t="s">
        <v>57</v>
      </c>
      <c r="D880" s="22" t="s">
        <v>3578</v>
      </c>
      <c r="E880" s="22" t="str">
        <f aca="false">IF(D880="","",IFERROR(VLOOKUP(D880,$A$2:$B$1656,2,FALSE()),""))</f>
        <v>Hero and Protagonist Archetypes</v>
      </c>
      <c r="F880" s="22" t="n">
        <v>3</v>
      </c>
      <c r="G880" s="22" t="s">
        <v>3747</v>
      </c>
      <c r="H880" s="22" t="s">
        <v>3595</v>
      </c>
      <c r="I880" s="22" t="s">
        <v>3748</v>
      </c>
      <c r="J880" s="22" t="s">
        <v>3597</v>
      </c>
      <c r="K880" s="22" t="s">
        <v>3748</v>
      </c>
      <c r="L880" s="22" t="s">
        <v>184</v>
      </c>
      <c r="M880" s="22" t="s">
        <v>253</v>
      </c>
    </row>
    <row r="881" customFormat="false" ht="43.5" hidden="false" customHeight="true" outlineLevel="0" collapsed="false">
      <c r="A881" s="22" t="s">
        <v>3749</v>
      </c>
      <c r="B881" s="22" t="s">
        <v>3750</v>
      </c>
      <c r="C881" s="22" t="s">
        <v>57</v>
      </c>
      <c r="D881" s="22" t="s">
        <v>3583</v>
      </c>
      <c r="E881" s="22" t="str">
        <f aca="false">IF(D881="","",IFERROR(VLOOKUP(D881,$A$2:$B$1656,2,FALSE()),""))</f>
        <v>Companion, Mentor, and Party Archetypes</v>
      </c>
      <c r="F881" s="22" t="n">
        <v>3</v>
      </c>
      <c r="G881" s="22" t="s">
        <v>3751</v>
      </c>
      <c r="H881" s="22" t="s">
        <v>3595</v>
      </c>
      <c r="I881" s="22" t="s">
        <v>3752</v>
      </c>
      <c r="J881" s="22" t="s">
        <v>3753</v>
      </c>
      <c r="K881" s="22" t="s">
        <v>3752</v>
      </c>
      <c r="L881" s="22" t="s">
        <v>184</v>
      </c>
      <c r="M881" s="22" t="s">
        <v>253</v>
      </c>
    </row>
    <row r="882" customFormat="false" ht="43.5" hidden="false" customHeight="true" outlineLevel="0" collapsed="false">
      <c r="A882" s="22" t="s">
        <v>3754</v>
      </c>
      <c r="B882" s="22" t="s">
        <v>3755</v>
      </c>
      <c r="C882" s="22" t="s">
        <v>57</v>
      </c>
      <c r="D882" s="22" t="s">
        <v>3583</v>
      </c>
      <c r="E882" s="22" t="str">
        <f aca="false">IF(D882="","",IFERROR(VLOOKUP(D882,$A$2:$B$1656,2,FALSE()),""))</f>
        <v>Companion, Mentor, and Party Archetypes</v>
      </c>
      <c r="F882" s="22" t="n">
        <v>3</v>
      </c>
      <c r="G882" s="22" t="s">
        <v>3756</v>
      </c>
      <c r="H882" s="22" t="s">
        <v>3595</v>
      </c>
      <c r="I882" s="22" t="s">
        <v>3757</v>
      </c>
      <c r="J882" s="22" t="s">
        <v>3753</v>
      </c>
      <c r="K882" s="22" t="s">
        <v>3757</v>
      </c>
      <c r="L882" s="22" t="s">
        <v>184</v>
      </c>
      <c r="M882" s="22" t="s">
        <v>253</v>
      </c>
    </row>
    <row r="883" customFormat="false" ht="43.5" hidden="false" customHeight="true" outlineLevel="0" collapsed="false">
      <c r="A883" s="22" t="s">
        <v>3758</v>
      </c>
      <c r="B883" s="22" t="s">
        <v>3759</v>
      </c>
      <c r="C883" s="22" t="s">
        <v>57</v>
      </c>
      <c r="D883" s="22" t="s">
        <v>3583</v>
      </c>
      <c r="E883" s="22" t="str">
        <f aca="false">IF(D883="","",IFERROR(VLOOKUP(D883,$A$2:$B$1656,2,FALSE()),""))</f>
        <v>Companion, Mentor, and Party Archetypes</v>
      </c>
      <c r="F883" s="22" t="n">
        <v>3</v>
      </c>
      <c r="G883" s="22" t="s">
        <v>3760</v>
      </c>
      <c r="H883" s="22" t="s">
        <v>3595</v>
      </c>
      <c r="I883" s="22" t="s">
        <v>3761</v>
      </c>
      <c r="J883" s="22" t="s">
        <v>3753</v>
      </c>
      <c r="K883" s="22" t="s">
        <v>3761</v>
      </c>
      <c r="L883" s="22" t="s">
        <v>184</v>
      </c>
      <c r="M883" s="22" t="s">
        <v>253</v>
      </c>
    </row>
    <row r="884" customFormat="false" ht="43.5" hidden="false" customHeight="true" outlineLevel="0" collapsed="false">
      <c r="A884" s="22" t="s">
        <v>3762</v>
      </c>
      <c r="B884" s="22" t="s">
        <v>3763</v>
      </c>
      <c r="C884" s="22" t="s">
        <v>57</v>
      </c>
      <c r="D884" s="22" t="s">
        <v>3583</v>
      </c>
      <c r="E884" s="22" t="str">
        <f aca="false">IF(D884="","",IFERROR(VLOOKUP(D884,$A$2:$B$1656,2,FALSE()),""))</f>
        <v>Companion, Mentor, and Party Archetypes</v>
      </c>
      <c r="F884" s="22" t="n">
        <v>3</v>
      </c>
      <c r="G884" s="22" t="s">
        <v>3764</v>
      </c>
      <c r="H884" s="22" t="s">
        <v>3595</v>
      </c>
      <c r="I884" s="22" t="s">
        <v>3765</v>
      </c>
      <c r="J884" s="22" t="s">
        <v>3753</v>
      </c>
      <c r="K884" s="22" t="s">
        <v>3765</v>
      </c>
      <c r="L884" s="22" t="s">
        <v>184</v>
      </c>
      <c r="M884" s="22" t="s">
        <v>253</v>
      </c>
    </row>
    <row r="885" customFormat="false" ht="43.5" hidden="false" customHeight="true" outlineLevel="0" collapsed="false">
      <c r="A885" s="22" t="s">
        <v>3766</v>
      </c>
      <c r="B885" s="22" t="s">
        <v>3767</v>
      </c>
      <c r="C885" s="22" t="s">
        <v>57</v>
      </c>
      <c r="D885" s="22" t="s">
        <v>3583</v>
      </c>
      <c r="E885" s="22" t="str">
        <f aca="false">IF(D885="","",IFERROR(VLOOKUP(D885,$A$2:$B$1656,2,FALSE()),""))</f>
        <v>Companion, Mentor, and Party Archetypes</v>
      </c>
      <c r="F885" s="22" t="n">
        <v>3</v>
      </c>
      <c r="G885" s="22" t="s">
        <v>3768</v>
      </c>
      <c r="H885" s="22" t="s">
        <v>3595</v>
      </c>
      <c r="I885" s="22" t="s">
        <v>3769</v>
      </c>
      <c r="J885" s="22" t="s">
        <v>3753</v>
      </c>
      <c r="K885" s="22" t="s">
        <v>3769</v>
      </c>
      <c r="L885" s="22" t="s">
        <v>184</v>
      </c>
      <c r="M885" s="22" t="s">
        <v>253</v>
      </c>
    </row>
    <row r="886" customFormat="false" ht="43.5" hidden="false" customHeight="true" outlineLevel="0" collapsed="false">
      <c r="A886" s="22" t="s">
        <v>3770</v>
      </c>
      <c r="B886" s="22" t="s">
        <v>3771</v>
      </c>
      <c r="C886" s="22" t="s">
        <v>57</v>
      </c>
      <c r="D886" s="22" t="s">
        <v>3583</v>
      </c>
      <c r="E886" s="22" t="str">
        <f aca="false">IF(D886="","",IFERROR(VLOOKUP(D886,$A$2:$B$1656,2,FALSE()),""))</f>
        <v>Companion, Mentor, and Party Archetypes</v>
      </c>
      <c r="F886" s="22" t="n">
        <v>3</v>
      </c>
      <c r="G886" s="22" t="s">
        <v>3772</v>
      </c>
      <c r="H886" s="22" t="s">
        <v>3595</v>
      </c>
      <c r="I886" s="22" t="s">
        <v>3773</v>
      </c>
      <c r="J886" s="22" t="s">
        <v>3753</v>
      </c>
      <c r="K886" s="22" t="s">
        <v>3773</v>
      </c>
      <c r="L886" s="22" t="s">
        <v>184</v>
      </c>
      <c r="M886" s="22" t="s">
        <v>253</v>
      </c>
    </row>
    <row r="887" customFormat="false" ht="43.5" hidden="false" customHeight="true" outlineLevel="0" collapsed="false">
      <c r="A887" s="22" t="s">
        <v>3774</v>
      </c>
      <c r="B887" s="22" t="s">
        <v>3775</v>
      </c>
      <c r="C887" s="22" t="s">
        <v>57</v>
      </c>
      <c r="D887" s="22" t="s">
        <v>3583</v>
      </c>
      <c r="E887" s="22" t="str">
        <f aca="false">IF(D887="","",IFERROR(VLOOKUP(D887,$A$2:$B$1656,2,FALSE()),""))</f>
        <v>Companion, Mentor, and Party Archetypes</v>
      </c>
      <c r="F887" s="22" t="n">
        <v>3</v>
      </c>
      <c r="G887" s="22" t="s">
        <v>3776</v>
      </c>
      <c r="H887" s="22" t="s">
        <v>3595</v>
      </c>
      <c r="I887" s="22" t="s">
        <v>3777</v>
      </c>
      <c r="J887" s="22" t="s">
        <v>3753</v>
      </c>
      <c r="K887" s="22" t="s">
        <v>3777</v>
      </c>
      <c r="L887" s="22" t="s">
        <v>184</v>
      </c>
      <c r="M887" s="22" t="s">
        <v>253</v>
      </c>
    </row>
    <row r="888" customFormat="false" ht="43.5" hidden="false" customHeight="true" outlineLevel="0" collapsed="false">
      <c r="A888" s="22" t="s">
        <v>3778</v>
      </c>
      <c r="B888" s="22" t="s">
        <v>3779</v>
      </c>
      <c r="C888" s="22" t="s">
        <v>57</v>
      </c>
      <c r="D888" s="22" t="s">
        <v>3583</v>
      </c>
      <c r="E888" s="22" t="str">
        <f aca="false">IF(D888="","",IFERROR(VLOOKUP(D888,$A$2:$B$1656,2,FALSE()),""))</f>
        <v>Companion, Mentor, and Party Archetypes</v>
      </c>
      <c r="F888" s="22" t="n">
        <v>3</v>
      </c>
      <c r="G888" s="22" t="s">
        <v>3780</v>
      </c>
      <c r="H888" s="22" t="s">
        <v>3595</v>
      </c>
      <c r="I888" s="22" t="s">
        <v>3781</v>
      </c>
      <c r="J888" s="22" t="s">
        <v>3753</v>
      </c>
      <c r="K888" s="22" t="s">
        <v>3781</v>
      </c>
      <c r="L888" s="22" t="s">
        <v>184</v>
      </c>
      <c r="M888" s="22" t="s">
        <v>253</v>
      </c>
    </row>
    <row r="889" customFormat="false" ht="43.5" hidden="false" customHeight="true" outlineLevel="0" collapsed="false">
      <c r="A889" s="22" t="s">
        <v>3782</v>
      </c>
      <c r="B889" s="22" t="s">
        <v>3783</v>
      </c>
      <c r="C889" s="22" t="s">
        <v>57</v>
      </c>
      <c r="D889" s="22" t="s">
        <v>3583</v>
      </c>
      <c r="E889" s="22" t="str">
        <f aca="false">IF(D889="","",IFERROR(VLOOKUP(D889,$A$2:$B$1656,2,FALSE()),""))</f>
        <v>Companion, Mentor, and Party Archetypes</v>
      </c>
      <c r="F889" s="22" t="n">
        <v>3</v>
      </c>
      <c r="G889" s="22" t="s">
        <v>3784</v>
      </c>
      <c r="H889" s="22" t="s">
        <v>3595</v>
      </c>
      <c r="I889" s="22" t="s">
        <v>3785</v>
      </c>
      <c r="J889" s="22" t="s">
        <v>3753</v>
      </c>
      <c r="K889" s="22" t="s">
        <v>3785</v>
      </c>
      <c r="L889" s="22" t="s">
        <v>184</v>
      </c>
      <c r="M889" s="22" t="s">
        <v>253</v>
      </c>
    </row>
    <row r="890" customFormat="false" ht="43.5" hidden="false" customHeight="true" outlineLevel="0" collapsed="false">
      <c r="A890" s="22" t="s">
        <v>3786</v>
      </c>
      <c r="B890" s="22" t="s">
        <v>3787</v>
      </c>
      <c r="C890" s="22" t="s">
        <v>57</v>
      </c>
      <c r="D890" s="22" t="s">
        <v>3583</v>
      </c>
      <c r="E890" s="22" t="str">
        <f aca="false">IF(D890="","",IFERROR(VLOOKUP(D890,$A$2:$B$1656,2,FALSE()),""))</f>
        <v>Companion, Mentor, and Party Archetypes</v>
      </c>
      <c r="F890" s="22" t="n">
        <v>3</v>
      </c>
      <c r="G890" s="22" t="s">
        <v>3788</v>
      </c>
      <c r="H890" s="22" t="s">
        <v>3595</v>
      </c>
      <c r="I890" s="22" t="s">
        <v>3789</v>
      </c>
      <c r="J890" s="22" t="s">
        <v>3753</v>
      </c>
      <c r="K890" s="22" t="s">
        <v>3789</v>
      </c>
      <c r="L890" s="22" t="s">
        <v>184</v>
      </c>
      <c r="M890" s="22" t="s">
        <v>253</v>
      </c>
    </row>
    <row r="891" customFormat="false" ht="43.5" hidden="false" customHeight="true" outlineLevel="0" collapsed="false">
      <c r="A891" s="22" t="s">
        <v>3790</v>
      </c>
      <c r="B891" s="22" t="s">
        <v>3791</v>
      </c>
      <c r="C891" s="22" t="s">
        <v>57</v>
      </c>
      <c r="D891" s="22" t="s">
        <v>3583</v>
      </c>
      <c r="E891" s="22" t="str">
        <f aca="false">IF(D891="","",IFERROR(VLOOKUP(D891,$A$2:$B$1656,2,FALSE()),""))</f>
        <v>Companion, Mentor, and Party Archetypes</v>
      </c>
      <c r="F891" s="22" t="n">
        <v>3</v>
      </c>
      <c r="G891" s="22" t="s">
        <v>3792</v>
      </c>
      <c r="H891" s="22" t="s">
        <v>3595</v>
      </c>
      <c r="I891" s="22" t="s">
        <v>3793</v>
      </c>
      <c r="J891" s="22" t="s">
        <v>3753</v>
      </c>
      <c r="K891" s="22" t="s">
        <v>3793</v>
      </c>
      <c r="L891" s="22" t="s">
        <v>184</v>
      </c>
      <c r="M891" s="22" t="s">
        <v>253</v>
      </c>
    </row>
    <row r="892" customFormat="false" ht="43.5" hidden="false" customHeight="true" outlineLevel="0" collapsed="false">
      <c r="A892" s="22" t="s">
        <v>3794</v>
      </c>
      <c r="B892" s="22" t="s">
        <v>3795</v>
      </c>
      <c r="C892" s="22" t="s">
        <v>57</v>
      </c>
      <c r="D892" s="22" t="s">
        <v>3583</v>
      </c>
      <c r="E892" s="22" t="str">
        <f aca="false">IF(D892="","",IFERROR(VLOOKUP(D892,$A$2:$B$1656,2,FALSE()),""))</f>
        <v>Companion, Mentor, and Party Archetypes</v>
      </c>
      <c r="F892" s="22" t="n">
        <v>3</v>
      </c>
      <c r="G892" s="22" t="s">
        <v>3796</v>
      </c>
      <c r="H892" s="22" t="s">
        <v>3595</v>
      </c>
      <c r="I892" s="22" t="s">
        <v>3797</v>
      </c>
      <c r="J892" s="22" t="s">
        <v>3753</v>
      </c>
      <c r="K892" s="22" t="s">
        <v>3797</v>
      </c>
      <c r="L892" s="22" t="s">
        <v>184</v>
      </c>
      <c r="M892" s="22" t="s">
        <v>253</v>
      </c>
    </row>
    <row r="893" customFormat="false" ht="43.5" hidden="false" customHeight="true" outlineLevel="0" collapsed="false">
      <c r="A893" s="22" t="s">
        <v>3798</v>
      </c>
      <c r="B893" s="22" t="s">
        <v>3799</v>
      </c>
      <c r="C893" s="22" t="s">
        <v>57</v>
      </c>
      <c r="D893" s="22" t="s">
        <v>3583</v>
      </c>
      <c r="E893" s="22" t="str">
        <f aca="false">IF(D893="","",IFERROR(VLOOKUP(D893,$A$2:$B$1656,2,FALSE()),""))</f>
        <v>Companion, Mentor, and Party Archetypes</v>
      </c>
      <c r="F893" s="22" t="n">
        <v>3</v>
      </c>
      <c r="G893" s="22" t="s">
        <v>3800</v>
      </c>
      <c r="H893" s="22" t="s">
        <v>3595</v>
      </c>
      <c r="I893" s="22" t="s">
        <v>3801</v>
      </c>
      <c r="J893" s="22" t="s">
        <v>3753</v>
      </c>
      <c r="K893" s="22" t="s">
        <v>3801</v>
      </c>
      <c r="L893" s="22" t="s">
        <v>184</v>
      </c>
      <c r="M893" s="22" t="s">
        <v>253</v>
      </c>
    </row>
    <row r="894" customFormat="false" ht="43.5" hidden="false" customHeight="true" outlineLevel="0" collapsed="false">
      <c r="A894" s="22" t="s">
        <v>3802</v>
      </c>
      <c r="B894" s="22" t="s">
        <v>3803</v>
      </c>
      <c r="C894" s="22" t="s">
        <v>57</v>
      </c>
      <c r="D894" s="22" t="s">
        <v>3583</v>
      </c>
      <c r="E894" s="22" t="str">
        <f aca="false">IF(D894="","",IFERROR(VLOOKUP(D894,$A$2:$B$1656,2,FALSE()),""))</f>
        <v>Companion, Mentor, and Party Archetypes</v>
      </c>
      <c r="F894" s="22" t="n">
        <v>3</v>
      </c>
      <c r="G894" s="22" t="s">
        <v>3804</v>
      </c>
      <c r="H894" s="22" t="s">
        <v>3595</v>
      </c>
      <c r="I894" s="22" t="s">
        <v>3805</v>
      </c>
      <c r="J894" s="22" t="s">
        <v>3753</v>
      </c>
      <c r="K894" s="22" t="s">
        <v>3805</v>
      </c>
      <c r="L894" s="22" t="s">
        <v>184</v>
      </c>
      <c r="M894" s="22" t="s">
        <v>253</v>
      </c>
    </row>
    <row r="895" customFormat="false" ht="43.5" hidden="false" customHeight="true" outlineLevel="0" collapsed="false">
      <c r="A895" s="22" t="s">
        <v>3806</v>
      </c>
      <c r="B895" s="22" t="s">
        <v>3807</v>
      </c>
      <c r="C895" s="22" t="s">
        <v>57</v>
      </c>
      <c r="D895" s="22" t="s">
        <v>3583</v>
      </c>
      <c r="E895" s="22" t="str">
        <f aca="false">IF(D895="","",IFERROR(VLOOKUP(D895,$A$2:$B$1656,2,FALSE()),""))</f>
        <v>Companion, Mentor, and Party Archetypes</v>
      </c>
      <c r="F895" s="22" t="n">
        <v>3</v>
      </c>
      <c r="G895" s="22" t="s">
        <v>3808</v>
      </c>
      <c r="H895" s="22" t="s">
        <v>3595</v>
      </c>
      <c r="I895" s="22" t="s">
        <v>3809</v>
      </c>
      <c r="J895" s="22" t="s">
        <v>3753</v>
      </c>
      <c r="K895" s="22" t="s">
        <v>3809</v>
      </c>
      <c r="L895" s="22" t="s">
        <v>184</v>
      </c>
      <c r="M895" s="22" t="s">
        <v>253</v>
      </c>
    </row>
    <row r="896" customFormat="false" ht="43.5" hidden="false" customHeight="true" outlineLevel="0" collapsed="false">
      <c r="A896" s="22" t="s">
        <v>3810</v>
      </c>
      <c r="B896" s="22" t="s">
        <v>3811</v>
      </c>
      <c r="C896" s="22" t="s">
        <v>57</v>
      </c>
      <c r="D896" s="22" t="s">
        <v>3583</v>
      </c>
      <c r="E896" s="22" t="str">
        <f aca="false">IF(D896="","",IFERROR(VLOOKUP(D896,$A$2:$B$1656,2,FALSE()),""))</f>
        <v>Companion, Mentor, and Party Archetypes</v>
      </c>
      <c r="F896" s="22" t="n">
        <v>3</v>
      </c>
      <c r="G896" s="22" t="s">
        <v>3812</v>
      </c>
      <c r="H896" s="22" t="s">
        <v>3595</v>
      </c>
      <c r="I896" s="22" t="s">
        <v>3813</v>
      </c>
      <c r="J896" s="22" t="s">
        <v>3753</v>
      </c>
      <c r="K896" s="22" t="s">
        <v>3813</v>
      </c>
      <c r="L896" s="22" t="s">
        <v>184</v>
      </c>
      <c r="M896" s="22" t="s">
        <v>253</v>
      </c>
    </row>
    <row r="897" customFormat="false" ht="43.5" hidden="false" customHeight="true" outlineLevel="0" collapsed="false">
      <c r="A897" s="22" t="s">
        <v>3814</v>
      </c>
      <c r="B897" s="22" t="s">
        <v>3815</v>
      </c>
      <c r="C897" s="22" t="s">
        <v>57</v>
      </c>
      <c r="D897" s="22" t="s">
        <v>3583</v>
      </c>
      <c r="E897" s="22" t="str">
        <f aca="false">IF(D897="","",IFERROR(VLOOKUP(D897,$A$2:$B$1656,2,FALSE()),""))</f>
        <v>Companion, Mentor, and Party Archetypes</v>
      </c>
      <c r="F897" s="22" t="n">
        <v>3</v>
      </c>
      <c r="G897" s="22" t="s">
        <v>3816</v>
      </c>
      <c r="H897" s="22" t="s">
        <v>3595</v>
      </c>
      <c r="I897" s="22" t="s">
        <v>3817</v>
      </c>
      <c r="J897" s="22" t="s">
        <v>3753</v>
      </c>
      <c r="K897" s="22" t="s">
        <v>3817</v>
      </c>
      <c r="L897" s="22" t="s">
        <v>184</v>
      </c>
      <c r="M897" s="22" t="s">
        <v>253</v>
      </c>
    </row>
    <row r="898" customFormat="false" ht="43.5" hidden="false" customHeight="true" outlineLevel="0" collapsed="false">
      <c r="A898" s="22" t="s">
        <v>3818</v>
      </c>
      <c r="B898" s="22" t="s">
        <v>3819</v>
      </c>
      <c r="C898" s="22" t="s">
        <v>57</v>
      </c>
      <c r="D898" s="22" t="s">
        <v>3583</v>
      </c>
      <c r="E898" s="22" t="str">
        <f aca="false">IF(D898="","",IFERROR(VLOOKUP(D898,$A$2:$B$1656,2,FALSE()),""))</f>
        <v>Companion, Mentor, and Party Archetypes</v>
      </c>
      <c r="F898" s="22" t="n">
        <v>3</v>
      </c>
      <c r="G898" s="22" t="s">
        <v>3820</v>
      </c>
      <c r="H898" s="22" t="s">
        <v>3595</v>
      </c>
      <c r="I898" s="22" t="s">
        <v>3821</v>
      </c>
      <c r="J898" s="22" t="s">
        <v>3753</v>
      </c>
      <c r="K898" s="22" t="s">
        <v>3821</v>
      </c>
      <c r="L898" s="22" t="s">
        <v>184</v>
      </c>
      <c r="M898" s="22" t="s">
        <v>253</v>
      </c>
    </row>
    <row r="899" customFormat="false" ht="43.5" hidden="false" customHeight="true" outlineLevel="0" collapsed="false">
      <c r="A899" s="22" t="s">
        <v>3822</v>
      </c>
      <c r="B899" s="22" t="s">
        <v>3823</v>
      </c>
      <c r="C899" s="22" t="s">
        <v>57</v>
      </c>
      <c r="D899" s="22" t="s">
        <v>3583</v>
      </c>
      <c r="E899" s="22" t="str">
        <f aca="false">IF(D899="","",IFERROR(VLOOKUP(D899,$A$2:$B$1656,2,FALSE()),""))</f>
        <v>Companion, Mentor, and Party Archetypes</v>
      </c>
      <c r="F899" s="22" t="n">
        <v>3</v>
      </c>
      <c r="G899" s="22" t="s">
        <v>3824</v>
      </c>
      <c r="H899" s="22" t="s">
        <v>3595</v>
      </c>
      <c r="I899" s="22" t="s">
        <v>3825</v>
      </c>
      <c r="J899" s="22" t="s">
        <v>3753</v>
      </c>
      <c r="K899" s="22" t="s">
        <v>3825</v>
      </c>
      <c r="L899" s="22" t="s">
        <v>184</v>
      </c>
      <c r="M899" s="22" t="s">
        <v>253</v>
      </c>
    </row>
    <row r="900" customFormat="false" ht="43.5" hidden="false" customHeight="true" outlineLevel="0" collapsed="false">
      <c r="A900" s="22" t="s">
        <v>3826</v>
      </c>
      <c r="B900" s="22" t="s">
        <v>3827</v>
      </c>
      <c r="C900" s="22" t="s">
        <v>57</v>
      </c>
      <c r="D900" s="22" t="s">
        <v>3583</v>
      </c>
      <c r="E900" s="22" t="str">
        <f aca="false">IF(D900="","",IFERROR(VLOOKUP(D900,$A$2:$B$1656,2,FALSE()),""))</f>
        <v>Companion, Mentor, and Party Archetypes</v>
      </c>
      <c r="F900" s="22" t="n">
        <v>3</v>
      </c>
      <c r="G900" s="22" t="s">
        <v>3828</v>
      </c>
      <c r="H900" s="22" t="s">
        <v>3595</v>
      </c>
      <c r="I900" s="22" t="s">
        <v>3829</v>
      </c>
      <c r="J900" s="22" t="s">
        <v>3753</v>
      </c>
      <c r="K900" s="22" t="s">
        <v>3829</v>
      </c>
      <c r="L900" s="22" t="s">
        <v>184</v>
      </c>
      <c r="M900" s="22" t="s">
        <v>253</v>
      </c>
    </row>
    <row r="901" customFormat="false" ht="43.5" hidden="false" customHeight="true" outlineLevel="0" collapsed="false">
      <c r="A901" s="22" t="s">
        <v>3830</v>
      </c>
      <c r="B901" s="22" t="s">
        <v>3831</v>
      </c>
      <c r="C901" s="22" t="s">
        <v>57</v>
      </c>
      <c r="D901" s="22" t="s">
        <v>3583</v>
      </c>
      <c r="E901" s="22" t="str">
        <f aca="false">IF(D901="","",IFERROR(VLOOKUP(D901,$A$2:$B$1656,2,FALSE()),""))</f>
        <v>Companion, Mentor, and Party Archetypes</v>
      </c>
      <c r="F901" s="22" t="n">
        <v>3</v>
      </c>
      <c r="G901" s="22" t="s">
        <v>3832</v>
      </c>
      <c r="H901" s="22" t="s">
        <v>3595</v>
      </c>
      <c r="I901" s="22" t="s">
        <v>3833</v>
      </c>
      <c r="J901" s="22" t="s">
        <v>3753</v>
      </c>
      <c r="K901" s="22" t="s">
        <v>3833</v>
      </c>
      <c r="L901" s="22" t="s">
        <v>184</v>
      </c>
      <c r="M901" s="22" t="s">
        <v>253</v>
      </c>
    </row>
    <row r="902" customFormat="false" ht="43.5" hidden="false" customHeight="true" outlineLevel="0" collapsed="false">
      <c r="A902" s="22" t="s">
        <v>3834</v>
      </c>
      <c r="B902" s="22" t="s">
        <v>3835</v>
      </c>
      <c r="C902" s="22" t="s">
        <v>57</v>
      </c>
      <c r="D902" s="22" t="s">
        <v>3583</v>
      </c>
      <c r="E902" s="22" t="str">
        <f aca="false">IF(D902="","",IFERROR(VLOOKUP(D902,$A$2:$B$1656,2,FALSE()),""))</f>
        <v>Companion, Mentor, and Party Archetypes</v>
      </c>
      <c r="F902" s="22" t="n">
        <v>3</v>
      </c>
      <c r="G902" s="22" t="s">
        <v>3836</v>
      </c>
      <c r="H902" s="22" t="s">
        <v>3595</v>
      </c>
      <c r="I902" s="22" t="s">
        <v>3837</v>
      </c>
      <c r="J902" s="22" t="s">
        <v>3753</v>
      </c>
      <c r="K902" s="22" t="s">
        <v>3837</v>
      </c>
      <c r="L902" s="22" t="s">
        <v>184</v>
      </c>
      <c r="M902" s="22" t="s">
        <v>253</v>
      </c>
    </row>
    <row r="903" customFormat="false" ht="43.5" hidden="false" customHeight="true" outlineLevel="0" collapsed="false">
      <c r="A903" s="22" t="s">
        <v>3838</v>
      </c>
      <c r="B903" s="22" t="s">
        <v>3839</v>
      </c>
      <c r="C903" s="22" t="s">
        <v>57</v>
      </c>
      <c r="D903" s="22" t="s">
        <v>3583</v>
      </c>
      <c r="E903" s="22" t="str">
        <f aca="false">IF(D903="","",IFERROR(VLOOKUP(D903,$A$2:$B$1656,2,FALSE()),""))</f>
        <v>Companion, Mentor, and Party Archetypes</v>
      </c>
      <c r="F903" s="22" t="n">
        <v>3</v>
      </c>
      <c r="G903" s="22" t="s">
        <v>3840</v>
      </c>
      <c r="H903" s="22" t="s">
        <v>3595</v>
      </c>
      <c r="I903" s="22" t="s">
        <v>3841</v>
      </c>
      <c r="J903" s="22" t="s">
        <v>3753</v>
      </c>
      <c r="K903" s="22" t="s">
        <v>3841</v>
      </c>
      <c r="L903" s="22" t="s">
        <v>184</v>
      </c>
      <c r="M903" s="22" t="s">
        <v>253</v>
      </c>
    </row>
    <row r="904" customFormat="false" ht="43.5" hidden="false" customHeight="true" outlineLevel="0" collapsed="false">
      <c r="A904" s="22" t="s">
        <v>3842</v>
      </c>
      <c r="B904" s="22" t="s">
        <v>3843</v>
      </c>
      <c r="C904" s="22" t="s">
        <v>57</v>
      </c>
      <c r="D904" s="22" t="s">
        <v>3583</v>
      </c>
      <c r="E904" s="22" t="str">
        <f aca="false">IF(D904="","",IFERROR(VLOOKUP(D904,$A$2:$B$1656,2,FALSE()),""))</f>
        <v>Companion, Mentor, and Party Archetypes</v>
      </c>
      <c r="F904" s="22" t="n">
        <v>3</v>
      </c>
      <c r="G904" s="22" t="s">
        <v>3844</v>
      </c>
      <c r="H904" s="22" t="s">
        <v>3595</v>
      </c>
      <c r="I904" s="22" t="s">
        <v>3845</v>
      </c>
      <c r="J904" s="22" t="s">
        <v>3753</v>
      </c>
      <c r="K904" s="22" t="s">
        <v>3845</v>
      </c>
      <c r="L904" s="22" t="s">
        <v>184</v>
      </c>
      <c r="M904" s="22" t="s">
        <v>253</v>
      </c>
    </row>
    <row r="905" customFormat="false" ht="43.5" hidden="false" customHeight="true" outlineLevel="0" collapsed="false">
      <c r="A905" s="22" t="s">
        <v>3846</v>
      </c>
      <c r="B905" s="22" t="s">
        <v>3847</v>
      </c>
      <c r="C905" s="22" t="s">
        <v>57</v>
      </c>
      <c r="D905" s="22" t="s">
        <v>3583</v>
      </c>
      <c r="E905" s="22" t="str">
        <f aca="false">IF(D905="","",IFERROR(VLOOKUP(D905,$A$2:$B$1656,2,FALSE()),""))</f>
        <v>Companion, Mentor, and Party Archetypes</v>
      </c>
      <c r="F905" s="22" t="n">
        <v>3</v>
      </c>
      <c r="G905" s="22" t="s">
        <v>3848</v>
      </c>
      <c r="H905" s="22" t="s">
        <v>3595</v>
      </c>
      <c r="I905" s="22" t="s">
        <v>3849</v>
      </c>
      <c r="J905" s="22" t="s">
        <v>3753</v>
      </c>
      <c r="K905" s="22" t="s">
        <v>3849</v>
      </c>
      <c r="L905" s="22" t="s">
        <v>184</v>
      </c>
      <c r="M905" s="22" t="s">
        <v>253</v>
      </c>
    </row>
    <row r="906" customFormat="false" ht="43.5" hidden="false" customHeight="true" outlineLevel="0" collapsed="false">
      <c r="A906" s="22" t="s">
        <v>3850</v>
      </c>
      <c r="B906" s="22" t="s">
        <v>3851</v>
      </c>
      <c r="C906" s="22" t="s">
        <v>57</v>
      </c>
      <c r="D906" s="22" t="s">
        <v>3583</v>
      </c>
      <c r="E906" s="22" t="str">
        <f aca="false">IF(D906="","",IFERROR(VLOOKUP(D906,$A$2:$B$1656,2,FALSE()),""))</f>
        <v>Companion, Mentor, and Party Archetypes</v>
      </c>
      <c r="F906" s="22" t="n">
        <v>3</v>
      </c>
      <c r="G906" s="22" t="s">
        <v>3852</v>
      </c>
      <c r="H906" s="22" t="s">
        <v>3595</v>
      </c>
      <c r="I906" s="22" t="s">
        <v>3853</v>
      </c>
      <c r="J906" s="22" t="s">
        <v>3753</v>
      </c>
      <c r="K906" s="22" t="s">
        <v>3853</v>
      </c>
      <c r="L906" s="22" t="s">
        <v>184</v>
      </c>
      <c r="M906" s="22" t="s">
        <v>253</v>
      </c>
    </row>
    <row r="907" customFormat="false" ht="43.5" hidden="false" customHeight="true" outlineLevel="0" collapsed="false">
      <c r="A907" s="22" t="s">
        <v>3854</v>
      </c>
      <c r="B907" s="22" t="s">
        <v>3855</v>
      </c>
      <c r="C907" s="22" t="s">
        <v>57</v>
      </c>
      <c r="D907" s="22" t="s">
        <v>3583</v>
      </c>
      <c r="E907" s="22" t="str">
        <f aca="false">IF(D907="","",IFERROR(VLOOKUP(D907,$A$2:$B$1656,2,FALSE()),""))</f>
        <v>Companion, Mentor, and Party Archetypes</v>
      </c>
      <c r="F907" s="22" t="n">
        <v>3</v>
      </c>
      <c r="G907" s="22" t="s">
        <v>3856</v>
      </c>
      <c r="H907" s="22" t="s">
        <v>3595</v>
      </c>
      <c r="I907" s="22" t="s">
        <v>3857</v>
      </c>
      <c r="J907" s="22" t="s">
        <v>3753</v>
      </c>
      <c r="K907" s="22" t="s">
        <v>3857</v>
      </c>
      <c r="L907" s="22" t="s">
        <v>184</v>
      </c>
      <c r="M907" s="22" t="s">
        <v>253</v>
      </c>
    </row>
    <row r="908" customFormat="false" ht="43.5" hidden="false" customHeight="true" outlineLevel="0" collapsed="false">
      <c r="A908" s="22" t="s">
        <v>3858</v>
      </c>
      <c r="B908" s="22" t="s">
        <v>3859</v>
      </c>
      <c r="C908" s="22" t="s">
        <v>57</v>
      </c>
      <c r="D908" s="22" t="s">
        <v>3583</v>
      </c>
      <c r="E908" s="22" t="str">
        <f aca="false">IF(D908="","",IFERROR(VLOOKUP(D908,$A$2:$B$1656,2,FALSE()),""))</f>
        <v>Companion, Mentor, and Party Archetypes</v>
      </c>
      <c r="F908" s="22" t="n">
        <v>3</v>
      </c>
      <c r="G908" s="22" t="s">
        <v>3860</v>
      </c>
      <c r="H908" s="22" t="s">
        <v>3595</v>
      </c>
      <c r="I908" s="22" t="s">
        <v>3861</v>
      </c>
      <c r="J908" s="22" t="s">
        <v>3753</v>
      </c>
      <c r="K908" s="22" t="s">
        <v>3861</v>
      </c>
      <c r="L908" s="22" t="s">
        <v>184</v>
      </c>
      <c r="M908" s="22" t="s">
        <v>253</v>
      </c>
    </row>
    <row r="909" customFormat="false" ht="43.5" hidden="false" customHeight="true" outlineLevel="0" collapsed="false">
      <c r="A909" s="22" t="s">
        <v>3862</v>
      </c>
      <c r="B909" s="22" t="s">
        <v>3863</v>
      </c>
      <c r="C909" s="22" t="s">
        <v>57</v>
      </c>
      <c r="D909" s="22" t="s">
        <v>3583</v>
      </c>
      <c r="E909" s="22" t="str">
        <f aca="false">IF(D909="","",IFERROR(VLOOKUP(D909,$A$2:$B$1656,2,FALSE()),""))</f>
        <v>Companion, Mentor, and Party Archetypes</v>
      </c>
      <c r="F909" s="22" t="n">
        <v>3</v>
      </c>
      <c r="G909" s="22" t="s">
        <v>3864</v>
      </c>
      <c r="H909" s="22" t="s">
        <v>3595</v>
      </c>
      <c r="I909" s="22" t="s">
        <v>3865</v>
      </c>
      <c r="J909" s="22" t="s">
        <v>3753</v>
      </c>
      <c r="K909" s="22" t="s">
        <v>3865</v>
      </c>
      <c r="L909" s="22" t="s">
        <v>184</v>
      </c>
      <c r="M909" s="22" t="s">
        <v>253</v>
      </c>
    </row>
    <row r="910" customFormat="false" ht="43.5" hidden="false" customHeight="true" outlineLevel="0" collapsed="false">
      <c r="A910" s="22" t="s">
        <v>3866</v>
      </c>
      <c r="B910" s="22" t="s">
        <v>1883</v>
      </c>
      <c r="C910" s="22" t="s">
        <v>57</v>
      </c>
      <c r="D910" s="22" t="s">
        <v>3583</v>
      </c>
      <c r="E910" s="22" t="str">
        <f aca="false">IF(D910="","",IFERROR(VLOOKUP(D910,$A$2:$B$1656,2,FALSE()),""))</f>
        <v>Companion, Mentor, and Party Archetypes</v>
      </c>
      <c r="F910" s="22" t="n">
        <v>3</v>
      </c>
      <c r="G910" s="22" t="s">
        <v>3867</v>
      </c>
      <c r="H910" s="22" t="s">
        <v>3595</v>
      </c>
      <c r="I910" s="22" t="s">
        <v>3868</v>
      </c>
      <c r="J910" s="22" t="s">
        <v>3753</v>
      </c>
      <c r="K910" s="22" t="s">
        <v>3868</v>
      </c>
      <c r="L910" s="22" t="s">
        <v>184</v>
      </c>
      <c r="M910" s="22" t="s">
        <v>253</v>
      </c>
    </row>
    <row r="911" customFormat="false" ht="43.5" hidden="false" customHeight="true" outlineLevel="0" collapsed="false">
      <c r="A911" s="22" t="s">
        <v>3869</v>
      </c>
      <c r="B911" s="22" t="s">
        <v>3870</v>
      </c>
      <c r="C911" s="22" t="s">
        <v>57</v>
      </c>
      <c r="D911" s="22" t="s">
        <v>3583</v>
      </c>
      <c r="E911" s="22" t="str">
        <f aca="false">IF(D911="","",IFERROR(VLOOKUP(D911,$A$2:$B$1656,2,FALSE()),""))</f>
        <v>Companion, Mentor, and Party Archetypes</v>
      </c>
      <c r="F911" s="22" t="n">
        <v>3</v>
      </c>
      <c r="G911" s="22" t="s">
        <v>3871</v>
      </c>
      <c r="H911" s="22" t="s">
        <v>3595</v>
      </c>
      <c r="I911" s="22" t="s">
        <v>3872</v>
      </c>
      <c r="J911" s="22" t="s">
        <v>3753</v>
      </c>
      <c r="K911" s="22" t="s">
        <v>3872</v>
      </c>
      <c r="L911" s="22" t="s">
        <v>184</v>
      </c>
      <c r="M911" s="22" t="s">
        <v>253</v>
      </c>
    </row>
    <row r="912" customFormat="false" ht="43.5" hidden="false" customHeight="true" outlineLevel="0" collapsed="false">
      <c r="A912" s="22" t="s">
        <v>3873</v>
      </c>
      <c r="B912" s="22" t="s">
        <v>3874</v>
      </c>
      <c r="C912" s="22" t="s">
        <v>57</v>
      </c>
      <c r="D912" s="22" t="s">
        <v>3583</v>
      </c>
      <c r="E912" s="22" t="str">
        <f aca="false">IF(D912="","",IFERROR(VLOOKUP(D912,$A$2:$B$1656,2,FALSE()),""))</f>
        <v>Companion, Mentor, and Party Archetypes</v>
      </c>
      <c r="F912" s="22" t="n">
        <v>3</v>
      </c>
      <c r="G912" s="22" t="s">
        <v>3875</v>
      </c>
      <c r="H912" s="22" t="s">
        <v>3595</v>
      </c>
      <c r="I912" s="22" t="s">
        <v>3876</v>
      </c>
      <c r="J912" s="22" t="s">
        <v>3753</v>
      </c>
      <c r="K912" s="22" t="s">
        <v>3876</v>
      </c>
      <c r="L912" s="22" t="s">
        <v>184</v>
      </c>
      <c r="M912" s="22" t="s">
        <v>253</v>
      </c>
    </row>
    <row r="913" customFormat="false" ht="43.5" hidden="false" customHeight="true" outlineLevel="0" collapsed="false">
      <c r="A913" s="22" t="s">
        <v>3877</v>
      </c>
      <c r="B913" s="22" t="s">
        <v>3878</v>
      </c>
      <c r="C913" s="22" t="s">
        <v>57</v>
      </c>
      <c r="D913" s="22" t="s">
        <v>3583</v>
      </c>
      <c r="E913" s="22" t="str">
        <f aca="false">IF(D913="","",IFERROR(VLOOKUP(D913,$A$2:$B$1656,2,FALSE()),""))</f>
        <v>Companion, Mentor, and Party Archetypes</v>
      </c>
      <c r="F913" s="22" t="n">
        <v>3</v>
      </c>
      <c r="G913" s="22" t="s">
        <v>3879</v>
      </c>
      <c r="H913" s="22" t="s">
        <v>3595</v>
      </c>
      <c r="I913" s="22" t="s">
        <v>3880</v>
      </c>
      <c r="J913" s="22" t="s">
        <v>3753</v>
      </c>
      <c r="K913" s="22" t="s">
        <v>3880</v>
      </c>
      <c r="L913" s="22" t="s">
        <v>184</v>
      </c>
      <c r="M913" s="22" t="s">
        <v>253</v>
      </c>
    </row>
    <row r="914" customFormat="false" ht="43.5" hidden="false" customHeight="true" outlineLevel="0" collapsed="false">
      <c r="A914" s="22" t="s">
        <v>3881</v>
      </c>
      <c r="B914" s="22" t="s">
        <v>3882</v>
      </c>
      <c r="C914" s="22" t="s">
        <v>57</v>
      </c>
      <c r="D914" s="22" t="s">
        <v>3583</v>
      </c>
      <c r="E914" s="22" t="str">
        <f aca="false">IF(D914="","",IFERROR(VLOOKUP(D914,$A$2:$B$1656,2,FALSE()),""))</f>
        <v>Companion, Mentor, and Party Archetypes</v>
      </c>
      <c r="F914" s="22" t="n">
        <v>3</v>
      </c>
      <c r="G914" s="22" t="s">
        <v>3883</v>
      </c>
      <c r="H914" s="22" t="s">
        <v>3595</v>
      </c>
      <c r="I914" s="22" t="s">
        <v>3884</v>
      </c>
      <c r="J914" s="22" t="s">
        <v>3753</v>
      </c>
      <c r="K914" s="22" t="s">
        <v>3884</v>
      </c>
      <c r="L914" s="22" t="s">
        <v>184</v>
      </c>
      <c r="M914" s="22" t="s">
        <v>253</v>
      </c>
    </row>
    <row r="915" customFormat="false" ht="43.5" hidden="false" customHeight="true" outlineLevel="0" collapsed="false">
      <c r="A915" s="22" t="s">
        <v>3885</v>
      </c>
      <c r="B915" s="22" t="s">
        <v>3886</v>
      </c>
      <c r="C915" s="22" t="s">
        <v>57</v>
      </c>
      <c r="D915" s="22" t="s">
        <v>3583</v>
      </c>
      <c r="E915" s="22" t="str">
        <f aca="false">IF(D915="","",IFERROR(VLOOKUP(D915,$A$2:$B$1656,2,FALSE()),""))</f>
        <v>Companion, Mentor, and Party Archetypes</v>
      </c>
      <c r="F915" s="22" t="n">
        <v>3</v>
      </c>
      <c r="G915" s="22" t="s">
        <v>3887</v>
      </c>
      <c r="H915" s="22" t="s">
        <v>3595</v>
      </c>
      <c r="I915" s="22" t="s">
        <v>3888</v>
      </c>
      <c r="J915" s="22" t="s">
        <v>3753</v>
      </c>
      <c r="K915" s="22" t="s">
        <v>3888</v>
      </c>
      <c r="L915" s="22" t="s">
        <v>184</v>
      </c>
      <c r="M915" s="22" t="s">
        <v>253</v>
      </c>
    </row>
    <row r="916" customFormat="false" ht="43.5" hidden="false" customHeight="true" outlineLevel="0" collapsed="false">
      <c r="A916" s="22" t="s">
        <v>3889</v>
      </c>
      <c r="B916" s="22" t="s">
        <v>3890</v>
      </c>
      <c r="C916" s="22" t="s">
        <v>57</v>
      </c>
      <c r="D916" s="22" t="s">
        <v>3586</v>
      </c>
      <c r="E916" s="22" t="str">
        <f aca="false">IF(D916="","",IFERROR(VLOOKUP(D916,$A$2:$B$1656,2,FALSE()),""))</f>
        <v>Antagonist and Threat Archetypes</v>
      </c>
      <c r="F916" s="22" t="n">
        <v>3</v>
      </c>
      <c r="G916" s="22" t="s">
        <v>3891</v>
      </c>
      <c r="H916" s="22" t="s">
        <v>3595</v>
      </c>
      <c r="I916" s="22" t="s">
        <v>3892</v>
      </c>
      <c r="J916" s="22" t="s">
        <v>3893</v>
      </c>
      <c r="K916" s="22" t="s">
        <v>3892</v>
      </c>
      <c r="L916" s="22" t="s">
        <v>184</v>
      </c>
      <c r="M916" s="22" t="s">
        <v>253</v>
      </c>
    </row>
    <row r="917" customFormat="false" ht="43.5" hidden="false" customHeight="true" outlineLevel="0" collapsed="false">
      <c r="A917" s="22" t="s">
        <v>3894</v>
      </c>
      <c r="B917" s="22" t="s">
        <v>1875</v>
      </c>
      <c r="C917" s="22" t="s">
        <v>57</v>
      </c>
      <c r="D917" s="22" t="s">
        <v>3586</v>
      </c>
      <c r="E917" s="22" t="str">
        <f aca="false">IF(D917="","",IFERROR(VLOOKUP(D917,$A$2:$B$1656,2,FALSE()),""))</f>
        <v>Antagonist and Threat Archetypes</v>
      </c>
      <c r="F917" s="22" t="n">
        <v>3</v>
      </c>
      <c r="G917" s="22" t="s">
        <v>3895</v>
      </c>
      <c r="H917" s="22" t="s">
        <v>3595</v>
      </c>
      <c r="I917" s="22" t="s">
        <v>3896</v>
      </c>
      <c r="J917" s="22" t="s">
        <v>3893</v>
      </c>
      <c r="K917" s="22" t="s">
        <v>3896</v>
      </c>
      <c r="L917" s="22" t="s">
        <v>184</v>
      </c>
      <c r="M917" s="22" t="s">
        <v>253</v>
      </c>
    </row>
    <row r="918" customFormat="false" ht="43.5" hidden="false" customHeight="true" outlineLevel="0" collapsed="false">
      <c r="A918" s="22" t="s">
        <v>3897</v>
      </c>
      <c r="B918" s="22" t="s">
        <v>3898</v>
      </c>
      <c r="C918" s="22" t="s">
        <v>57</v>
      </c>
      <c r="D918" s="22" t="s">
        <v>3586</v>
      </c>
      <c r="E918" s="22" t="str">
        <f aca="false">IF(D918="","",IFERROR(VLOOKUP(D918,$A$2:$B$1656,2,FALSE()),""))</f>
        <v>Antagonist and Threat Archetypes</v>
      </c>
      <c r="F918" s="22" t="n">
        <v>3</v>
      </c>
      <c r="G918" s="22" t="s">
        <v>3899</v>
      </c>
      <c r="H918" s="22" t="s">
        <v>3595</v>
      </c>
      <c r="I918" s="22" t="s">
        <v>3900</v>
      </c>
      <c r="J918" s="22" t="s">
        <v>3893</v>
      </c>
      <c r="K918" s="22" t="s">
        <v>3900</v>
      </c>
      <c r="L918" s="22" t="s">
        <v>184</v>
      </c>
      <c r="M918" s="22" t="s">
        <v>253</v>
      </c>
    </row>
    <row r="919" customFormat="false" ht="43.5" hidden="false" customHeight="true" outlineLevel="0" collapsed="false">
      <c r="A919" s="22" t="s">
        <v>3901</v>
      </c>
      <c r="B919" s="22" t="s">
        <v>3902</v>
      </c>
      <c r="C919" s="22" t="s">
        <v>57</v>
      </c>
      <c r="D919" s="22" t="s">
        <v>3586</v>
      </c>
      <c r="E919" s="22" t="str">
        <f aca="false">IF(D919="","",IFERROR(VLOOKUP(D919,$A$2:$B$1656,2,FALSE()),""))</f>
        <v>Antagonist and Threat Archetypes</v>
      </c>
      <c r="F919" s="22" t="n">
        <v>3</v>
      </c>
      <c r="G919" s="22" t="s">
        <v>3903</v>
      </c>
      <c r="H919" s="22" t="s">
        <v>3595</v>
      </c>
      <c r="I919" s="22" t="s">
        <v>3904</v>
      </c>
      <c r="J919" s="22" t="s">
        <v>3893</v>
      </c>
      <c r="K919" s="22" t="s">
        <v>3904</v>
      </c>
      <c r="L919" s="22" t="s">
        <v>184</v>
      </c>
      <c r="M919" s="22" t="s">
        <v>253</v>
      </c>
    </row>
    <row r="920" customFormat="false" ht="43.5" hidden="false" customHeight="true" outlineLevel="0" collapsed="false">
      <c r="A920" s="22" t="s">
        <v>3905</v>
      </c>
      <c r="B920" s="22" t="s">
        <v>3906</v>
      </c>
      <c r="C920" s="22" t="s">
        <v>57</v>
      </c>
      <c r="D920" s="22" t="s">
        <v>3586</v>
      </c>
      <c r="E920" s="22" t="str">
        <f aca="false">IF(D920="","",IFERROR(VLOOKUP(D920,$A$2:$B$1656,2,FALSE()),""))</f>
        <v>Antagonist and Threat Archetypes</v>
      </c>
      <c r="F920" s="22" t="n">
        <v>3</v>
      </c>
      <c r="G920" s="22" t="s">
        <v>3907</v>
      </c>
      <c r="H920" s="22" t="s">
        <v>3595</v>
      </c>
      <c r="I920" s="22" t="s">
        <v>3908</v>
      </c>
      <c r="J920" s="22" t="s">
        <v>3893</v>
      </c>
      <c r="K920" s="22" t="s">
        <v>3908</v>
      </c>
      <c r="L920" s="22" t="s">
        <v>3909</v>
      </c>
      <c r="M920" s="22" t="s">
        <v>253</v>
      </c>
    </row>
    <row r="921" customFormat="false" ht="43.5" hidden="false" customHeight="true" outlineLevel="0" collapsed="false">
      <c r="A921" s="22" t="s">
        <v>3910</v>
      </c>
      <c r="B921" s="22" t="s">
        <v>3911</v>
      </c>
      <c r="C921" s="22" t="s">
        <v>57</v>
      </c>
      <c r="D921" s="22" t="s">
        <v>3586</v>
      </c>
      <c r="E921" s="22" t="str">
        <f aca="false">IF(D921="","",IFERROR(VLOOKUP(D921,$A$2:$B$1656,2,FALSE()),""))</f>
        <v>Antagonist and Threat Archetypes</v>
      </c>
      <c r="F921" s="22" t="n">
        <v>3</v>
      </c>
      <c r="G921" s="22" t="s">
        <v>3912</v>
      </c>
      <c r="H921" s="22" t="s">
        <v>3595</v>
      </c>
      <c r="I921" s="22" t="s">
        <v>3913</v>
      </c>
      <c r="J921" s="22" t="s">
        <v>3893</v>
      </c>
      <c r="K921" s="22" t="s">
        <v>3913</v>
      </c>
      <c r="L921" s="22" t="s">
        <v>184</v>
      </c>
      <c r="M921" s="22" t="s">
        <v>253</v>
      </c>
    </row>
    <row r="922" customFormat="false" ht="43.5" hidden="false" customHeight="true" outlineLevel="0" collapsed="false">
      <c r="A922" s="22" t="s">
        <v>3914</v>
      </c>
      <c r="B922" s="22" t="s">
        <v>3915</v>
      </c>
      <c r="C922" s="22" t="s">
        <v>57</v>
      </c>
      <c r="D922" s="22" t="s">
        <v>3586</v>
      </c>
      <c r="E922" s="22" t="str">
        <f aca="false">IF(D922="","",IFERROR(VLOOKUP(D922,$A$2:$B$1656,2,FALSE()),""))</f>
        <v>Antagonist and Threat Archetypes</v>
      </c>
      <c r="F922" s="22" t="n">
        <v>3</v>
      </c>
      <c r="G922" s="22" t="s">
        <v>3916</v>
      </c>
      <c r="H922" s="22" t="s">
        <v>3595</v>
      </c>
      <c r="I922" s="22" t="s">
        <v>3917</v>
      </c>
      <c r="J922" s="22" t="s">
        <v>3893</v>
      </c>
      <c r="K922" s="22" t="s">
        <v>3917</v>
      </c>
      <c r="L922" s="22" t="s">
        <v>184</v>
      </c>
      <c r="M922" s="22" t="s">
        <v>253</v>
      </c>
    </row>
    <row r="923" customFormat="false" ht="43.5" hidden="false" customHeight="true" outlineLevel="0" collapsed="false">
      <c r="A923" s="22" t="s">
        <v>3918</v>
      </c>
      <c r="B923" s="22" t="s">
        <v>3919</v>
      </c>
      <c r="C923" s="22" t="s">
        <v>57</v>
      </c>
      <c r="D923" s="22" t="s">
        <v>3586</v>
      </c>
      <c r="E923" s="22" t="str">
        <f aca="false">IF(D923="","",IFERROR(VLOOKUP(D923,$A$2:$B$1656,2,FALSE()),""))</f>
        <v>Antagonist and Threat Archetypes</v>
      </c>
      <c r="F923" s="22" t="n">
        <v>3</v>
      </c>
      <c r="G923" s="22" t="s">
        <v>3920</v>
      </c>
      <c r="H923" s="22" t="s">
        <v>3595</v>
      </c>
      <c r="I923" s="22" t="s">
        <v>3921</v>
      </c>
      <c r="J923" s="22" t="s">
        <v>3893</v>
      </c>
      <c r="K923" s="22" t="s">
        <v>3921</v>
      </c>
      <c r="L923" s="22" t="s">
        <v>184</v>
      </c>
      <c r="M923" s="22" t="s">
        <v>253</v>
      </c>
    </row>
    <row r="924" customFormat="false" ht="43.5" hidden="false" customHeight="true" outlineLevel="0" collapsed="false">
      <c r="A924" s="22" t="s">
        <v>3922</v>
      </c>
      <c r="B924" s="22" t="s">
        <v>3923</v>
      </c>
      <c r="C924" s="22" t="s">
        <v>57</v>
      </c>
      <c r="D924" s="22" t="s">
        <v>3586</v>
      </c>
      <c r="E924" s="22" t="str">
        <f aca="false">IF(D924="","",IFERROR(VLOOKUP(D924,$A$2:$B$1656,2,FALSE()),""))</f>
        <v>Antagonist and Threat Archetypes</v>
      </c>
      <c r="F924" s="22" t="n">
        <v>3</v>
      </c>
      <c r="G924" s="22" t="s">
        <v>3924</v>
      </c>
      <c r="H924" s="22" t="s">
        <v>3595</v>
      </c>
      <c r="I924" s="22" t="s">
        <v>3925</v>
      </c>
      <c r="J924" s="22" t="s">
        <v>3893</v>
      </c>
      <c r="K924" s="22" t="s">
        <v>3925</v>
      </c>
      <c r="L924" s="22" t="s">
        <v>184</v>
      </c>
      <c r="M924" s="22" t="s">
        <v>253</v>
      </c>
    </row>
    <row r="925" customFormat="false" ht="43.5" hidden="false" customHeight="true" outlineLevel="0" collapsed="false">
      <c r="A925" s="22" t="s">
        <v>3926</v>
      </c>
      <c r="B925" s="22" t="s">
        <v>3927</v>
      </c>
      <c r="C925" s="22" t="s">
        <v>57</v>
      </c>
      <c r="D925" s="22" t="s">
        <v>3586</v>
      </c>
      <c r="E925" s="22" t="str">
        <f aca="false">IF(D925="","",IFERROR(VLOOKUP(D925,$A$2:$B$1656,2,FALSE()),""))</f>
        <v>Antagonist and Threat Archetypes</v>
      </c>
      <c r="F925" s="22" t="n">
        <v>3</v>
      </c>
      <c r="G925" s="22" t="s">
        <v>3928</v>
      </c>
      <c r="H925" s="22" t="s">
        <v>3595</v>
      </c>
      <c r="I925" s="22" t="s">
        <v>3929</v>
      </c>
      <c r="J925" s="22" t="s">
        <v>3893</v>
      </c>
      <c r="K925" s="22" t="s">
        <v>3929</v>
      </c>
      <c r="L925" s="22" t="s">
        <v>184</v>
      </c>
      <c r="M925" s="22" t="s">
        <v>253</v>
      </c>
    </row>
    <row r="926" customFormat="false" ht="43.5" hidden="false" customHeight="true" outlineLevel="0" collapsed="false">
      <c r="A926" s="22" t="s">
        <v>3930</v>
      </c>
      <c r="B926" s="22" t="s">
        <v>3931</v>
      </c>
      <c r="C926" s="22" t="s">
        <v>57</v>
      </c>
      <c r="D926" s="22" t="s">
        <v>3586</v>
      </c>
      <c r="E926" s="22" t="str">
        <f aca="false">IF(D926="","",IFERROR(VLOOKUP(D926,$A$2:$B$1656,2,FALSE()),""))</f>
        <v>Antagonist and Threat Archetypes</v>
      </c>
      <c r="F926" s="22" t="n">
        <v>3</v>
      </c>
      <c r="G926" s="22" t="s">
        <v>3932</v>
      </c>
      <c r="H926" s="22" t="s">
        <v>3595</v>
      </c>
      <c r="I926" s="22" t="s">
        <v>3933</v>
      </c>
      <c r="J926" s="22" t="s">
        <v>3893</v>
      </c>
      <c r="K926" s="22" t="s">
        <v>3933</v>
      </c>
      <c r="L926" s="22" t="s">
        <v>184</v>
      </c>
      <c r="M926" s="22" t="s">
        <v>253</v>
      </c>
    </row>
    <row r="927" customFormat="false" ht="43.5" hidden="false" customHeight="true" outlineLevel="0" collapsed="false">
      <c r="A927" s="22" t="s">
        <v>3934</v>
      </c>
      <c r="B927" s="22" t="s">
        <v>3935</v>
      </c>
      <c r="C927" s="22" t="s">
        <v>57</v>
      </c>
      <c r="D927" s="22" t="s">
        <v>3586</v>
      </c>
      <c r="E927" s="22" t="str">
        <f aca="false">IF(D927="","",IFERROR(VLOOKUP(D927,$A$2:$B$1656,2,FALSE()),""))</f>
        <v>Antagonist and Threat Archetypes</v>
      </c>
      <c r="F927" s="22" t="n">
        <v>3</v>
      </c>
      <c r="G927" s="22" t="s">
        <v>3936</v>
      </c>
      <c r="H927" s="22" t="s">
        <v>3595</v>
      </c>
      <c r="I927" s="22" t="s">
        <v>3937</v>
      </c>
      <c r="J927" s="22" t="s">
        <v>3893</v>
      </c>
      <c r="K927" s="22" t="s">
        <v>3937</v>
      </c>
      <c r="L927" s="22" t="s">
        <v>184</v>
      </c>
      <c r="M927" s="22" t="s">
        <v>253</v>
      </c>
    </row>
    <row r="928" customFormat="false" ht="43.5" hidden="false" customHeight="true" outlineLevel="0" collapsed="false">
      <c r="A928" s="22" t="s">
        <v>3938</v>
      </c>
      <c r="B928" s="22" t="s">
        <v>3939</v>
      </c>
      <c r="C928" s="22" t="s">
        <v>57</v>
      </c>
      <c r="D928" s="22" t="s">
        <v>3586</v>
      </c>
      <c r="E928" s="22" t="str">
        <f aca="false">IF(D928="","",IFERROR(VLOOKUP(D928,$A$2:$B$1656,2,FALSE()),""))</f>
        <v>Antagonist and Threat Archetypes</v>
      </c>
      <c r="F928" s="22" t="n">
        <v>3</v>
      </c>
      <c r="G928" s="22" t="s">
        <v>3940</v>
      </c>
      <c r="H928" s="22" t="s">
        <v>3595</v>
      </c>
      <c r="I928" s="22" t="s">
        <v>3941</v>
      </c>
      <c r="J928" s="22" t="s">
        <v>3893</v>
      </c>
      <c r="K928" s="22" t="s">
        <v>3941</v>
      </c>
      <c r="L928" s="22" t="s">
        <v>184</v>
      </c>
      <c r="M928" s="22" t="s">
        <v>253</v>
      </c>
    </row>
    <row r="929" customFormat="false" ht="43.5" hidden="false" customHeight="true" outlineLevel="0" collapsed="false">
      <c r="A929" s="22" t="s">
        <v>3942</v>
      </c>
      <c r="B929" s="22" t="s">
        <v>3943</v>
      </c>
      <c r="C929" s="22" t="s">
        <v>57</v>
      </c>
      <c r="D929" s="22" t="s">
        <v>3586</v>
      </c>
      <c r="E929" s="22" t="str">
        <f aca="false">IF(D929="","",IFERROR(VLOOKUP(D929,$A$2:$B$1656,2,FALSE()),""))</f>
        <v>Antagonist and Threat Archetypes</v>
      </c>
      <c r="F929" s="22" t="n">
        <v>3</v>
      </c>
      <c r="G929" s="22" t="s">
        <v>3944</v>
      </c>
      <c r="H929" s="22" t="s">
        <v>3595</v>
      </c>
      <c r="I929" s="22" t="s">
        <v>3945</v>
      </c>
      <c r="J929" s="22" t="s">
        <v>3893</v>
      </c>
      <c r="K929" s="22" t="s">
        <v>3945</v>
      </c>
      <c r="L929" s="22" t="s">
        <v>184</v>
      </c>
      <c r="M929" s="22" t="s">
        <v>253</v>
      </c>
    </row>
    <row r="930" customFormat="false" ht="43.5" hidden="false" customHeight="true" outlineLevel="0" collapsed="false">
      <c r="A930" s="22" t="s">
        <v>3946</v>
      </c>
      <c r="B930" s="22" t="s">
        <v>3947</v>
      </c>
      <c r="C930" s="22" t="s">
        <v>57</v>
      </c>
      <c r="D930" s="22" t="s">
        <v>3586</v>
      </c>
      <c r="E930" s="22" t="str">
        <f aca="false">IF(D930="","",IFERROR(VLOOKUP(D930,$A$2:$B$1656,2,FALSE()),""))</f>
        <v>Antagonist and Threat Archetypes</v>
      </c>
      <c r="F930" s="22" t="n">
        <v>3</v>
      </c>
      <c r="G930" s="22" t="s">
        <v>3948</v>
      </c>
      <c r="H930" s="22" t="s">
        <v>3595</v>
      </c>
      <c r="I930" s="22" t="s">
        <v>3949</v>
      </c>
      <c r="J930" s="22" t="s">
        <v>3893</v>
      </c>
      <c r="K930" s="22" t="s">
        <v>3949</v>
      </c>
      <c r="L930" s="22" t="s">
        <v>184</v>
      </c>
      <c r="M930" s="22" t="s">
        <v>253</v>
      </c>
    </row>
    <row r="931" customFormat="false" ht="43.5" hidden="false" customHeight="true" outlineLevel="0" collapsed="false">
      <c r="A931" s="22" t="s">
        <v>3950</v>
      </c>
      <c r="B931" s="22" t="s">
        <v>3951</v>
      </c>
      <c r="C931" s="22" t="s">
        <v>57</v>
      </c>
      <c r="D931" s="22" t="s">
        <v>3586</v>
      </c>
      <c r="E931" s="22" t="str">
        <f aca="false">IF(D931="","",IFERROR(VLOOKUP(D931,$A$2:$B$1656,2,FALSE()),""))</f>
        <v>Antagonist and Threat Archetypes</v>
      </c>
      <c r="F931" s="22" t="n">
        <v>3</v>
      </c>
      <c r="G931" s="22" t="s">
        <v>3952</v>
      </c>
      <c r="H931" s="22" t="s">
        <v>3595</v>
      </c>
      <c r="I931" s="22" t="s">
        <v>3953</v>
      </c>
      <c r="J931" s="22" t="s">
        <v>3893</v>
      </c>
      <c r="K931" s="22" t="s">
        <v>3953</v>
      </c>
      <c r="L931" s="22" t="s">
        <v>3954</v>
      </c>
      <c r="M931" s="22" t="s">
        <v>253</v>
      </c>
    </row>
    <row r="932" customFormat="false" ht="43.5" hidden="false" customHeight="true" outlineLevel="0" collapsed="false">
      <c r="A932" s="22" t="s">
        <v>3955</v>
      </c>
      <c r="B932" s="22" t="s">
        <v>3956</v>
      </c>
      <c r="C932" s="22" t="s">
        <v>57</v>
      </c>
      <c r="D932" s="22" t="s">
        <v>3586</v>
      </c>
      <c r="E932" s="22" t="str">
        <f aca="false">IF(D932="","",IFERROR(VLOOKUP(D932,$A$2:$B$1656,2,FALSE()),""))</f>
        <v>Antagonist and Threat Archetypes</v>
      </c>
      <c r="F932" s="22" t="n">
        <v>3</v>
      </c>
      <c r="G932" s="22" t="s">
        <v>3957</v>
      </c>
      <c r="H932" s="22" t="s">
        <v>3595</v>
      </c>
      <c r="I932" s="22" t="s">
        <v>3958</v>
      </c>
      <c r="J932" s="22" t="s">
        <v>3893</v>
      </c>
      <c r="K932" s="22" t="s">
        <v>3958</v>
      </c>
      <c r="L932" s="22" t="s">
        <v>184</v>
      </c>
      <c r="M932" s="22" t="s">
        <v>253</v>
      </c>
    </row>
    <row r="933" customFormat="false" ht="43.5" hidden="false" customHeight="true" outlineLevel="0" collapsed="false">
      <c r="A933" s="22" t="s">
        <v>3959</v>
      </c>
      <c r="B933" s="22" t="s">
        <v>3960</v>
      </c>
      <c r="C933" s="22" t="s">
        <v>57</v>
      </c>
      <c r="D933" s="22" t="s">
        <v>3586</v>
      </c>
      <c r="E933" s="22" t="str">
        <f aca="false">IF(D933="","",IFERROR(VLOOKUP(D933,$A$2:$B$1656,2,FALSE()),""))</f>
        <v>Antagonist and Threat Archetypes</v>
      </c>
      <c r="F933" s="22" t="n">
        <v>3</v>
      </c>
      <c r="G933" s="22" t="s">
        <v>3961</v>
      </c>
      <c r="H933" s="22" t="s">
        <v>3595</v>
      </c>
      <c r="I933" s="22" t="s">
        <v>3962</v>
      </c>
      <c r="J933" s="22" t="s">
        <v>3893</v>
      </c>
      <c r="K933" s="22" t="s">
        <v>3962</v>
      </c>
      <c r="L933" s="22" t="s">
        <v>184</v>
      </c>
      <c r="M933" s="22" t="s">
        <v>253</v>
      </c>
    </row>
    <row r="934" customFormat="false" ht="43.5" hidden="false" customHeight="true" outlineLevel="0" collapsed="false">
      <c r="A934" s="22" t="s">
        <v>3963</v>
      </c>
      <c r="B934" s="22" t="s">
        <v>3964</v>
      </c>
      <c r="C934" s="22" t="s">
        <v>57</v>
      </c>
      <c r="D934" s="22" t="s">
        <v>3586</v>
      </c>
      <c r="E934" s="22" t="str">
        <f aca="false">IF(D934="","",IFERROR(VLOOKUP(D934,$A$2:$B$1656,2,FALSE()),""))</f>
        <v>Antagonist and Threat Archetypes</v>
      </c>
      <c r="F934" s="22" t="n">
        <v>3</v>
      </c>
      <c r="G934" s="22" t="s">
        <v>3965</v>
      </c>
      <c r="H934" s="22" t="s">
        <v>3595</v>
      </c>
      <c r="I934" s="22" t="s">
        <v>3966</v>
      </c>
      <c r="J934" s="22" t="s">
        <v>3893</v>
      </c>
      <c r="K934" s="22" t="s">
        <v>3966</v>
      </c>
      <c r="L934" s="22" t="s">
        <v>184</v>
      </c>
      <c r="M934" s="22" t="s">
        <v>253</v>
      </c>
    </row>
    <row r="935" customFormat="false" ht="43.5" hidden="false" customHeight="true" outlineLevel="0" collapsed="false">
      <c r="A935" s="22" t="s">
        <v>3967</v>
      </c>
      <c r="B935" s="22" t="s">
        <v>3968</v>
      </c>
      <c r="C935" s="22" t="s">
        <v>57</v>
      </c>
      <c r="D935" s="22" t="s">
        <v>3586</v>
      </c>
      <c r="E935" s="22" t="str">
        <f aca="false">IF(D935="","",IFERROR(VLOOKUP(D935,$A$2:$B$1656,2,FALSE()),""))</f>
        <v>Antagonist and Threat Archetypes</v>
      </c>
      <c r="F935" s="22" t="n">
        <v>3</v>
      </c>
      <c r="G935" s="22" t="s">
        <v>3969</v>
      </c>
      <c r="H935" s="22" t="s">
        <v>3595</v>
      </c>
      <c r="I935" s="22" t="s">
        <v>3970</v>
      </c>
      <c r="J935" s="22" t="s">
        <v>3893</v>
      </c>
      <c r="K935" s="22" t="s">
        <v>3970</v>
      </c>
      <c r="L935" s="22" t="s">
        <v>184</v>
      </c>
      <c r="M935" s="22" t="s">
        <v>253</v>
      </c>
    </row>
    <row r="936" customFormat="false" ht="43.5" hidden="false" customHeight="true" outlineLevel="0" collapsed="false">
      <c r="A936" s="22" t="s">
        <v>3971</v>
      </c>
      <c r="B936" s="22" t="s">
        <v>3972</v>
      </c>
      <c r="C936" s="22" t="s">
        <v>57</v>
      </c>
      <c r="D936" s="22" t="s">
        <v>3586</v>
      </c>
      <c r="E936" s="22" t="str">
        <f aca="false">IF(D936="","",IFERROR(VLOOKUP(D936,$A$2:$B$1656,2,FALSE()),""))</f>
        <v>Antagonist and Threat Archetypes</v>
      </c>
      <c r="F936" s="22" t="n">
        <v>3</v>
      </c>
      <c r="G936" s="22" t="s">
        <v>3973</v>
      </c>
      <c r="H936" s="22" t="s">
        <v>3595</v>
      </c>
      <c r="I936" s="22" t="s">
        <v>3974</v>
      </c>
      <c r="J936" s="22" t="s">
        <v>3893</v>
      </c>
      <c r="K936" s="22" t="s">
        <v>3974</v>
      </c>
      <c r="L936" s="22" t="s">
        <v>184</v>
      </c>
      <c r="M936" s="22" t="s">
        <v>253</v>
      </c>
    </row>
    <row r="937" customFormat="false" ht="43.5" hidden="false" customHeight="true" outlineLevel="0" collapsed="false">
      <c r="A937" s="22" t="s">
        <v>3975</v>
      </c>
      <c r="B937" s="22" t="s">
        <v>3976</v>
      </c>
      <c r="C937" s="22" t="s">
        <v>57</v>
      </c>
      <c r="D937" s="22" t="s">
        <v>3586</v>
      </c>
      <c r="E937" s="22" t="str">
        <f aca="false">IF(D937="","",IFERROR(VLOOKUP(D937,$A$2:$B$1656,2,FALSE()),""))</f>
        <v>Antagonist and Threat Archetypes</v>
      </c>
      <c r="F937" s="22" t="n">
        <v>3</v>
      </c>
      <c r="G937" s="22" t="s">
        <v>3977</v>
      </c>
      <c r="H937" s="22" t="s">
        <v>3595</v>
      </c>
      <c r="I937" s="22" t="s">
        <v>3978</v>
      </c>
      <c r="J937" s="22" t="s">
        <v>3893</v>
      </c>
      <c r="K937" s="22" t="s">
        <v>3978</v>
      </c>
      <c r="L937" s="22" t="s">
        <v>184</v>
      </c>
      <c r="M937" s="22" t="s">
        <v>253</v>
      </c>
    </row>
    <row r="938" customFormat="false" ht="43.5" hidden="false" customHeight="true" outlineLevel="0" collapsed="false">
      <c r="A938" s="22" t="s">
        <v>3979</v>
      </c>
      <c r="B938" s="22" t="s">
        <v>3980</v>
      </c>
      <c r="C938" s="22" t="s">
        <v>57</v>
      </c>
      <c r="D938" s="22" t="s">
        <v>3586</v>
      </c>
      <c r="E938" s="22" t="str">
        <f aca="false">IF(D938="","",IFERROR(VLOOKUP(D938,$A$2:$B$1656,2,FALSE()),""))</f>
        <v>Antagonist and Threat Archetypes</v>
      </c>
      <c r="F938" s="22" t="n">
        <v>3</v>
      </c>
      <c r="G938" s="22" t="s">
        <v>3981</v>
      </c>
      <c r="H938" s="22" t="s">
        <v>3595</v>
      </c>
      <c r="I938" s="22" t="s">
        <v>3982</v>
      </c>
      <c r="J938" s="22" t="s">
        <v>3893</v>
      </c>
      <c r="K938" s="22" t="s">
        <v>3982</v>
      </c>
      <c r="L938" s="22" t="s">
        <v>184</v>
      </c>
      <c r="M938" s="22" t="s">
        <v>253</v>
      </c>
    </row>
    <row r="939" customFormat="false" ht="43.5" hidden="false" customHeight="true" outlineLevel="0" collapsed="false">
      <c r="A939" s="22" t="s">
        <v>3983</v>
      </c>
      <c r="B939" s="22" t="s">
        <v>3984</v>
      </c>
      <c r="C939" s="22" t="s">
        <v>57</v>
      </c>
      <c r="D939" s="22" t="s">
        <v>3586</v>
      </c>
      <c r="E939" s="22" t="str">
        <f aca="false">IF(D939="","",IFERROR(VLOOKUP(D939,$A$2:$B$1656,2,FALSE()),""))</f>
        <v>Antagonist and Threat Archetypes</v>
      </c>
      <c r="F939" s="22" t="n">
        <v>3</v>
      </c>
      <c r="G939" s="22" t="s">
        <v>3985</v>
      </c>
      <c r="H939" s="22" t="s">
        <v>3595</v>
      </c>
      <c r="I939" s="22" t="s">
        <v>3986</v>
      </c>
      <c r="J939" s="22" t="s">
        <v>3893</v>
      </c>
      <c r="K939" s="22" t="s">
        <v>3986</v>
      </c>
      <c r="L939" s="22" t="s">
        <v>184</v>
      </c>
      <c r="M939" s="22" t="s">
        <v>253</v>
      </c>
    </row>
    <row r="940" customFormat="false" ht="43.5" hidden="false" customHeight="true" outlineLevel="0" collapsed="false">
      <c r="A940" s="22" t="s">
        <v>3987</v>
      </c>
      <c r="B940" s="22" t="s">
        <v>3988</v>
      </c>
      <c r="C940" s="22" t="s">
        <v>57</v>
      </c>
      <c r="D940" s="22" t="s">
        <v>3586</v>
      </c>
      <c r="E940" s="22" t="str">
        <f aca="false">IF(D940="","",IFERROR(VLOOKUP(D940,$A$2:$B$1656,2,FALSE()),""))</f>
        <v>Antagonist and Threat Archetypes</v>
      </c>
      <c r="F940" s="22" t="n">
        <v>3</v>
      </c>
      <c r="G940" s="22" t="s">
        <v>3989</v>
      </c>
      <c r="H940" s="22" t="s">
        <v>3595</v>
      </c>
      <c r="I940" s="22" t="s">
        <v>3990</v>
      </c>
      <c r="J940" s="22" t="s">
        <v>3893</v>
      </c>
      <c r="K940" s="22" t="s">
        <v>3990</v>
      </c>
      <c r="L940" s="22" t="s">
        <v>184</v>
      </c>
      <c r="M940" s="22" t="s">
        <v>253</v>
      </c>
    </row>
    <row r="941" customFormat="false" ht="43.5" hidden="false" customHeight="true" outlineLevel="0" collapsed="false">
      <c r="A941" s="22" t="s">
        <v>3991</v>
      </c>
      <c r="B941" s="22" t="s">
        <v>3992</v>
      </c>
      <c r="C941" s="22" t="s">
        <v>57</v>
      </c>
      <c r="D941" s="22" t="s">
        <v>3586</v>
      </c>
      <c r="E941" s="22" t="str">
        <f aca="false">IF(D941="","",IFERROR(VLOOKUP(D941,$A$2:$B$1656,2,FALSE()),""))</f>
        <v>Antagonist and Threat Archetypes</v>
      </c>
      <c r="F941" s="22" t="n">
        <v>3</v>
      </c>
      <c r="G941" s="22" t="s">
        <v>3993</v>
      </c>
      <c r="H941" s="22" t="s">
        <v>3595</v>
      </c>
      <c r="I941" s="22" t="s">
        <v>3994</v>
      </c>
      <c r="J941" s="22" t="s">
        <v>3893</v>
      </c>
      <c r="K941" s="22" t="s">
        <v>3994</v>
      </c>
      <c r="L941" s="22" t="s">
        <v>3995</v>
      </c>
      <c r="M941" s="22" t="s">
        <v>253</v>
      </c>
    </row>
    <row r="942" customFormat="false" ht="43.5" hidden="false" customHeight="true" outlineLevel="0" collapsed="false">
      <c r="A942" s="22" t="s">
        <v>3996</v>
      </c>
      <c r="B942" s="22" t="s">
        <v>3997</v>
      </c>
      <c r="C942" s="22" t="s">
        <v>57</v>
      </c>
      <c r="D942" s="22" t="s">
        <v>3586</v>
      </c>
      <c r="E942" s="22" t="str">
        <f aca="false">IF(D942="","",IFERROR(VLOOKUP(D942,$A$2:$B$1656,2,FALSE()),""))</f>
        <v>Antagonist and Threat Archetypes</v>
      </c>
      <c r="F942" s="22" t="n">
        <v>3</v>
      </c>
      <c r="G942" s="22" t="s">
        <v>3998</v>
      </c>
      <c r="H942" s="22" t="s">
        <v>3595</v>
      </c>
      <c r="I942" s="22" t="s">
        <v>3999</v>
      </c>
      <c r="J942" s="22" t="s">
        <v>3893</v>
      </c>
      <c r="K942" s="22" t="s">
        <v>3999</v>
      </c>
      <c r="L942" s="22" t="s">
        <v>184</v>
      </c>
      <c r="M942" s="22" t="s">
        <v>253</v>
      </c>
    </row>
    <row r="943" customFormat="false" ht="43.5" hidden="false" customHeight="true" outlineLevel="0" collapsed="false">
      <c r="A943" s="22" t="s">
        <v>4000</v>
      </c>
      <c r="B943" s="22" t="s">
        <v>4001</v>
      </c>
      <c r="C943" s="22" t="s">
        <v>57</v>
      </c>
      <c r="D943" s="22" t="s">
        <v>3586</v>
      </c>
      <c r="E943" s="22" t="str">
        <f aca="false">IF(D943="","",IFERROR(VLOOKUP(D943,$A$2:$B$1656,2,FALSE()),""))</f>
        <v>Antagonist and Threat Archetypes</v>
      </c>
      <c r="F943" s="22" t="n">
        <v>3</v>
      </c>
      <c r="G943" s="22" t="s">
        <v>4002</v>
      </c>
      <c r="H943" s="22" t="s">
        <v>3595</v>
      </c>
      <c r="I943" s="22" t="s">
        <v>4003</v>
      </c>
      <c r="J943" s="22" t="s">
        <v>3893</v>
      </c>
      <c r="K943" s="22" t="s">
        <v>4003</v>
      </c>
      <c r="L943" s="22" t="s">
        <v>184</v>
      </c>
      <c r="M943" s="22" t="s">
        <v>253</v>
      </c>
    </row>
    <row r="944" customFormat="false" ht="43.5" hidden="false" customHeight="true" outlineLevel="0" collapsed="false">
      <c r="A944" s="22" t="s">
        <v>4004</v>
      </c>
      <c r="B944" s="22" t="s">
        <v>4005</v>
      </c>
      <c r="C944" s="22" t="s">
        <v>57</v>
      </c>
      <c r="D944" s="22" t="s">
        <v>3586</v>
      </c>
      <c r="E944" s="22" t="str">
        <f aca="false">IF(D944="","",IFERROR(VLOOKUP(D944,$A$2:$B$1656,2,FALSE()),""))</f>
        <v>Antagonist and Threat Archetypes</v>
      </c>
      <c r="F944" s="22" t="n">
        <v>3</v>
      </c>
      <c r="G944" s="22" t="s">
        <v>4006</v>
      </c>
      <c r="H944" s="22" t="s">
        <v>3595</v>
      </c>
      <c r="I944" s="22" t="s">
        <v>4007</v>
      </c>
      <c r="J944" s="22" t="s">
        <v>3893</v>
      </c>
      <c r="K944" s="22" t="s">
        <v>4007</v>
      </c>
      <c r="L944" s="22" t="s">
        <v>184</v>
      </c>
      <c r="M944" s="22" t="s">
        <v>253</v>
      </c>
    </row>
    <row r="945" customFormat="false" ht="43.5" hidden="false" customHeight="true" outlineLevel="0" collapsed="false">
      <c r="A945" s="22" t="s">
        <v>4008</v>
      </c>
      <c r="B945" s="22" t="s">
        <v>4009</v>
      </c>
      <c r="C945" s="22" t="s">
        <v>57</v>
      </c>
      <c r="D945" s="22" t="s">
        <v>3586</v>
      </c>
      <c r="E945" s="22" t="str">
        <f aca="false">IF(D945="","",IFERROR(VLOOKUP(D945,$A$2:$B$1656,2,FALSE()),""))</f>
        <v>Antagonist and Threat Archetypes</v>
      </c>
      <c r="F945" s="22" t="n">
        <v>3</v>
      </c>
      <c r="G945" s="22" t="s">
        <v>4010</v>
      </c>
      <c r="H945" s="22" t="s">
        <v>3595</v>
      </c>
      <c r="I945" s="22" t="s">
        <v>4011</v>
      </c>
      <c r="J945" s="22" t="s">
        <v>3893</v>
      </c>
      <c r="K945" s="22" t="s">
        <v>4011</v>
      </c>
      <c r="L945" s="22" t="s">
        <v>184</v>
      </c>
      <c r="M945" s="22" t="s">
        <v>253</v>
      </c>
    </row>
    <row r="946" customFormat="false" ht="43.5" hidden="false" customHeight="true" outlineLevel="0" collapsed="false">
      <c r="A946" s="22" t="s">
        <v>4012</v>
      </c>
      <c r="B946" s="22" t="s">
        <v>4013</v>
      </c>
      <c r="C946" s="22" t="s">
        <v>57</v>
      </c>
      <c r="D946" s="22" t="s">
        <v>3586</v>
      </c>
      <c r="E946" s="22" t="str">
        <f aca="false">IF(D946="","",IFERROR(VLOOKUP(D946,$A$2:$B$1656,2,FALSE()),""))</f>
        <v>Antagonist and Threat Archetypes</v>
      </c>
      <c r="F946" s="22" t="n">
        <v>3</v>
      </c>
      <c r="G946" s="22" t="s">
        <v>4014</v>
      </c>
      <c r="H946" s="22" t="s">
        <v>3595</v>
      </c>
      <c r="I946" s="22" t="s">
        <v>4015</v>
      </c>
      <c r="J946" s="22" t="s">
        <v>3893</v>
      </c>
      <c r="K946" s="22" t="s">
        <v>4015</v>
      </c>
      <c r="L946" s="22" t="s">
        <v>184</v>
      </c>
      <c r="M946" s="22" t="s">
        <v>253</v>
      </c>
    </row>
    <row r="947" customFormat="false" ht="43.5" hidden="false" customHeight="true" outlineLevel="0" collapsed="false">
      <c r="A947" s="22" t="s">
        <v>4016</v>
      </c>
      <c r="B947" s="22" t="s">
        <v>4017</v>
      </c>
      <c r="C947" s="22" t="s">
        <v>57</v>
      </c>
      <c r="D947" s="22" t="s">
        <v>3586</v>
      </c>
      <c r="E947" s="22" t="str">
        <f aca="false">IF(D947="","",IFERROR(VLOOKUP(D947,$A$2:$B$1656,2,FALSE()),""))</f>
        <v>Antagonist and Threat Archetypes</v>
      </c>
      <c r="F947" s="22" t="n">
        <v>3</v>
      </c>
      <c r="G947" s="22" t="s">
        <v>4018</v>
      </c>
      <c r="H947" s="22" t="s">
        <v>3595</v>
      </c>
      <c r="I947" s="22" t="s">
        <v>4019</v>
      </c>
      <c r="J947" s="22" t="s">
        <v>3893</v>
      </c>
      <c r="K947" s="22" t="s">
        <v>4019</v>
      </c>
      <c r="L947" s="22" t="s">
        <v>184</v>
      </c>
      <c r="M947" s="22" t="s">
        <v>253</v>
      </c>
    </row>
    <row r="948" customFormat="false" ht="43.5" hidden="false" customHeight="true" outlineLevel="0" collapsed="false">
      <c r="A948" s="22" t="s">
        <v>4020</v>
      </c>
      <c r="B948" s="22" t="s">
        <v>4021</v>
      </c>
      <c r="C948" s="22" t="s">
        <v>57</v>
      </c>
      <c r="D948" s="22" t="s">
        <v>3586</v>
      </c>
      <c r="E948" s="22" t="str">
        <f aca="false">IF(D948="","",IFERROR(VLOOKUP(D948,$A$2:$B$1656,2,FALSE()),""))</f>
        <v>Antagonist and Threat Archetypes</v>
      </c>
      <c r="F948" s="22" t="n">
        <v>3</v>
      </c>
      <c r="G948" s="22" t="s">
        <v>4022</v>
      </c>
      <c r="H948" s="22" t="s">
        <v>3595</v>
      </c>
      <c r="I948" s="22" t="s">
        <v>4023</v>
      </c>
      <c r="J948" s="22" t="s">
        <v>3893</v>
      </c>
      <c r="K948" s="22" t="s">
        <v>4023</v>
      </c>
      <c r="L948" s="22" t="s">
        <v>184</v>
      </c>
      <c r="M948" s="22" t="s">
        <v>253</v>
      </c>
    </row>
    <row r="949" customFormat="false" ht="43.5" hidden="false" customHeight="true" outlineLevel="0" collapsed="false">
      <c r="A949" s="22" t="s">
        <v>4024</v>
      </c>
      <c r="B949" s="22" t="s">
        <v>4025</v>
      </c>
      <c r="C949" s="22" t="s">
        <v>57</v>
      </c>
      <c r="D949" s="22" t="s">
        <v>3586</v>
      </c>
      <c r="E949" s="22" t="str">
        <f aca="false">IF(D949="","",IFERROR(VLOOKUP(D949,$A$2:$B$1656,2,FALSE()),""))</f>
        <v>Antagonist and Threat Archetypes</v>
      </c>
      <c r="F949" s="22" t="n">
        <v>3</v>
      </c>
      <c r="G949" s="22" t="s">
        <v>4026</v>
      </c>
      <c r="H949" s="22" t="s">
        <v>3595</v>
      </c>
      <c r="I949" s="22" t="s">
        <v>4027</v>
      </c>
      <c r="J949" s="22" t="s">
        <v>3893</v>
      </c>
      <c r="K949" s="22" t="s">
        <v>4027</v>
      </c>
      <c r="L949" s="22" t="s">
        <v>184</v>
      </c>
      <c r="M949" s="22" t="s">
        <v>253</v>
      </c>
    </row>
    <row r="950" customFormat="false" ht="43.5" hidden="false" customHeight="true" outlineLevel="0" collapsed="false">
      <c r="A950" s="22" t="s">
        <v>4028</v>
      </c>
      <c r="B950" s="22" t="s">
        <v>4029</v>
      </c>
      <c r="C950" s="22" t="s">
        <v>57</v>
      </c>
      <c r="D950" s="22" t="s">
        <v>3586</v>
      </c>
      <c r="E950" s="22" t="str">
        <f aca="false">IF(D950="","",IFERROR(VLOOKUP(D950,$A$2:$B$1656,2,FALSE()),""))</f>
        <v>Antagonist and Threat Archetypes</v>
      </c>
      <c r="F950" s="22" t="n">
        <v>3</v>
      </c>
      <c r="G950" s="22" t="s">
        <v>4030</v>
      </c>
      <c r="H950" s="22" t="s">
        <v>3595</v>
      </c>
      <c r="I950" s="22" t="s">
        <v>4031</v>
      </c>
      <c r="J950" s="22" t="s">
        <v>3893</v>
      </c>
      <c r="K950" s="22" t="s">
        <v>4031</v>
      </c>
      <c r="L950" s="22" t="s">
        <v>184</v>
      </c>
      <c r="M950" s="22" t="s">
        <v>253</v>
      </c>
    </row>
    <row r="951" customFormat="false" ht="43.5" hidden="false" customHeight="true" outlineLevel="0" collapsed="false">
      <c r="A951" s="22" t="s">
        <v>4032</v>
      </c>
      <c r="B951" s="22" t="s">
        <v>4033</v>
      </c>
      <c r="C951" s="22" t="s">
        <v>57</v>
      </c>
      <c r="D951" s="22" t="s">
        <v>3586</v>
      </c>
      <c r="E951" s="22" t="str">
        <f aca="false">IF(D951="","",IFERROR(VLOOKUP(D951,$A$2:$B$1656,2,FALSE()),""))</f>
        <v>Antagonist and Threat Archetypes</v>
      </c>
      <c r="F951" s="22" t="n">
        <v>3</v>
      </c>
      <c r="G951" s="22" t="s">
        <v>4034</v>
      </c>
      <c r="H951" s="22" t="s">
        <v>3595</v>
      </c>
      <c r="I951" s="22" t="s">
        <v>4035</v>
      </c>
      <c r="J951" s="22" t="s">
        <v>3893</v>
      </c>
      <c r="K951" s="22" t="s">
        <v>4035</v>
      </c>
      <c r="L951" s="22" t="s">
        <v>184</v>
      </c>
      <c r="M951" s="22" t="s">
        <v>253</v>
      </c>
    </row>
    <row r="952" customFormat="false" ht="43.5" hidden="false" customHeight="true" outlineLevel="0" collapsed="false">
      <c r="A952" s="22" t="s">
        <v>4036</v>
      </c>
      <c r="B952" s="22" t="s">
        <v>4037</v>
      </c>
      <c r="C952" s="22" t="s">
        <v>57</v>
      </c>
      <c r="D952" s="22" t="s">
        <v>3586</v>
      </c>
      <c r="E952" s="22" t="str">
        <f aca="false">IF(D952="","",IFERROR(VLOOKUP(D952,$A$2:$B$1656,2,FALSE()),""))</f>
        <v>Antagonist and Threat Archetypes</v>
      </c>
      <c r="F952" s="22" t="n">
        <v>3</v>
      </c>
      <c r="G952" s="22" t="s">
        <v>4038</v>
      </c>
      <c r="H952" s="22" t="s">
        <v>3595</v>
      </c>
      <c r="I952" s="22" t="s">
        <v>4039</v>
      </c>
      <c r="J952" s="22" t="s">
        <v>3893</v>
      </c>
      <c r="K952" s="22" t="s">
        <v>4039</v>
      </c>
      <c r="L952" s="22" t="s">
        <v>184</v>
      </c>
      <c r="M952" s="22" t="s">
        <v>253</v>
      </c>
    </row>
    <row r="953" customFormat="false" ht="43.5" hidden="false" customHeight="true" outlineLevel="0" collapsed="false">
      <c r="A953" s="22" t="s">
        <v>4040</v>
      </c>
      <c r="B953" s="22" t="s">
        <v>4041</v>
      </c>
      <c r="C953" s="22" t="s">
        <v>57</v>
      </c>
      <c r="D953" s="22" t="s">
        <v>3586</v>
      </c>
      <c r="E953" s="22" t="str">
        <f aca="false">IF(D953="","",IFERROR(VLOOKUP(D953,$A$2:$B$1656,2,FALSE()),""))</f>
        <v>Antagonist and Threat Archetypes</v>
      </c>
      <c r="F953" s="22" t="n">
        <v>3</v>
      </c>
      <c r="G953" s="22" t="s">
        <v>4042</v>
      </c>
      <c r="H953" s="22" t="s">
        <v>3595</v>
      </c>
      <c r="I953" s="22" t="s">
        <v>4043</v>
      </c>
      <c r="J953" s="22" t="s">
        <v>3893</v>
      </c>
      <c r="K953" s="22" t="s">
        <v>4043</v>
      </c>
      <c r="L953" s="22" t="s">
        <v>184</v>
      </c>
      <c r="M953" s="22" t="s">
        <v>253</v>
      </c>
    </row>
    <row r="954" customFormat="false" ht="43.5" hidden="false" customHeight="true" outlineLevel="0" collapsed="false">
      <c r="A954" s="22" t="s">
        <v>4044</v>
      </c>
      <c r="B954" s="22" t="s">
        <v>4045</v>
      </c>
      <c r="C954" s="22" t="s">
        <v>57</v>
      </c>
      <c r="D954" s="22" t="s">
        <v>3586</v>
      </c>
      <c r="E954" s="22" t="str">
        <f aca="false">IF(D954="","",IFERROR(VLOOKUP(D954,$A$2:$B$1656,2,FALSE()),""))</f>
        <v>Antagonist and Threat Archetypes</v>
      </c>
      <c r="F954" s="22" t="n">
        <v>3</v>
      </c>
      <c r="G954" s="22" t="s">
        <v>4046</v>
      </c>
      <c r="H954" s="22" t="s">
        <v>3595</v>
      </c>
      <c r="I954" s="22" t="s">
        <v>4047</v>
      </c>
      <c r="J954" s="22" t="s">
        <v>3893</v>
      </c>
      <c r="K954" s="22" t="s">
        <v>4047</v>
      </c>
      <c r="L954" s="22" t="s">
        <v>184</v>
      </c>
      <c r="M954" s="22" t="s">
        <v>253</v>
      </c>
    </row>
    <row r="955" customFormat="false" ht="43.5" hidden="false" customHeight="true" outlineLevel="0" collapsed="false">
      <c r="A955" s="22" t="s">
        <v>4048</v>
      </c>
      <c r="B955" s="22" t="s">
        <v>4049</v>
      </c>
      <c r="C955" s="22" t="s">
        <v>57</v>
      </c>
      <c r="D955" s="22" t="s">
        <v>3586</v>
      </c>
      <c r="E955" s="22" t="str">
        <f aca="false">IF(D955="","",IFERROR(VLOOKUP(D955,$A$2:$B$1656,2,FALSE()),""))</f>
        <v>Antagonist and Threat Archetypes</v>
      </c>
      <c r="F955" s="22" t="n">
        <v>3</v>
      </c>
      <c r="G955" s="22" t="s">
        <v>4050</v>
      </c>
      <c r="H955" s="22" t="s">
        <v>3595</v>
      </c>
      <c r="I955" s="22" t="s">
        <v>4051</v>
      </c>
      <c r="J955" s="22" t="s">
        <v>3893</v>
      </c>
      <c r="K955" s="22" t="s">
        <v>4051</v>
      </c>
      <c r="L955" s="22" t="s">
        <v>184</v>
      </c>
      <c r="M955" s="22" t="s">
        <v>253</v>
      </c>
    </row>
    <row r="956" customFormat="false" ht="43.5" hidden="false" customHeight="true" outlineLevel="0" collapsed="false">
      <c r="A956" s="22" t="s">
        <v>4052</v>
      </c>
      <c r="B956" s="22" t="s">
        <v>4053</v>
      </c>
      <c r="C956" s="22" t="s">
        <v>57</v>
      </c>
      <c r="D956" s="22" t="s">
        <v>3589</v>
      </c>
      <c r="E956" s="22" t="str">
        <f aca="false">IF(D956="","",IFERROR(VLOOKUP(D956,$A$2:$B$1656,2,FALSE()),""))</f>
        <v>Plot and Journey Archetypes</v>
      </c>
      <c r="F956" s="22" t="n">
        <v>3</v>
      </c>
      <c r="G956" s="22" t="s">
        <v>4054</v>
      </c>
      <c r="H956" s="22" t="s">
        <v>3595</v>
      </c>
      <c r="I956" s="22" t="s">
        <v>4055</v>
      </c>
      <c r="J956" s="22" t="s">
        <v>4056</v>
      </c>
      <c r="K956" s="22" t="s">
        <v>4055</v>
      </c>
      <c r="L956" s="22" t="s">
        <v>184</v>
      </c>
      <c r="M956" s="22" t="s">
        <v>253</v>
      </c>
    </row>
    <row r="957" customFormat="false" ht="43.5" hidden="false" customHeight="true" outlineLevel="0" collapsed="false">
      <c r="A957" s="22" t="s">
        <v>4057</v>
      </c>
      <c r="B957" s="22" t="s">
        <v>4058</v>
      </c>
      <c r="C957" s="22" t="s">
        <v>57</v>
      </c>
      <c r="D957" s="22" t="s">
        <v>3589</v>
      </c>
      <c r="E957" s="22" t="str">
        <f aca="false">IF(D957="","",IFERROR(VLOOKUP(D957,$A$2:$B$1656,2,FALSE()),""))</f>
        <v>Plot and Journey Archetypes</v>
      </c>
      <c r="F957" s="22" t="n">
        <v>3</v>
      </c>
      <c r="G957" s="22" t="s">
        <v>4059</v>
      </c>
      <c r="H957" s="22" t="s">
        <v>3595</v>
      </c>
      <c r="I957" s="22" t="s">
        <v>4060</v>
      </c>
      <c r="J957" s="22" t="s">
        <v>4056</v>
      </c>
      <c r="K957" s="22" t="s">
        <v>4060</v>
      </c>
      <c r="L957" s="22" t="s">
        <v>184</v>
      </c>
      <c r="M957" s="22" t="s">
        <v>253</v>
      </c>
    </row>
    <row r="958" customFormat="false" ht="43.5" hidden="false" customHeight="true" outlineLevel="0" collapsed="false">
      <c r="A958" s="22" t="s">
        <v>4061</v>
      </c>
      <c r="B958" s="22" t="s">
        <v>4062</v>
      </c>
      <c r="C958" s="22" t="s">
        <v>57</v>
      </c>
      <c r="D958" s="22" t="s">
        <v>3589</v>
      </c>
      <c r="E958" s="22" t="str">
        <f aca="false">IF(D958="","",IFERROR(VLOOKUP(D958,$A$2:$B$1656,2,FALSE()),""))</f>
        <v>Plot and Journey Archetypes</v>
      </c>
      <c r="F958" s="22" t="n">
        <v>3</v>
      </c>
      <c r="G958" s="22" t="s">
        <v>4063</v>
      </c>
      <c r="H958" s="22" t="s">
        <v>3595</v>
      </c>
      <c r="I958" s="22" t="s">
        <v>4064</v>
      </c>
      <c r="J958" s="22" t="s">
        <v>4056</v>
      </c>
      <c r="K958" s="22" t="s">
        <v>4064</v>
      </c>
      <c r="L958" s="22" t="s">
        <v>184</v>
      </c>
      <c r="M958" s="22" t="s">
        <v>253</v>
      </c>
    </row>
    <row r="959" customFormat="false" ht="43.5" hidden="false" customHeight="true" outlineLevel="0" collapsed="false">
      <c r="A959" s="22" t="s">
        <v>4065</v>
      </c>
      <c r="B959" s="22" t="s">
        <v>4066</v>
      </c>
      <c r="C959" s="22" t="s">
        <v>57</v>
      </c>
      <c r="D959" s="22" t="s">
        <v>3589</v>
      </c>
      <c r="E959" s="22" t="str">
        <f aca="false">IF(D959="","",IFERROR(VLOOKUP(D959,$A$2:$B$1656,2,FALSE()),""))</f>
        <v>Plot and Journey Archetypes</v>
      </c>
      <c r="F959" s="22" t="n">
        <v>3</v>
      </c>
      <c r="G959" s="22" t="s">
        <v>4067</v>
      </c>
      <c r="H959" s="22" t="s">
        <v>3595</v>
      </c>
      <c r="I959" s="22" t="s">
        <v>4068</v>
      </c>
      <c r="J959" s="22" t="s">
        <v>4056</v>
      </c>
      <c r="K959" s="22" t="s">
        <v>4068</v>
      </c>
      <c r="L959" s="22" t="s">
        <v>184</v>
      </c>
      <c r="M959" s="22" t="s">
        <v>253</v>
      </c>
    </row>
    <row r="960" customFormat="false" ht="43.5" hidden="false" customHeight="true" outlineLevel="0" collapsed="false">
      <c r="A960" s="22" t="s">
        <v>4069</v>
      </c>
      <c r="B960" s="22" t="s">
        <v>4070</v>
      </c>
      <c r="C960" s="22" t="s">
        <v>57</v>
      </c>
      <c r="D960" s="22" t="s">
        <v>3589</v>
      </c>
      <c r="E960" s="22" t="str">
        <f aca="false">IF(D960="","",IFERROR(VLOOKUP(D960,$A$2:$B$1656,2,FALSE()),""))</f>
        <v>Plot and Journey Archetypes</v>
      </c>
      <c r="F960" s="22" t="n">
        <v>3</v>
      </c>
      <c r="G960" s="22" t="s">
        <v>4071</v>
      </c>
      <c r="H960" s="22" t="s">
        <v>3595</v>
      </c>
      <c r="I960" s="22" t="s">
        <v>4072</v>
      </c>
      <c r="J960" s="22" t="s">
        <v>4056</v>
      </c>
      <c r="K960" s="22" t="s">
        <v>4072</v>
      </c>
      <c r="L960" s="22" t="s">
        <v>184</v>
      </c>
      <c r="M960" s="22" t="s">
        <v>253</v>
      </c>
    </row>
    <row r="961" customFormat="false" ht="43.5" hidden="false" customHeight="true" outlineLevel="0" collapsed="false">
      <c r="A961" s="22" t="s">
        <v>4073</v>
      </c>
      <c r="B961" s="22" t="s">
        <v>4074</v>
      </c>
      <c r="C961" s="22" t="s">
        <v>57</v>
      </c>
      <c r="D961" s="22" t="s">
        <v>3589</v>
      </c>
      <c r="E961" s="22" t="str">
        <f aca="false">IF(D961="","",IFERROR(VLOOKUP(D961,$A$2:$B$1656,2,FALSE()),""))</f>
        <v>Plot and Journey Archetypes</v>
      </c>
      <c r="F961" s="22" t="n">
        <v>3</v>
      </c>
      <c r="G961" s="22" t="s">
        <v>4075</v>
      </c>
      <c r="H961" s="22" t="s">
        <v>3595</v>
      </c>
      <c r="I961" s="22" t="s">
        <v>4076</v>
      </c>
      <c r="J961" s="22" t="s">
        <v>4056</v>
      </c>
      <c r="K961" s="22" t="s">
        <v>4076</v>
      </c>
      <c r="L961" s="22" t="s">
        <v>184</v>
      </c>
      <c r="M961" s="22" t="s">
        <v>253</v>
      </c>
    </row>
    <row r="962" customFormat="false" ht="43.5" hidden="false" customHeight="true" outlineLevel="0" collapsed="false">
      <c r="A962" s="22" t="s">
        <v>4077</v>
      </c>
      <c r="B962" s="22" t="s">
        <v>4078</v>
      </c>
      <c r="C962" s="22" t="s">
        <v>57</v>
      </c>
      <c r="D962" s="22" t="s">
        <v>3589</v>
      </c>
      <c r="E962" s="22" t="str">
        <f aca="false">IF(D962="","",IFERROR(VLOOKUP(D962,$A$2:$B$1656,2,FALSE()),""))</f>
        <v>Plot and Journey Archetypes</v>
      </c>
      <c r="F962" s="22" t="n">
        <v>3</v>
      </c>
      <c r="G962" s="22" t="s">
        <v>4079</v>
      </c>
      <c r="H962" s="22" t="s">
        <v>3595</v>
      </c>
      <c r="I962" s="22" t="s">
        <v>4080</v>
      </c>
      <c r="J962" s="22" t="s">
        <v>4056</v>
      </c>
      <c r="K962" s="22" t="s">
        <v>4080</v>
      </c>
      <c r="L962" s="22" t="s">
        <v>184</v>
      </c>
      <c r="M962" s="22" t="s">
        <v>253</v>
      </c>
    </row>
    <row r="963" customFormat="false" ht="43.5" hidden="false" customHeight="true" outlineLevel="0" collapsed="false">
      <c r="A963" s="22" t="s">
        <v>4081</v>
      </c>
      <c r="B963" s="22" t="s">
        <v>4082</v>
      </c>
      <c r="C963" s="22" t="s">
        <v>57</v>
      </c>
      <c r="D963" s="22" t="s">
        <v>3589</v>
      </c>
      <c r="E963" s="22" t="str">
        <f aca="false">IF(D963="","",IFERROR(VLOOKUP(D963,$A$2:$B$1656,2,FALSE()),""))</f>
        <v>Plot and Journey Archetypes</v>
      </c>
      <c r="F963" s="22" t="n">
        <v>3</v>
      </c>
      <c r="G963" s="22" t="s">
        <v>4083</v>
      </c>
      <c r="H963" s="22" t="s">
        <v>3595</v>
      </c>
      <c r="I963" s="22" t="s">
        <v>4084</v>
      </c>
      <c r="J963" s="22" t="s">
        <v>4056</v>
      </c>
      <c r="K963" s="22" t="s">
        <v>4084</v>
      </c>
      <c r="L963" s="22" t="s">
        <v>184</v>
      </c>
      <c r="M963" s="22" t="s">
        <v>253</v>
      </c>
    </row>
    <row r="964" customFormat="false" ht="43.5" hidden="false" customHeight="true" outlineLevel="0" collapsed="false">
      <c r="A964" s="22" t="s">
        <v>4085</v>
      </c>
      <c r="B964" s="22" t="s">
        <v>4086</v>
      </c>
      <c r="C964" s="22" t="s">
        <v>57</v>
      </c>
      <c r="D964" s="22" t="s">
        <v>3589</v>
      </c>
      <c r="E964" s="22" t="str">
        <f aca="false">IF(D964="","",IFERROR(VLOOKUP(D964,$A$2:$B$1656,2,FALSE()),""))</f>
        <v>Plot and Journey Archetypes</v>
      </c>
      <c r="F964" s="22" t="n">
        <v>3</v>
      </c>
      <c r="G964" s="22" t="s">
        <v>4087</v>
      </c>
      <c r="H964" s="22" t="s">
        <v>3595</v>
      </c>
      <c r="I964" s="22" t="s">
        <v>4088</v>
      </c>
      <c r="J964" s="22" t="s">
        <v>4056</v>
      </c>
      <c r="K964" s="22" t="s">
        <v>4088</v>
      </c>
      <c r="L964" s="22" t="s">
        <v>184</v>
      </c>
      <c r="M964" s="22" t="s">
        <v>253</v>
      </c>
    </row>
    <row r="965" customFormat="false" ht="43.5" hidden="false" customHeight="true" outlineLevel="0" collapsed="false">
      <c r="A965" s="22" t="s">
        <v>4089</v>
      </c>
      <c r="B965" s="22" t="s">
        <v>4090</v>
      </c>
      <c r="C965" s="22" t="s">
        <v>57</v>
      </c>
      <c r="D965" s="22" t="s">
        <v>3589</v>
      </c>
      <c r="E965" s="22" t="str">
        <f aca="false">IF(D965="","",IFERROR(VLOOKUP(D965,$A$2:$B$1656,2,FALSE()),""))</f>
        <v>Plot and Journey Archetypes</v>
      </c>
      <c r="F965" s="22" t="n">
        <v>3</v>
      </c>
      <c r="G965" s="22" t="s">
        <v>4091</v>
      </c>
      <c r="H965" s="22" t="s">
        <v>3595</v>
      </c>
      <c r="I965" s="22" t="s">
        <v>4092</v>
      </c>
      <c r="J965" s="22" t="s">
        <v>4056</v>
      </c>
      <c r="K965" s="22" t="s">
        <v>4092</v>
      </c>
      <c r="L965" s="22" t="s">
        <v>4093</v>
      </c>
      <c r="M965" s="22" t="s">
        <v>253</v>
      </c>
    </row>
    <row r="966" customFormat="false" ht="43.5" hidden="false" customHeight="true" outlineLevel="0" collapsed="false">
      <c r="A966" s="22" t="s">
        <v>4094</v>
      </c>
      <c r="B966" s="22" t="s">
        <v>4095</v>
      </c>
      <c r="C966" s="22" t="s">
        <v>57</v>
      </c>
      <c r="D966" s="22" t="s">
        <v>3589</v>
      </c>
      <c r="E966" s="22" t="str">
        <f aca="false">IF(D966="","",IFERROR(VLOOKUP(D966,$A$2:$B$1656,2,FALSE()),""))</f>
        <v>Plot and Journey Archetypes</v>
      </c>
      <c r="F966" s="22" t="n">
        <v>3</v>
      </c>
      <c r="G966" s="22" t="s">
        <v>4096</v>
      </c>
      <c r="H966" s="22" t="s">
        <v>3595</v>
      </c>
      <c r="I966" s="22" t="s">
        <v>4097</v>
      </c>
      <c r="J966" s="22" t="s">
        <v>4056</v>
      </c>
      <c r="K966" s="22" t="s">
        <v>4097</v>
      </c>
      <c r="L966" s="22" t="s">
        <v>184</v>
      </c>
      <c r="M966" s="22" t="s">
        <v>253</v>
      </c>
    </row>
    <row r="967" customFormat="false" ht="43.5" hidden="false" customHeight="true" outlineLevel="0" collapsed="false">
      <c r="A967" s="22" t="s">
        <v>4098</v>
      </c>
      <c r="B967" s="22" t="s">
        <v>4099</v>
      </c>
      <c r="C967" s="22" t="s">
        <v>57</v>
      </c>
      <c r="D967" s="22" t="s">
        <v>3589</v>
      </c>
      <c r="E967" s="22" t="str">
        <f aca="false">IF(D967="","",IFERROR(VLOOKUP(D967,$A$2:$B$1656,2,FALSE()),""))</f>
        <v>Plot and Journey Archetypes</v>
      </c>
      <c r="F967" s="22" t="n">
        <v>3</v>
      </c>
      <c r="G967" s="22" t="s">
        <v>4100</v>
      </c>
      <c r="H967" s="22" t="s">
        <v>3595</v>
      </c>
      <c r="I967" s="22" t="s">
        <v>4101</v>
      </c>
      <c r="J967" s="22" t="s">
        <v>4056</v>
      </c>
      <c r="K967" s="22" t="s">
        <v>4101</v>
      </c>
      <c r="L967" s="22" t="s">
        <v>184</v>
      </c>
      <c r="M967" s="22" t="s">
        <v>253</v>
      </c>
    </row>
    <row r="968" customFormat="false" ht="43.5" hidden="false" customHeight="true" outlineLevel="0" collapsed="false">
      <c r="A968" s="22" t="s">
        <v>4102</v>
      </c>
      <c r="B968" s="22" t="s">
        <v>4103</v>
      </c>
      <c r="C968" s="22" t="s">
        <v>57</v>
      </c>
      <c r="D968" s="22" t="s">
        <v>3589</v>
      </c>
      <c r="E968" s="22" t="str">
        <f aca="false">IF(D968="","",IFERROR(VLOOKUP(D968,$A$2:$B$1656,2,FALSE()),""))</f>
        <v>Plot and Journey Archetypes</v>
      </c>
      <c r="F968" s="22" t="n">
        <v>3</v>
      </c>
      <c r="G968" s="22" t="s">
        <v>4104</v>
      </c>
      <c r="H968" s="22" t="s">
        <v>3595</v>
      </c>
      <c r="I968" s="22" t="s">
        <v>4105</v>
      </c>
      <c r="J968" s="22" t="s">
        <v>4056</v>
      </c>
      <c r="K968" s="22" t="s">
        <v>4105</v>
      </c>
      <c r="L968" s="22" t="s">
        <v>184</v>
      </c>
      <c r="M968" s="22" t="s">
        <v>253</v>
      </c>
    </row>
    <row r="969" customFormat="false" ht="43.5" hidden="false" customHeight="true" outlineLevel="0" collapsed="false">
      <c r="A969" s="22" t="s">
        <v>4106</v>
      </c>
      <c r="B969" s="22" t="s">
        <v>4107</v>
      </c>
      <c r="C969" s="22" t="s">
        <v>57</v>
      </c>
      <c r="D969" s="22" t="s">
        <v>3589</v>
      </c>
      <c r="E969" s="22" t="str">
        <f aca="false">IF(D969="","",IFERROR(VLOOKUP(D969,$A$2:$B$1656,2,FALSE()),""))</f>
        <v>Plot and Journey Archetypes</v>
      </c>
      <c r="F969" s="22" t="n">
        <v>3</v>
      </c>
      <c r="G969" s="22" t="s">
        <v>4108</v>
      </c>
      <c r="H969" s="22" t="s">
        <v>3595</v>
      </c>
      <c r="I969" s="22" t="s">
        <v>4109</v>
      </c>
      <c r="J969" s="22" t="s">
        <v>4056</v>
      </c>
      <c r="K969" s="22" t="s">
        <v>4109</v>
      </c>
      <c r="L969" s="22" t="s">
        <v>184</v>
      </c>
      <c r="M969" s="22" t="s">
        <v>253</v>
      </c>
    </row>
    <row r="970" customFormat="false" ht="43.5" hidden="false" customHeight="true" outlineLevel="0" collapsed="false">
      <c r="A970" s="22" t="s">
        <v>4110</v>
      </c>
      <c r="B970" s="22" t="s">
        <v>4111</v>
      </c>
      <c r="C970" s="22" t="s">
        <v>57</v>
      </c>
      <c r="D970" s="22" t="s">
        <v>3589</v>
      </c>
      <c r="E970" s="22" t="str">
        <f aca="false">IF(D970="","",IFERROR(VLOOKUP(D970,$A$2:$B$1656,2,FALSE()),""))</f>
        <v>Plot and Journey Archetypes</v>
      </c>
      <c r="F970" s="22" t="n">
        <v>3</v>
      </c>
      <c r="G970" s="22" t="s">
        <v>4112</v>
      </c>
      <c r="H970" s="22" t="s">
        <v>3595</v>
      </c>
      <c r="I970" s="22" t="s">
        <v>4113</v>
      </c>
      <c r="J970" s="22" t="s">
        <v>4056</v>
      </c>
      <c r="K970" s="22" t="s">
        <v>4113</v>
      </c>
      <c r="L970" s="22" t="s">
        <v>184</v>
      </c>
      <c r="M970" s="22" t="s">
        <v>253</v>
      </c>
    </row>
    <row r="971" customFormat="false" ht="43.5" hidden="false" customHeight="true" outlineLevel="0" collapsed="false">
      <c r="A971" s="22" t="s">
        <v>4114</v>
      </c>
      <c r="B971" s="22" t="s">
        <v>4115</v>
      </c>
      <c r="C971" s="22" t="s">
        <v>57</v>
      </c>
      <c r="D971" s="22" t="s">
        <v>3589</v>
      </c>
      <c r="E971" s="22" t="str">
        <f aca="false">IF(D971="","",IFERROR(VLOOKUP(D971,$A$2:$B$1656,2,FALSE()),""))</f>
        <v>Plot and Journey Archetypes</v>
      </c>
      <c r="F971" s="22" t="n">
        <v>3</v>
      </c>
      <c r="G971" s="22" t="s">
        <v>4116</v>
      </c>
      <c r="H971" s="22" t="s">
        <v>3595</v>
      </c>
      <c r="I971" s="22" t="s">
        <v>4117</v>
      </c>
      <c r="J971" s="22" t="s">
        <v>4056</v>
      </c>
      <c r="K971" s="22" t="s">
        <v>4117</v>
      </c>
      <c r="L971" s="22" t="s">
        <v>184</v>
      </c>
      <c r="M971" s="22" t="s">
        <v>253</v>
      </c>
    </row>
    <row r="972" customFormat="false" ht="43.5" hidden="false" customHeight="true" outlineLevel="0" collapsed="false">
      <c r="A972" s="22" t="s">
        <v>4118</v>
      </c>
      <c r="B972" s="22" t="s">
        <v>4119</v>
      </c>
      <c r="C972" s="22" t="s">
        <v>57</v>
      </c>
      <c r="D972" s="22" t="s">
        <v>3589</v>
      </c>
      <c r="E972" s="22" t="str">
        <f aca="false">IF(D972="","",IFERROR(VLOOKUP(D972,$A$2:$B$1656,2,FALSE()),""))</f>
        <v>Plot and Journey Archetypes</v>
      </c>
      <c r="F972" s="22" t="n">
        <v>3</v>
      </c>
      <c r="G972" s="22" t="s">
        <v>4120</v>
      </c>
      <c r="H972" s="22" t="s">
        <v>3595</v>
      </c>
      <c r="I972" s="22" t="s">
        <v>4121</v>
      </c>
      <c r="J972" s="22" t="s">
        <v>4056</v>
      </c>
      <c r="K972" s="22" t="s">
        <v>4121</v>
      </c>
      <c r="L972" s="22" t="s">
        <v>184</v>
      </c>
      <c r="M972" s="22" t="s">
        <v>253</v>
      </c>
    </row>
    <row r="973" customFormat="false" ht="43.5" hidden="false" customHeight="true" outlineLevel="0" collapsed="false">
      <c r="A973" s="22" t="s">
        <v>4122</v>
      </c>
      <c r="B973" s="22" t="s">
        <v>4123</v>
      </c>
      <c r="C973" s="22" t="s">
        <v>57</v>
      </c>
      <c r="D973" s="22" t="s">
        <v>3589</v>
      </c>
      <c r="E973" s="22" t="str">
        <f aca="false">IF(D973="","",IFERROR(VLOOKUP(D973,$A$2:$B$1656,2,FALSE()),""))</f>
        <v>Plot and Journey Archetypes</v>
      </c>
      <c r="F973" s="22" t="n">
        <v>3</v>
      </c>
      <c r="G973" s="22" t="s">
        <v>4124</v>
      </c>
      <c r="H973" s="22" t="s">
        <v>3595</v>
      </c>
      <c r="I973" s="22" t="s">
        <v>4125</v>
      </c>
      <c r="J973" s="22" t="s">
        <v>4056</v>
      </c>
      <c r="K973" s="22" t="s">
        <v>4125</v>
      </c>
      <c r="L973" s="22" t="s">
        <v>184</v>
      </c>
      <c r="M973" s="22" t="s">
        <v>253</v>
      </c>
    </row>
    <row r="974" customFormat="false" ht="43.5" hidden="false" customHeight="true" outlineLevel="0" collapsed="false">
      <c r="A974" s="22" t="s">
        <v>4126</v>
      </c>
      <c r="B974" s="22" t="s">
        <v>4127</v>
      </c>
      <c r="C974" s="22" t="s">
        <v>57</v>
      </c>
      <c r="D974" s="22" t="s">
        <v>3589</v>
      </c>
      <c r="E974" s="22" t="str">
        <f aca="false">IF(D974="","",IFERROR(VLOOKUP(D974,$A$2:$B$1656,2,FALSE()),""))</f>
        <v>Plot and Journey Archetypes</v>
      </c>
      <c r="F974" s="22" t="n">
        <v>3</v>
      </c>
      <c r="G974" s="22" t="s">
        <v>4128</v>
      </c>
      <c r="H974" s="22" t="s">
        <v>3595</v>
      </c>
      <c r="I974" s="22" t="s">
        <v>4129</v>
      </c>
      <c r="J974" s="22" t="s">
        <v>4056</v>
      </c>
      <c r="K974" s="22" t="s">
        <v>4129</v>
      </c>
      <c r="L974" s="22" t="s">
        <v>184</v>
      </c>
      <c r="M974" s="22" t="s">
        <v>253</v>
      </c>
    </row>
    <row r="975" customFormat="false" ht="43.5" hidden="false" customHeight="true" outlineLevel="0" collapsed="false">
      <c r="A975" s="22" t="s">
        <v>4130</v>
      </c>
      <c r="B975" s="22" t="s">
        <v>4131</v>
      </c>
      <c r="C975" s="22" t="s">
        <v>57</v>
      </c>
      <c r="D975" s="22" t="s">
        <v>3589</v>
      </c>
      <c r="E975" s="22" t="str">
        <f aca="false">IF(D975="","",IFERROR(VLOOKUP(D975,$A$2:$B$1656,2,FALSE()),""))</f>
        <v>Plot and Journey Archetypes</v>
      </c>
      <c r="F975" s="22" t="n">
        <v>3</v>
      </c>
      <c r="G975" s="22" t="s">
        <v>4132</v>
      </c>
      <c r="H975" s="22" t="s">
        <v>3595</v>
      </c>
      <c r="I975" s="22" t="s">
        <v>4133</v>
      </c>
      <c r="J975" s="22" t="s">
        <v>4056</v>
      </c>
      <c r="K975" s="22" t="s">
        <v>4133</v>
      </c>
      <c r="L975" s="22" t="s">
        <v>184</v>
      </c>
      <c r="M975" s="22" t="s">
        <v>253</v>
      </c>
    </row>
    <row r="976" customFormat="false" ht="43.5" hidden="false" customHeight="true" outlineLevel="0" collapsed="false">
      <c r="A976" s="22" t="s">
        <v>4134</v>
      </c>
      <c r="B976" s="22" t="s">
        <v>4135</v>
      </c>
      <c r="C976" s="22" t="s">
        <v>57</v>
      </c>
      <c r="D976" s="22" t="s">
        <v>3589</v>
      </c>
      <c r="E976" s="22" t="str">
        <f aca="false">IF(D976="","",IFERROR(VLOOKUP(D976,$A$2:$B$1656,2,FALSE()),""))</f>
        <v>Plot and Journey Archetypes</v>
      </c>
      <c r="F976" s="22" t="n">
        <v>3</v>
      </c>
      <c r="G976" s="22" t="s">
        <v>4136</v>
      </c>
      <c r="H976" s="22" t="s">
        <v>3595</v>
      </c>
      <c r="I976" s="22" t="s">
        <v>4137</v>
      </c>
      <c r="J976" s="22" t="s">
        <v>4056</v>
      </c>
      <c r="K976" s="22" t="s">
        <v>4137</v>
      </c>
      <c r="L976" s="22" t="s">
        <v>184</v>
      </c>
      <c r="M976" s="22" t="s">
        <v>253</v>
      </c>
    </row>
    <row r="977" customFormat="false" ht="43.5" hidden="false" customHeight="true" outlineLevel="0" collapsed="false">
      <c r="A977" s="22" t="s">
        <v>4138</v>
      </c>
      <c r="B977" s="22" t="s">
        <v>4139</v>
      </c>
      <c r="C977" s="22" t="s">
        <v>57</v>
      </c>
      <c r="D977" s="22" t="s">
        <v>3589</v>
      </c>
      <c r="E977" s="22" t="str">
        <f aca="false">IF(D977="","",IFERROR(VLOOKUP(D977,$A$2:$B$1656,2,FALSE()),""))</f>
        <v>Plot and Journey Archetypes</v>
      </c>
      <c r="F977" s="22" t="n">
        <v>3</v>
      </c>
      <c r="G977" s="22" t="s">
        <v>4140</v>
      </c>
      <c r="H977" s="22" t="s">
        <v>3595</v>
      </c>
      <c r="I977" s="22" t="s">
        <v>4141</v>
      </c>
      <c r="J977" s="22" t="s">
        <v>4056</v>
      </c>
      <c r="K977" s="22" t="s">
        <v>4141</v>
      </c>
      <c r="L977" s="22" t="s">
        <v>184</v>
      </c>
      <c r="M977" s="22" t="s">
        <v>253</v>
      </c>
    </row>
    <row r="978" customFormat="false" ht="43.5" hidden="false" customHeight="true" outlineLevel="0" collapsed="false">
      <c r="A978" s="22" t="s">
        <v>4142</v>
      </c>
      <c r="B978" s="22" t="s">
        <v>4143</v>
      </c>
      <c r="C978" s="22" t="s">
        <v>57</v>
      </c>
      <c r="D978" s="22" t="s">
        <v>3589</v>
      </c>
      <c r="E978" s="22" t="str">
        <f aca="false">IF(D978="","",IFERROR(VLOOKUP(D978,$A$2:$B$1656,2,FALSE()),""))</f>
        <v>Plot and Journey Archetypes</v>
      </c>
      <c r="F978" s="22" t="n">
        <v>3</v>
      </c>
      <c r="G978" s="22" t="s">
        <v>4144</v>
      </c>
      <c r="H978" s="22" t="s">
        <v>3595</v>
      </c>
      <c r="I978" s="22" t="s">
        <v>4145</v>
      </c>
      <c r="J978" s="22" t="s">
        <v>4056</v>
      </c>
      <c r="K978" s="22" t="s">
        <v>4145</v>
      </c>
      <c r="L978" s="22" t="s">
        <v>184</v>
      </c>
      <c r="M978" s="22" t="s">
        <v>253</v>
      </c>
    </row>
    <row r="979" customFormat="false" ht="43.5" hidden="false" customHeight="true" outlineLevel="0" collapsed="false">
      <c r="A979" s="22" t="s">
        <v>4146</v>
      </c>
      <c r="B979" s="22" t="s">
        <v>4147</v>
      </c>
      <c r="C979" s="22" t="s">
        <v>57</v>
      </c>
      <c r="D979" s="22" t="s">
        <v>3589</v>
      </c>
      <c r="E979" s="22" t="str">
        <f aca="false">IF(D979="","",IFERROR(VLOOKUP(D979,$A$2:$B$1656,2,FALSE()),""))</f>
        <v>Plot and Journey Archetypes</v>
      </c>
      <c r="F979" s="22" t="n">
        <v>3</v>
      </c>
      <c r="G979" s="22" t="s">
        <v>4148</v>
      </c>
      <c r="H979" s="22" t="s">
        <v>3595</v>
      </c>
      <c r="I979" s="22" t="s">
        <v>4149</v>
      </c>
      <c r="J979" s="22" t="s">
        <v>4056</v>
      </c>
      <c r="K979" s="22" t="s">
        <v>4149</v>
      </c>
      <c r="L979" s="22" t="s">
        <v>184</v>
      </c>
      <c r="M979" s="22" t="s">
        <v>253</v>
      </c>
    </row>
    <row r="980" customFormat="false" ht="43.5" hidden="false" customHeight="true" outlineLevel="0" collapsed="false">
      <c r="A980" s="22" t="s">
        <v>4150</v>
      </c>
      <c r="B980" s="22" t="s">
        <v>4151</v>
      </c>
      <c r="C980" s="22" t="s">
        <v>57</v>
      </c>
      <c r="D980" s="22" t="s">
        <v>3589</v>
      </c>
      <c r="E980" s="22" t="str">
        <f aca="false">IF(D980="","",IFERROR(VLOOKUP(D980,$A$2:$B$1656,2,FALSE()),""))</f>
        <v>Plot and Journey Archetypes</v>
      </c>
      <c r="F980" s="22" t="n">
        <v>3</v>
      </c>
      <c r="G980" s="22" t="s">
        <v>4152</v>
      </c>
      <c r="H980" s="22" t="s">
        <v>3595</v>
      </c>
      <c r="I980" s="22" t="s">
        <v>4153</v>
      </c>
      <c r="J980" s="22" t="s">
        <v>4056</v>
      </c>
      <c r="K980" s="22" t="s">
        <v>4153</v>
      </c>
      <c r="L980" s="22" t="s">
        <v>184</v>
      </c>
      <c r="M980" s="22" t="s">
        <v>253</v>
      </c>
    </row>
    <row r="981" customFormat="false" ht="43.5" hidden="false" customHeight="true" outlineLevel="0" collapsed="false">
      <c r="A981" s="22" t="s">
        <v>4154</v>
      </c>
      <c r="B981" s="22" t="s">
        <v>4155</v>
      </c>
      <c r="C981" s="22" t="s">
        <v>57</v>
      </c>
      <c r="D981" s="22" t="s">
        <v>3589</v>
      </c>
      <c r="E981" s="22" t="str">
        <f aca="false">IF(D981="","",IFERROR(VLOOKUP(D981,$A$2:$B$1656,2,FALSE()),""))</f>
        <v>Plot and Journey Archetypes</v>
      </c>
      <c r="F981" s="22" t="n">
        <v>3</v>
      </c>
      <c r="G981" s="22" t="s">
        <v>4156</v>
      </c>
      <c r="H981" s="22" t="s">
        <v>3595</v>
      </c>
      <c r="I981" s="22" t="s">
        <v>4157</v>
      </c>
      <c r="J981" s="22" t="s">
        <v>4056</v>
      </c>
      <c r="K981" s="22" t="s">
        <v>4157</v>
      </c>
      <c r="L981" s="22" t="s">
        <v>184</v>
      </c>
      <c r="M981" s="22" t="s">
        <v>253</v>
      </c>
    </row>
    <row r="982" customFormat="false" ht="43.5" hidden="false" customHeight="true" outlineLevel="0" collapsed="false">
      <c r="A982" s="22" t="s">
        <v>4158</v>
      </c>
      <c r="B982" s="22" t="s">
        <v>4159</v>
      </c>
      <c r="C982" s="22" t="s">
        <v>57</v>
      </c>
      <c r="D982" s="22" t="s">
        <v>3589</v>
      </c>
      <c r="E982" s="22" t="str">
        <f aca="false">IF(D982="","",IFERROR(VLOOKUP(D982,$A$2:$B$1656,2,FALSE()),""))</f>
        <v>Plot and Journey Archetypes</v>
      </c>
      <c r="F982" s="22" t="n">
        <v>3</v>
      </c>
      <c r="G982" s="22" t="s">
        <v>4160</v>
      </c>
      <c r="H982" s="22" t="s">
        <v>3595</v>
      </c>
      <c r="I982" s="22" t="s">
        <v>4161</v>
      </c>
      <c r="J982" s="22" t="s">
        <v>4056</v>
      </c>
      <c r="K982" s="22" t="s">
        <v>4161</v>
      </c>
      <c r="L982" s="22" t="s">
        <v>184</v>
      </c>
      <c r="M982" s="22" t="s">
        <v>253</v>
      </c>
    </row>
    <row r="983" customFormat="false" ht="43.5" hidden="false" customHeight="true" outlineLevel="0" collapsed="false">
      <c r="A983" s="22" t="s">
        <v>4162</v>
      </c>
      <c r="B983" s="22" t="s">
        <v>4163</v>
      </c>
      <c r="C983" s="22" t="s">
        <v>57</v>
      </c>
      <c r="D983" s="22" t="s">
        <v>3589</v>
      </c>
      <c r="E983" s="22" t="str">
        <f aca="false">IF(D983="","",IFERROR(VLOOKUP(D983,$A$2:$B$1656,2,FALSE()),""))</f>
        <v>Plot and Journey Archetypes</v>
      </c>
      <c r="F983" s="22" t="n">
        <v>3</v>
      </c>
      <c r="G983" s="22" t="s">
        <v>4164</v>
      </c>
      <c r="H983" s="22" t="s">
        <v>3595</v>
      </c>
      <c r="I983" s="22" t="s">
        <v>4165</v>
      </c>
      <c r="J983" s="22" t="s">
        <v>4056</v>
      </c>
      <c r="K983" s="22" t="s">
        <v>4165</v>
      </c>
      <c r="L983" s="22" t="s">
        <v>184</v>
      </c>
      <c r="M983" s="22" t="s">
        <v>253</v>
      </c>
    </row>
    <row r="984" customFormat="false" ht="43.5" hidden="false" customHeight="true" outlineLevel="0" collapsed="false">
      <c r="A984" s="22" t="s">
        <v>4166</v>
      </c>
      <c r="B984" s="22" t="s">
        <v>4167</v>
      </c>
      <c r="C984" s="22" t="s">
        <v>57</v>
      </c>
      <c r="D984" s="22" t="s">
        <v>3589</v>
      </c>
      <c r="E984" s="22" t="str">
        <f aca="false">IF(D984="","",IFERROR(VLOOKUP(D984,$A$2:$B$1656,2,FALSE()),""))</f>
        <v>Plot and Journey Archetypes</v>
      </c>
      <c r="F984" s="22" t="n">
        <v>3</v>
      </c>
      <c r="G984" s="22" t="s">
        <v>4168</v>
      </c>
      <c r="H984" s="22" t="s">
        <v>3595</v>
      </c>
      <c r="I984" s="22" t="s">
        <v>4169</v>
      </c>
      <c r="J984" s="22" t="s">
        <v>4056</v>
      </c>
      <c r="K984" s="22" t="s">
        <v>4169</v>
      </c>
      <c r="L984" s="22" t="s">
        <v>184</v>
      </c>
      <c r="M984" s="22" t="s">
        <v>253</v>
      </c>
    </row>
    <row r="985" customFormat="false" ht="43.5" hidden="false" customHeight="true" outlineLevel="0" collapsed="false">
      <c r="A985" s="22" t="s">
        <v>4170</v>
      </c>
      <c r="B985" s="22" t="s">
        <v>4171</v>
      </c>
      <c r="C985" s="22" t="s">
        <v>57</v>
      </c>
      <c r="D985" s="22" t="s">
        <v>3589</v>
      </c>
      <c r="E985" s="22" t="str">
        <f aca="false">IF(D985="","",IFERROR(VLOOKUP(D985,$A$2:$B$1656,2,FALSE()),""))</f>
        <v>Plot and Journey Archetypes</v>
      </c>
      <c r="F985" s="22" t="n">
        <v>3</v>
      </c>
      <c r="G985" s="22" t="s">
        <v>4172</v>
      </c>
      <c r="H985" s="22" t="s">
        <v>3595</v>
      </c>
      <c r="I985" s="22" t="s">
        <v>4173</v>
      </c>
      <c r="J985" s="22" t="s">
        <v>4056</v>
      </c>
      <c r="K985" s="22" t="s">
        <v>4173</v>
      </c>
      <c r="L985" s="22" t="s">
        <v>184</v>
      </c>
      <c r="M985" s="22" t="s">
        <v>253</v>
      </c>
    </row>
    <row r="986" customFormat="false" ht="43.5" hidden="false" customHeight="true" outlineLevel="0" collapsed="false">
      <c r="A986" s="22" t="s">
        <v>4174</v>
      </c>
      <c r="B986" s="22" t="s">
        <v>4175</v>
      </c>
      <c r="C986" s="22" t="s">
        <v>57</v>
      </c>
      <c r="D986" s="22" t="s">
        <v>3589</v>
      </c>
      <c r="E986" s="22" t="str">
        <f aca="false">IF(D986="","",IFERROR(VLOOKUP(D986,$A$2:$B$1656,2,FALSE()),""))</f>
        <v>Plot and Journey Archetypes</v>
      </c>
      <c r="F986" s="22" t="n">
        <v>3</v>
      </c>
      <c r="G986" s="22" t="s">
        <v>4176</v>
      </c>
      <c r="H986" s="22" t="s">
        <v>3595</v>
      </c>
      <c r="I986" s="22" t="s">
        <v>4177</v>
      </c>
      <c r="J986" s="22" t="s">
        <v>4056</v>
      </c>
      <c r="K986" s="22" t="s">
        <v>4177</v>
      </c>
      <c r="L986" s="22" t="s">
        <v>184</v>
      </c>
      <c r="M986" s="22" t="s">
        <v>253</v>
      </c>
    </row>
    <row r="987" customFormat="false" ht="43.5" hidden="false" customHeight="true" outlineLevel="0" collapsed="false">
      <c r="A987" s="22" t="s">
        <v>4178</v>
      </c>
      <c r="B987" s="22" t="s">
        <v>4179</v>
      </c>
      <c r="C987" s="22" t="s">
        <v>57</v>
      </c>
      <c r="D987" s="22" t="s">
        <v>3589</v>
      </c>
      <c r="E987" s="22" t="str">
        <f aca="false">IF(D987="","",IFERROR(VLOOKUP(D987,$A$2:$B$1656,2,FALSE()),""))</f>
        <v>Plot and Journey Archetypes</v>
      </c>
      <c r="F987" s="22" t="n">
        <v>3</v>
      </c>
      <c r="G987" s="22" t="s">
        <v>4180</v>
      </c>
      <c r="H987" s="22" t="s">
        <v>3595</v>
      </c>
      <c r="I987" s="22" t="s">
        <v>4181</v>
      </c>
      <c r="J987" s="22" t="s">
        <v>4056</v>
      </c>
      <c r="K987" s="22" t="s">
        <v>4181</v>
      </c>
      <c r="L987" s="22" t="s">
        <v>184</v>
      </c>
      <c r="M987" s="22" t="s">
        <v>253</v>
      </c>
    </row>
    <row r="988" customFormat="false" ht="43.5" hidden="false" customHeight="true" outlineLevel="0" collapsed="false">
      <c r="A988" s="22" t="s">
        <v>4182</v>
      </c>
      <c r="B988" s="22" t="s">
        <v>4183</v>
      </c>
      <c r="C988" s="22" t="s">
        <v>57</v>
      </c>
      <c r="D988" s="22" t="s">
        <v>3589</v>
      </c>
      <c r="E988" s="22" t="str">
        <f aca="false">IF(D988="","",IFERROR(VLOOKUP(D988,$A$2:$B$1656,2,FALSE()),""))</f>
        <v>Plot and Journey Archetypes</v>
      </c>
      <c r="F988" s="22" t="n">
        <v>3</v>
      </c>
      <c r="G988" s="22" t="s">
        <v>4184</v>
      </c>
      <c r="H988" s="22" t="s">
        <v>3595</v>
      </c>
      <c r="I988" s="22" t="s">
        <v>4185</v>
      </c>
      <c r="J988" s="22" t="s">
        <v>4056</v>
      </c>
      <c r="K988" s="22" t="s">
        <v>4185</v>
      </c>
      <c r="L988" s="22" t="s">
        <v>184</v>
      </c>
      <c r="M988" s="22" t="s">
        <v>253</v>
      </c>
    </row>
    <row r="989" customFormat="false" ht="43.5" hidden="false" customHeight="true" outlineLevel="0" collapsed="false">
      <c r="A989" s="22" t="s">
        <v>4186</v>
      </c>
      <c r="B989" s="22" t="s">
        <v>4187</v>
      </c>
      <c r="C989" s="22" t="s">
        <v>57</v>
      </c>
      <c r="D989" s="22" t="s">
        <v>3589</v>
      </c>
      <c r="E989" s="22" t="str">
        <f aca="false">IF(D989="","",IFERROR(VLOOKUP(D989,$A$2:$B$1656,2,FALSE()),""))</f>
        <v>Plot and Journey Archetypes</v>
      </c>
      <c r="F989" s="22" t="n">
        <v>3</v>
      </c>
      <c r="G989" s="22" t="s">
        <v>4188</v>
      </c>
      <c r="H989" s="22" t="s">
        <v>3595</v>
      </c>
      <c r="I989" s="22" t="s">
        <v>4189</v>
      </c>
      <c r="J989" s="22" t="s">
        <v>4056</v>
      </c>
      <c r="K989" s="22" t="s">
        <v>4189</v>
      </c>
      <c r="L989" s="22" t="s">
        <v>184</v>
      </c>
      <c r="M989" s="22" t="s">
        <v>253</v>
      </c>
    </row>
    <row r="990" customFormat="false" ht="43.5" hidden="false" customHeight="true" outlineLevel="0" collapsed="false">
      <c r="A990" s="22" t="s">
        <v>4190</v>
      </c>
      <c r="B990" s="22" t="s">
        <v>4191</v>
      </c>
      <c r="C990" s="22" t="s">
        <v>57</v>
      </c>
      <c r="D990" s="22" t="s">
        <v>3589</v>
      </c>
      <c r="E990" s="22" t="str">
        <f aca="false">IF(D990="","",IFERROR(VLOOKUP(D990,$A$2:$B$1656,2,FALSE()),""))</f>
        <v>Plot and Journey Archetypes</v>
      </c>
      <c r="F990" s="22" t="n">
        <v>3</v>
      </c>
      <c r="G990" s="22" t="s">
        <v>4192</v>
      </c>
      <c r="H990" s="22" t="s">
        <v>3595</v>
      </c>
      <c r="I990" s="22" t="s">
        <v>4193</v>
      </c>
      <c r="J990" s="22" t="s">
        <v>4056</v>
      </c>
      <c r="K990" s="22" t="s">
        <v>4193</v>
      </c>
      <c r="L990" s="22" t="s">
        <v>184</v>
      </c>
      <c r="M990" s="22" t="s">
        <v>253</v>
      </c>
    </row>
    <row r="991" customFormat="false" ht="43.5" hidden="false" customHeight="true" outlineLevel="0" collapsed="false">
      <c r="A991" s="22" t="s">
        <v>4194</v>
      </c>
      <c r="B991" s="22" t="s">
        <v>4195</v>
      </c>
      <c r="C991" s="22" t="s">
        <v>57</v>
      </c>
      <c r="D991" s="22" t="s">
        <v>3589</v>
      </c>
      <c r="E991" s="22" t="str">
        <f aca="false">IF(D991="","",IFERROR(VLOOKUP(D991,$A$2:$B$1656,2,FALSE()),""))</f>
        <v>Plot and Journey Archetypes</v>
      </c>
      <c r="F991" s="22" t="n">
        <v>3</v>
      </c>
      <c r="G991" s="22" t="s">
        <v>4196</v>
      </c>
      <c r="H991" s="22" t="s">
        <v>3595</v>
      </c>
      <c r="I991" s="22" t="s">
        <v>4197</v>
      </c>
      <c r="J991" s="22" t="s">
        <v>4056</v>
      </c>
      <c r="K991" s="22" t="s">
        <v>4197</v>
      </c>
      <c r="L991" s="22" t="s">
        <v>184</v>
      </c>
      <c r="M991" s="22" t="s">
        <v>253</v>
      </c>
    </row>
    <row r="992" customFormat="false" ht="43.5" hidden="false" customHeight="true" outlineLevel="0" collapsed="false">
      <c r="A992" s="22" t="s">
        <v>4198</v>
      </c>
      <c r="B992" s="22" t="s">
        <v>4199</v>
      </c>
      <c r="C992" s="22" t="s">
        <v>57</v>
      </c>
      <c r="D992" s="22" t="s">
        <v>3589</v>
      </c>
      <c r="E992" s="22" t="str">
        <f aca="false">IF(D992="","",IFERROR(VLOOKUP(D992,$A$2:$B$1656,2,FALSE()),""))</f>
        <v>Plot and Journey Archetypes</v>
      </c>
      <c r="F992" s="22" t="n">
        <v>3</v>
      </c>
      <c r="G992" s="22" t="s">
        <v>4200</v>
      </c>
      <c r="H992" s="22" t="s">
        <v>3595</v>
      </c>
      <c r="I992" s="22" t="s">
        <v>4201</v>
      </c>
      <c r="J992" s="22" t="s">
        <v>4056</v>
      </c>
      <c r="K992" s="22" t="s">
        <v>4201</v>
      </c>
      <c r="L992" s="22" t="s">
        <v>184</v>
      </c>
      <c r="M992" s="22" t="s">
        <v>253</v>
      </c>
    </row>
    <row r="993" customFormat="false" ht="43.5" hidden="false" customHeight="true" outlineLevel="0" collapsed="false">
      <c r="A993" s="22" t="s">
        <v>4202</v>
      </c>
      <c r="B993" s="22" t="s">
        <v>4203</v>
      </c>
      <c r="C993" s="22" t="s">
        <v>57</v>
      </c>
      <c r="D993" s="22" t="s">
        <v>3589</v>
      </c>
      <c r="E993" s="22" t="str">
        <f aca="false">IF(D993="","",IFERROR(VLOOKUP(D993,$A$2:$B$1656,2,FALSE()),""))</f>
        <v>Plot and Journey Archetypes</v>
      </c>
      <c r="F993" s="22" t="n">
        <v>3</v>
      </c>
      <c r="G993" s="22" t="s">
        <v>4204</v>
      </c>
      <c r="H993" s="22" t="s">
        <v>3595</v>
      </c>
      <c r="I993" s="22" t="s">
        <v>4205</v>
      </c>
      <c r="J993" s="22" t="s">
        <v>4056</v>
      </c>
      <c r="K993" s="22" t="s">
        <v>4205</v>
      </c>
      <c r="L993" s="22" t="s">
        <v>184</v>
      </c>
      <c r="M993" s="22" t="s">
        <v>253</v>
      </c>
    </row>
    <row r="994" customFormat="false" ht="43.5" hidden="false" customHeight="true" outlineLevel="0" collapsed="false">
      <c r="A994" s="22" t="s">
        <v>4206</v>
      </c>
      <c r="B994" s="22" t="s">
        <v>4207</v>
      </c>
      <c r="C994" s="22" t="s">
        <v>57</v>
      </c>
      <c r="D994" s="22" t="s">
        <v>3589</v>
      </c>
      <c r="E994" s="22" t="str">
        <f aca="false">IF(D994="","",IFERROR(VLOOKUP(D994,$A$2:$B$1656,2,FALSE()),""))</f>
        <v>Plot and Journey Archetypes</v>
      </c>
      <c r="F994" s="22" t="n">
        <v>3</v>
      </c>
      <c r="G994" s="22" t="s">
        <v>4208</v>
      </c>
      <c r="H994" s="22" t="s">
        <v>3595</v>
      </c>
      <c r="I994" s="22" t="s">
        <v>4209</v>
      </c>
      <c r="J994" s="22" t="s">
        <v>4056</v>
      </c>
      <c r="K994" s="22" t="s">
        <v>4209</v>
      </c>
      <c r="L994" s="22" t="s">
        <v>184</v>
      </c>
      <c r="M994" s="22" t="s">
        <v>253</v>
      </c>
    </row>
    <row r="995" customFormat="false" ht="43.5" hidden="false" customHeight="true" outlineLevel="0" collapsed="false">
      <c r="A995" s="22" t="s">
        <v>4210</v>
      </c>
      <c r="B995" s="22" t="s">
        <v>4211</v>
      </c>
      <c r="C995" s="22" t="s">
        <v>57</v>
      </c>
      <c r="D995" s="22" t="s">
        <v>3589</v>
      </c>
      <c r="E995" s="22" t="str">
        <f aca="false">IF(D995="","",IFERROR(VLOOKUP(D995,$A$2:$B$1656,2,FALSE()),""))</f>
        <v>Plot and Journey Archetypes</v>
      </c>
      <c r="F995" s="22" t="n">
        <v>3</v>
      </c>
      <c r="G995" s="22" t="s">
        <v>4212</v>
      </c>
      <c r="H995" s="22" t="s">
        <v>3595</v>
      </c>
      <c r="I995" s="22" t="s">
        <v>4213</v>
      </c>
      <c r="J995" s="22" t="s">
        <v>4056</v>
      </c>
      <c r="K995" s="22" t="s">
        <v>4213</v>
      </c>
      <c r="L995" s="22" t="s">
        <v>184</v>
      </c>
      <c r="M995" s="22" t="s">
        <v>253</v>
      </c>
    </row>
    <row r="996" customFormat="false" ht="43.5" hidden="false" customHeight="true" outlineLevel="0" collapsed="false">
      <c r="A996" s="22" t="s">
        <v>4214</v>
      </c>
      <c r="B996" s="22" t="s">
        <v>4215</v>
      </c>
      <c r="C996" s="22" t="s">
        <v>59</v>
      </c>
      <c r="D996" s="22" t="s">
        <v>196</v>
      </c>
      <c r="E996" s="22" t="str">
        <f aca="false">IF(D996="","",IFERROR(VLOOKUP(D996,$A$2:$B$1656,2,FALSE()),""))</f>
        <v>Civilization &amp; Culture Archetypes</v>
      </c>
      <c r="F996" s="22" t="n">
        <v>2</v>
      </c>
      <c r="G996" s="22" t="s">
        <v>4216</v>
      </c>
      <c r="H996" s="22" t="s">
        <v>4217</v>
      </c>
      <c r="I996" s="22"/>
      <c r="J996" s="22" t="s">
        <v>4218</v>
      </c>
      <c r="K996" s="22" t="s">
        <v>4215</v>
      </c>
      <c r="L996" s="22" t="s">
        <v>184</v>
      </c>
      <c r="M996" s="22" t="s">
        <v>206</v>
      </c>
    </row>
    <row r="997" customFormat="false" ht="43.5" hidden="false" customHeight="true" outlineLevel="0" collapsed="false">
      <c r="A997" s="22" t="s">
        <v>4219</v>
      </c>
      <c r="B997" s="22" t="s">
        <v>4220</v>
      </c>
      <c r="C997" s="22" t="s">
        <v>59</v>
      </c>
      <c r="D997" s="22" t="s">
        <v>196</v>
      </c>
      <c r="E997" s="22" t="str">
        <f aca="false">IF(D997="","",IFERROR(VLOOKUP(D997,$A$2:$B$1656,2,FALSE()),""))</f>
        <v>Civilization &amp; Culture Archetypes</v>
      </c>
      <c r="F997" s="22" t="n">
        <v>2</v>
      </c>
      <c r="G997" s="22" t="s">
        <v>4221</v>
      </c>
      <c r="H997" s="22" t="s">
        <v>4217</v>
      </c>
      <c r="I997" s="22"/>
      <c r="J997" s="22" t="s">
        <v>4218</v>
      </c>
      <c r="K997" s="22" t="s">
        <v>4220</v>
      </c>
      <c r="L997" s="22" t="s">
        <v>184</v>
      </c>
      <c r="M997" s="22" t="s">
        <v>206</v>
      </c>
    </row>
    <row r="998" customFormat="false" ht="43.5" hidden="false" customHeight="true" outlineLevel="0" collapsed="false">
      <c r="A998" s="22" t="s">
        <v>4222</v>
      </c>
      <c r="B998" s="22" t="s">
        <v>4223</v>
      </c>
      <c r="C998" s="22" t="s">
        <v>59</v>
      </c>
      <c r="D998" s="22" t="s">
        <v>196</v>
      </c>
      <c r="E998" s="22" t="str">
        <f aca="false">IF(D998="","",IFERROR(VLOOKUP(D998,$A$2:$B$1656,2,FALSE()),""))</f>
        <v>Civilization &amp; Culture Archetypes</v>
      </c>
      <c r="F998" s="22" t="n">
        <v>2</v>
      </c>
      <c r="G998" s="22" t="s">
        <v>4224</v>
      </c>
      <c r="H998" s="22" t="s">
        <v>4217</v>
      </c>
      <c r="I998" s="22"/>
      <c r="J998" s="22" t="s">
        <v>4218</v>
      </c>
      <c r="K998" s="22" t="s">
        <v>4223</v>
      </c>
      <c r="L998" s="22" t="s">
        <v>184</v>
      </c>
      <c r="M998" s="22" t="s">
        <v>206</v>
      </c>
    </row>
    <row r="999" customFormat="false" ht="43.5" hidden="false" customHeight="true" outlineLevel="0" collapsed="false">
      <c r="A999" s="22" t="s">
        <v>4225</v>
      </c>
      <c r="B999" s="22" t="s">
        <v>4226</v>
      </c>
      <c r="C999" s="22" t="s">
        <v>59</v>
      </c>
      <c r="D999" s="22" t="s">
        <v>196</v>
      </c>
      <c r="E999" s="22" t="str">
        <f aca="false">IF(D999="","",IFERROR(VLOOKUP(D999,$A$2:$B$1656,2,FALSE()),""))</f>
        <v>Civilization &amp; Culture Archetypes</v>
      </c>
      <c r="F999" s="22" t="n">
        <v>2</v>
      </c>
      <c r="G999" s="22" t="s">
        <v>4227</v>
      </c>
      <c r="H999" s="22" t="s">
        <v>4217</v>
      </c>
      <c r="I999" s="22"/>
      <c r="J999" s="22" t="s">
        <v>4218</v>
      </c>
      <c r="K999" s="22" t="s">
        <v>4226</v>
      </c>
      <c r="L999" s="22" t="s">
        <v>184</v>
      </c>
      <c r="M999" s="22" t="s">
        <v>206</v>
      </c>
    </row>
    <row r="1000" customFormat="false" ht="43.5" hidden="false" customHeight="true" outlineLevel="0" collapsed="false">
      <c r="A1000" s="22" t="s">
        <v>4228</v>
      </c>
      <c r="B1000" s="22" t="s">
        <v>4229</v>
      </c>
      <c r="C1000" s="22" t="s">
        <v>59</v>
      </c>
      <c r="D1000" s="22" t="s">
        <v>4214</v>
      </c>
      <c r="E1000" s="22" t="str">
        <f aca="false">IF(D1000="","",IFERROR(VLOOKUP(D1000,$A$2:$B$1656,2,FALSE()),""))</f>
        <v>Polity and Governance Archetypes</v>
      </c>
      <c r="F1000" s="22" t="n">
        <v>3</v>
      </c>
      <c r="G1000" s="22" t="s">
        <v>4230</v>
      </c>
      <c r="H1000" s="22" t="s">
        <v>4231</v>
      </c>
      <c r="I1000" s="22" t="s">
        <v>4232</v>
      </c>
      <c r="J1000" s="22" t="s">
        <v>4233</v>
      </c>
      <c r="K1000" s="22" t="s">
        <v>4232</v>
      </c>
      <c r="L1000" s="22" t="s">
        <v>184</v>
      </c>
      <c r="M1000" s="22" t="s">
        <v>253</v>
      </c>
    </row>
    <row r="1001" customFormat="false" ht="43.5" hidden="false" customHeight="true" outlineLevel="0" collapsed="false">
      <c r="A1001" s="22" t="s">
        <v>4234</v>
      </c>
      <c r="B1001" s="22" t="s">
        <v>4235</v>
      </c>
      <c r="C1001" s="22" t="s">
        <v>59</v>
      </c>
      <c r="D1001" s="22" t="s">
        <v>4214</v>
      </c>
      <c r="E1001" s="22" t="str">
        <f aca="false">IF(D1001="","",IFERROR(VLOOKUP(D1001,$A$2:$B$1656,2,FALSE()),""))</f>
        <v>Polity and Governance Archetypes</v>
      </c>
      <c r="F1001" s="22" t="n">
        <v>3</v>
      </c>
      <c r="G1001" s="22" t="s">
        <v>4236</v>
      </c>
      <c r="H1001" s="22" t="s">
        <v>4231</v>
      </c>
      <c r="I1001" s="22" t="s">
        <v>4237</v>
      </c>
      <c r="J1001" s="22" t="s">
        <v>4233</v>
      </c>
      <c r="K1001" s="22" t="s">
        <v>4237</v>
      </c>
      <c r="L1001" s="22" t="s">
        <v>184</v>
      </c>
      <c r="M1001" s="22" t="s">
        <v>253</v>
      </c>
    </row>
    <row r="1002" customFormat="false" ht="43.5" hidden="false" customHeight="true" outlineLevel="0" collapsed="false">
      <c r="A1002" s="22" t="s">
        <v>4238</v>
      </c>
      <c r="B1002" s="22" t="s">
        <v>4239</v>
      </c>
      <c r="C1002" s="22" t="s">
        <v>59</v>
      </c>
      <c r="D1002" s="22" t="s">
        <v>4214</v>
      </c>
      <c r="E1002" s="22" t="str">
        <f aca="false">IF(D1002="","",IFERROR(VLOOKUP(D1002,$A$2:$B$1656,2,FALSE()),""))</f>
        <v>Polity and Governance Archetypes</v>
      </c>
      <c r="F1002" s="22" t="n">
        <v>3</v>
      </c>
      <c r="G1002" s="22" t="s">
        <v>4240</v>
      </c>
      <c r="H1002" s="22" t="s">
        <v>4231</v>
      </c>
      <c r="I1002" s="22" t="s">
        <v>4241</v>
      </c>
      <c r="J1002" s="22" t="s">
        <v>4233</v>
      </c>
      <c r="K1002" s="22" t="s">
        <v>4241</v>
      </c>
      <c r="L1002" s="22" t="s">
        <v>184</v>
      </c>
      <c r="M1002" s="22" t="s">
        <v>253</v>
      </c>
    </row>
    <row r="1003" customFormat="false" ht="43.5" hidden="false" customHeight="true" outlineLevel="0" collapsed="false">
      <c r="A1003" s="22" t="s">
        <v>4242</v>
      </c>
      <c r="B1003" s="22" t="s">
        <v>4243</v>
      </c>
      <c r="C1003" s="22" t="s">
        <v>59</v>
      </c>
      <c r="D1003" s="22" t="s">
        <v>4214</v>
      </c>
      <c r="E1003" s="22" t="str">
        <f aca="false">IF(D1003="","",IFERROR(VLOOKUP(D1003,$A$2:$B$1656,2,FALSE()),""))</f>
        <v>Polity and Governance Archetypes</v>
      </c>
      <c r="F1003" s="22" t="n">
        <v>3</v>
      </c>
      <c r="G1003" s="22" t="s">
        <v>4244</v>
      </c>
      <c r="H1003" s="22" t="s">
        <v>4231</v>
      </c>
      <c r="I1003" s="22" t="s">
        <v>4245</v>
      </c>
      <c r="J1003" s="22" t="s">
        <v>4233</v>
      </c>
      <c r="K1003" s="22" t="s">
        <v>4245</v>
      </c>
      <c r="L1003" s="22" t="s">
        <v>184</v>
      </c>
      <c r="M1003" s="22" t="s">
        <v>253</v>
      </c>
    </row>
    <row r="1004" customFormat="false" ht="43.5" hidden="false" customHeight="true" outlineLevel="0" collapsed="false">
      <c r="A1004" s="22" t="s">
        <v>4246</v>
      </c>
      <c r="B1004" s="22" t="s">
        <v>4247</v>
      </c>
      <c r="C1004" s="22" t="s">
        <v>59</v>
      </c>
      <c r="D1004" s="22" t="s">
        <v>4214</v>
      </c>
      <c r="E1004" s="22" t="str">
        <f aca="false">IF(D1004="","",IFERROR(VLOOKUP(D1004,$A$2:$B$1656,2,FALSE()),""))</f>
        <v>Polity and Governance Archetypes</v>
      </c>
      <c r="F1004" s="22" t="n">
        <v>3</v>
      </c>
      <c r="G1004" s="22" t="s">
        <v>4248</v>
      </c>
      <c r="H1004" s="22" t="s">
        <v>4231</v>
      </c>
      <c r="I1004" s="22" t="s">
        <v>4249</v>
      </c>
      <c r="J1004" s="22" t="s">
        <v>4233</v>
      </c>
      <c r="K1004" s="22" t="s">
        <v>4249</v>
      </c>
      <c r="L1004" s="22" t="s">
        <v>184</v>
      </c>
      <c r="M1004" s="22" t="s">
        <v>253</v>
      </c>
    </row>
    <row r="1005" customFormat="false" ht="43.5" hidden="false" customHeight="true" outlineLevel="0" collapsed="false">
      <c r="A1005" s="22" t="s">
        <v>4250</v>
      </c>
      <c r="B1005" s="22" t="s">
        <v>4251</v>
      </c>
      <c r="C1005" s="22" t="s">
        <v>59</v>
      </c>
      <c r="D1005" s="22" t="s">
        <v>4214</v>
      </c>
      <c r="E1005" s="22" t="str">
        <f aca="false">IF(D1005="","",IFERROR(VLOOKUP(D1005,$A$2:$B$1656,2,FALSE()),""))</f>
        <v>Polity and Governance Archetypes</v>
      </c>
      <c r="F1005" s="22" t="n">
        <v>3</v>
      </c>
      <c r="G1005" s="22" t="s">
        <v>4252</v>
      </c>
      <c r="H1005" s="22" t="s">
        <v>4231</v>
      </c>
      <c r="I1005" s="22" t="s">
        <v>4253</v>
      </c>
      <c r="J1005" s="22" t="s">
        <v>4233</v>
      </c>
      <c r="K1005" s="22" t="s">
        <v>4253</v>
      </c>
      <c r="L1005" s="22" t="s">
        <v>184</v>
      </c>
      <c r="M1005" s="22" t="s">
        <v>253</v>
      </c>
    </row>
    <row r="1006" customFormat="false" ht="43.5" hidden="false" customHeight="true" outlineLevel="0" collapsed="false">
      <c r="A1006" s="22" t="s">
        <v>4254</v>
      </c>
      <c r="B1006" s="22" t="s">
        <v>4255</v>
      </c>
      <c r="C1006" s="22" t="s">
        <v>59</v>
      </c>
      <c r="D1006" s="22" t="s">
        <v>4214</v>
      </c>
      <c r="E1006" s="22" t="str">
        <f aca="false">IF(D1006="","",IFERROR(VLOOKUP(D1006,$A$2:$B$1656,2,FALSE()),""))</f>
        <v>Polity and Governance Archetypes</v>
      </c>
      <c r="F1006" s="22" t="n">
        <v>3</v>
      </c>
      <c r="G1006" s="22" t="s">
        <v>4256</v>
      </c>
      <c r="H1006" s="22" t="s">
        <v>4231</v>
      </c>
      <c r="I1006" s="22" t="s">
        <v>4257</v>
      </c>
      <c r="J1006" s="22" t="s">
        <v>4233</v>
      </c>
      <c r="K1006" s="22" t="s">
        <v>4257</v>
      </c>
      <c r="L1006" s="22" t="s">
        <v>184</v>
      </c>
      <c r="M1006" s="22" t="s">
        <v>253</v>
      </c>
    </row>
    <row r="1007" customFormat="false" ht="43.5" hidden="false" customHeight="true" outlineLevel="0" collapsed="false">
      <c r="A1007" s="22" t="s">
        <v>4258</v>
      </c>
      <c r="B1007" s="22" t="s">
        <v>4259</v>
      </c>
      <c r="C1007" s="22" t="s">
        <v>59</v>
      </c>
      <c r="D1007" s="22" t="s">
        <v>4214</v>
      </c>
      <c r="E1007" s="22" t="str">
        <f aca="false">IF(D1007="","",IFERROR(VLOOKUP(D1007,$A$2:$B$1656,2,FALSE()),""))</f>
        <v>Polity and Governance Archetypes</v>
      </c>
      <c r="F1007" s="22" t="n">
        <v>3</v>
      </c>
      <c r="G1007" s="22" t="s">
        <v>4260</v>
      </c>
      <c r="H1007" s="22" t="s">
        <v>4231</v>
      </c>
      <c r="I1007" s="22" t="s">
        <v>4261</v>
      </c>
      <c r="J1007" s="22" t="s">
        <v>4233</v>
      </c>
      <c r="K1007" s="22" t="s">
        <v>4261</v>
      </c>
      <c r="L1007" s="22" t="s">
        <v>184</v>
      </c>
      <c r="M1007" s="22" t="s">
        <v>253</v>
      </c>
    </row>
    <row r="1008" customFormat="false" ht="43.5" hidden="false" customHeight="true" outlineLevel="0" collapsed="false">
      <c r="A1008" s="22" t="s">
        <v>4262</v>
      </c>
      <c r="B1008" s="22" t="s">
        <v>4263</v>
      </c>
      <c r="C1008" s="22" t="s">
        <v>59</v>
      </c>
      <c r="D1008" s="22" t="s">
        <v>4214</v>
      </c>
      <c r="E1008" s="22" t="str">
        <f aca="false">IF(D1008="","",IFERROR(VLOOKUP(D1008,$A$2:$B$1656,2,FALSE()),""))</f>
        <v>Polity and Governance Archetypes</v>
      </c>
      <c r="F1008" s="22" t="n">
        <v>3</v>
      </c>
      <c r="G1008" s="22" t="s">
        <v>4264</v>
      </c>
      <c r="H1008" s="22" t="s">
        <v>4231</v>
      </c>
      <c r="I1008" s="22" t="s">
        <v>4265</v>
      </c>
      <c r="J1008" s="22" t="s">
        <v>4233</v>
      </c>
      <c r="K1008" s="22" t="s">
        <v>4265</v>
      </c>
      <c r="L1008" s="22" t="s">
        <v>184</v>
      </c>
      <c r="M1008" s="22" t="s">
        <v>253</v>
      </c>
    </row>
    <row r="1009" customFormat="false" ht="43.5" hidden="false" customHeight="true" outlineLevel="0" collapsed="false">
      <c r="A1009" s="22" t="s">
        <v>4266</v>
      </c>
      <c r="B1009" s="22" t="s">
        <v>4267</v>
      </c>
      <c r="C1009" s="22" t="s">
        <v>59</v>
      </c>
      <c r="D1009" s="22" t="s">
        <v>4214</v>
      </c>
      <c r="E1009" s="22" t="str">
        <f aca="false">IF(D1009="","",IFERROR(VLOOKUP(D1009,$A$2:$B$1656,2,FALSE()),""))</f>
        <v>Polity and Governance Archetypes</v>
      </c>
      <c r="F1009" s="22" t="n">
        <v>3</v>
      </c>
      <c r="G1009" s="22" t="s">
        <v>4268</v>
      </c>
      <c r="H1009" s="22" t="s">
        <v>4231</v>
      </c>
      <c r="I1009" s="22" t="s">
        <v>4269</v>
      </c>
      <c r="J1009" s="22" t="s">
        <v>4233</v>
      </c>
      <c r="K1009" s="22" t="s">
        <v>4269</v>
      </c>
      <c r="L1009" s="22" t="s">
        <v>184</v>
      </c>
      <c r="M1009" s="22" t="s">
        <v>253</v>
      </c>
    </row>
    <row r="1010" customFormat="false" ht="43.5" hidden="false" customHeight="true" outlineLevel="0" collapsed="false">
      <c r="A1010" s="22" t="s">
        <v>4270</v>
      </c>
      <c r="B1010" s="22" t="s">
        <v>4271</v>
      </c>
      <c r="C1010" s="22" t="s">
        <v>59</v>
      </c>
      <c r="D1010" s="22" t="s">
        <v>4214</v>
      </c>
      <c r="E1010" s="22" t="str">
        <f aca="false">IF(D1010="","",IFERROR(VLOOKUP(D1010,$A$2:$B$1656,2,FALSE()),""))</f>
        <v>Polity and Governance Archetypes</v>
      </c>
      <c r="F1010" s="22" t="n">
        <v>3</v>
      </c>
      <c r="G1010" s="22" t="s">
        <v>4272</v>
      </c>
      <c r="H1010" s="22" t="s">
        <v>4231</v>
      </c>
      <c r="I1010" s="22" t="s">
        <v>4273</v>
      </c>
      <c r="J1010" s="22" t="s">
        <v>4233</v>
      </c>
      <c r="K1010" s="22" t="s">
        <v>4273</v>
      </c>
      <c r="L1010" s="22" t="s">
        <v>184</v>
      </c>
      <c r="M1010" s="22" t="s">
        <v>253</v>
      </c>
    </row>
    <row r="1011" customFormat="false" ht="43.5" hidden="false" customHeight="true" outlineLevel="0" collapsed="false">
      <c r="A1011" s="22" t="s">
        <v>4274</v>
      </c>
      <c r="B1011" s="22" t="s">
        <v>4275</v>
      </c>
      <c r="C1011" s="22" t="s">
        <v>59</v>
      </c>
      <c r="D1011" s="22" t="s">
        <v>4214</v>
      </c>
      <c r="E1011" s="22" t="str">
        <f aca="false">IF(D1011="","",IFERROR(VLOOKUP(D1011,$A$2:$B$1656,2,FALSE()),""))</f>
        <v>Polity and Governance Archetypes</v>
      </c>
      <c r="F1011" s="22" t="n">
        <v>3</v>
      </c>
      <c r="G1011" s="22" t="s">
        <v>4276</v>
      </c>
      <c r="H1011" s="22" t="s">
        <v>4231</v>
      </c>
      <c r="I1011" s="22" t="s">
        <v>4277</v>
      </c>
      <c r="J1011" s="22" t="s">
        <v>4233</v>
      </c>
      <c r="K1011" s="22" t="s">
        <v>4277</v>
      </c>
      <c r="L1011" s="22" t="s">
        <v>184</v>
      </c>
      <c r="M1011" s="22" t="s">
        <v>253</v>
      </c>
    </row>
    <row r="1012" customFormat="false" ht="43.5" hidden="false" customHeight="true" outlineLevel="0" collapsed="false">
      <c r="A1012" s="22" t="s">
        <v>4278</v>
      </c>
      <c r="B1012" s="22" t="s">
        <v>3527</v>
      </c>
      <c r="C1012" s="22" t="s">
        <v>59</v>
      </c>
      <c r="D1012" s="22" t="s">
        <v>4214</v>
      </c>
      <c r="E1012" s="22" t="str">
        <f aca="false">IF(D1012="","",IFERROR(VLOOKUP(D1012,$A$2:$B$1656,2,FALSE()),""))</f>
        <v>Polity and Governance Archetypes</v>
      </c>
      <c r="F1012" s="22" t="n">
        <v>3</v>
      </c>
      <c r="G1012" s="22" t="s">
        <v>4279</v>
      </c>
      <c r="H1012" s="22" t="s">
        <v>4231</v>
      </c>
      <c r="I1012" s="22" t="s">
        <v>4280</v>
      </c>
      <c r="J1012" s="22" t="s">
        <v>4233</v>
      </c>
      <c r="K1012" s="22" t="s">
        <v>4280</v>
      </c>
      <c r="L1012" s="22" t="s">
        <v>184</v>
      </c>
      <c r="M1012" s="22" t="s">
        <v>253</v>
      </c>
    </row>
    <row r="1013" customFormat="false" ht="43.5" hidden="false" customHeight="true" outlineLevel="0" collapsed="false">
      <c r="A1013" s="22" t="s">
        <v>4281</v>
      </c>
      <c r="B1013" s="22" t="s">
        <v>4282</v>
      </c>
      <c r="C1013" s="22" t="s">
        <v>59</v>
      </c>
      <c r="D1013" s="22" t="s">
        <v>4214</v>
      </c>
      <c r="E1013" s="22" t="str">
        <f aca="false">IF(D1013="","",IFERROR(VLOOKUP(D1013,$A$2:$B$1656,2,FALSE()),""))</f>
        <v>Polity and Governance Archetypes</v>
      </c>
      <c r="F1013" s="22" t="n">
        <v>3</v>
      </c>
      <c r="G1013" s="22" t="s">
        <v>4283</v>
      </c>
      <c r="H1013" s="22" t="s">
        <v>4231</v>
      </c>
      <c r="I1013" s="22" t="s">
        <v>4284</v>
      </c>
      <c r="J1013" s="22" t="s">
        <v>4233</v>
      </c>
      <c r="K1013" s="22" t="s">
        <v>4284</v>
      </c>
      <c r="L1013" s="22" t="s">
        <v>184</v>
      </c>
      <c r="M1013" s="22" t="s">
        <v>253</v>
      </c>
    </row>
    <row r="1014" customFormat="false" ht="43.5" hidden="false" customHeight="true" outlineLevel="0" collapsed="false">
      <c r="A1014" s="22" t="s">
        <v>4285</v>
      </c>
      <c r="B1014" s="22" t="s">
        <v>4286</v>
      </c>
      <c r="C1014" s="22" t="s">
        <v>59</v>
      </c>
      <c r="D1014" s="22" t="s">
        <v>4214</v>
      </c>
      <c r="E1014" s="22" t="str">
        <f aca="false">IF(D1014="","",IFERROR(VLOOKUP(D1014,$A$2:$B$1656,2,FALSE()),""))</f>
        <v>Polity and Governance Archetypes</v>
      </c>
      <c r="F1014" s="22" t="n">
        <v>3</v>
      </c>
      <c r="G1014" s="22" t="s">
        <v>4287</v>
      </c>
      <c r="H1014" s="22" t="s">
        <v>4231</v>
      </c>
      <c r="I1014" s="22" t="s">
        <v>4288</v>
      </c>
      <c r="J1014" s="22" t="s">
        <v>4233</v>
      </c>
      <c r="K1014" s="22" t="s">
        <v>4288</v>
      </c>
      <c r="L1014" s="22" t="s">
        <v>184</v>
      </c>
      <c r="M1014" s="22" t="s">
        <v>253</v>
      </c>
    </row>
    <row r="1015" customFormat="false" ht="43.5" hidden="false" customHeight="true" outlineLevel="0" collapsed="false">
      <c r="A1015" s="22" t="s">
        <v>4289</v>
      </c>
      <c r="B1015" s="22" t="s">
        <v>4290</v>
      </c>
      <c r="C1015" s="22" t="s">
        <v>59</v>
      </c>
      <c r="D1015" s="22" t="s">
        <v>4214</v>
      </c>
      <c r="E1015" s="22" t="str">
        <f aca="false">IF(D1015="","",IFERROR(VLOOKUP(D1015,$A$2:$B$1656,2,FALSE()),""))</f>
        <v>Polity and Governance Archetypes</v>
      </c>
      <c r="F1015" s="22" t="n">
        <v>3</v>
      </c>
      <c r="G1015" s="22" t="s">
        <v>4291</v>
      </c>
      <c r="H1015" s="22" t="s">
        <v>4231</v>
      </c>
      <c r="I1015" s="22" t="s">
        <v>4292</v>
      </c>
      <c r="J1015" s="22" t="s">
        <v>4233</v>
      </c>
      <c r="K1015" s="22" t="s">
        <v>4292</v>
      </c>
      <c r="L1015" s="22" t="s">
        <v>184</v>
      </c>
      <c r="M1015" s="22" t="s">
        <v>253</v>
      </c>
    </row>
    <row r="1016" customFormat="false" ht="43.5" hidden="false" customHeight="true" outlineLevel="0" collapsed="false">
      <c r="A1016" s="22" t="s">
        <v>4293</v>
      </c>
      <c r="B1016" s="22" t="s">
        <v>4294</v>
      </c>
      <c r="C1016" s="22" t="s">
        <v>59</v>
      </c>
      <c r="D1016" s="22" t="s">
        <v>4214</v>
      </c>
      <c r="E1016" s="22" t="str">
        <f aca="false">IF(D1016="","",IFERROR(VLOOKUP(D1016,$A$2:$B$1656,2,FALSE()),""))</f>
        <v>Polity and Governance Archetypes</v>
      </c>
      <c r="F1016" s="22" t="n">
        <v>3</v>
      </c>
      <c r="G1016" s="22" t="s">
        <v>4295</v>
      </c>
      <c r="H1016" s="22" t="s">
        <v>4231</v>
      </c>
      <c r="I1016" s="22" t="s">
        <v>4296</v>
      </c>
      <c r="J1016" s="22" t="s">
        <v>4233</v>
      </c>
      <c r="K1016" s="22" t="s">
        <v>4296</v>
      </c>
      <c r="L1016" s="22" t="s">
        <v>184</v>
      </c>
      <c r="M1016" s="22" t="s">
        <v>253</v>
      </c>
    </row>
    <row r="1017" customFormat="false" ht="43.5" hidden="false" customHeight="true" outlineLevel="0" collapsed="false">
      <c r="A1017" s="22" t="s">
        <v>4297</v>
      </c>
      <c r="B1017" s="22" t="s">
        <v>4298</v>
      </c>
      <c r="C1017" s="22" t="s">
        <v>59</v>
      </c>
      <c r="D1017" s="22" t="s">
        <v>4214</v>
      </c>
      <c r="E1017" s="22" t="str">
        <f aca="false">IF(D1017="","",IFERROR(VLOOKUP(D1017,$A$2:$B$1656,2,FALSE()),""))</f>
        <v>Polity and Governance Archetypes</v>
      </c>
      <c r="F1017" s="22" t="n">
        <v>3</v>
      </c>
      <c r="G1017" s="22" t="s">
        <v>4299</v>
      </c>
      <c r="H1017" s="22" t="s">
        <v>4231</v>
      </c>
      <c r="I1017" s="22" t="s">
        <v>4300</v>
      </c>
      <c r="J1017" s="22" t="s">
        <v>4233</v>
      </c>
      <c r="K1017" s="22" t="s">
        <v>4300</v>
      </c>
      <c r="L1017" s="22" t="s">
        <v>184</v>
      </c>
      <c r="M1017" s="22" t="s">
        <v>253</v>
      </c>
    </row>
    <row r="1018" customFormat="false" ht="43.5" hidden="false" customHeight="true" outlineLevel="0" collapsed="false">
      <c r="A1018" s="22" t="s">
        <v>4301</v>
      </c>
      <c r="B1018" s="22" t="s">
        <v>4302</v>
      </c>
      <c r="C1018" s="22" t="s">
        <v>59</v>
      </c>
      <c r="D1018" s="22" t="s">
        <v>4214</v>
      </c>
      <c r="E1018" s="22" t="str">
        <f aca="false">IF(D1018="","",IFERROR(VLOOKUP(D1018,$A$2:$B$1656,2,FALSE()),""))</f>
        <v>Polity and Governance Archetypes</v>
      </c>
      <c r="F1018" s="22" t="n">
        <v>3</v>
      </c>
      <c r="G1018" s="22" t="s">
        <v>4303</v>
      </c>
      <c r="H1018" s="22" t="s">
        <v>4231</v>
      </c>
      <c r="I1018" s="22" t="s">
        <v>4304</v>
      </c>
      <c r="J1018" s="22" t="s">
        <v>4233</v>
      </c>
      <c r="K1018" s="22" t="s">
        <v>4304</v>
      </c>
      <c r="L1018" s="22" t="s">
        <v>184</v>
      </c>
      <c r="M1018" s="22" t="s">
        <v>253</v>
      </c>
    </row>
    <row r="1019" customFormat="false" ht="43.5" hidden="false" customHeight="true" outlineLevel="0" collapsed="false">
      <c r="A1019" s="22" t="s">
        <v>4305</v>
      </c>
      <c r="B1019" s="22" t="s">
        <v>4306</v>
      </c>
      <c r="C1019" s="22" t="s">
        <v>59</v>
      </c>
      <c r="D1019" s="22" t="s">
        <v>4214</v>
      </c>
      <c r="E1019" s="22" t="str">
        <f aca="false">IF(D1019="","",IFERROR(VLOOKUP(D1019,$A$2:$B$1656,2,FALSE()),""))</f>
        <v>Polity and Governance Archetypes</v>
      </c>
      <c r="F1019" s="22" t="n">
        <v>3</v>
      </c>
      <c r="G1019" s="22" t="s">
        <v>4307</v>
      </c>
      <c r="H1019" s="22" t="s">
        <v>4231</v>
      </c>
      <c r="I1019" s="22" t="s">
        <v>4308</v>
      </c>
      <c r="J1019" s="22" t="s">
        <v>4233</v>
      </c>
      <c r="K1019" s="22" t="s">
        <v>4308</v>
      </c>
      <c r="L1019" s="22" t="s">
        <v>184</v>
      </c>
      <c r="M1019" s="22" t="s">
        <v>253</v>
      </c>
    </row>
    <row r="1020" customFormat="false" ht="43.5" hidden="false" customHeight="true" outlineLevel="0" collapsed="false">
      <c r="A1020" s="22" t="s">
        <v>4309</v>
      </c>
      <c r="B1020" s="22" t="s">
        <v>4310</v>
      </c>
      <c r="C1020" s="22" t="s">
        <v>59</v>
      </c>
      <c r="D1020" s="22" t="s">
        <v>4214</v>
      </c>
      <c r="E1020" s="22" t="str">
        <f aca="false">IF(D1020="","",IFERROR(VLOOKUP(D1020,$A$2:$B$1656,2,FALSE()),""))</f>
        <v>Polity and Governance Archetypes</v>
      </c>
      <c r="F1020" s="22" t="n">
        <v>3</v>
      </c>
      <c r="G1020" s="22" t="s">
        <v>4311</v>
      </c>
      <c r="H1020" s="22" t="s">
        <v>4231</v>
      </c>
      <c r="I1020" s="22" t="s">
        <v>4312</v>
      </c>
      <c r="J1020" s="22" t="s">
        <v>4233</v>
      </c>
      <c r="K1020" s="22" t="s">
        <v>4312</v>
      </c>
      <c r="L1020" s="22" t="s">
        <v>184</v>
      </c>
      <c r="M1020" s="22" t="s">
        <v>253</v>
      </c>
    </row>
    <row r="1021" customFormat="false" ht="43.5" hidden="false" customHeight="true" outlineLevel="0" collapsed="false">
      <c r="A1021" s="22" t="s">
        <v>4313</v>
      </c>
      <c r="B1021" s="22" t="s">
        <v>4314</v>
      </c>
      <c r="C1021" s="22" t="s">
        <v>59</v>
      </c>
      <c r="D1021" s="22" t="s">
        <v>4214</v>
      </c>
      <c r="E1021" s="22" t="str">
        <f aca="false">IF(D1021="","",IFERROR(VLOOKUP(D1021,$A$2:$B$1656,2,FALSE()),""))</f>
        <v>Polity and Governance Archetypes</v>
      </c>
      <c r="F1021" s="22" t="n">
        <v>3</v>
      </c>
      <c r="G1021" s="22" t="s">
        <v>4315</v>
      </c>
      <c r="H1021" s="22" t="s">
        <v>4231</v>
      </c>
      <c r="I1021" s="22" t="s">
        <v>4316</v>
      </c>
      <c r="J1021" s="22" t="s">
        <v>4233</v>
      </c>
      <c r="K1021" s="22" t="s">
        <v>4316</v>
      </c>
      <c r="L1021" s="22" t="s">
        <v>184</v>
      </c>
      <c r="M1021" s="22" t="s">
        <v>253</v>
      </c>
    </row>
    <row r="1022" customFormat="false" ht="43.5" hidden="false" customHeight="true" outlineLevel="0" collapsed="false">
      <c r="A1022" s="22" t="s">
        <v>4317</v>
      </c>
      <c r="B1022" s="22" t="s">
        <v>4318</v>
      </c>
      <c r="C1022" s="22" t="s">
        <v>59</v>
      </c>
      <c r="D1022" s="22" t="s">
        <v>4214</v>
      </c>
      <c r="E1022" s="22" t="str">
        <f aca="false">IF(D1022="","",IFERROR(VLOOKUP(D1022,$A$2:$B$1656,2,FALSE()),""))</f>
        <v>Polity and Governance Archetypes</v>
      </c>
      <c r="F1022" s="22" t="n">
        <v>3</v>
      </c>
      <c r="G1022" s="22" t="s">
        <v>4319</v>
      </c>
      <c r="H1022" s="22" t="s">
        <v>4231</v>
      </c>
      <c r="I1022" s="22" t="s">
        <v>4320</v>
      </c>
      <c r="J1022" s="22" t="s">
        <v>4233</v>
      </c>
      <c r="K1022" s="22" t="s">
        <v>4320</v>
      </c>
      <c r="L1022" s="22" t="s">
        <v>184</v>
      </c>
      <c r="M1022" s="22" t="s">
        <v>253</v>
      </c>
    </row>
    <row r="1023" customFormat="false" ht="43.5" hidden="false" customHeight="true" outlineLevel="0" collapsed="false">
      <c r="A1023" s="22" t="s">
        <v>4321</v>
      </c>
      <c r="B1023" s="22" t="s">
        <v>4322</v>
      </c>
      <c r="C1023" s="22" t="s">
        <v>59</v>
      </c>
      <c r="D1023" s="22" t="s">
        <v>4214</v>
      </c>
      <c r="E1023" s="22" t="str">
        <f aca="false">IF(D1023="","",IFERROR(VLOOKUP(D1023,$A$2:$B$1656,2,FALSE()),""))</f>
        <v>Polity and Governance Archetypes</v>
      </c>
      <c r="F1023" s="22" t="n">
        <v>3</v>
      </c>
      <c r="G1023" s="22" t="s">
        <v>4323</v>
      </c>
      <c r="H1023" s="22" t="s">
        <v>4231</v>
      </c>
      <c r="I1023" s="22" t="s">
        <v>4324</v>
      </c>
      <c r="J1023" s="22" t="s">
        <v>4233</v>
      </c>
      <c r="K1023" s="22" t="s">
        <v>4324</v>
      </c>
      <c r="L1023" s="22" t="s">
        <v>184</v>
      </c>
      <c r="M1023" s="22" t="s">
        <v>253</v>
      </c>
    </row>
    <row r="1024" customFormat="false" ht="43.5" hidden="false" customHeight="true" outlineLevel="0" collapsed="false">
      <c r="A1024" s="22" t="s">
        <v>4325</v>
      </c>
      <c r="B1024" s="22" t="s">
        <v>4326</v>
      </c>
      <c r="C1024" s="22" t="s">
        <v>59</v>
      </c>
      <c r="D1024" s="22" t="s">
        <v>4214</v>
      </c>
      <c r="E1024" s="22" t="str">
        <f aca="false">IF(D1024="","",IFERROR(VLOOKUP(D1024,$A$2:$B$1656,2,FALSE()),""))</f>
        <v>Polity and Governance Archetypes</v>
      </c>
      <c r="F1024" s="22" t="n">
        <v>3</v>
      </c>
      <c r="G1024" s="22" t="s">
        <v>4327</v>
      </c>
      <c r="H1024" s="22" t="s">
        <v>4231</v>
      </c>
      <c r="I1024" s="22" t="s">
        <v>4328</v>
      </c>
      <c r="J1024" s="22" t="s">
        <v>4233</v>
      </c>
      <c r="K1024" s="22" t="s">
        <v>4328</v>
      </c>
      <c r="L1024" s="22" t="s">
        <v>184</v>
      </c>
      <c r="M1024" s="22" t="s">
        <v>253</v>
      </c>
    </row>
    <row r="1025" customFormat="false" ht="43.5" hidden="false" customHeight="true" outlineLevel="0" collapsed="false">
      <c r="A1025" s="22" t="s">
        <v>4329</v>
      </c>
      <c r="B1025" s="22" t="s">
        <v>4330</v>
      </c>
      <c r="C1025" s="22" t="s">
        <v>59</v>
      </c>
      <c r="D1025" s="22" t="s">
        <v>4219</v>
      </c>
      <c r="E1025" s="22" t="str">
        <f aca="false">IF(D1025="","",IFERROR(VLOOKUP(D1025,$A$2:$B$1656,2,FALSE()),""))</f>
        <v>Settlement and Environmental Archetypes</v>
      </c>
      <c r="F1025" s="22" t="n">
        <v>3</v>
      </c>
      <c r="G1025" s="22" t="s">
        <v>4331</v>
      </c>
      <c r="H1025" s="22" t="s">
        <v>4231</v>
      </c>
      <c r="I1025" s="22" t="s">
        <v>4332</v>
      </c>
      <c r="J1025" s="22" t="s">
        <v>4333</v>
      </c>
      <c r="K1025" s="22" t="s">
        <v>4332</v>
      </c>
      <c r="L1025" s="22" t="s">
        <v>184</v>
      </c>
      <c r="M1025" s="22" t="s">
        <v>253</v>
      </c>
    </row>
    <row r="1026" customFormat="false" ht="43.5" hidden="false" customHeight="true" outlineLevel="0" collapsed="false">
      <c r="A1026" s="22" t="s">
        <v>4334</v>
      </c>
      <c r="B1026" s="22" t="s">
        <v>4335</v>
      </c>
      <c r="C1026" s="22" t="s">
        <v>59</v>
      </c>
      <c r="D1026" s="22" t="s">
        <v>4219</v>
      </c>
      <c r="E1026" s="22" t="str">
        <f aca="false">IF(D1026="","",IFERROR(VLOOKUP(D1026,$A$2:$B$1656,2,FALSE()),""))</f>
        <v>Settlement and Environmental Archetypes</v>
      </c>
      <c r="F1026" s="22" t="n">
        <v>3</v>
      </c>
      <c r="G1026" s="22" t="s">
        <v>4336</v>
      </c>
      <c r="H1026" s="22" t="s">
        <v>4231</v>
      </c>
      <c r="I1026" s="22" t="s">
        <v>4337</v>
      </c>
      <c r="J1026" s="22" t="s">
        <v>4333</v>
      </c>
      <c r="K1026" s="22" t="s">
        <v>4337</v>
      </c>
      <c r="L1026" s="22" t="s">
        <v>184</v>
      </c>
      <c r="M1026" s="22" t="s">
        <v>253</v>
      </c>
    </row>
    <row r="1027" customFormat="false" ht="43.5" hidden="false" customHeight="true" outlineLevel="0" collapsed="false">
      <c r="A1027" s="22" t="s">
        <v>4338</v>
      </c>
      <c r="B1027" s="22" t="s">
        <v>4339</v>
      </c>
      <c r="C1027" s="22" t="s">
        <v>59</v>
      </c>
      <c r="D1027" s="22" t="s">
        <v>4219</v>
      </c>
      <c r="E1027" s="22" t="str">
        <f aca="false">IF(D1027="","",IFERROR(VLOOKUP(D1027,$A$2:$B$1656,2,FALSE()),""))</f>
        <v>Settlement and Environmental Archetypes</v>
      </c>
      <c r="F1027" s="22" t="n">
        <v>3</v>
      </c>
      <c r="G1027" s="22" t="s">
        <v>4340</v>
      </c>
      <c r="H1027" s="22" t="s">
        <v>4231</v>
      </c>
      <c r="I1027" s="22" t="s">
        <v>4341</v>
      </c>
      <c r="J1027" s="22" t="s">
        <v>4333</v>
      </c>
      <c r="K1027" s="22" t="s">
        <v>4341</v>
      </c>
      <c r="L1027" s="22" t="s">
        <v>184</v>
      </c>
      <c r="M1027" s="22" t="s">
        <v>253</v>
      </c>
    </row>
    <row r="1028" customFormat="false" ht="43.5" hidden="false" customHeight="true" outlineLevel="0" collapsed="false">
      <c r="A1028" s="22" t="s">
        <v>4342</v>
      </c>
      <c r="B1028" s="22" t="s">
        <v>4343</v>
      </c>
      <c r="C1028" s="22" t="s">
        <v>59</v>
      </c>
      <c r="D1028" s="22" t="s">
        <v>4219</v>
      </c>
      <c r="E1028" s="22" t="str">
        <f aca="false">IF(D1028="","",IFERROR(VLOOKUP(D1028,$A$2:$B$1656,2,FALSE()),""))</f>
        <v>Settlement and Environmental Archetypes</v>
      </c>
      <c r="F1028" s="22" t="n">
        <v>3</v>
      </c>
      <c r="G1028" s="22" t="s">
        <v>4344</v>
      </c>
      <c r="H1028" s="22" t="s">
        <v>4231</v>
      </c>
      <c r="I1028" s="22" t="s">
        <v>4345</v>
      </c>
      <c r="J1028" s="22" t="s">
        <v>4333</v>
      </c>
      <c r="K1028" s="22" t="s">
        <v>4345</v>
      </c>
      <c r="L1028" s="22" t="s">
        <v>184</v>
      </c>
      <c r="M1028" s="22" t="s">
        <v>253</v>
      </c>
    </row>
    <row r="1029" customFormat="false" ht="43.5" hidden="false" customHeight="true" outlineLevel="0" collapsed="false">
      <c r="A1029" s="22" t="s">
        <v>4346</v>
      </c>
      <c r="B1029" s="22" t="s">
        <v>4347</v>
      </c>
      <c r="C1029" s="22" t="s">
        <v>59</v>
      </c>
      <c r="D1029" s="22" t="s">
        <v>4219</v>
      </c>
      <c r="E1029" s="22" t="str">
        <f aca="false">IF(D1029="","",IFERROR(VLOOKUP(D1029,$A$2:$B$1656,2,FALSE()),""))</f>
        <v>Settlement and Environmental Archetypes</v>
      </c>
      <c r="F1029" s="22" t="n">
        <v>3</v>
      </c>
      <c r="G1029" s="22" t="s">
        <v>4348</v>
      </c>
      <c r="H1029" s="22" t="s">
        <v>4231</v>
      </c>
      <c r="I1029" s="22" t="s">
        <v>4349</v>
      </c>
      <c r="J1029" s="22" t="s">
        <v>4333</v>
      </c>
      <c r="K1029" s="22" t="s">
        <v>4349</v>
      </c>
      <c r="L1029" s="22" t="s">
        <v>4350</v>
      </c>
      <c r="M1029" s="22" t="s">
        <v>253</v>
      </c>
    </row>
    <row r="1030" customFormat="false" ht="43.5" hidden="false" customHeight="true" outlineLevel="0" collapsed="false">
      <c r="A1030" s="22" t="s">
        <v>4351</v>
      </c>
      <c r="B1030" s="22" t="s">
        <v>4352</v>
      </c>
      <c r="C1030" s="22" t="s">
        <v>59</v>
      </c>
      <c r="D1030" s="22" t="s">
        <v>4219</v>
      </c>
      <c r="E1030" s="22" t="str">
        <f aca="false">IF(D1030="","",IFERROR(VLOOKUP(D1030,$A$2:$B$1656,2,FALSE()),""))</f>
        <v>Settlement and Environmental Archetypes</v>
      </c>
      <c r="F1030" s="22" t="n">
        <v>3</v>
      </c>
      <c r="G1030" s="22" t="s">
        <v>4353</v>
      </c>
      <c r="H1030" s="22" t="s">
        <v>4231</v>
      </c>
      <c r="I1030" s="22" t="s">
        <v>4354</v>
      </c>
      <c r="J1030" s="22" t="s">
        <v>4333</v>
      </c>
      <c r="K1030" s="22" t="s">
        <v>4354</v>
      </c>
      <c r="L1030" s="22" t="s">
        <v>184</v>
      </c>
      <c r="M1030" s="22" t="s">
        <v>253</v>
      </c>
    </row>
    <row r="1031" customFormat="false" ht="43.5" hidden="false" customHeight="true" outlineLevel="0" collapsed="false">
      <c r="A1031" s="22" t="s">
        <v>4355</v>
      </c>
      <c r="B1031" s="22" t="s">
        <v>4356</v>
      </c>
      <c r="C1031" s="22" t="s">
        <v>59</v>
      </c>
      <c r="D1031" s="22" t="s">
        <v>4219</v>
      </c>
      <c r="E1031" s="22" t="str">
        <f aca="false">IF(D1031="","",IFERROR(VLOOKUP(D1031,$A$2:$B$1656,2,FALSE()),""))</f>
        <v>Settlement and Environmental Archetypes</v>
      </c>
      <c r="F1031" s="22" t="n">
        <v>3</v>
      </c>
      <c r="G1031" s="22" t="s">
        <v>4357</v>
      </c>
      <c r="H1031" s="22" t="s">
        <v>4231</v>
      </c>
      <c r="I1031" s="22" t="s">
        <v>4358</v>
      </c>
      <c r="J1031" s="22" t="s">
        <v>4333</v>
      </c>
      <c r="K1031" s="22" t="s">
        <v>4358</v>
      </c>
      <c r="L1031" s="22" t="s">
        <v>184</v>
      </c>
      <c r="M1031" s="22" t="s">
        <v>253</v>
      </c>
    </row>
    <row r="1032" customFormat="false" ht="43.5" hidden="false" customHeight="true" outlineLevel="0" collapsed="false">
      <c r="A1032" s="22" t="s">
        <v>4359</v>
      </c>
      <c r="B1032" s="22" t="s">
        <v>4360</v>
      </c>
      <c r="C1032" s="22" t="s">
        <v>59</v>
      </c>
      <c r="D1032" s="22" t="s">
        <v>4219</v>
      </c>
      <c r="E1032" s="22" t="str">
        <f aca="false">IF(D1032="","",IFERROR(VLOOKUP(D1032,$A$2:$B$1656,2,FALSE()),""))</f>
        <v>Settlement and Environmental Archetypes</v>
      </c>
      <c r="F1032" s="22" t="n">
        <v>3</v>
      </c>
      <c r="G1032" s="22" t="s">
        <v>4361</v>
      </c>
      <c r="H1032" s="22" t="s">
        <v>4231</v>
      </c>
      <c r="I1032" s="22" t="s">
        <v>4362</v>
      </c>
      <c r="J1032" s="22" t="s">
        <v>4333</v>
      </c>
      <c r="K1032" s="22" t="s">
        <v>4362</v>
      </c>
      <c r="L1032" s="22" t="s">
        <v>184</v>
      </c>
      <c r="M1032" s="22" t="s">
        <v>253</v>
      </c>
    </row>
    <row r="1033" customFormat="false" ht="43.5" hidden="false" customHeight="true" outlineLevel="0" collapsed="false">
      <c r="A1033" s="22" t="s">
        <v>4363</v>
      </c>
      <c r="B1033" s="22" t="s">
        <v>4364</v>
      </c>
      <c r="C1033" s="22" t="s">
        <v>59</v>
      </c>
      <c r="D1033" s="22" t="s">
        <v>4219</v>
      </c>
      <c r="E1033" s="22" t="str">
        <f aca="false">IF(D1033="","",IFERROR(VLOOKUP(D1033,$A$2:$B$1656,2,FALSE()),""))</f>
        <v>Settlement and Environmental Archetypes</v>
      </c>
      <c r="F1033" s="22" t="n">
        <v>3</v>
      </c>
      <c r="G1033" s="22" t="s">
        <v>4365</v>
      </c>
      <c r="H1033" s="22" t="s">
        <v>4231</v>
      </c>
      <c r="I1033" s="22" t="s">
        <v>4366</v>
      </c>
      <c r="J1033" s="22" t="s">
        <v>4333</v>
      </c>
      <c r="K1033" s="22" t="s">
        <v>4366</v>
      </c>
      <c r="L1033" s="22" t="s">
        <v>184</v>
      </c>
      <c r="M1033" s="22" t="s">
        <v>253</v>
      </c>
    </row>
    <row r="1034" customFormat="false" ht="43.5" hidden="false" customHeight="true" outlineLevel="0" collapsed="false">
      <c r="A1034" s="22" t="s">
        <v>4367</v>
      </c>
      <c r="B1034" s="22" t="s">
        <v>4368</v>
      </c>
      <c r="C1034" s="22" t="s">
        <v>59</v>
      </c>
      <c r="D1034" s="22" t="s">
        <v>4219</v>
      </c>
      <c r="E1034" s="22" t="str">
        <f aca="false">IF(D1034="","",IFERROR(VLOOKUP(D1034,$A$2:$B$1656,2,FALSE()),""))</f>
        <v>Settlement and Environmental Archetypes</v>
      </c>
      <c r="F1034" s="22" t="n">
        <v>3</v>
      </c>
      <c r="G1034" s="22" t="s">
        <v>4369</v>
      </c>
      <c r="H1034" s="22" t="s">
        <v>4231</v>
      </c>
      <c r="I1034" s="22" t="s">
        <v>4370</v>
      </c>
      <c r="J1034" s="22" t="s">
        <v>4333</v>
      </c>
      <c r="K1034" s="22" t="s">
        <v>4370</v>
      </c>
      <c r="L1034" s="22" t="s">
        <v>184</v>
      </c>
      <c r="M1034" s="22" t="s">
        <v>253</v>
      </c>
    </row>
    <row r="1035" customFormat="false" ht="43.5" hidden="false" customHeight="true" outlineLevel="0" collapsed="false">
      <c r="A1035" s="22" t="s">
        <v>4371</v>
      </c>
      <c r="B1035" s="22" t="s">
        <v>4372</v>
      </c>
      <c r="C1035" s="22" t="s">
        <v>59</v>
      </c>
      <c r="D1035" s="22" t="s">
        <v>4219</v>
      </c>
      <c r="E1035" s="22" t="str">
        <f aca="false">IF(D1035="","",IFERROR(VLOOKUP(D1035,$A$2:$B$1656,2,FALSE()),""))</f>
        <v>Settlement and Environmental Archetypes</v>
      </c>
      <c r="F1035" s="22" t="n">
        <v>3</v>
      </c>
      <c r="G1035" s="22" t="s">
        <v>4373</v>
      </c>
      <c r="H1035" s="22" t="s">
        <v>4231</v>
      </c>
      <c r="I1035" s="22" t="s">
        <v>4374</v>
      </c>
      <c r="J1035" s="22" t="s">
        <v>4333</v>
      </c>
      <c r="K1035" s="22" t="s">
        <v>4374</v>
      </c>
      <c r="L1035" s="22" t="s">
        <v>184</v>
      </c>
      <c r="M1035" s="22" t="s">
        <v>253</v>
      </c>
    </row>
    <row r="1036" customFormat="false" ht="43.5" hidden="false" customHeight="true" outlineLevel="0" collapsed="false">
      <c r="A1036" s="22" t="s">
        <v>4375</v>
      </c>
      <c r="B1036" s="22" t="s">
        <v>4376</v>
      </c>
      <c r="C1036" s="22" t="s">
        <v>59</v>
      </c>
      <c r="D1036" s="22" t="s">
        <v>4219</v>
      </c>
      <c r="E1036" s="22" t="str">
        <f aca="false">IF(D1036="","",IFERROR(VLOOKUP(D1036,$A$2:$B$1656,2,FALSE()),""))</f>
        <v>Settlement and Environmental Archetypes</v>
      </c>
      <c r="F1036" s="22" t="n">
        <v>3</v>
      </c>
      <c r="G1036" s="22" t="s">
        <v>4377</v>
      </c>
      <c r="H1036" s="22" t="s">
        <v>4231</v>
      </c>
      <c r="I1036" s="22" t="s">
        <v>4378</v>
      </c>
      <c r="J1036" s="22" t="s">
        <v>4333</v>
      </c>
      <c r="K1036" s="22" t="s">
        <v>4378</v>
      </c>
      <c r="L1036" s="22" t="s">
        <v>184</v>
      </c>
      <c r="M1036" s="22" t="s">
        <v>253</v>
      </c>
    </row>
    <row r="1037" customFormat="false" ht="43.5" hidden="false" customHeight="true" outlineLevel="0" collapsed="false">
      <c r="A1037" s="22" t="s">
        <v>4379</v>
      </c>
      <c r="B1037" s="22" t="s">
        <v>4380</v>
      </c>
      <c r="C1037" s="22" t="s">
        <v>59</v>
      </c>
      <c r="D1037" s="22" t="s">
        <v>4219</v>
      </c>
      <c r="E1037" s="22" t="str">
        <f aca="false">IF(D1037="","",IFERROR(VLOOKUP(D1037,$A$2:$B$1656,2,FALSE()),""))</f>
        <v>Settlement and Environmental Archetypes</v>
      </c>
      <c r="F1037" s="22" t="n">
        <v>3</v>
      </c>
      <c r="G1037" s="22" t="s">
        <v>4381</v>
      </c>
      <c r="H1037" s="22" t="s">
        <v>4231</v>
      </c>
      <c r="I1037" s="22" t="s">
        <v>4382</v>
      </c>
      <c r="J1037" s="22" t="s">
        <v>4333</v>
      </c>
      <c r="K1037" s="22" t="s">
        <v>4382</v>
      </c>
      <c r="L1037" s="22" t="s">
        <v>184</v>
      </c>
      <c r="M1037" s="22" t="s">
        <v>253</v>
      </c>
    </row>
    <row r="1038" customFormat="false" ht="43.5" hidden="false" customHeight="true" outlineLevel="0" collapsed="false">
      <c r="A1038" s="22" t="s">
        <v>4383</v>
      </c>
      <c r="B1038" s="22" t="s">
        <v>4384</v>
      </c>
      <c r="C1038" s="22" t="s">
        <v>59</v>
      </c>
      <c r="D1038" s="22" t="s">
        <v>4219</v>
      </c>
      <c r="E1038" s="22" t="str">
        <f aca="false">IF(D1038="","",IFERROR(VLOOKUP(D1038,$A$2:$B$1656,2,FALSE()),""))</f>
        <v>Settlement and Environmental Archetypes</v>
      </c>
      <c r="F1038" s="22" t="n">
        <v>3</v>
      </c>
      <c r="G1038" s="22" t="s">
        <v>4385</v>
      </c>
      <c r="H1038" s="22" t="s">
        <v>4231</v>
      </c>
      <c r="I1038" s="22" t="s">
        <v>4386</v>
      </c>
      <c r="J1038" s="22" t="s">
        <v>4333</v>
      </c>
      <c r="K1038" s="22" t="s">
        <v>4386</v>
      </c>
      <c r="L1038" s="22" t="s">
        <v>184</v>
      </c>
      <c r="M1038" s="22" t="s">
        <v>253</v>
      </c>
    </row>
    <row r="1039" customFormat="false" ht="43.5" hidden="false" customHeight="true" outlineLevel="0" collapsed="false">
      <c r="A1039" s="22" t="s">
        <v>4387</v>
      </c>
      <c r="B1039" s="22" t="s">
        <v>4388</v>
      </c>
      <c r="C1039" s="22" t="s">
        <v>59</v>
      </c>
      <c r="D1039" s="22" t="s">
        <v>4219</v>
      </c>
      <c r="E1039" s="22" t="str">
        <f aca="false">IF(D1039="","",IFERROR(VLOOKUP(D1039,$A$2:$B$1656,2,FALSE()),""))</f>
        <v>Settlement and Environmental Archetypes</v>
      </c>
      <c r="F1039" s="22" t="n">
        <v>3</v>
      </c>
      <c r="G1039" s="22" t="s">
        <v>4389</v>
      </c>
      <c r="H1039" s="22" t="s">
        <v>4231</v>
      </c>
      <c r="I1039" s="22" t="s">
        <v>4390</v>
      </c>
      <c r="J1039" s="22" t="s">
        <v>4333</v>
      </c>
      <c r="K1039" s="22" t="s">
        <v>4390</v>
      </c>
      <c r="L1039" s="22" t="s">
        <v>184</v>
      </c>
      <c r="M1039" s="22" t="s">
        <v>253</v>
      </c>
    </row>
    <row r="1040" customFormat="false" ht="43.5" hidden="false" customHeight="true" outlineLevel="0" collapsed="false">
      <c r="A1040" s="22" t="s">
        <v>4391</v>
      </c>
      <c r="B1040" s="22" t="s">
        <v>4392</v>
      </c>
      <c r="C1040" s="22" t="s">
        <v>59</v>
      </c>
      <c r="D1040" s="22" t="s">
        <v>4219</v>
      </c>
      <c r="E1040" s="22" t="str">
        <f aca="false">IF(D1040="","",IFERROR(VLOOKUP(D1040,$A$2:$B$1656,2,FALSE()),""))</f>
        <v>Settlement and Environmental Archetypes</v>
      </c>
      <c r="F1040" s="22" t="n">
        <v>3</v>
      </c>
      <c r="G1040" s="22" t="s">
        <v>4393</v>
      </c>
      <c r="H1040" s="22" t="s">
        <v>4231</v>
      </c>
      <c r="I1040" s="22" t="s">
        <v>4394</v>
      </c>
      <c r="J1040" s="22" t="s">
        <v>4333</v>
      </c>
      <c r="K1040" s="22" t="s">
        <v>4394</v>
      </c>
      <c r="L1040" s="22" t="s">
        <v>184</v>
      </c>
      <c r="M1040" s="22" t="s">
        <v>253</v>
      </c>
    </row>
    <row r="1041" customFormat="false" ht="43.5" hidden="false" customHeight="true" outlineLevel="0" collapsed="false">
      <c r="A1041" s="22" t="s">
        <v>4395</v>
      </c>
      <c r="B1041" s="22" t="s">
        <v>4396</v>
      </c>
      <c r="C1041" s="22" t="s">
        <v>59</v>
      </c>
      <c r="D1041" s="22" t="s">
        <v>4219</v>
      </c>
      <c r="E1041" s="22" t="str">
        <f aca="false">IF(D1041="","",IFERROR(VLOOKUP(D1041,$A$2:$B$1656,2,FALSE()),""))</f>
        <v>Settlement and Environmental Archetypes</v>
      </c>
      <c r="F1041" s="22" t="n">
        <v>3</v>
      </c>
      <c r="G1041" s="22" t="s">
        <v>4397</v>
      </c>
      <c r="H1041" s="22" t="s">
        <v>4231</v>
      </c>
      <c r="I1041" s="22" t="s">
        <v>4398</v>
      </c>
      <c r="J1041" s="22" t="s">
        <v>4333</v>
      </c>
      <c r="K1041" s="22" t="s">
        <v>4398</v>
      </c>
      <c r="L1041" s="22" t="s">
        <v>184</v>
      </c>
      <c r="M1041" s="22" t="s">
        <v>253</v>
      </c>
    </row>
    <row r="1042" customFormat="false" ht="43.5" hidden="false" customHeight="true" outlineLevel="0" collapsed="false">
      <c r="A1042" s="22" t="s">
        <v>4399</v>
      </c>
      <c r="B1042" s="22" t="s">
        <v>4400</v>
      </c>
      <c r="C1042" s="22" t="s">
        <v>59</v>
      </c>
      <c r="D1042" s="22" t="s">
        <v>4219</v>
      </c>
      <c r="E1042" s="22" t="str">
        <f aca="false">IF(D1042="","",IFERROR(VLOOKUP(D1042,$A$2:$B$1656,2,FALSE()),""))</f>
        <v>Settlement and Environmental Archetypes</v>
      </c>
      <c r="F1042" s="22" t="n">
        <v>3</v>
      </c>
      <c r="G1042" s="22" t="s">
        <v>4401</v>
      </c>
      <c r="H1042" s="22" t="s">
        <v>4231</v>
      </c>
      <c r="I1042" s="22" t="s">
        <v>4402</v>
      </c>
      <c r="J1042" s="22" t="s">
        <v>4333</v>
      </c>
      <c r="K1042" s="22" t="s">
        <v>4402</v>
      </c>
      <c r="L1042" s="22" t="s">
        <v>184</v>
      </c>
      <c r="M1042" s="22" t="s">
        <v>253</v>
      </c>
    </row>
    <row r="1043" customFormat="false" ht="43.5" hidden="false" customHeight="true" outlineLevel="0" collapsed="false">
      <c r="A1043" s="22" t="s">
        <v>4403</v>
      </c>
      <c r="B1043" s="22" t="s">
        <v>4404</v>
      </c>
      <c r="C1043" s="22" t="s">
        <v>59</v>
      </c>
      <c r="D1043" s="22" t="s">
        <v>4219</v>
      </c>
      <c r="E1043" s="22" t="str">
        <f aca="false">IF(D1043="","",IFERROR(VLOOKUP(D1043,$A$2:$B$1656,2,FALSE()),""))</f>
        <v>Settlement and Environmental Archetypes</v>
      </c>
      <c r="F1043" s="22" t="n">
        <v>3</v>
      </c>
      <c r="G1043" s="22" t="s">
        <v>4405</v>
      </c>
      <c r="H1043" s="22" t="s">
        <v>4231</v>
      </c>
      <c r="I1043" s="22" t="s">
        <v>4406</v>
      </c>
      <c r="J1043" s="22" t="s">
        <v>4333</v>
      </c>
      <c r="K1043" s="22" t="s">
        <v>4406</v>
      </c>
      <c r="L1043" s="22" t="s">
        <v>184</v>
      </c>
      <c r="M1043" s="22" t="s">
        <v>253</v>
      </c>
    </row>
    <row r="1044" customFormat="false" ht="43.5" hidden="false" customHeight="true" outlineLevel="0" collapsed="false">
      <c r="A1044" s="22" t="s">
        <v>4407</v>
      </c>
      <c r="B1044" s="22" t="s">
        <v>4408</v>
      </c>
      <c r="C1044" s="22" t="s">
        <v>59</v>
      </c>
      <c r="D1044" s="22" t="s">
        <v>4219</v>
      </c>
      <c r="E1044" s="22" t="str">
        <f aca="false">IF(D1044="","",IFERROR(VLOOKUP(D1044,$A$2:$B$1656,2,FALSE()),""))</f>
        <v>Settlement and Environmental Archetypes</v>
      </c>
      <c r="F1044" s="22" t="n">
        <v>3</v>
      </c>
      <c r="G1044" s="22" t="s">
        <v>4409</v>
      </c>
      <c r="H1044" s="22" t="s">
        <v>4231</v>
      </c>
      <c r="I1044" s="22" t="s">
        <v>4410</v>
      </c>
      <c r="J1044" s="22" t="s">
        <v>4333</v>
      </c>
      <c r="K1044" s="22" t="s">
        <v>4410</v>
      </c>
      <c r="L1044" s="22" t="s">
        <v>184</v>
      </c>
      <c r="M1044" s="22" t="s">
        <v>253</v>
      </c>
    </row>
    <row r="1045" customFormat="false" ht="43.5" hidden="false" customHeight="true" outlineLevel="0" collapsed="false">
      <c r="A1045" s="22" t="s">
        <v>4411</v>
      </c>
      <c r="B1045" s="22" t="s">
        <v>4412</v>
      </c>
      <c r="C1045" s="22" t="s">
        <v>59</v>
      </c>
      <c r="D1045" s="22" t="s">
        <v>4219</v>
      </c>
      <c r="E1045" s="22" t="str">
        <f aca="false">IF(D1045="","",IFERROR(VLOOKUP(D1045,$A$2:$B$1656,2,FALSE()),""))</f>
        <v>Settlement and Environmental Archetypes</v>
      </c>
      <c r="F1045" s="22" t="n">
        <v>3</v>
      </c>
      <c r="G1045" s="22" t="s">
        <v>4413</v>
      </c>
      <c r="H1045" s="22" t="s">
        <v>4231</v>
      </c>
      <c r="I1045" s="22" t="s">
        <v>4414</v>
      </c>
      <c r="J1045" s="22" t="s">
        <v>4333</v>
      </c>
      <c r="K1045" s="22" t="s">
        <v>4414</v>
      </c>
      <c r="L1045" s="22" t="s">
        <v>184</v>
      </c>
      <c r="M1045" s="22" t="s">
        <v>253</v>
      </c>
    </row>
    <row r="1046" customFormat="false" ht="43.5" hidden="false" customHeight="true" outlineLevel="0" collapsed="false">
      <c r="A1046" s="22" t="s">
        <v>4415</v>
      </c>
      <c r="B1046" s="22" t="s">
        <v>4416</v>
      </c>
      <c r="C1046" s="22" t="s">
        <v>59</v>
      </c>
      <c r="D1046" s="22" t="s">
        <v>4219</v>
      </c>
      <c r="E1046" s="22" t="str">
        <f aca="false">IF(D1046="","",IFERROR(VLOOKUP(D1046,$A$2:$B$1656,2,FALSE()),""))</f>
        <v>Settlement and Environmental Archetypes</v>
      </c>
      <c r="F1046" s="22" t="n">
        <v>3</v>
      </c>
      <c r="G1046" s="22" t="s">
        <v>4417</v>
      </c>
      <c r="H1046" s="22" t="s">
        <v>4231</v>
      </c>
      <c r="I1046" s="22" t="s">
        <v>4418</v>
      </c>
      <c r="J1046" s="22" t="s">
        <v>4333</v>
      </c>
      <c r="K1046" s="22" t="s">
        <v>4418</v>
      </c>
      <c r="L1046" s="22" t="s">
        <v>184</v>
      </c>
      <c r="M1046" s="22" t="s">
        <v>253</v>
      </c>
    </row>
    <row r="1047" customFormat="false" ht="43.5" hidden="false" customHeight="true" outlineLevel="0" collapsed="false">
      <c r="A1047" s="22" t="s">
        <v>4419</v>
      </c>
      <c r="B1047" s="22" t="s">
        <v>4420</v>
      </c>
      <c r="C1047" s="22" t="s">
        <v>59</v>
      </c>
      <c r="D1047" s="22" t="s">
        <v>4219</v>
      </c>
      <c r="E1047" s="22" t="str">
        <f aca="false">IF(D1047="","",IFERROR(VLOOKUP(D1047,$A$2:$B$1656,2,FALSE()),""))</f>
        <v>Settlement and Environmental Archetypes</v>
      </c>
      <c r="F1047" s="22" t="n">
        <v>3</v>
      </c>
      <c r="G1047" s="22" t="s">
        <v>4421</v>
      </c>
      <c r="H1047" s="22" t="s">
        <v>4231</v>
      </c>
      <c r="I1047" s="22" t="s">
        <v>4422</v>
      </c>
      <c r="J1047" s="22" t="s">
        <v>4333</v>
      </c>
      <c r="K1047" s="22" t="s">
        <v>4422</v>
      </c>
      <c r="L1047" s="22" t="s">
        <v>184</v>
      </c>
      <c r="M1047" s="22" t="s">
        <v>253</v>
      </c>
    </row>
    <row r="1048" customFormat="false" ht="43.5" hidden="false" customHeight="true" outlineLevel="0" collapsed="false">
      <c r="A1048" s="22" t="s">
        <v>4423</v>
      </c>
      <c r="B1048" s="22" t="s">
        <v>4424</v>
      </c>
      <c r="C1048" s="22" t="s">
        <v>59</v>
      </c>
      <c r="D1048" s="22" t="s">
        <v>4219</v>
      </c>
      <c r="E1048" s="22" t="str">
        <f aca="false">IF(D1048="","",IFERROR(VLOOKUP(D1048,$A$2:$B$1656,2,FALSE()),""))</f>
        <v>Settlement and Environmental Archetypes</v>
      </c>
      <c r="F1048" s="22" t="n">
        <v>3</v>
      </c>
      <c r="G1048" s="22" t="s">
        <v>4425</v>
      </c>
      <c r="H1048" s="22" t="s">
        <v>4231</v>
      </c>
      <c r="I1048" s="22" t="s">
        <v>4426</v>
      </c>
      <c r="J1048" s="22" t="s">
        <v>4333</v>
      </c>
      <c r="K1048" s="22" t="s">
        <v>4426</v>
      </c>
      <c r="L1048" s="22" t="s">
        <v>184</v>
      </c>
      <c r="M1048" s="22" t="s">
        <v>253</v>
      </c>
    </row>
    <row r="1049" customFormat="false" ht="43.5" hidden="false" customHeight="true" outlineLevel="0" collapsed="false">
      <c r="A1049" s="22" t="s">
        <v>4427</v>
      </c>
      <c r="B1049" s="22" t="s">
        <v>4428</v>
      </c>
      <c r="C1049" s="22" t="s">
        <v>59</v>
      </c>
      <c r="D1049" s="22" t="s">
        <v>4219</v>
      </c>
      <c r="E1049" s="22" t="str">
        <f aca="false">IF(D1049="","",IFERROR(VLOOKUP(D1049,$A$2:$B$1656,2,FALSE()),""))</f>
        <v>Settlement and Environmental Archetypes</v>
      </c>
      <c r="F1049" s="22" t="n">
        <v>3</v>
      </c>
      <c r="G1049" s="22" t="s">
        <v>4429</v>
      </c>
      <c r="H1049" s="22" t="s">
        <v>4231</v>
      </c>
      <c r="I1049" s="22" t="s">
        <v>4430</v>
      </c>
      <c r="J1049" s="22" t="s">
        <v>4333</v>
      </c>
      <c r="K1049" s="22" t="s">
        <v>4430</v>
      </c>
      <c r="L1049" s="22" t="s">
        <v>184</v>
      </c>
      <c r="M1049" s="22" t="s">
        <v>253</v>
      </c>
    </row>
    <row r="1050" customFormat="false" ht="43.5" hidden="false" customHeight="true" outlineLevel="0" collapsed="false">
      <c r="A1050" s="22" t="s">
        <v>4431</v>
      </c>
      <c r="B1050" s="22" t="s">
        <v>4432</v>
      </c>
      <c r="C1050" s="22" t="s">
        <v>59</v>
      </c>
      <c r="D1050" s="22" t="s">
        <v>4222</v>
      </c>
      <c r="E1050" s="22" t="str">
        <f aca="false">IF(D1050="","",IFERROR(VLOOKUP(D1050,$A$2:$B$1656,2,FALSE()),""))</f>
        <v>Economic and Institutional Archetypes</v>
      </c>
      <c r="F1050" s="22" t="n">
        <v>3</v>
      </c>
      <c r="G1050" s="22" t="s">
        <v>4433</v>
      </c>
      <c r="H1050" s="22" t="s">
        <v>4231</v>
      </c>
      <c r="I1050" s="22" t="s">
        <v>4434</v>
      </c>
      <c r="J1050" s="22" t="s">
        <v>4435</v>
      </c>
      <c r="K1050" s="22" t="s">
        <v>4434</v>
      </c>
      <c r="L1050" s="22" t="s">
        <v>184</v>
      </c>
      <c r="M1050" s="22" t="s">
        <v>253</v>
      </c>
    </row>
    <row r="1051" customFormat="false" ht="43.5" hidden="false" customHeight="true" outlineLevel="0" collapsed="false">
      <c r="A1051" s="22" t="s">
        <v>4436</v>
      </c>
      <c r="B1051" s="22" t="s">
        <v>4437</v>
      </c>
      <c r="C1051" s="22" t="s">
        <v>59</v>
      </c>
      <c r="D1051" s="22" t="s">
        <v>4222</v>
      </c>
      <c r="E1051" s="22" t="str">
        <f aca="false">IF(D1051="","",IFERROR(VLOOKUP(D1051,$A$2:$B$1656,2,FALSE()),""))</f>
        <v>Economic and Institutional Archetypes</v>
      </c>
      <c r="F1051" s="22" t="n">
        <v>3</v>
      </c>
      <c r="G1051" s="22" t="s">
        <v>4438</v>
      </c>
      <c r="H1051" s="22" t="s">
        <v>4231</v>
      </c>
      <c r="I1051" s="22" t="s">
        <v>4439</v>
      </c>
      <c r="J1051" s="22" t="s">
        <v>4435</v>
      </c>
      <c r="K1051" s="22" t="s">
        <v>4439</v>
      </c>
      <c r="L1051" s="22" t="s">
        <v>184</v>
      </c>
      <c r="M1051" s="22" t="s">
        <v>253</v>
      </c>
    </row>
    <row r="1052" customFormat="false" ht="43.5" hidden="false" customHeight="true" outlineLevel="0" collapsed="false">
      <c r="A1052" s="22" t="s">
        <v>4440</v>
      </c>
      <c r="B1052" s="22" t="s">
        <v>4441</v>
      </c>
      <c r="C1052" s="22" t="s">
        <v>59</v>
      </c>
      <c r="D1052" s="22" t="s">
        <v>4222</v>
      </c>
      <c r="E1052" s="22" t="str">
        <f aca="false">IF(D1052="","",IFERROR(VLOOKUP(D1052,$A$2:$B$1656,2,FALSE()),""))</f>
        <v>Economic and Institutional Archetypes</v>
      </c>
      <c r="F1052" s="22" t="n">
        <v>3</v>
      </c>
      <c r="G1052" s="22" t="s">
        <v>4442</v>
      </c>
      <c r="H1052" s="22" t="s">
        <v>4231</v>
      </c>
      <c r="I1052" s="22" t="s">
        <v>4443</v>
      </c>
      <c r="J1052" s="22" t="s">
        <v>4435</v>
      </c>
      <c r="K1052" s="22" t="s">
        <v>4443</v>
      </c>
      <c r="L1052" s="22" t="s">
        <v>184</v>
      </c>
      <c r="M1052" s="22" t="s">
        <v>253</v>
      </c>
    </row>
    <row r="1053" customFormat="false" ht="43.5" hidden="false" customHeight="true" outlineLevel="0" collapsed="false">
      <c r="A1053" s="22" t="s">
        <v>4444</v>
      </c>
      <c r="B1053" s="22" t="s">
        <v>4445</v>
      </c>
      <c r="C1053" s="22" t="s">
        <v>59</v>
      </c>
      <c r="D1053" s="22" t="s">
        <v>4222</v>
      </c>
      <c r="E1053" s="22" t="str">
        <f aca="false">IF(D1053="","",IFERROR(VLOOKUP(D1053,$A$2:$B$1656,2,FALSE()),""))</f>
        <v>Economic and Institutional Archetypes</v>
      </c>
      <c r="F1053" s="22" t="n">
        <v>3</v>
      </c>
      <c r="G1053" s="22" t="s">
        <v>4446</v>
      </c>
      <c r="H1053" s="22" t="s">
        <v>4231</v>
      </c>
      <c r="I1053" s="22" t="s">
        <v>4447</v>
      </c>
      <c r="J1053" s="22" t="s">
        <v>4435</v>
      </c>
      <c r="K1053" s="22" t="s">
        <v>4447</v>
      </c>
      <c r="L1053" s="22" t="s">
        <v>184</v>
      </c>
      <c r="M1053" s="22" t="s">
        <v>253</v>
      </c>
    </row>
    <row r="1054" customFormat="false" ht="43.5" hidden="false" customHeight="true" outlineLevel="0" collapsed="false">
      <c r="A1054" s="22" t="s">
        <v>4448</v>
      </c>
      <c r="B1054" s="22" t="s">
        <v>4449</v>
      </c>
      <c r="C1054" s="22" t="s">
        <v>59</v>
      </c>
      <c r="D1054" s="22" t="s">
        <v>4222</v>
      </c>
      <c r="E1054" s="22" t="str">
        <f aca="false">IF(D1054="","",IFERROR(VLOOKUP(D1054,$A$2:$B$1656,2,FALSE()),""))</f>
        <v>Economic and Institutional Archetypes</v>
      </c>
      <c r="F1054" s="22" t="n">
        <v>3</v>
      </c>
      <c r="G1054" s="22" t="s">
        <v>4450</v>
      </c>
      <c r="H1054" s="22" t="s">
        <v>4231</v>
      </c>
      <c r="I1054" s="22" t="s">
        <v>4451</v>
      </c>
      <c r="J1054" s="22" t="s">
        <v>4435</v>
      </c>
      <c r="K1054" s="22" t="s">
        <v>4451</v>
      </c>
      <c r="L1054" s="22" t="s">
        <v>184</v>
      </c>
      <c r="M1054" s="22" t="s">
        <v>253</v>
      </c>
    </row>
    <row r="1055" customFormat="false" ht="43.5" hidden="false" customHeight="true" outlineLevel="0" collapsed="false">
      <c r="A1055" s="22" t="s">
        <v>4452</v>
      </c>
      <c r="B1055" s="22" t="s">
        <v>4453</v>
      </c>
      <c r="C1055" s="22" t="s">
        <v>59</v>
      </c>
      <c r="D1055" s="22" t="s">
        <v>4222</v>
      </c>
      <c r="E1055" s="22" t="str">
        <f aca="false">IF(D1055="","",IFERROR(VLOOKUP(D1055,$A$2:$B$1656,2,FALSE()),""))</f>
        <v>Economic and Institutional Archetypes</v>
      </c>
      <c r="F1055" s="22" t="n">
        <v>3</v>
      </c>
      <c r="G1055" s="22" t="s">
        <v>4454</v>
      </c>
      <c r="H1055" s="22" t="s">
        <v>4231</v>
      </c>
      <c r="I1055" s="22" t="s">
        <v>4455</v>
      </c>
      <c r="J1055" s="22" t="s">
        <v>4435</v>
      </c>
      <c r="K1055" s="22" t="s">
        <v>4455</v>
      </c>
      <c r="L1055" s="22" t="s">
        <v>184</v>
      </c>
      <c r="M1055" s="22" t="s">
        <v>253</v>
      </c>
    </row>
    <row r="1056" customFormat="false" ht="43.5" hidden="false" customHeight="true" outlineLevel="0" collapsed="false">
      <c r="A1056" s="22" t="s">
        <v>4456</v>
      </c>
      <c r="B1056" s="22" t="s">
        <v>4457</v>
      </c>
      <c r="C1056" s="22" t="s">
        <v>59</v>
      </c>
      <c r="D1056" s="22" t="s">
        <v>4222</v>
      </c>
      <c r="E1056" s="22" t="str">
        <f aca="false">IF(D1056="","",IFERROR(VLOOKUP(D1056,$A$2:$B$1656,2,FALSE()),""))</f>
        <v>Economic and Institutional Archetypes</v>
      </c>
      <c r="F1056" s="22" t="n">
        <v>3</v>
      </c>
      <c r="G1056" s="22" t="s">
        <v>4458</v>
      </c>
      <c r="H1056" s="22" t="s">
        <v>4231</v>
      </c>
      <c r="I1056" s="22" t="s">
        <v>4459</v>
      </c>
      <c r="J1056" s="22" t="s">
        <v>4435</v>
      </c>
      <c r="K1056" s="22" t="s">
        <v>4459</v>
      </c>
      <c r="L1056" s="22" t="s">
        <v>184</v>
      </c>
      <c r="M1056" s="22" t="s">
        <v>253</v>
      </c>
    </row>
    <row r="1057" customFormat="false" ht="43.5" hidden="false" customHeight="true" outlineLevel="0" collapsed="false">
      <c r="A1057" s="22" t="s">
        <v>4460</v>
      </c>
      <c r="B1057" s="22" t="s">
        <v>4461</v>
      </c>
      <c r="C1057" s="22" t="s">
        <v>59</v>
      </c>
      <c r="D1057" s="22" t="s">
        <v>4222</v>
      </c>
      <c r="E1057" s="22" t="str">
        <f aca="false">IF(D1057="","",IFERROR(VLOOKUP(D1057,$A$2:$B$1656,2,FALSE()),""))</f>
        <v>Economic and Institutional Archetypes</v>
      </c>
      <c r="F1057" s="22" t="n">
        <v>3</v>
      </c>
      <c r="G1057" s="22" t="s">
        <v>4462</v>
      </c>
      <c r="H1057" s="22" t="s">
        <v>4231</v>
      </c>
      <c r="I1057" s="22" t="s">
        <v>4463</v>
      </c>
      <c r="J1057" s="22" t="s">
        <v>4435</v>
      </c>
      <c r="K1057" s="22" t="s">
        <v>4463</v>
      </c>
      <c r="L1057" s="22" t="s">
        <v>184</v>
      </c>
      <c r="M1057" s="22" t="s">
        <v>253</v>
      </c>
    </row>
    <row r="1058" customFormat="false" ht="43.5" hidden="false" customHeight="true" outlineLevel="0" collapsed="false">
      <c r="A1058" s="22" t="s">
        <v>4464</v>
      </c>
      <c r="B1058" s="22" t="s">
        <v>4465</v>
      </c>
      <c r="C1058" s="22" t="s">
        <v>59</v>
      </c>
      <c r="D1058" s="22" t="s">
        <v>4222</v>
      </c>
      <c r="E1058" s="22" t="str">
        <f aca="false">IF(D1058="","",IFERROR(VLOOKUP(D1058,$A$2:$B$1656,2,FALSE()),""))</f>
        <v>Economic and Institutional Archetypes</v>
      </c>
      <c r="F1058" s="22" t="n">
        <v>3</v>
      </c>
      <c r="G1058" s="22" t="s">
        <v>4466</v>
      </c>
      <c r="H1058" s="22" t="s">
        <v>4231</v>
      </c>
      <c r="I1058" s="22" t="s">
        <v>4467</v>
      </c>
      <c r="J1058" s="22" t="s">
        <v>4435</v>
      </c>
      <c r="K1058" s="22" t="s">
        <v>4467</v>
      </c>
      <c r="L1058" s="22" t="s">
        <v>184</v>
      </c>
      <c r="M1058" s="22" t="s">
        <v>253</v>
      </c>
    </row>
    <row r="1059" customFormat="false" ht="43.5" hidden="false" customHeight="true" outlineLevel="0" collapsed="false">
      <c r="A1059" s="22" t="s">
        <v>4468</v>
      </c>
      <c r="B1059" s="22" t="s">
        <v>4469</v>
      </c>
      <c r="C1059" s="22" t="s">
        <v>59</v>
      </c>
      <c r="D1059" s="22" t="s">
        <v>4222</v>
      </c>
      <c r="E1059" s="22" t="str">
        <f aca="false">IF(D1059="","",IFERROR(VLOOKUP(D1059,$A$2:$B$1656,2,FALSE()),""))</f>
        <v>Economic and Institutional Archetypes</v>
      </c>
      <c r="F1059" s="22" t="n">
        <v>3</v>
      </c>
      <c r="G1059" s="22" t="s">
        <v>4470</v>
      </c>
      <c r="H1059" s="22" t="s">
        <v>4231</v>
      </c>
      <c r="I1059" s="22" t="s">
        <v>4471</v>
      </c>
      <c r="J1059" s="22" t="s">
        <v>4435</v>
      </c>
      <c r="K1059" s="22" t="s">
        <v>4471</v>
      </c>
      <c r="L1059" s="22" t="s">
        <v>184</v>
      </c>
      <c r="M1059" s="22" t="s">
        <v>253</v>
      </c>
    </row>
    <row r="1060" customFormat="false" ht="43.5" hidden="false" customHeight="true" outlineLevel="0" collapsed="false">
      <c r="A1060" s="22" t="s">
        <v>4472</v>
      </c>
      <c r="B1060" s="22" t="s">
        <v>4473</v>
      </c>
      <c r="C1060" s="22" t="s">
        <v>59</v>
      </c>
      <c r="D1060" s="22" t="s">
        <v>4222</v>
      </c>
      <c r="E1060" s="22" t="str">
        <f aca="false">IF(D1060="","",IFERROR(VLOOKUP(D1060,$A$2:$B$1656,2,FALSE()),""))</f>
        <v>Economic and Institutional Archetypes</v>
      </c>
      <c r="F1060" s="22" t="n">
        <v>3</v>
      </c>
      <c r="G1060" s="22" t="s">
        <v>4474</v>
      </c>
      <c r="H1060" s="22" t="s">
        <v>4231</v>
      </c>
      <c r="I1060" s="22" t="s">
        <v>4475</v>
      </c>
      <c r="J1060" s="22" t="s">
        <v>4435</v>
      </c>
      <c r="K1060" s="22" t="s">
        <v>4475</v>
      </c>
      <c r="L1060" s="22" t="s">
        <v>184</v>
      </c>
      <c r="M1060" s="22" t="s">
        <v>253</v>
      </c>
    </row>
    <row r="1061" customFormat="false" ht="43.5" hidden="false" customHeight="true" outlineLevel="0" collapsed="false">
      <c r="A1061" s="22" t="s">
        <v>4476</v>
      </c>
      <c r="B1061" s="22" t="s">
        <v>4477</v>
      </c>
      <c r="C1061" s="22" t="s">
        <v>59</v>
      </c>
      <c r="D1061" s="22" t="s">
        <v>4222</v>
      </c>
      <c r="E1061" s="22" t="str">
        <f aca="false">IF(D1061="","",IFERROR(VLOOKUP(D1061,$A$2:$B$1656,2,FALSE()),""))</f>
        <v>Economic and Institutional Archetypes</v>
      </c>
      <c r="F1061" s="22" t="n">
        <v>3</v>
      </c>
      <c r="G1061" s="22" t="s">
        <v>4478</v>
      </c>
      <c r="H1061" s="22" t="s">
        <v>4231</v>
      </c>
      <c r="I1061" s="22" t="s">
        <v>4479</v>
      </c>
      <c r="J1061" s="22" t="s">
        <v>4435</v>
      </c>
      <c r="K1061" s="22" t="s">
        <v>4479</v>
      </c>
      <c r="L1061" s="22" t="s">
        <v>184</v>
      </c>
      <c r="M1061" s="22" t="s">
        <v>253</v>
      </c>
    </row>
    <row r="1062" customFormat="false" ht="43.5" hidden="false" customHeight="true" outlineLevel="0" collapsed="false">
      <c r="A1062" s="22" t="s">
        <v>4480</v>
      </c>
      <c r="B1062" s="22" t="s">
        <v>4481</v>
      </c>
      <c r="C1062" s="22" t="s">
        <v>59</v>
      </c>
      <c r="D1062" s="22" t="s">
        <v>4222</v>
      </c>
      <c r="E1062" s="22" t="str">
        <f aca="false">IF(D1062="","",IFERROR(VLOOKUP(D1062,$A$2:$B$1656,2,FALSE()),""))</f>
        <v>Economic and Institutional Archetypes</v>
      </c>
      <c r="F1062" s="22" t="n">
        <v>3</v>
      </c>
      <c r="G1062" s="22" t="s">
        <v>4482</v>
      </c>
      <c r="H1062" s="22" t="s">
        <v>4231</v>
      </c>
      <c r="I1062" s="22" t="s">
        <v>4483</v>
      </c>
      <c r="J1062" s="22" t="s">
        <v>4435</v>
      </c>
      <c r="K1062" s="22" t="s">
        <v>4483</v>
      </c>
      <c r="L1062" s="22" t="s">
        <v>184</v>
      </c>
      <c r="M1062" s="22" t="s">
        <v>253</v>
      </c>
    </row>
    <row r="1063" customFormat="false" ht="43.5" hidden="false" customHeight="true" outlineLevel="0" collapsed="false">
      <c r="A1063" s="22" t="s">
        <v>4484</v>
      </c>
      <c r="B1063" s="22" t="s">
        <v>4485</v>
      </c>
      <c r="C1063" s="22" t="s">
        <v>59</v>
      </c>
      <c r="D1063" s="22" t="s">
        <v>4222</v>
      </c>
      <c r="E1063" s="22" t="str">
        <f aca="false">IF(D1063="","",IFERROR(VLOOKUP(D1063,$A$2:$B$1656,2,FALSE()),""))</f>
        <v>Economic and Institutional Archetypes</v>
      </c>
      <c r="F1063" s="22" t="n">
        <v>3</v>
      </c>
      <c r="G1063" s="22" t="s">
        <v>4486</v>
      </c>
      <c r="H1063" s="22" t="s">
        <v>4231</v>
      </c>
      <c r="I1063" s="22" t="s">
        <v>4487</v>
      </c>
      <c r="J1063" s="22" t="s">
        <v>4435</v>
      </c>
      <c r="K1063" s="22" t="s">
        <v>4487</v>
      </c>
      <c r="L1063" s="22" t="s">
        <v>184</v>
      </c>
      <c r="M1063" s="22" t="s">
        <v>253</v>
      </c>
    </row>
    <row r="1064" customFormat="false" ht="43.5" hidden="false" customHeight="true" outlineLevel="0" collapsed="false">
      <c r="A1064" s="22" t="s">
        <v>4488</v>
      </c>
      <c r="B1064" s="22" t="s">
        <v>4489</v>
      </c>
      <c r="C1064" s="22" t="s">
        <v>59</v>
      </c>
      <c r="D1064" s="22" t="s">
        <v>4222</v>
      </c>
      <c r="E1064" s="22" t="str">
        <f aca="false">IF(D1064="","",IFERROR(VLOOKUP(D1064,$A$2:$B$1656,2,FALSE()),""))</f>
        <v>Economic and Institutional Archetypes</v>
      </c>
      <c r="F1064" s="22" t="n">
        <v>3</v>
      </c>
      <c r="G1064" s="22" t="s">
        <v>4490</v>
      </c>
      <c r="H1064" s="22" t="s">
        <v>4231</v>
      </c>
      <c r="I1064" s="22" t="s">
        <v>4491</v>
      </c>
      <c r="J1064" s="22" t="s">
        <v>4435</v>
      </c>
      <c r="K1064" s="22" t="s">
        <v>4491</v>
      </c>
      <c r="L1064" s="22" t="s">
        <v>184</v>
      </c>
      <c r="M1064" s="22" t="s">
        <v>253</v>
      </c>
    </row>
    <row r="1065" customFormat="false" ht="43.5" hidden="false" customHeight="true" outlineLevel="0" collapsed="false">
      <c r="A1065" s="22" t="s">
        <v>4492</v>
      </c>
      <c r="B1065" s="22" t="s">
        <v>4493</v>
      </c>
      <c r="C1065" s="22" t="s">
        <v>59</v>
      </c>
      <c r="D1065" s="22" t="s">
        <v>4222</v>
      </c>
      <c r="E1065" s="22" t="str">
        <f aca="false">IF(D1065="","",IFERROR(VLOOKUP(D1065,$A$2:$B$1656,2,FALSE()),""))</f>
        <v>Economic and Institutional Archetypes</v>
      </c>
      <c r="F1065" s="22" t="n">
        <v>3</v>
      </c>
      <c r="G1065" s="22" t="s">
        <v>4494</v>
      </c>
      <c r="H1065" s="22" t="s">
        <v>4231</v>
      </c>
      <c r="I1065" s="22" t="s">
        <v>4495</v>
      </c>
      <c r="J1065" s="22" t="s">
        <v>4435</v>
      </c>
      <c r="K1065" s="22" t="s">
        <v>4495</v>
      </c>
      <c r="L1065" s="22" t="s">
        <v>184</v>
      </c>
      <c r="M1065" s="22" t="s">
        <v>253</v>
      </c>
    </row>
    <row r="1066" customFormat="false" ht="43.5" hidden="false" customHeight="true" outlineLevel="0" collapsed="false">
      <c r="A1066" s="22" t="s">
        <v>4496</v>
      </c>
      <c r="B1066" s="22" t="s">
        <v>4497</v>
      </c>
      <c r="C1066" s="22" t="s">
        <v>59</v>
      </c>
      <c r="D1066" s="22" t="s">
        <v>4222</v>
      </c>
      <c r="E1066" s="22" t="str">
        <f aca="false">IF(D1066="","",IFERROR(VLOOKUP(D1066,$A$2:$B$1656,2,FALSE()),""))</f>
        <v>Economic and Institutional Archetypes</v>
      </c>
      <c r="F1066" s="22" t="n">
        <v>3</v>
      </c>
      <c r="G1066" s="22" t="s">
        <v>4498</v>
      </c>
      <c r="H1066" s="22" t="s">
        <v>4231</v>
      </c>
      <c r="I1066" s="22" t="s">
        <v>4499</v>
      </c>
      <c r="J1066" s="22" t="s">
        <v>4435</v>
      </c>
      <c r="K1066" s="22" t="s">
        <v>4499</v>
      </c>
      <c r="L1066" s="22" t="s">
        <v>184</v>
      </c>
      <c r="M1066" s="22" t="s">
        <v>253</v>
      </c>
    </row>
    <row r="1067" customFormat="false" ht="43.5" hidden="false" customHeight="true" outlineLevel="0" collapsed="false">
      <c r="A1067" s="22" t="s">
        <v>4500</v>
      </c>
      <c r="B1067" s="22" t="s">
        <v>4501</v>
      </c>
      <c r="C1067" s="22" t="s">
        <v>59</v>
      </c>
      <c r="D1067" s="22" t="s">
        <v>4222</v>
      </c>
      <c r="E1067" s="22" t="str">
        <f aca="false">IF(D1067="","",IFERROR(VLOOKUP(D1067,$A$2:$B$1656,2,FALSE()),""))</f>
        <v>Economic and Institutional Archetypes</v>
      </c>
      <c r="F1067" s="22" t="n">
        <v>3</v>
      </c>
      <c r="G1067" s="22" t="s">
        <v>4502</v>
      </c>
      <c r="H1067" s="22" t="s">
        <v>4231</v>
      </c>
      <c r="I1067" s="22" t="s">
        <v>4503</v>
      </c>
      <c r="J1067" s="22" t="s">
        <v>4435</v>
      </c>
      <c r="K1067" s="22" t="s">
        <v>4503</v>
      </c>
      <c r="L1067" s="22" t="s">
        <v>184</v>
      </c>
      <c r="M1067" s="22" t="s">
        <v>253</v>
      </c>
    </row>
    <row r="1068" customFormat="false" ht="43.5" hidden="false" customHeight="true" outlineLevel="0" collapsed="false">
      <c r="A1068" s="22" t="s">
        <v>4504</v>
      </c>
      <c r="B1068" s="22" t="s">
        <v>4505</v>
      </c>
      <c r="C1068" s="22" t="s">
        <v>59</v>
      </c>
      <c r="D1068" s="22" t="s">
        <v>4222</v>
      </c>
      <c r="E1068" s="22" t="str">
        <f aca="false">IF(D1068="","",IFERROR(VLOOKUP(D1068,$A$2:$B$1656,2,FALSE()),""))</f>
        <v>Economic and Institutional Archetypes</v>
      </c>
      <c r="F1068" s="22" t="n">
        <v>3</v>
      </c>
      <c r="G1068" s="22" t="s">
        <v>4506</v>
      </c>
      <c r="H1068" s="22" t="s">
        <v>4231</v>
      </c>
      <c r="I1068" s="22" t="s">
        <v>4507</v>
      </c>
      <c r="J1068" s="22" t="s">
        <v>4435</v>
      </c>
      <c r="K1068" s="22" t="s">
        <v>4507</v>
      </c>
      <c r="L1068" s="22" t="s">
        <v>184</v>
      </c>
      <c r="M1068" s="22" t="s">
        <v>253</v>
      </c>
    </row>
    <row r="1069" customFormat="false" ht="43.5" hidden="false" customHeight="true" outlineLevel="0" collapsed="false">
      <c r="A1069" s="22" t="s">
        <v>4508</v>
      </c>
      <c r="B1069" s="22" t="s">
        <v>4509</v>
      </c>
      <c r="C1069" s="22" t="s">
        <v>59</v>
      </c>
      <c r="D1069" s="22" t="s">
        <v>4222</v>
      </c>
      <c r="E1069" s="22" t="str">
        <f aca="false">IF(D1069="","",IFERROR(VLOOKUP(D1069,$A$2:$B$1656,2,FALSE()),""))</f>
        <v>Economic and Institutional Archetypes</v>
      </c>
      <c r="F1069" s="22" t="n">
        <v>3</v>
      </c>
      <c r="G1069" s="22" t="s">
        <v>4510</v>
      </c>
      <c r="H1069" s="22" t="s">
        <v>4231</v>
      </c>
      <c r="I1069" s="22" t="s">
        <v>4511</v>
      </c>
      <c r="J1069" s="22" t="s">
        <v>4435</v>
      </c>
      <c r="K1069" s="22" t="s">
        <v>4511</v>
      </c>
      <c r="L1069" s="22" t="s">
        <v>184</v>
      </c>
      <c r="M1069" s="22" t="s">
        <v>253</v>
      </c>
    </row>
    <row r="1070" customFormat="false" ht="43.5" hidden="false" customHeight="true" outlineLevel="0" collapsed="false">
      <c r="A1070" s="22" t="s">
        <v>4512</v>
      </c>
      <c r="B1070" s="22" t="s">
        <v>4513</v>
      </c>
      <c r="C1070" s="22" t="s">
        <v>59</v>
      </c>
      <c r="D1070" s="22" t="s">
        <v>4222</v>
      </c>
      <c r="E1070" s="22" t="str">
        <f aca="false">IF(D1070="","",IFERROR(VLOOKUP(D1070,$A$2:$B$1656,2,FALSE()),""))</f>
        <v>Economic and Institutional Archetypes</v>
      </c>
      <c r="F1070" s="22" t="n">
        <v>3</v>
      </c>
      <c r="G1070" s="22" t="s">
        <v>4514</v>
      </c>
      <c r="H1070" s="22" t="s">
        <v>4231</v>
      </c>
      <c r="I1070" s="22" t="s">
        <v>4515</v>
      </c>
      <c r="J1070" s="22" t="s">
        <v>4435</v>
      </c>
      <c r="K1070" s="22" t="s">
        <v>4515</v>
      </c>
      <c r="L1070" s="22" t="s">
        <v>184</v>
      </c>
      <c r="M1070" s="22" t="s">
        <v>253</v>
      </c>
    </row>
    <row r="1071" customFormat="false" ht="43.5" hidden="false" customHeight="true" outlineLevel="0" collapsed="false">
      <c r="A1071" s="22" t="s">
        <v>4516</v>
      </c>
      <c r="B1071" s="22" t="s">
        <v>4517</v>
      </c>
      <c r="C1071" s="22" t="s">
        <v>59</v>
      </c>
      <c r="D1071" s="22" t="s">
        <v>4222</v>
      </c>
      <c r="E1071" s="22" t="str">
        <f aca="false">IF(D1071="","",IFERROR(VLOOKUP(D1071,$A$2:$B$1656,2,FALSE()),""))</f>
        <v>Economic and Institutional Archetypes</v>
      </c>
      <c r="F1071" s="22" t="n">
        <v>3</v>
      </c>
      <c r="G1071" s="22" t="s">
        <v>4518</v>
      </c>
      <c r="H1071" s="22" t="s">
        <v>4231</v>
      </c>
      <c r="I1071" s="22" t="s">
        <v>4519</v>
      </c>
      <c r="J1071" s="22" t="s">
        <v>4435</v>
      </c>
      <c r="K1071" s="22" t="s">
        <v>4519</v>
      </c>
      <c r="L1071" s="22" t="s">
        <v>184</v>
      </c>
      <c r="M1071" s="22" t="s">
        <v>253</v>
      </c>
    </row>
    <row r="1072" customFormat="false" ht="43.5" hidden="false" customHeight="true" outlineLevel="0" collapsed="false">
      <c r="A1072" s="22" t="s">
        <v>4520</v>
      </c>
      <c r="B1072" s="22" t="s">
        <v>4521</v>
      </c>
      <c r="C1072" s="22" t="s">
        <v>59</v>
      </c>
      <c r="D1072" s="22" t="s">
        <v>4225</v>
      </c>
      <c r="E1072" s="22" t="str">
        <f aca="false">IF(D1072="","",IFERROR(VLOOKUP(D1072,$A$2:$B$1656,2,FALSE()),""))</f>
        <v>Historical and Ideological Archetypes</v>
      </c>
      <c r="F1072" s="22" t="n">
        <v>3</v>
      </c>
      <c r="G1072" s="22" t="s">
        <v>4522</v>
      </c>
      <c r="H1072" s="22" t="s">
        <v>4231</v>
      </c>
      <c r="I1072" s="22" t="s">
        <v>4523</v>
      </c>
      <c r="J1072" s="22" t="s">
        <v>4524</v>
      </c>
      <c r="K1072" s="22" t="s">
        <v>4523</v>
      </c>
      <c r="L1072" s="22" t="s">
        <v>184</v>
      </c>
      <c r="M1072" s="22" t="s">
        <v>253</v>
      </c>
    </row>
    <row r="1073" customFormat="false" ht="43.5" hidden="false" customHeight="true" outlineLevel="0" collapsed="false">
      <c r="A1073" s="22" t="s">
        <v>4525</v>
      </c>
      <c r="B1073" s="22" t="s">
        <v>4526</v>
      </c>
      <c r="C1073" s="22" t="s">
        <v>59</v>
      </c>
      <c r="D1073" s="22" t="s">
        <v>4225</v>
      </c>
      <c r="E1073" s="22" t="str">
        <f aca="false">IF(D1073="","",IFERROR(VLOOKUP(D1073,$A$2:$B$1656,2,FALSE()),""))</f>
        <v>Historical and Ideological Archetypes</v>
      </c>
      <c r="F1073" s="22" t="n">
        <v>3</v>
      </c>
      <c r="G1073" s="22" t="s">
        <v>4527</v>
      </c>
      <c r="H1073" s="22" t="s">
        <v>4231</v>
      </c>
      <c r="I1073" s="22" t="s">
        <v>4528</v>
      </c>
      <c r="J1073" s="22" t="s">
        <v>4524</v>
      </c>
      <c r="K1073" s="22" t="s">
        <v>4528</v>
      </c>
      <c r="L1073" s="22" t="s">
        <v>184</v>
      </c>
      <c r="M1073" s="22" t="s">
        <v>253</v>
      </c>
    </row>
    <row r="1074" customFormat="false" ht="43.5" hidden="false" customHeight="true" outlineLevel="0" collapsed="false">
      <c r="A1074" s="22" t="s">
        <v>4529</v>
      </c>
      <c r="B1074" s="22" t="s">
        <v>4530</v>
      </c>
      <c r="C1074" s="22" t="s">
        <v>59</v>
      </c>
      <c r="D1074" s="22" t="s">
        <v>4225</v>
      </c>
      <c r="E1074" s="22" t="str">
        <f aca="false">IF(D1074="","",IFERROR(VLOOKUP(D1074,$A$2:$B$1656,2,FALSE()),""))</f>
        <v>Historical and Ideological Archetypes</v>
      </c>
      <c r="F1074" s="22" t="n">
        <v>3</v>
      </c>
      <c r="G1074" s="22" t="s">
        <v>4531</v>
      </c>
      <c r="H1074" s="22" t="s">
        <v>4231</v>
      </c>
      <c r="I1074" s="22" t="s">
        <v>4532</v>
      </c>
      <c r="J1074" s="22" t="s">
        <v>4524</v>
      </c>
      <c r="K1074" s="22" t="s">
        <v>4532</v>
      </c>
      <c r="L1074" s="22" t="s">
        <v>184</v>
      </c>
      <c r="M1074" s="22" t="s">
        <v>253</v>
      </c>
    </row>
    <row r="1075" customFormat="false" ht="43.5" hidden="false" customHeight="true" outlineLevel="0" collapsed="false">
      <c r="A1075" s="22" t="s">
        <v>4533</v>
      </c>
      <c r="B1075" s="22" t="s">
        <v>4534</v>
      </c>
      <c r="C1075" s="22" t="s">
        <v>59</v>
      </c>
      <c r="D1075" s="22" t="s">
        <v>4225</v>
      </c>
      <c r="E1075" s="22" t="str">
        <f aca="false">IF(D1075="","",IFERROR(VLOOKUP(D1075,$A$2:$B$1656,2,FALSE()),""))</f>
        <v>Historical and Ideological Archetypes</v>
      </c>
      <c r="F1075" s="22" t="n">
        <v>3</v>
      </c>
      <c r="G1075" s="22" t="s">
        <v>4535</v>
      </c>
      <c r="H1075" s="22" t="s">
        <v>4231</v>
      </c>
      <c r="I1075" s="22" t="s">
        <v>4536</v>
      </c>
      <c r="J1075" s="22" t="s">
        <v>4524</v>
      </c>
      <c r="K1075" s="22" t="s">
        <v>4536</v>
      </c>
      <c r="L1075" s="22" t="s">
        <v>184</v>
      </c>
      <c r="M1075" s="22" t="s">
        <v>253</v>
      </c>
    </row>
    <row r="1076" customFormat="false" ht="43.5" hidden="false" customHeight="true" outlineLevel="0" collapsed="false">
      <c r="A1076" s="22" t="s">
        <v>4537</v>
      </c>
      <c r="B1076" s="22" t="s">
        <v>4538</v>
      </c>
      <c r="C1076" s="22" t="s">
        <v>59</v>
      </c>
      <c r="D1076" s="22" t="s">
        <v>4225</v>
      </c>
      <c r="E1076" s="22" t="str">
        <f aca="false">IF(D1076="","",IFERROR(VLOOKUP(D1076,$A$2:$B$1656,2,FALSE()),""))</f>
        <v>Historical and Ideological Archetypes</v>
      </c>
      <c r="F1076" s="22" t="n">
        <v>3</v>
      </c>
      <c r="G1076" s="22" t="s">
        <v>4539</v>
      </c>
      <c r="H1076" s="22" t="s">
        <v>4231</v>
      </c>
      <c r="I1076" s="22" t="s">
        <v>4540</v>
      </c>
      <c r="J1076" s="22" t="s">
        <v>4524</v>
      </c>
      <c r="K1076" s="22" t="s">
        <v>4540</v>
      </c>
      <c r="L1076" s="22" t="s">
        <v>184</v>
      </c>
      <c r="M1076" s="22" t="s">
        <v>253</v>
      </c>
    </row>
    <row r="1077" customFormat="false" ht="43.5" hidden="false" customHeight="true" outlineLevel="0" collapsed="false">
      <c r="A1077" s="22" t="s">
        <v>4541</v>
      </c>
      <c r="B1077" s="22" t="s">
        <v>4542</v>
      </c>
      <c r="C1077" s="22" t="s">
        <v>59</v>
      </c>
      <c r="D1077" s="22" t="s">
        <v>4225</v>
      </c>
      <c r="E1077" s="22" t="str">
        <f aca="false">IF(D1077="","",IFERROR(VLOOKUP(D1077,$A$2:$B$1656,2,FALSE()),""))</f>
        <v>Historical and Ideological Archetypes</v>
      </c>
      <c r="F1077" s="22" t="n">
        <v>3</v>
      </c>
      <c r="G1077" s="22" t="s">
        <v>4543</v>
      </c>
      <c r="H1077" s="22" t="s">
        <v>4231</v>
      </c>
      <c r="I1077" s="22" t="s">
        <v>4544</v>
      </c>
      <c r="J1077" s="22" t="s">
        <v>4524</v>
      </c>
      <c r="K1077" s="22" t="s">
        <v>4544</v>
      </c>
      <c r="L1077" s="22" t="s">
        <v>184</v>
      </c>
      <c r="M1077" s="22" t="s">
        <v>253</v>
      </c>
    </row>
    <row r="1078" customFormat="false" ht="43.5" hidden="false" customHeight="true" outlineLevel="0" collapsed="false">
      <c r="A1078" s="22" t="s">
        <v>4545</v>
      </c>
      <c r="B1078" s="22" t="s">
        <v>4546</v>
      </c>
      <c r="C1078" s="22" t="s">
        <v>59</v>
      </c>
      <c r="D1078" s="22" t="s">
        <v>4225</v>
      </c>
      <c r="E1078" s="22" t="str">
        <f aca="false">IF(D1078="","",IFERROR(VLOOKUP(D1078,$A$2:$B$1656,2,FALSE()),""))</f>
        <v>Historical and Ideological Archetypes</v>
      </c>
      <c r="F1078" s="22" t="n">
        <v>3</v>
      </c>
      <c r="G1078" s="22" t="s">
        <v>4547</v>
      </c>
      <c r="H1078" s="22" t="s">
        <v>4231</v>
      </c>
      <c r="I1078" s="22" t="s">
        <v>4548</v>
      </c>
      <c r="J1078" s="22" t="s">
        <v>4524</v>
      </c>
      <c r="K1078" s="22" t="s">
        <v>4548</v>
      </c>
      <c r="L1078" s="22" t="s">
        <v>184</v>
      </c>
      <c r="M1078" s="22" t="s">
        <v>253</v>
      </c>
    </row>
    <row r="1079" customFormat="false" ht="43.5" hidden="false" customHeight="true" outlineLevel="0" collapsed="false">
      <c r="A1079" s="22" t="s">
        <v>4549</v>
      </c>
      <c r="B1079" s="22" t="s">
        <v>4550</v>
      </c>
      <c r="C1079" s="22" t="s">
        <v>59</v>
      </c>
      <c r="D1079" s="22" t="s">
        <v>4225</v>
      </c>
      <c r="E1079" s="22" t="str">
        <f aca="false">IF(D1079="","",IFERROR(VLOOKUP(D1079,$A$2:$B$1656,2,FALSE()),""))</f>
        <v>Historical and Ideological Archetypes</v>
      </c>
      <c r="F1079" s="22" t="n">
        <v>3</v>
      </c>
      <c r="G1079" s="22" t="s">
        <v>4551</v>
      </c>
      <c r="H1079" s="22" t="s">
        <v>4231</v>
      </c>
      <c r="I1079" s="22" t="s">
        <v>4552</v>
      </c>
      <c r="J1079" s="22" t="s">
        <v>4524</v>
      </c>
      <c r="K1079" s="22" t="s">
        <v>4552</v>
      </c>
      <c r="L1079" s="22" t="s">
        <v>184</v>
      </c>
      <c r="M1079" s="22" t="s">
        <v>253</v>
      </c>
    </row>
    <row r="1080" customFormat="false" ht="43.5" hidden="false" customHeight="true" outlineLevel="0" collapsed="false">
      <c r="A1080" s="22" t="s">
        <v>4553</v>
      </c>
      <c r="B1080" s="22" t="s">
        <v>4554</v>
      </c>
      <c r="C1080" s="22" t="s">
        <v>59</v>
      </c>
      <c r="D1080" s="22" t="s">
        <v>4225</v>
      </c>
      <c r="E1080" s="22" t="str">
        <f aca="false">IF(D1080="","",IFERROR(VLOOKUP(D1080,$A$2:$B$1656,2,FALSE()),""))</f>
        <v>Historical and Ideological Archetypes</v>
      </c>
      <c r="F1080" s="22" t="n">
        <v>3</v>
      </c>
      <c r="G1080" s="22" t="s">
        <v>4555</v>
      </c>
      <c r="H1080" s="22" t="s">
        <v>4231</v>
      </c>
      <c r="I1080" s="22" t="s">
        <v>4556</v>
      </c>
      <c r="J1080" s="22" t="s">
        <v>4524</v>
      </c>
      <c r="K1080" s="22" t="s">
        <v>4556</v>
      </c>
      <c r="L1080" s="22" t="s">
        <v>184</v>
      </c>
      <c r="M1080" s="22" t="s">
        <v>253</v>
      </c>
    </row>
    <row r="1081" customFormat="false" ht="43.5" hidden="false" customHeight="true" outlineLevel="0" collapsed="false">
      <c r="A1081" s="22" t="s">
        <v>4557</v>
      </c>
      <c r="B1081" s="22" t="s">
        <v>4558</v>
      </c>
      <c r="C1081" s="22" t="s">
        <v>59</v>
      </c>
      <c r="D1081" s="22" t="s">
        <v>4225</v>
      </c>
      <c r="E1081" s="22" t="str">
        <f aca="false">IF(D1081="","",IFERROR(VLOOKUP(D1081,$A$2:$B$1656,2,FALSE()),""))</f>
        <v>Historical and Ideological Archetypes</v>
      </c>
      <c r="F1081" s="22" t="n">
        <v>3</v>
      </c>
      <c r="G1081" s="22" t="s">
        <v>4559</v>
      </c>
      <c r="H1081" s="22" t="s">
        <v>4231</v>
      </c>
      <c r="I1081" s="22" t="s">
        <v>4560</v>
      </c>
      <c r="J1081" s="22" t="s">
        <v>4524</v>
      </c>
      <c r="K1081" s="22" t="s">
        <v>4560</v>
      </c>
      <c r="L1081" s="22" t="s">
        <v>184</v>
      </c>
      <c r="M1081" s="22" t="s">
        <v>253</v>
      </c>
    </row>
    <row r="1082" customFormat="false" ht="43.5" hidden="false" customHeight="true" outlineLevel="0" collapsed="false">
      <c r="A1082" s="22" t="s">
        <v>4561</v>
      </c>
      <c r="B1082" s="22" t="s">
        <v>4562</v>
      </c>
      <c r="C1082" s="22" t="s">
        <v>59</v>
      </c>
      <c r="D1082" s="22" t="s">
        <v>4225</v>
      </c>
      <c r="E1082" s="22" t="str">
        <f aca="false">IF(D1082="","",IFERROR(VLOOKUP(D1082,$A$2:$B$1656,2,FALSE()),""))</f>
        <v>Historical and Ideological Archetypes</v>
      </c>
      <c r="F1082" s="22" t="n">
        <v>3</v>
      </c>
      <c r="G1082" s="22" t="s">
        <v>4563</v>
      </c>
      <c r="H1082" s="22" t="s">
        <v>4231</v>
      </c>
      <c r="I1082" s="22" t="s">
        <v>4564</v>
      </c>
      <c r="J1082" s="22" t="s">
        <v>4524</v>
      </c>
      <c r="K1082" s="22" t="s">
        <v>4564</v>
      </c>
      <c r="L1082" s="22" t="s">
        <v>184</v>
      </c>
      <c r="M1082" s="22" t="s">
        <v>253</v>
      </c>
    </row>
    <row r="1083" customFormat="false" ht="43.5" hidden="false" customHeight="true" outlineLevel="0" collapsed="false">
      <c r="A1083" s="22" t="s">
        <v>4565</v>
      </c>
      <c r="B1083" s="22" t="s">
        <v>4566</v>
      </c>
      <c r="C1083" s="22" t="s">
        <v>59</v>
      </c>
      <c r="D1083" s="22" t="s">
        <v>4225</v>
      </c>
      <c r="E1083" s="22" t="str">
        <f aca="false">IF(D1083="","",IFERROR(VLOOKUP(D1083,$A$2:$B$1656,2,FALSE()),""))</f>
        <v>Historical and Ideological Archetypes</v>
      </c>
      <c r="F1083" s="22" t="n">
        <v>3</v>
      </c>
      <c r="G1083" s="22" t="s">
        <v>4567</v>
      </c>
      <c r="H1083" s="22" t="s">
        <v>4231</v>
      </c>
      <c r="I1083" s="22" t="s">
        <v>4568</v>
      </c>
      <c r="J1083" s="22" t="s">
        <v>4524</v>
      </c>
      <c r="K1083" s="22" t="s">
        <v>4568</v>
      </c>
      <c r="L1083" s="22" t="s">
        <v>184</v>
      </c>
      <c r="M1083" s="22" t="s">
        <v>253</v>
      </c>
    </row>
    <row r="1084" customFormat="false" ht="43.5" hidden="false" customHeight="true" outlineLevel="0" collapsed="false">
      <c r="A1084" s="22" t="s">
        <v>4569</v>
      </c>
      <c r="B1084" s="22" t="s">
        <v>4570</v>
      </c>
      <c r="C1084" s="22" t="s">
        <v>59</v>
      </c>
      <c r="D1084" s="22" t="s">
        <v>4225</v>
      </c>
      <c r="E1084" s="22" t="str">
        <f aca="false">IF(D1084="","",IFERROR(VLOOKUP(D1084,$A$2:$B$1656,2,FALSE()),""))</f>
        <v>Historical and Ideological Archetypes</v>
      </c>
      <c r="F1084" s="22" t="n">
        <v>3</v>
      </c>
      <c r="G1084" s="22" t="s">
        <v>4571</v>
      </c>
      <c r="H1084" s="22" t="s">
        <v>4231</v>
      </c>
      <c r="I1084" s="22" t="s">
        <v>4572</v>
      </c>
      <c r="J1084" s="22" t="s">
        <v>4524</v>
      </c>
      <c r="K1084" s="22" t="s">
        <v>4572</v>
      </c>
      <c r="L1084" s="22" t="s">
        <v>184</v>
      </c>
      <c r="M1084" s="22" t="s">
        <v>253</v>
      </c>
    </row>
    <row r="1085" customFormat="false" ht="43.5" hidden="false" customHeight="true" outlineLevel="0" collapsed="false">
      <c r="A1085" s="22" t="s">
        <v>4573</v>
      </c>
      <c r="B1085" s="22" t="s">
        <v>4574</v>
      </c>
      <c r="C1085" s="22" t="s">
        <v>59</v>
      </c>
      <c r="D1085" s="22" t="s">
        <v>4225</v>
      </c>
      <c r="E1085" s="22" t="str">
        <f aca="false">IF(D1085="","",IFERROR(VLOOKUP(D1085,$A$2:$B$1656,2,FALSE()),""))</f>
        <v>Historical and Ideological Archetypes</v>
      </c>
      <c r="F1085" s="22" t="n">
        <v>3</v>
      </c>
      <c r="G1085" s="22" t="s">
        <v>4575</v>
      </c>
      <c r="H1085" s="22" t="s">
        <v>4231</v>
      </c>
      <c r="I1085" s="22" t="s">
        <v>4576</v>
      </c>
      <c r="J1085" s="22" t="s">
        <v>4524</v>
      </c>
      <c r="K1085" s="22" t="s">
        <v>4576</v>
      </c>
      <c r="L1085" s="22" t="s">
        <v>184</v>
      </c>
      <c r="M1085" s="22" t="s">
        <v>253</v>
      </c>
    </row>
    <row r="1086" customFormat="false" ht="43.5" hidden="false" customHeight="true" outlineLevel="0" collapsed="false">
      <c r="A1086" s="22" t="s">
        <v>4577</v>
      </c>
      <c r="B1086" s="22" t="s">
        <v>4578</v>
      </c>
      <c r="C1086" s="22" t="s">
        <v>59</v>
      </c>
      <c r="D1086" s="22" t="s">
        <v>4225</v>
      </c>
      <c r="E1086" s="22" t="str">
        <f aca="false">IF(D1086="","",IFERROR(VLOOKUP(D1086,$A$2:$B$1656,2,FALSE()),""))</f>
        <v>Historical and Ideological Archetypes</v>
      </c>
      <c r="F1086" s="22" t="n">
        <v>3</v>
      </c>
      <c r="G1086" s="22" t="s">
        <v>4579</v>
      </c>
      <c r="H1086" s="22" t="s">
        <v>4231</v>
      </c>
      <c r="I1086" s="22" t="s">
        <v>4580</v>
      </c>
      <c r="J1086" s="22" t="s">
        <v>4524</v>
      </c>
      <c r="K1086" s="22" t="s">
        <v>4580</v>
      </c>
      <c r="L1086" s="22" t="s">
        <v>184</v>
      </c>
      <c r="M1086" s="22" t="s">
        <v>253</v>
      </c>
    </row>
    <row r="1087" customFormat="false" ht="43.5" hidden="false" customHeight="true" outlineLevel="0" collapsed="false">
      <c r="A1087" s="22" t="s">
        <v>4581</v>
      </c>
      <c r="B1087" s="22" t="s">
        <v>4582</v>
      </c>
      <c r="C1087" s="22" t="s">
        <v>59</v>
      </c>
      <c r="D1087" s="22" t="s">
        <v>4225</v>
      </c>
      <c r="E1087" s="22" t="str">
        <f aca="false">IF(D1087="","",IFERROR(VLOOKUP(D1087,$A$2:$B$1656,2,FALSE()),""))</f>
        <v>Historical and Ideological Archetypes</v>
      </c>
      <c r="F1087" s="22" t="n">
        <v>3</v>
      </c>
      <c r="G1087" s="22" t="s">
        <v>4583</v>
      </c>
      <c r="H1087" s="22" t="s">
        <v>4231</v>
      </c>
      <c r="I1087" s="22" t="s">
        <v>4584</v>
      </c>
      <c r="J1087" s="22" t="s">
        <v>4524</v>
      </c>
      <c r="K1087" s="22" t="s">
        <v>4584</v>
      </c>
      <c r="L1087" s="22" t="s">
        <v>184</v>
      </c>
      <c r="M1087" s="22" t="s">
        <v>253</v>
      </c>
    </row>
    <row r="1088" customFormat="false" ht="43.5" hidden="false" customHeight="true" outlineLevel="0" collapsed="false">
      <c r="A1088" s="22" t="s">
        <v>4585</v>
      </c>
      <c r="B1088" s="22" t="s">
        <v>4586</v>
      </c>
      <c r="C1088" s="22" t="s">
        <v>59</v>
      </c>
      <c r="D1088" s="22" t="s">
        <v>4225</v>
      </c>
      <c r="E1088" s="22" t="str">
        <f aca="false">IF(D1088="","",IFERROR(VLOOKUP(D1088,$A$2:$B$1656,2,FALSE()),""))</f>
        <v>Historical and Ideological Archetypes</v>
      </c>
      <c r="F1088" s="22" t="n">
        <v>3</v>
      </c>
      <c r="G1088" s="22" t="s">
        <v>4587</v>
      </c>
      <c r="H1088" s="22" t="s">
        <v>4231</v>
      </c>
      <c r="I1088" s="22" t="s">
        <v>4588</v>
      </c>
      <c r="J1088" s="22" t="s">
        <v>4524</v>
      </c>
      <c r="K1088" s="22" t="s">
        <v>4588</v>
      </c>
      <c r="L1088" s="22" t="s">
        <v>184</v>
      </c>
      <c r="M1088" s="22" t="s">
        <v>253</v>
      </c>
    </row>
    <row r="1089" customFormat="false" ht="43.5" hidden="false" customHeight="true" outlineLevel="0" collapsed="false">
      <c r="A1089" s="22" t="s">
        <v>4589</v>
      </c>
      <c r="B1089" s="22" t="s">
        <v>4590</v>
      </c>
      <c r="C1089" s="22" t="s">
        <v>59</v>
      </c>
      <c r="D1089" s="22" t="s">
        <v>4225</v>
      </c>
      <c r="E1089" s="22" t="str">
        <f aca="false">IF(D1089="","",IFERROR(VLOOKUP(D1089,$A$2:$B$1656,2,FALSE()),""))</f>
        <v>Historical and Ideological Archetypes</v>
      </c>
      <c r="F1089" s="22" t="n">
        <v>3</v>
      </c>
      <c r="G1089" s="22" t="s">
        <v>4591</v>
      </c>
      <c r="H1089" s="22" t="s">
        <v>4231</v>
      </c>
      <c r="I1089" s="22" t="s">
        <v>4592</v>
      </c>
      <c r="J1089" s="22" t="s">
        <v>4524</v>
      </c>
      <c r="K1089" s="22" t="s">
        <v>4592</v>
      </c>
      <c r="L1089" s="22" t="s">
        <v>184</v>
      </c>
      <c r="M1089" s="22" t="s">
        <v>253</v>
      </c>
    </row>
    <row r="1090" customFormat="false" ht="43.5" hidden="false" customHeight="true" outlineLevel="0" collapsed="false">
      <c r="A1090" s="22" t="s">
        <v>4593</v>
      </c>
      <c r="B1090" s="22" t="s">
        <v>4594</v>
      </c>
      <c r="C1090" s="22" t="s">
        <v>59</v>
      </c>
      <c r="D1090" s="22" t="s">
        <v>4225</v>
      </c>
      <c r="E1090" s="22" t="str">
        <f aca="false">IF(D1090="","",IFERROR(VLOOKUP(D1090,$A$2:$B$1656,2,FALSE()),""))</f>
        <v>Historical and Ideological Archetypes</v>
      </c>
      <c r="F1090" s="22" t="n">
        <v>3</v>
      </c>
      <c r="G1090" s="22" t="s">
        <v>4595</v>
      </c>
      <c r="H1090" s="22" t="s">
        <v>4231</v>
      </c>
      <c r="I1090" s="22" t="s">
        <v>4596</v>
      </c>
      <c r="J1090" s="22" t="s">
        <v>4524</v>
      </c>
      <c r="K1090" s="22" t="s">
        <v>4596</v>
      </c>
      <c r="L1090" s="22" t="s">
        <v>184</v>
      </c>
      <c r="M1090" s="22" t="s">
        <v>253</v>
      </c>
    </row>
    <row r="1091" customFormat="false" ht="43.5" hidden="false" customHeight="true" outlineLevel="0" collapsed="false">
      <c r="A1091" s="22" t="s">
        <v>4597</v>
      </c>
      <c r="B1091" s="22" t="s">
        <v>4598</v>
      </c>
      <c r="C1091" s="22" t="s">
        <v>59</v>
      </c>
      <c r="D1091" s="22" t="s">
        <v>4225</v>
      </c>
      <c r="E1091" s="22" t="str">
        <f aca="false">IF(D1091="","",IFERROR(VLOOKUP(D1091,$A$2:$B$1656,2,FALSE()),""))</f>
        <v>Historical and Ideological Archetypes</v>
      </c>
      <c r="F1091" s="22" t="n">
        <v>3</v>
      </c>
      <c r="G1091" s="22" t="s">
        <v>4599</v>
      </c>
      <c r="H1091" s="22" t="s">
        <v>4231</v>
      </c>
      <c r="I1091" s="22" t="s">
        <v>4600</v>
      </c>
      <c r="J1091" s="22" t="s">
        <v>4524</v>
      </c>
      <c r="K1091" s="22" t="s">
        <v>4600</v>
      </c>
      <c r="L1091" s="22" t="s">
        <v>184</v>
      </c>
      <c r="M1091" s="22" t="s">
        <v>253</v>
      </c>
    </row>
    <row r="1092" customFormat="false" ht="43.5" hidden="false" customHeight="true" outlineLevel="0" collapsed="false">
      <c r="A1092" s="22" t="s">
        <v>4601</v>
      </c>
      <c r="B1092" s="22" t="s">
        <v>4602</v>
      </c>
      <c r="C1092" s="22" t="s">
        <v>59</v>
      </c>
      <c r="D1092" s="22" t="s">
        <v>4225</v>
      </c>
      <c r="E1092" s="22" t="str">
        <f aca="false">IF(D1092="","",IFERROR(VLOOKUP(D1092,$A$2:$B$1656,2,FALSE()),""))</f>
        <v>Historical and Ideological Archetypes</v>
      </c>
      <c r="F1092" s="22" t="n">
        <v>3</v>
      </c>
      <c r="G1092" s="22" t="s">
        <v>4603</v>
      </c>
      <c r="H1092" s="22" t="s">
        <v>4231</v>
      </c>
      <c r="I1092" s="22" t="s">
        <v>4604</v>
      </c>
      <c r="J1092" s="22" t="s">
        <v>4524</v>
      </c>
      <c r="K1092" s="22" t="s">
        <v>4604</v>
      </c>
      <c r="L1092" s="22" t="s">
        <v>184</v>
      </c>
      <c r="M1092" s="22" t="s">
        <v>253</v>
      </c>
    </row>
    <row r="1093" customFormat="false" ht="43.5" hidden="false" customHeight="true" outlineLevel="0" collapsed="false">
      <c r="A1093" s="22" t="s">
        <v>4605</v>
      </c>
      <c r="B1093" s="22" t="s">
        <v>4606</v>
      </c>
      <c r="C1093" s="22" t="s">
        <v>59</v>
      </c>
      <c r="D1093" s="22" t="s">
        <v>4225</v>
      </c>
      <c r="E1093" s="22" t="str">
        <f aca="false">IF(D1093="","",IFERROR(VLOOKUP(D1093,$A$2:$B$1656,2,FALSE()),""))</f>
        <v>Historical and Ideological Archetypes</v>
      </c>
      <c r="F1093" s="22" t="n">
        <v>3</v>
      </c>
      <c r="G1093" s="22" t="s">
        <v>4607</v>
      </c>
      <c r="H1093" s="22" t="s">
        <v>4231</v>
      </c>
      <c r="I1093" s="22" t="s">
        <v>4608</v>
      </c>
      <c r="J1093" s="22" t="s">
        <v>4524</v>
      </c>
      <c r="K1093" s="22" t="s">
        <v>4608</v>
      </c>
      <c r="L1093" s="22" t="s">
        <v>184</v>
      </c>
      <c r="M1093" s="22" t="s">
        <v>253</v>
      </c>
    </row>
    <row r="1094" customFormat="false" ht="43.5" hidden="false" customHeight="true" outlineLevel="0" collapsed="false">
      <c r="A1094" s="22" t="s">
        <v>4609</v>
      </c>
      <c r="B1094" s="22" t="s">
        <v>4610</v>
      </c>
      <c r="C1094" s="22" t="s">
        <v>59</v>
      </c>
      <c r="D1094" s="22" t="s">
        <v>4225</v>
      </c>
      <c r="E1094" s="22" t="str">
        <f aca="false">IF(D1094="","",IFERROR(VLOOKUP(D1094,$A$2:$B$1656,2,FALSE()),""))</f>
        <v>Historical and Ideological Archetypes</v>
      </c>
      <c r="F1094" s="22" t="n">
        <v>3</v>
      </c>
      <c r="G1094" s="22" t="s">
        <v>4611</v>
      </c>
      <c r="H1094" s="22" t="s">
        <v>4231</v>
      </c>
      <c r="I1094" s="22" t="s">
        <v>4612</v>
      </c>
      <c r="J1094" s="22" t="s">
        <v>4524</v>
      </c>
      <c r="K1094" s="22" t="s">
        <v>4612</v>
      </c>
      <c r="L1094" s="22" t="s">
        <v>184</v>
      </c>
      <c r="M1094" s="22" t="s">
        <v>253</v>
      </c>
    </row>
    <row r="1095" customFormat="false" ht="43.5" hidden="false" customHeight="true" outlineLevel="0" collapsed="false">
      <c r="A1095" s="22" t="s">
        <v>4613</v>
      </c>
      <c r="B1095" s="22" t="s">
        <v>4614</v>
      </c>
      <c r="C1095" s="22" t="s">
        <v>59</v>
      </c>
      <c r="D1095" s="22" t="s">
        <v>4225</v>
      </c>
      <c r="E1095" s="22" t="str">
        <f aca="false">IF(D1095="","",IFERROR(VLOOKUP(D1095,$A$2:$B$1656,2,FALSE()),""))</f>
        <v>Historical and Ideological Archetypes</v>
      </c>
      <c r="F1095" s="22" t="n">
        <v>3</v>
      </c>
      <c r="G1095" s="22" t="s">
        <v>4615</v>
      </c>
      <c r="H1095" s="22" t="s">
        <v>4231</v>
      </c>
      <c r="I1095" s="22" t="s">
        <v>4616</v>
      </c>
      <c r="J1095" s="22" t="s">
        <v>4524</v>
      </c>
      <c r="K1095" s="22" t="s">
        <v>4616</v>
      </c>
      <c r="L1095" s="22" t="s">
        <v>184</v>
      </c>
      <c r="M1095" s="22" t="s">
        <v>253</v>
      </c>
    </row>
    <row r="1096" customFormat="false" ht="43.5" hidden="false" customHeight="true" outlineLevel="0" collapsed="false">
      <c r="A1096" s="22" t="s">
        <v>4617</v>
      </c>
      <c r="B1096" s="22" t="s">
        <v>4618</v>
      </c>
      <c r="C1096" s="22" t="s">
        <v>59</v>
      </c>
      <c r="D1096" s="22" t="s">
        <v>4225</v>
      </c>
      <c r="E1096" s="22" t="str">
        <f aca="false">IF(D1096="","",IFERROR(VLOOKUP(D1096,$A$2:$B$1656,2,FALSE()),""))</f>
        <v>Historical and Ideological Archetypes</v>
      </c>
      <c r="F1096" s="22" t="n">
        <v>3</v>
      </c>
      <c r="G1096" s="22" t="s">
        <v>4619</v>
      </c>
      <c r="H1096" s="22" t="s">
        <v>4231</v>
      </c>
      <c r="I1096" s="22" t="s">
        <v>4620</v>
      </c>
      <c r="J1096" s="22" t="s">
        <v>4524</v>
      </c>
      <c r="K1096" s="22" t="s">
        <v>4620</v>
      </c>
      <c r="L1096" s="22" t="s">
        <v>184</v>
      </c>
      <c r="M1096" s="22" t="s">
        <v>253</v>
      </c>
    </row>
    <row r="1097" customFormat="false" ht="43.5" hidden="false" customHeight="true" outlineLevel="0" collapsed="false">
      <c r="A1097" s="22" t="s">
        <v>4621</v>
      </c>
      <c r="B1097" s="22" t="s">
        <v>4622</v>
      </c>
      <c r="C1097" s="22" t="s">
        <v>59</v>
      </c>
      <c r="D1097" s="22" t="s">
        <v>4225</v>
      </c>
      <c r="E1097" s="22" t="str">
        <f aca="false">IF(D1097="","",IFERROR(VLOOKUP(D1097,$A$2:$B$1656,2,FALSE()),""))</f>
        <v>Historical and Ideological Archetypes</v>
      </c>
      <c r="F1097" s="22" t="n">
        <v>3</v>
      </c>
      <c r="G1097" s="22" t="s">
        <v>4623</v>
      </c>
      <c r="H1097" s="22" t="s">
        <v>4231</v>
      </c>
      <c r="I1097" s="22" t="s">
        <v>4624</v>
      </c>
      <c r="J1097" s="22" t="s">
        <v>4524</v>
      </c>
      <c r="K1097" s="22" t="s">
        <v>4624</v>
      </c>
      <c r="L1097" s="22" t="s">
        <v>184</v>
      </c>
      <c r="M1097" s="22" t="s">
        <v>253</v>
      </c>
    </row>
    <row r="1098" customFormat="false" ht="43.5" hidden="false" customHeight="true" outlineLevel="0" collapsed="false">
      <c r="A1098" s="22" t="s">
        <v>4625</v>
      </c>
      <c r="B1098" s="22" t="s">
        <v>4626</v>
      </c>
      <c r="C1098" s="22" t="s">
        <v>61</v>
      </c>
      <c r="D1098" s="22" t="s">
        <v>198</v>
      </c>
      <c r="E1098" s="22" t="str">
        <f aca="false">IF(D1098="","",IFERROR(VLOOKUP(D1098,$A$2:$B$1656,2,FALSE()),""))</f>
        <v>Game-Mechanical Archetypes</v>
      </c>
      <c r="F1098" s="22" t="n">
        <v>2</v>
      </c>
      <c r="G1098" s="22" t="s">
        <v>4627</v>
      </c>
      <c r="H1098" s="22" t="s">
        <v>4628</v>
      </c>
      <c r="I1098" s="22"/>
      <c r="J1098" s="22" t="s">
        <v>4629</v>
      </c>
      <c r="K1098" s="22" t="s">
        <v>4626</v>
      </c>
      <c r="L1098" s="22" t="s">
        <v>184</v>
      </c>
      <c r="M1098" s="22" t="s">
        <v>206</v>
      </c>
    </row>
    <row r="1099" customFormat="false" ht="43.5" hidden="false" customHeight="true" outlineLevel="0" collapsed="false">
      <c r="A1099" s="22" t="s">
        <v>4630</v>
      </c>
      <c r="B1099" s="22" t="s">
        <v>4631</v>
      </c>
      <c r="C1099" s="22" t="s">
        <v>61</v>
      </c>
      <c r="D1099" s="22" t="s">
        <v>198</v>
      </c>
      <c r="E1099" s="22" t="str">
        <f aca="false">IF(D1099="","",IFERROR(VLOOKUP(D1099,$A$2:$B$1656,2,FALSE()),""))</f>
        <v>Game-Mechanical Archetypes</v>
      </c>
      <c r="F1099" s="22" t="n">
        <v>2</v>
      </c>
      <c r="G1099" s="22" t="s">
        <v>4632</v>
      </c>
      <c r="H1099" s="22" t="s">
        <v>4628</v>
      </c>
      <c r="I1099" s="22"/>
      <c r="J1099" s="22" t="s">
        <v>4629</v>
      </c>
      <c r="K1099" s="22" t="s">
        <v>4631</v>
      </c>
      <c r="L1099" s="22" t="s">
        <v>184</v>
      </c>
      <c r="M1099" s="22" t="s">
        <v>206</v>
      </c>
    </row>
    <row r="1100" customFormat="false" ht="43.5" hidden="false" customHeight="true" outlineLevel="0" collapsed="false">
      <c r="A1100" s="22" t="s">
        <v>4633</v>
      </c>
      <c r="B1100" s="22" t="s">
        <v>4634</v>
      </c>
      <c r="C1100" s="22" t="s">
        <v>61</v>
      </c>
      <c r="D1100" s="22" t="s">
        <v>198</v>
      </c>
      <c r="E1100" s="22" t="str">
        <f aca="false">IF(D1100="","",IFERROR(VLOOKUP(D1100,$A$2:$B$1656,2,FALSE()),""))</f>
        <v>Game-Mechanical Archetypes</v>
      </c>
      <c r="F1100" s="22" t="n">
        <v>2</v>
      </c>
      <c r="G1100" s="22" t="s">
        <v>4635</v>
      </c>
      <c r="H1100" s="22" t="s">
        <v>4628</v>
      </c>
      <c r="I1100" s="22"/>
      <c r="J1100" s="22" t="s">
        <v>4629</v>
      </c>
      <c r="K1100" s="22" t="s">
        <v>4634</v>
      </c>
      <c r="L1100" s="22" t="s">
        <v>184</v>
      </c>
      <c r="M1100" s="22" t="s">
        <v>206</v>
      </c>
    </row>
    <row r="1101" customFormat="false" ht="43.5" hidden="false" customHeight="true" outlineLevel="0" collapsed="false">
      <c r="A1101" s="22" t="s">
        <v>4636</v>
      </c>
      <c r="B1101" s="22" t="s">
        <v>4637</v>
      </c>
      <c r="C1101" s="22" t="s">
        <v>61</v>
      </c>
      <c r="D1101" s="22" t="s">
        <v>198</v>
      </c>
      <c r="E1101" s="22" t="str">
        <f aca="false">IF(D1101="","",IFERROR(VLOOKUP(D1101,$A$2:$B$1656,2,FALSE()),""))</f>
        <v>Game-Mechanical Archetypes</v>
      </c>
      <c r="F1101" s="22" t="n">
        <v>2</v>
      </c>
      <c r="G1101" s="22" t="s">
        <v>4638</v>
      </c>
      <c r="H1101" s="22" t="s">
        <v>4628</v>
      </c>
      <c r="I1101" s="22"/>
      <c r="J1101" s="22" t="s">
        <v>4629</v>
      </c>
      <c r="K1101" s="22" t="s">
        <v>4637</v>
      </c>
      <c r="L1101" s="22" t="s">
        <v>184</v>
      </c>
      <c r="M1101" s="22" t="s">
        <v>206</v>
      </c>
    </row>
    <row r="1102" customFormat="false" ht="43.5" hidden="false" customHeight="true" outlineLevel="0" collapsed="false">
      <c r="A1102" s="22" t="s">
        <v>4639</v>
      </c>
      <c r="B1102" s="22" t="s">
        <v>4640</v>
      </c>
      <c r="C1102" s="22" t="s">
        <v>61</v>
      </c>
      <c r="D1102" s="22" t="s">
        <v>4625</v>
      </c>
      <c r="E1102" s="22" t="str">
        <f aca="false">IF(D1102="","",IFERROR(VLOOKUP(D1102,$A$2:$B$1656,2,FALSE()),""))</f>
        <v>Combat Function Archetypes</v>
      </c>
      <c r="F1102" s="22" t="n">
        <v>3</v>
      </c>
      <c r="G1102" s="22" t="s">
        <v>4641</v>
      </c>
      <c r="H1102" s="22" t="s">
        <v>4642</v>
      </c>
      <c r="I1102" s="22" t="s">
        <v>4643</v>
      </c>
      <c r="J1102" s="22" t="s">
        <v>4644</v>
      </c>
      <c r="K1102" s="22" t="s">
        <v>4643</v>
      </c>
      <c r="L1102" s="22" t="s">
        <v>184</v>
      </c>
      <c r="M1102" s="22" t="s">
        <v>253</v>
      </c>
    </row>
    <row r="1103" customFormat="false" ht="43.5" hidden="false" customHeight="true" outlineLevel="0" collapsed="false">
      <c r="A1103" s="22" t="s">
        <v>4645</v>
      </c>
      <c r="B1103" s="22" t="s">
        <v>4646</v>
      </c>
      <c r="C1103" s="22" t="s">
        <v>61</v>
      </c>
      <c r="D1103" s="22" t="s">
        <v>4625</v>
      </c>
      <c r="E1103" s="22" t="str">
        <f aca="false">IF(D1103="","",IFERROR(VLOOKUP(D1103,$A$2:$B$1656,2,FALSE()),""))</f>
        <v>Combat Function Archetypes</v>
      </c>
      <c r="F1103" s="22" t="n">
        <v>3</v>
      </c>
      <c r="G1103" s="22" t="s">
        <v>4647</v>
      </c>
      <c r="H1103" s="22" t="s">
        <v>4642</v>
      </c>
      <c r="I1103" s="22" t="s">
        <v>4648</v>
      </c>
      <c r="J1103" s="22" t="s">
        <v>4644</v>
      </c>
      <c r="K1103" s="22" t="s">
        <v>4648</v>
      </c>
      <c r="L1103" s="22" t="s">
        <v>184</v>
      </c>
      <c r="M1103" s="22" t="s">
        <v>253</v>
      </c>
    </row>
    <row r="1104" customFormat="false" ht="43.5" hidden="false" customHeight="true" outlineLevel="0" collapsed="false">
      <c r="A1104" s="22" t="s">
        <v>4649</v>
      </c>
      <c r="B1104" s="22" t="s">
        <v>4650</v>
      </c>
      <c r="C1104" s="22" t="s">
        <v>61</v>
      </c>
      <c r="D1104" s="22" t="s">
        <v>4625</v>
      </c>
      <c r="E1104" s="22" t="str">
        <f aca="false">IF(D1104="","",IFERROR(VLOOKUP(D1104,$A$2:$B$1656,2,FALSE()),""))</f>
        <v>Combat Function Archetypes</v>
      </c>
      <c r="F1104" s="22" t="n">
        <v>3</v>
      </c>
      <c r="G1104" s="22" t="s">
        <v>4651</v>
      </c>
      <c r="H1104" s="22" t="s">
        <v>4642</v>
      </c>
      <c r="I1104" s="22" t="s">
        <v>4652</v>
      </c>
      <c r="J1104" s="22" t="s">
        <v>4644</v>
      </c>
      <c r="K1104" s="22" t="s">
        <v>4652</v>
      </c>
      <c r="L1104" s="22" t="s">
        <v>184</v>
      </c>
      <c r="M1104" s="22" t="s">
        <v>253</v>
      </c>
    </row>
    <row r="1105" customFormat="false" ht="43.5" hidden="false" customHeight="true" outlineLevel="0" collapsed="false">
      <c r="A1105" s="22" t="s">
        <v>4653</v>
      </c>
      <c r="B1105" s="22" t="s">
        <v>4654</v>
      </c>
      <c r="C1105" s="22" t="s">
        <v>61</v>
      </c>
      <c r="D1105" s="22" t="s">
        <v>4625</v>
      </c>
      <c r="E1105" s="22" t="str">
        <f aca="false">IF(D1105="","",IFERROR(VLOOKUP(D1105,$A$2:$B$1656,2,FALSE()),""))</f>
        <v>Combat Function Archetypes</v>
      </c>
      <c r="F1105" s="22" t="n">
        <v>3</v>
      </c>
      <c r="G1105" s="22" t="s">
        <v>4655</v>
      </c>
      <c r="H1105" s="22" t="s">
        <v>4642</v>
      </c>
      <c r="I1105" s="22" t="s">
        <v>4656</v>
      </c>
      <c r="J1105" s="22" t="s">
        <v>4644</v>
      </c>
      <c r="K1105" s="22" t="s">
        <v>4656</v>
      </c>
      <c r="L1105" s="22" t="s">
        <v>184</v>
      </c>
      <c r="M1105" s="22" t="s">
        <v>253</v>
      </c>
    </row>
    <row r="1106" customFormat="false" ht="43.5" hidden="false" customHeight="true" outlineLevel="0" collapsed="false">
      <c r="A1106" s="22" t="s">
        <v>4657</v>
      </c>
      <c r="B1106" s="22" t="s">
        <v>4658</v>
      </c>
      <c r="C1106" s="22" t="s">
        <v>61</v>
      </c>
      <c r="D1106" s="22" t="s">
        <v>4625</v>
      </c>
      <c r="E1106" s="22" t="str">
        <f aca="false">IF(D1106="","",IFERROR(VLOOKUP(D1106,$A$2:$B$1656,2,FALSE()),""))</f>
        <v>Combat Function Archetypes</v>
      </c>
      <c r="F1106" s="22" t="n">
        <v>3</v>
      </c>
      <c r="G1106" s="22" t="s">
        <v>4659</v>
      </c>
      <c r="H1106" s="22" t="s">
        <v>4642</v>
      </c>
      <c r="I1106" s="22" t="s">
        <v>4660</v>
      </c>
      <c r="J1106" s="22" t="s">
        <v>4644</v>
      </c>
      <c r="K1106" s="22" t="s">
        <v>4660</v>
      </c>
      <c r="L1106" s="22" t="s">
        <v>184</v>
      </c>
      <c r="M1106" s="22" t="s">
        <v>253</v>
      </c>
    </row>
    <row r="1107" customFormat="false" ht="43.5" hidden="false" customHeight="true" outlineLevel="0" collapsed="false">
      <c r="A1107" s="22" t="s">
        <v>4661</v>
      </c>
      <c r="B1107" s="22" t="s">
        <v>4662</v>
      </c>
      <c r="C1107" s="22" t="s">
        <v>61</v>
      </c>
      <c r="D1107" s="22" t="s">
        <v>4625</v>
      </c>
      <c r="E1107" s="22" t="str">
        <f aca="false">IF(D1107="","",IFERROR(VLOOKUP(D1107,$A$2:$B$1656,2,FALSE()),""))</f>
        <v>Combat Function Archetypes</v>
      </c>
      <c r="F1107" s="22" t="n">
        <v>3</v>
      </c>
      <c r="G1107" s="22" t="s">
        <v>4663</v>
      </c>
      <c r="H1107" s="22" t="s">
        <v>4642</v>
      </c>
      <c r="I1107" s="22" t="s">
        <v>4664</v>
      </c>
      <c r="J1107" s="22" t="s">
        <v>4644</v>
      </c>
      <c r="K1107" s="22" t="s">
        <v>4664</v>
      </c>
      <c r="L1107" s="22" t="s">
        <v>184</v>
      </c>
      <c r="M1107" s="22" t="s">
        <v>253</v>
      </c>
    </row>
    <row r="1108" customFormat="false" ht="43.5" hidden="false" customHeight="true" outlineLevel="0" collapsed="false">
      <c r="A1108" s="22" t="s">
        <v>4665</v>
      </c>
      <c r="B1108" s="22" t="s">
        <v>4666</v>
      </c>
      <c r="C1108" s="22" t="s">
        <v>61</v>
      </c>
      <c r="D1108" s="22" t="s">
        <v>4625</v>
      </c>
      <c r="E1108" s="22" t="str">
        <f aca="false">IF(D1108="","",IFERROR(VLOOKUP(D1108,$A$2:$B$1656,2,FALSE()),""))</f>
        <v>Combat Function Archetypes</v>
      </c>
      <c r="F1108" s="22" t="n">
        <v>3</v>
      </c>
      <c r="G1108" s="22" t="s">
        <v>4667</v>
      </c>
      <c r="H1108" s="22" t="s">
        <v>4642</v>
      </c>
      <c r="I1108" s="22" t="s">
        <v>4668</v>
      </c>
      <c r="J1108" s="22" t="s">
        <v>4644</v>
      </c>
      <c r="K1108" s="22" t="s">
        <v>4668</v>
      </c>
      <c r="L1108" s="22" t="s">
        <v>184</v>
      </c>
      <c r="M1108" s="22" t="s">
        <v>253</v>
      </c>
    </row>
    <row r="1109" customFormat="false" ht="43.5" hidden="false" customHeight="true" outlineLevel="0" collapsed="false">
      <c r="A1109" s="22" t="s">
        <v>4669</v>
      </c>
      <c r="B1109" s="22" t="s">
        <v>4670</v>
      </c>
      <c r="C1109" s="22" t="s">
        <v>61</v>
      </c>
      <c r="D1109" s="22" t="s">
        <v>4625</v>
      </c>
      <c r="E1109" s="22" t="str">
        <f aca="false">IF(D1109="","",IFERROR(VLOOKUP(D1109,$A$2:$B$1656,2,FALSE()),""))</f>
        <v>Combat Function Archetypes</v>
      </c>
      <c r="F1109" s="22" t="n">
        <v>3</v>
      </c>
      <c r="G1109" s="22" t="s">
        <v>4671</v>
      </c>
      <c r="H1109" s="22" t="s">
        <v>4642</v>
      </c>
      <c r="I1109" s="22" t="s">
        <v>4672</v>
      </c>
      <c r="J1109" s="22" t="s">
        <v>4644</v>
      </c>
      <c r="K1109" s="22" t="s">
        <v>4672</v>
      </c>
      <c r="L1109" s="22" t="s">
        <v>184</v>
      </c>
      <c r="M1109" s="22" t="s">
        <v>253</v>
      </c>
    </row>
    <row r="1110" customFormat="false" ht="43.5" hidden="false" customHeight="true" outlineLevel="0" collapsed="false">
      <c r="A1110" s="22" t="s">
        <v>4673</v>
      </c>
      <c r="B1110" s="22" t="s">
        <v>4674</v>
      </c>
      <c r="C1110" s="22" t="s">
        <v>61</v>
      </c>
      <c r="D1110" s="22" t="s">
        <v>4625</v>
      </c>
      <c r="E1110" s="22" t="str">
        <f aca="false">IF(D1110="","",IFERROR(VLOOKUP(D1110,$A$2:$B$1656,2,FALSE()),""))</f>
        <v>Combat Function Archetypes</v>
      </c>
      <c r="F1110" s="22" t="n">
        <v>3</v>
      </c>
      <c r="G1110" s="22" t="s">
        <v>4675</v>
      </c>
      <c r="H1110" s="22" t="s">
        <v>4642</v>
      </c>
      <c r="I1110" s="22" t="s">
        <v>4676</v>
      </c>
      <c r="J1110" s="22" t="s">
        <v>4644</v>
      </c>
      <c r="K1110" s="22" t="s">
        <v>4676</v>
      </c>
      <c r="L1110" s="22" t="s">
        <v>184</v>
      </c>
      <c r="M1110" s="22" t="s">
        <v>253</v>
      </c>
    </row>
    <row r="1111" customFormat="false" ht="43.5" hidden="false" customHeight="true" outlineLevel="0" collapsed="false">
      <c r="A1111" s="22" t="s">
        <v>4677</v>
      </c>
      <c r="B1111" s="22" t="s">
        <v>4678</v>
      </c>
      <c r="C1111" s="22" t="s">
        <v>61</v>
      </c>
      <c r="D1111" s="22" t="s">
        <v>4625</v>
      </c>
      <c r="E1111" s="22" t="str">
        <f aca="false">IF(D1111="","",IFERROR(VLOOKUP(D1111,$A$2:$B$1656,2,FALSE()),""))</f>
        <v>Combat Function Archetypes</v>
      </c>
      <c r="F1111" s="22" t="n">
        <v>3</v>
      </c>
      <c r="G1111" s="22" t="s">
        <v>4679</v>
      </c>
      <c r="H1111" s="22" t="s">
        <v>4642</v>
      </c>
      <c r="I1111" s="22" t="s">
        <v>4680</v>
      </c>
      <c r="J1111" s="22" t="s">
        <v>4644</v>
      </c>
      <c r="K1111" s="22" t="s">
        <v>4680</v>
      </c>
      <c r="L1111" s="22" t="s">
        <v>184</v>
      </c>
      <c r="M1111" s="22" t="s">
        <v>253</v>
      </c>
    </row>
    <row r="1112" customFormat="false" ht="43.5" hidden="false" customHeight="true" outlineLevel="0" collapsed="false">
      <c r="A1112" s="22" t="s">
        <v>4681</v>
      </c>
      <c r="B1112" s="22" t="s">
        <v>4682</v>
      </c>
      <c r="C1112" s="22" t="s">
        <v>61</v>
      </c>
      <c r="D1112" s="22" t="s">
        <v>4625</v>
      </c>
      <c r="E1112" s="22" t="str">
        <f aca="false">IF(D1112="","",IFERROR(VLOOKUP(D1112,$A$2:$B$1656,2,FALSE()),""))</f>
        <v>Combat Function Archetypes</v>
      </c>
      <c r="F1112" s="22" t="n">
        <v>3</v>
      </c>
      <c r="G1112" s="22" t="s">
        <v>4683</v>
      </c>
      <c r="H1112" s="22" t="s">
        <v>4642</v>
      </c>
      <c r="I1112" s="22" t="s">
        <v>4684</v>
      </c>
      <c r="J1112" s="22" t="s">
        <v>4644</v>
      </c>
      <c r="K1112" s="22" t="s">
        <v>4684</v>
      </c>
      <c r="L1112" s="22" t="s">
        <v>184</v>
      </c>
      <c r="M1112" s="22" t="s">
        <v>253</v>
      </c>
    </row>
    <row r="1113" customFormat="false" ht="43.5" hidden="false" customHeight="true" outlineLevel="0" collapsed="false">
      <c r="A1113" s="22" t="s">
        <v>4685</v>
      </c>
      <c r="B1113" s="22" t="s">
        <v>1632</v>
      </c>
      <c r="C1113" s="22" t="s">
        <v>61</v>
      </c>
      <c r="D1113" s="22" t="s">
        <v>4625</v>
      </c>
      <c r="E1113" s="22" t="str">
        <f aca="false">IF(D1113="","",IFERROR(VLOOKUP(D1113,$A$2:$B$1656,2,FALSE()),""))</f>
        <v>Combat Function Archetypes</v>
      </c>
      <c r="F1113" s="22" t="n">
        <v>3</v>
      </c>
      <c r="G1113" s="22" t="s">
        <v>4686</v>
      </c>
      <c r="H1113" s="22" t="s">
        <v>4642</v>
      </c>
      <c r="I1113" s="22" t="s">
        <v>4687</v>
      </c>
      <c r="J1113" s="22" t="s">
        <v>4644</v>
      </c>
      <c r="K1113" s="22" t="s">
        <v>4687</v>
      </c>
      <c r="L1113" s="22" t="s">
        <v>184</v>
      </c>
      <c r="M1113" s="22" t="s">
        <v>253</v>
      </c>
    </row>
    <row r="1114" customFormat="false" ht="43.5" hidden="false" customHeight="true" outlineLevel="0" collapsed="false">
      <c r="A1114" s="22" t="s">
        <v>4688</v>
      </c>
      <c r="B1114" s="22" t="s">
        <v>4689</v>
      </c>
      <c r="C1114" s="22" t="s">
        <v>61</v>
      </c>
      <c r="D1114" s="22" t="s">
        <v>4625</v>
      </c>
      <c r="E1114" s="22" t="str">
        <f aca="false">IF(D1114="","",IFERROR(VLOOKUP(D1114,$A$2:$B$1656,2,FALSE()),""))</f>
        <v>Combat Function Archetypes</v>
      </c>
      <c r="F1114" s="22" t="n">
        <v>3</v>
      </c>
      <c r="G1114" s="22" t="s">
        <v>4690</v>
      </c>
      <c r="H1114" s="22" t="s">
        <v>4642</v>
      </c>
      <c r="I1114" s="22" t="s">
        <v>4691</v>
      </c>
      <c r="J1114" s="22" t="s">
        <v>4644</v>
      </c>
      <c r="K1114" s="22" t="s">
        <v>4691</v>
      </c>
      <c r="L1114" s="22" t="s">
        <v>184</v>
      </c>
      <c r="M1114" s="22" t="s">
        <v>253</v>
      </c>
    </row>
    <row r="1115" customFormat="false" ht="43.5" hidden="false" customHeight="true" outlineLevel="0" collapsed="false">
      <c r="A1115" s="22" t="s">
        <v>4692</v>
      </c>
      <c r="B1115" s="22" t="s">
        <v>4693</v>
      </c>
      <c r="C1115" s="22" t="s">
        <v>61</v>
      </c>
      <c r="D1115" s="22" t="s">
        <v>4625</v>
      </c>
      <c r="E1115" s="22" t="str">
        <f aca="false">IF(D1115="","",IFERROR(VLOOKUP(D1115,$A$2:$B$1656,2,FALSE()),""))</f>
        <v>Combat Function Archetypes</v>
      </c>
      <c r="F1115" s="22" t="n">
        <v>3</v>
      </c>
      <c r="G1115" s="22" t="s">
        <v>4694</v>
      </c>
      <c r="H1115" s="22" t="s">
        <v>4642</v>
      </c>
      <c r="I1115" s="22" t="s">
        <v>4695</v>
      </c>
      <c r="J1115" s="22" t="s">
        <v>4644</v>
      </c>
      <c r="K1115" s="22" t="s">
        <v>4695</v>
      </c>
      <c r="L1115" s="22" t="s">
        <v>184</v>
      </c>
      <c r="M1115" s="22" t="s">
        <v>253</v>
      </c>
    </row>
    <row r="1116" customFormat="false" ht="43.5" hidden="false" customHeight="true" outlineLevel="0" collapsed="false">
      <c r="A1116" s="22" t="s">
        <v>4696</v>
      </c>
      <c r="B1116" s="22" t="s">
        <v>4697</v>
      </c>
      <c r="C1116" s="22" t="s">
        <v>61</v>
      </c>
      <c r="D1116" s="22" t="s">
        <v>4625</v>
      </c>
      <c r="E1116" s="22" t="str">
        <f aca="false">IF(D1116="","",IFERROR(VLOOKUP(D1116,$A$2:$B$1656,2,FALSE()),""))</f>
        <v>Combat Function Archetypes</v>
      </c>
      <c r="F1116" s="22" t="n">
        <v>3</v>
      </c>
      <c r="G1116" s="22" t="s">
        <v>4698</v>
      </c>
      <c r="H1116" s="22" t="s">
        <v>4642</v>
      </c>
      <c r="I1116" s="22" t="s">
        <v>4699</v>
      </c>
      <c r="J1116" s="22" t="s">
        <v>4644</v>
      </c>
      <c r="K1116" s="22" t="s">
        <v>4699</v>
      </c>
      <c r="L1116" s="22" t="s">
        <v>184</v>
      </c>
      <c r="M1116" s="22" t="s">
        <v>253</v>
      </c>
    </row>
    <row r="1117" customFormat="false" ht="43.5" hidden="false" customHeight="true" outlineLevel="0" collapsed="false">
      <c r="A1117" s="22" t="s">
        <v>4700</v>
      </c>
      <c r="B1117" s="22" t="s">
        <v>4701</v>
      </c>
      <c r="C1117" s="22" t="s">
        <v>61</v>
      </c>
      <c r="D1117" s="22" t="s">
        <v>4625</v>
      </c>
      <c r="E1117" s="22" t="str">
        <f aca="false">IF(D1117="","",IFERROR(VLOOKUP(D1117,$A$2:$B$1656,2,FALSE()),""))</f>
        <v>Combat Function Archetypes</v>
      </c>
      <c r="F1117" s="22" t="n">
        <v>3</v>
      </c>
      <c r="G1117" s="22" t="s">
        <v>4702</v>
      </c>
      <c r="H1117" s="22" t="s">
        <v>4642</v>
      </c>
      <c r="I1117" s="22" t="s">
        <v>4703</v>
      </c>
      <c r="J1117" s="22" t="s">
        <v>4644</v>
      </c>
      <c r="K1117" s="22" t="s">
        <v>4703</v>
      </c>
      <c r="L1117" s="22" t="s">
        <v>184</v>
      </c>
      <c r="M1117" s="22" t="s">
        <v>253</v>
      </c>
    </row>
    <row r="1118" customFormat="false" ht="43.5" hidden="false" customHeight="true" outlineLevel="0" collapsed="false">
      <c r="A1118" s="22" t="s">
        <v>4704</v>
      </c>
      <c r="B1118" s="22" t="s">
        <v>4705</v>
      </c>
      <c r="C1118" s="22" t="s">
        <v>61</v>
      </c>
      <c r="D1118" s="22" t="s">
        <v>4625</v>
      </c>
      <c r="E1118" s="22" t="str">
        <f aca="false">IF(D1118="","",IFERROR(VLOOKUP(D1118,$A$2:$B$1656,2,FALSE()),""))</f>
        <v>Combat Function Archetypes</v>
      </c>
      <c r="F1118" s="22" t="n">
        <v>3</v>
      </c>
      <c r="G1118" s="22" t="s">
        <v>4706</v>
      </c>
      <c r="H1118" s="22" t="s">
        <v>4642</v>
      </c>
      <c r="I1118" s="22" t="s">
        <v>4707</v>
      </c>
      <c r="J1118" s="22" t="s">
        <v>4644</v>
      </c>
      <c r="K1118" s="22" t="s">
        <v>4707</v>
      </c>
      <c r="L1118" s="22" t="s">
        <v>184</v>
      </c>
      <c r="M1118" s="22" t="s">
        <v>253</v>
      </c>
    </row>
    <row r="1119" customFormat="false" ht="43.5" hidden="false" customHeight="true" outlineLevel="0" collapsed="false">
      <c r="A1119" s="22" t="s">
        <v>4708</v>
      </c>
      <c r="B1119" s="22" t="s">
        <v>4709</v>
      </c>
      <c r="C1119" s="22" t="s">
        <v>61</v>
      </c>
      <c r="D1119" s="22" t="s">
        <v>4625</v>
      </c>
      <c r="E1119" s="22" t="str">
        <f aca="false">IF(D1119="","",IFERROR(VLOOKUP(D1119,$A$2:$B$1656,2,FALSE()),""))</f>
        <v>Combat Function Archetypes</v>
      </c>
      <c r="F1119" s="22" t="n">
        <v>3</v>
      </c>
      <c r="G1119" s="22" t="s">
        <v>4710</v>
      </c>
      <c r="H1119" s="22" t="s">
        <v>4642</v>
      </c>
      <c r="I1119" s="22" t="s">
        <v>4711</v>
      </c>
      <c r="J1119" s="22" t="s">
        <v>4644</v>
      </c>
      <c r="K1119" s="22" t="s">
        <v>4711</v>
      </c>
      <c r="L1119" s="22" t="s">
        <v>184</v>
      </c>
      <c r="M1119" s="22" t="s">
        <v>253</v>
      </c>
    </row>
    <row r="1120" customFormat="false" ht="43.5" hidden="false" customHeight="true" outlineLevel="0" collapsed="false">
      <c r="A1120" s="22" t="s">
        <v>4712</v>
      </c>
      <c r="B1120" s="22" t="s">
        <v>4713</v>
      </c>
      <c r="C1120" s="22" t="s">
        <v>61</v>
      </c>
      <c r="D1120" s="22" t="s">
        <v>4625</v>
      </c>
      <c r="E1120" s="22" t="str">
        <f aca="false">IF(D1120="","",IFERROR(VLOOKUP(D1120,$A$2:$B$1656,2,FALSE()),""))</f>
        <v>Combat Function Archetypes</v>
      </c>
      <c r="F1120" s="22" t="n">
        <v>3</v>
      </c>
      <c r="G1120" s="22" t="s">
        <v>4714</v>
      </c>
      <c r="H1120" s="22" t="s">
        <v>4642</v>
      </c>
      <c r="I1120" s="22" t="s">
        <v>4715</v>
      </c>
      <c r="J1120" s="22" t="s">
        <v>4644</v>
      </c>
      <c r="K1120" s="22" t="s">
        <v>4715</v>
      </c>
      <c r="L1120" s="22" t="s">
        <v>184</v>
      </c>
      <c r="M1120" s="22" t="s">
        <v>253</v>
      </c>
    </row>
    <row r="1121" customFormat="false" ht="43.5" hidden="false" customHeight="true" outlineLevel="0" collapsed="false">
      <c r="A1121" s="22" t="s">
        <v>4716</v>
      </c>
      <c r="B1121" s="22" t="s">
        <v>4717</v>
      </c>
      <c r="C1121" s="22" t="s">
        <v>61</v>
      </c>
      <c r="D1121" s="22" t="s">
        <v>4625</v>
      </c>
      <c r="E1121" s="22" t="str">
        <f aca="false">IF(D1121="","",IFERROR(VLOOKUP(D1121,$A$2:$B$1656,2,FALSE()),""))</f>
        <v>Combat Function Archetypes</v>
      </c>
      <c r="F1121" s="22" t="n">
        <v>3</v>
      </c>
      <c r="G1121" s="22" t="s">
        <v>4718</v>
      </c>
      <c r="H1121" s="22" t="s">
        <v>4642</v>
      </c>
      <c r="I1121" s="22" t="s">
        <v>4719</v>
      </c>
      <c r="J1121" s="22" t="s">
        <v>4644</v>
      </c>
      <c r="K1121" s="22" t="s">
        <v>4719</v>
      </c>
      <c r="L1121" s="22" t="s">
        <v>184</v>
      </c>
      <c r="M1121" s="22" t="s">
        <v>253</v>
      </c>
    </row>
    <row r="1122" customFormat="false" ht="43.5" hidden="false" customHeight="true" outlineLevel="0" collapsed="false">
      <c r="A1122" s="22" t="s">
        <v>4720</v>
      </c>
      <c r="B1122" s="22" t="s">
        <v>4721</v>
      </c>
      <c r="C1122" s="22" t="s">
        <v>61</v>
      </c>
      <c r="D1122" s="22" t="s">
        <v>4625</v>
      </c>
      <c r="E1122" s="22" t="str">
        <f aca="false">IF(D1122="","",IFERROR(VLOOKUP(D1122,$A$2:$B$1656,2,FALSE()),""))</f>
        <v>Combat Function Archetypes</v>
      </c>
      <c r="F1122" s="22" t="n">
        <v>3</v>
      </c>
      <c r="G1122" s="22" t="s">
        <v>4722</v>
      </c>
      <c r="H1122" s="22" t="s">
        <v>4642</v>
      </c>
      <c r="I1122" s="22" t="s">
        <v>4723</v>
      </c>
      <c r="J1122" s="22" t="s">
        <v>4644</v>
      </c>
      <c r="K1122" s="22" t="s">
        <v>4723</v>
      </c>
      <c r="L1122" s="22" t="s">
        <v>184</v>
      </c>
      <c r="M1122" s="22" t="s">
        <v>253</v>
      </c>
    </row>
    <row r="1123" customFormat="false" ht="43.5" hidden="false" customHeight="true" outlineLevel="0" collapsed="false">
      <c r="A1123" s="22" t="s">
        <v>4724</v>
      </c>
      <c r="B1123" s="22" t="s">
        <v>1169</v>
      </c>
      <c r="C1123" s="22" t="s">
        <v>61</v>
      </c>
      <c r="D1123" s="22" t="s">
        <v>4625</v>
      </c>
      <c r="E1123" s="22" t="str">
        <f aca="false">IF(D1123="","",IFERROR(VLOOKUP(D1123,$A$2:$B$1656,2,FALSE()),""))</f>
        <v>Combat Function Archetypes</v>
      </c>
      <c r="F1123" s="22" t="n">
        <v>3</v>
      </c>
      <c r="G1123" s="22" t="s">
        <v>4725</v>
      </c>
      <c r="H1123" s="22" t="s">
        <v>4642</v>
      </c>
      <c r="I1123" s="22" t="s">
        <v>4726</v>
      </c>
      <c r="J1123" s="22" t="s">
        <v>4644</v>
      </c>
      <c r="K1123" s="22" t="s">
        <v>4726</v>
      </c>
      <c r="L1123" s="22" t="s">
        <v>184</v>
      </c>
      <c r="M1123" s="22" t="s">
        <v>253</v>
      </c>
    </row>
    <row r="1124" customFormat="false" ht="43.5" hidden="false" customHeight="true" outlineLevel="0" collapsed="false">
      <c r="A1124" s="22" t="s">
        <v>4727</v>
      </c>
      <c r="B1124" s="22" t="s">
        <v>4728</v>
      </c>
      <c r="C1124" s="22" t="s">
        <v>61</v>
      </c>
      <c r="D1124" s="22" t="s">
        <v>4625</v>
      </c>
      <c r="E1124" s="22" t="str">
        <f aca="false">IF(D1124="","",IFERROR(VLOOKUP(D1124,$A$2:$B$1656,2,FALSE()),""))</f>
        <v>Combat Function Archetypes</v>
      </c>
      <c r="F1124" s="22" t="n">
        <v>3</v>
      </c>
      <c r="G1124" s="22" t="s">
        <v>4729</v>
      </c>
      <c r="H1124" s="22" t="s">
        <v>4642</v>
      </c>
      <c r="I1124" s="22" t="s">
        <v>4730</v>
      </c>
      <c r="J1124" s="22" t="s">
        <v>4644</v>
      </c>
      <c r="K1124" s="22" t="s">
        <v>4730</v>
      </c>
      <c r="L1124" s="22" t="s">
        <v>184</v>
      </c>
      <c r="M1124" s="22" t="s">
        <v>253</v>
      </c>
    </row>
    <row r="1125" customFormat="false" ht="43.5" hidden="false" customHeight="true" outlineLevel="0" collapsed="false">
      <c r="A1125" s="22" t="s">
        <v>4731</v>
      </c>
      <c r="B1125" s="22" t="s">
        <v>4732</v>
      </c>
      <c r="C1125" s="22" t="s">
        <v>61</v>
      </c>
      <c r="D1125" s="22" t="s">
        <v>4625</v>
      </c>
      <c r="E1125" s="22" t="str">
        <f aca="false">IF(D1125="","",IFERROR(VLOOKUP(D1125,$A$2:$B$1656,2,FALSE()),""))</f>
        <v>Combat Function Archetypes</v>
      </c>
      <c r="F1125" s="22" t="n">
        <v>3</v>
      </c>
      <c r="G1125" s="22" t="s">
        <v>4733</v>
      </c>
      <c r="H1125" s="22" t="s">
        <v>4642</v>
      </c>
      <c r="I1125" s="22" t="s">
        <v>4734</v>
      </c>
      <c r="J1125" s="22" t="s">
        <v>4644</v>
      </c>
      <c r="K1125" s="22" t="s">
        <v>4734</v>
      </c>
      <c r="L1125" s="22" t="s">
        <v>184</v>
      </c>
      <c r="M1125" s="22" t="s">
        <v>253</v>
      </c>
    </row>
    <row r="1126" customFormat="false" ht="43.5" hidden="false" customHeight="true" outlineLevel="0" collapsed="false">
      <c r="A1126" s="22" t="s">
        <v>4735</v>
      </c>
      <c r="B1126" s="22" t="s">
        <v>4736</v>
      </c>
      <c r="C1126" s="22" t="s">
        <v>61</v>
      </c>
      <c r="D1126" s="22" t="s">
        <v>4625</v>
      </c>
      <c r="E1126" s="22" t="str">
        <f aca="false">IF(D1126="","",IFERROR(VLOOKUP(D1126,$A$2:$B$1656,2,FALSE()),""))</f>
        <v>Combat Function Archetypes</v>
      </c>
      <c r="F1126" s="22" t="n">
        <v>3</v>
      </c>
      <c r="G1126" s="22" t="s">
        <v>4737</v>
      </c>
      <c r="H1126" s="22" t="s">
        <v>4642</v>
      </c>
      <c r="I1126" s="22" t="s">
        <v>4738</v>
      </c>
      <c r="J1126" s="22" t="s">
        <v>4644</v>
      </c>
      <c r="K1126" s="22" t="s">
        <v>4738</v>
      </c>
      <c r="L1126" s="22" t="s">
        <v>184</v>
      </c>
      <c r="M1126" s="22" t="s">
        <v>253</v>
      </c>
    </row>
    <row r="1127" customFormat="false" ht="43.5" hidden="false" customHeight="true" outlineLevel="0" collapsed="false">
      <c r="A1127" s="22" t="s">
        <v>4739</v>
      </c>
      <c r="B1127" s="22" t="s">
        <v>4740</v>
      </c>
      <c r="C1127" s="22" t="s">
        <v>61</v>
      </c>
      <c r="D1127" s="22" t="s">
        <v>4625</v>
      </c>
      <c r="E1127" s="22" t="str">
        <f aca="false">IF(D1127="","",IFERROR(VLOOKUP(D1127,$A$2:$B$1656,2,FALSE()),""))</f>
        <v>Combat Function Archetypes</v>
      </c>
      <c r="F1127" s="22" t="n">
        <v>3</v>
      </c>
      <c r="G1127" s="22" t="s">
        <v>4741</v>
      </c>
      <c r="H1127" s="22" t="s">
        <v>4642</v>
      </c>
      <c r="I1127" s="22" t="s">
        <v>4742</v>
      </c>
      <c r="J1127" s="22" t="s">
        <v>4644</v>
      </c>
      <c r="K1127" s="22" t="s">
        <v>4742</v>
      </c>
      <c r="L1127" s="22" t="s">
        <v>184</v>
      </c>
      <c r="M1127" s="22" t="s">
        <v>253</v>
      </c>
    </row>
    <row r="1128" customFormat="false" ht="43.5" hidden="false" customHeight="true" outlineLevel="0" collapsed="false">
      <c r="A1128" s="22" t="s">
        <v>4743</v>
      </c>
      <c r="B1128" s="22" t="s">
        <v>4744</v>
      </c>
      <c r="C1128" s="22" t="s">
        <v>61</v>
      </c>
      <c r="D1128" s="22" t="s">
        <v>4625</v>
      </c>
      <c r="E1128" s="22" t="str">
        <f aca="false">IF(D1128="","",IFERROR(VLOOKUP(D1128,$A$2:$B$1656,2,FALSE()),""))</f>
        <v>Combat Function Archetypes</v>
      </c>
      <c r="F1128" s="22" t="n">
        <v>3</v>
      </c>
      <c r="G1128" s="22" t="s">
        <v>4745</v>
      </c>
      <c r="H1128" s="22" t="s">
        <v>4642</v>
      </c>
      <c r="I1128" s="22" t="s">
        <v>4746</v>
      </c>
      <c r="J1128" s="22" t="s">
        <v>4644</v>
      </c>
      <c r="K1128" s="22" t="s">
        <v>4746</v>
      </c>
      <c r="L1128" s="22" t="s">
        <v>184</v>
      </c>
      <c r="M1128" s="22" t="s">
        <v>253</v>
      </c>
    </row>
    <row r="1129" customFormat="false" ht="43.5" hidden="false" customHeight="true" outlineLevel="0" collapsed="false">
      <c r="A1129" s="22" t="s">
        <v>4747</v>
      </c>
      <c r="B1129" s="22" t="s">
        <v>4748</v>
      </c>
      <c r="C1129" s="22" t="s">
        <v>61</v>
      </c>
      <c r="D1129" s="22" t="s">
        <v>4625</v>
      </c>
      <c r="E1129" s="22" t="str">
        <f aca="false">IF(D1129="","",IFERROR(VLOOKUP(D1129,$A$2:$B$1656,2,FALSE()),""))</f>
        <v>Combat Function Archetypes</v>
      </c>
      <c r="F1129" s="22" t="n">
        <v>3</v>
      </c>
      <c r="G1129" s="22" t="s">
        <v>4749</v>
      </c>
      <c r="H1129" s="22" t="s">
        <v>4642</v>
      </c>
      <c r="I1129" s="22" t="s">
        <v>4750</v>
      </c>
      <c r="J1129" s="22" t="s">
        <v>4644</v>
      </c>
      <c r="K1129" s="22" t="s">
        <v>4750</v>
      </c>
      <c r="L1129" s="22" t="s">
        <v>184</v>
      </c>
      <c r="M1129" s="22" t="s">
        <v>253</v>
      </c>
    </row>
    <row r="1130" customFormat="false" ht="43.5" hidden="false" customHeight="true" outlineLevel="0" collapsed="false">
      <c r="A1130" s="22" t="s">
        <v>4751</v>
      </c>
      <c r="B1130" s="22" t="s">
        <v>4752</v>
      </c>
      <c r="C1130" s="22" t="s">
        <v>61</v>
      </c>
      <c r="D1130" s="22" t="s">
        <v>4625</v>
      </c>
      <c r="E1130" s="22" t="str">
        <f aca="false">IF(D1130="","",IFERROR(VLOOKUP(D1130,$A$2:$B$1656,2,FALSE()),""))</f>
        <v>Combat Function Archetypes</v>
      </c>
      <c r="F1130" s="22" t="n">
        <v>3</v>
      </c>
      <c r="G1130" s="22" t="s">
        <v>4753</v>
      </c>
      <c r="H1130" s="22" t="s">
        <v>4642</v>
      </c>
      <c r="I1130" s="22" t="s">
        <v>4754</v>
      </c>
      <c r="J1130" s="22" t="s">
        <v>4644</v>
      </c>
      <c r="K1130" s="22" t="s">
        <v>4754</v>
      </c>
      <c r="L1130" s="22" t="s">
        <v>184</v>
      </c>
      <c r="M1130" s="22" t="s">
        <v>253</v>
      </c>
    </row>
    <row r="1131" customFormat="false" ht="43.5" hidden="false" customHeight="true" outlineLevel="0" collapsed="false">
      <c r="A1131" s="22" t="s">
        <v>4755</v>
      </c>
      <c r="B1131" s="22" t="s">
        <v>4756</v>
      </c>
      <c r="C1131" s="22" t="s">
        <v>61</v>
      </c>
      <c r="D1131" s="22" t="s">
        <v>4625</v>
      </c>
      <c r="E1131" s="22" t="str">
        <f aca="false">IF(D1131="","",IFERROR(VLOOKUP(D1131,$A$2:$B$1656,2,FALSE()),""))</f>
        <v>Combat Function Archetypes</v>
      </c>
      <c r="F1131" s="22" t="n">
        <v>3</v>
      </c>
      <c r="G1131" s="22" t="s">
        <v>4757</v>
      </c>
      <c r="H1131" s="22" t="s">
        <v>4642</v>
      </c>
      <c r="I1131" s="22" t="s">
        <v>4758</v>
      </c>
      <c r="J1131" s="22" t="s">
        <v>4644</v>
      </c>
      <c r="K1131" s="22" t="s">
        <v>4758</v>
      </c>
      <c r="L1131" s="22" t="s">
        <v>184</v>
      </c>
      <c r="M1131" s="22" t="s">
        <v>253</v>
      </c>
    </row>
    <row r="1132" customFormat="false" ht="43.5" hidden="false" customHeight="true" outlineLevel="0" collapsed="false">
      <c r="A1132" s="22" t="s">
        <v>4759</v>
      </c>
      <c r="B1132" s="22" t="s">
        <v>4760</v>
      </c>
      <c r="C1132" s="22" t="s">
        <v>61</v>
      </c>
      <c r="D1132" s="22" t="s">
        <v>4625</v>
      </c>
      <c r="E1132" s="22" t="str">
        <f aca="false">IF(D1132="","",IFERROR(VLOOKUP(D1132,$A$2:$B$1656,2,FALSE()),""))</f>
        <v>Combat Function Archetypes</v>
      </c>
      <c r="F1132" s="22" t="n">
        <v>3</v>
      </c>
      <c r="G1132" s="22" t="s">
        <v>4761</v>
      </c>
      <c r="H1132" s="22" t="s">
        <v>4642</v>
      </c>
      <c r="I1132" s="22" t="s">
        <v>4762</v>
      </c>
      <c r="J1132" s="22" t="s">
        <v>4644</v>
      </c>
      <c r="K1132" s="22" t="s">
        <v>4762</v>
      </c>
      <c r="L1132" s="22" t="s">
        <v>184</v>
      </c>
      <c r="M1132" s="22" t="s">
        <v>253</v>
      </c>
    </row>
    <row r="1133" customFormat="false" ht="43.5" hidden="false" customHeight="true" outlineLevel="0" collapsed="false">
      <c r="A1133" s="22" t="s">
        <v>4763</v>
      </c>
      <c r="B1133" s="22" t="s">
        <v>1056</v>
      </c>
      <c r="C1133" s="22" t="s">
        <v>61</v>
      </c>
      <c r="D1133" s="22" t="s">
        <v>4625</v>
      </c>
      <c r="E1133" s="22" t="str">
        <f aca="false">IF(D1133="","",IFERROR(VLOOKUP(D1133,$A$2:$B$1656,2,FALSE()),""))</f>
        <v>Combat Function Archetypes</v>
      </c>
      <c r="F1133" s="22" t="n">
        <v>3</v>
      </c>
      <c r="G1133" s="22" t="s">
        <v>4764</v>
      </c>
      <c r="H1133" s="22" t="s">
        <v>4642</v>
      </c>
      <c r="I1133" s="22" t="s">
        <v>4765</v>
      </c>
      <c r="J1133" s="22" t="s">
        <v>4644</v>
      </c>
      <c r="K1133" s="22" t="s">
        <v>4765</v>
      </c>
      <c r="L1133" s="22" t="s">
        <v>184</v>
      </c>
      <c r="M1133" s="22" t="s">
        <v>253</v>
      </c>
    </row>
    <row r="1134" customFormat="false" ht="43.5" hidden="false" customHeight="true" outlineLevel="0" collapsed="false">
      <c r="A1134" s="22" t="s">
        <v>4766</v>
      </c>
      <c r="B1134" s="22" t="s">
        <v>4767</v>
      </c>
      <c r="C1134" s="22" t="s">
        <v>61</v>
      </c>
      <c r="D1134" s="22" t="s">
        <v>4625</v>
      </c>
      <c r="E1134" s="22" t="str">
        <f aca="false">IF(D1134="","",IFERROR(VLOOKUP(D1134,$A$2:$B$1656,2,FALSE()),""))</f>
        <v>Combat Function Archetypes</v>
      </c>
      <c r="F1134" s="22" t="n">
        <v>3</v>
      </c>
      <c r="G1134" s="22" t="s">
        <v>4768</v>
      </c>
      <c r="H1134" s="22" t="s">
        <v>4642</v>
      </c>
      <c r="I1134" s="22" t="s">
        <v>4769</v>
      </c>
      <c r="J1134" s="22" t="s">
        <v>4644</v>
      </c>
      <c r="K1134" s="22" t="s">
        <v>4769</v>
      </c>
      <c r="L1134" s="22" t="s">
        <v>184</v>
      </c>
      <c r="M1134" s="22" t="s">
        <v>253</v>
      </c>
    </row>
    <row r="1135" customFormat="false" ht="43.5" hidden="false" customHeight="true" outlineLevel="0" collapsed="false">
      <c r="A1135" s="22" t="s">
        <v>4770</v>
      </c>
      <c r="B1135" s="22" t="s">
        <v>4771</v>
      </c>
      <c r="C1135" s="22" t="s">
        <v>61</v>
      </c>
      <c r="D1135" s="22" t="s">
        <v>4625</v>
      </c>
      <c r="E1135" s="22" t="str">
        <f aca="false">IF(D1135="","",IFERROR(VLOOKUP(D1135,$A$2:$B$1656,2,FALSE()),""))</f>
        <v>Combat Function Archetypes</v>
      </c>
      <c r="F1135" s="22" t="n">
        <v>3</v>
      </c>
      <c r="G1135" s="22" t="s">
        <v>4772</v>
      </c>
      <c r="H1135" s="22" t="s">
        <v>4642</v>
      </c>
      <c r="I1135" s="22" t="s">
        <v>4773</v>
      </c>
      <c r="J1135" s="22" t="s">
        <v>4644</v>
      </c>
      <c r="K1135" s="22" t="s">
        <v>4773</v>
      </c>
      <c r="L1135" s="22" t="s">
        <v>184</v>
      </c>
      <c r="M1135" s="22" t="s">
        <v>253</v>
      </c>
    </row>
    <row r="1136" customFormat="false" ht="43.5" hidden="false" customHeight="true" outlineLevel="0" collapsed="false">
      <c r="A1136" s="22" t="s">
        <v>4774</v>
      </c>
      <c r="B1136" s="22" t="s">
        <v>4775</v>
      </c>
      <c r="C1136" s="22" t="s">
        <v>61</v>
      </c>
      <c r="D1136" s="22" t="s">
        <v>4625</v>
      </c>
      <c r="E1136" s="22" t="str">
        <f aca="false">IF(D1136="","",IFERROR(VLOOKUP(D1136,$A$2:$B$1656,2,FALSE()),""))</f>
        <v>Combat Function Archetypes</v>
      </c>
      <c r="F1136" s="22" t="n">
        <v>3</v>
      </c>
      <c r="G1136" s="22" t="s">
        <v>4776</v>
      </c>
      <c r="H1136" s="22" t="s">
        <v>4642</v>
      </c>
      <c r="I1136" s="22" t="s">
        <v>4777</v>
      </c>
      <c r="J1136" s="22" t="s">
        <v>4644</v>
      </c>
      <c r="K1136" s="22" t="s">
        <v>4777</v>
      </c>
      <c r="L1136" s="22" t="s">
        <v>184</v>
      </c>
      <c r="M1136" s="22" t="s">
        <v>253</v>
      </c>
    </row>
    <row r="1137" customFormat="false" ht="43.5" hidden="false" customHeight="true" outlineLevel="0" collapsed="false">
      <c r="A1137" s="22" t="s">
        <v>4778</v>
      </c>
      <c r="B1137" s="22" t="s">
        <v>4779</v>
      </c>
      <c r="C1137" s="22" t="s">
        <v>61</v>
      </c>
      <c r="D1137" s="22" t="s">
        <v>4625</v>
      </c>
      <c r="E1137" s="22" t="str">
        <f aca="false">IF(D1137="","",IFERROR(VLOOKUP(D1137,$A$2:$B$1656,2,FALSE()),""))</f>
        <v>Combat Function Archetypes</v>
      </c>
      <c r="F1137" s="22" t="n">
        <v>3</v>
      </c>
      <c r="G1137" s="22" t="s">
        <v>4780</v>
      </c>
      <c r="H1137" s="22" t="s">
        <v>4642</v>
      </c>
      <c r="I1137" s="22" t="s">
        <v>4781</v>
      </c>
      <c r="J1137" s="22" t="s">
        <v>4644</v>
      </c>
      <c r="K1137" s="22" t="s">
        <v>4781</v>
      </c>
      <c r="L1137" s="22" t="s">
        <v>184</v>
      </c>
      <c r="M1137" s="22" t="s">
        <v>253</v>
      </c>
    </row>
    <row r="1138" customFormat="false" ht="43.5" hidden="false" customHeight="true" outlineLevel="0" collapsed="false">
      <c r="A1138" s="22" t="s">
        <v>4782</v>
      </c>
      <c r="B1138" s="22" t="s">
        <v>4783</v>
      </c>
      <c r="C1138" s="22" t="s">
        <v>61</v>
      </c>
      <c r="D1138" s="22" t="s">
        <v>4625</v>
      </c>
      <c r="E1138" s="22" t="str">
        <f aca="false">IF(D1138="","",IFERROR(VLOOKUP(D1138,$A$2:$B$1656,2,FALSE()),""))</f>
        <v>Combat Function Archetypes</v>
      </c>
      <c r="F1138" s="22" t="n">
        <v>3</v>
      </c>
      <c r="G1138" s="22" t="s">
        <v>4784</v>
      </c>
      <c r="H1138" s="22" t="s">
        <v>4642</v>
      </c>
      <c r="I1138" s="22" t="s">
        <v>4785</v>
      </c>
      <c r="J1138" s="22" t="s">
        <v>4644</v>
      </c>
      <c r="K1138" s="22" t="s">
        <v>4785</v>
      </c>
      <c r="L1138" s="22" t="s">
        <v>184</v>
      </c>
      <c r="M1138" s="22" t="s">
        <v>253</v>
      </c>
    </row>
    <row r="1139" customFormat="false" ht="43.5" hidden="false" customHeight="true" outlineLevel="0" collapsed="false">
      <c r="A1139" s="22" t="s">
        <v>4786</v>
      </c>
      <c r="B1139" s="22" t="s">
        <v>4787</v>
      </c>
      <c r="C1139" s="22" t="s">
        <v>61</v>
      </c>
      <c r="D1139" s="22" t="s">
        <v>4625</v>
      </c>
      <c r="E1139" s="22" t="str">
        <f aca="false">IF(D1139="","",IFERROR(VLOOKUP(D1139,$A$2:$B$1656,2,FALSE()),""))</f>
        <v>Combat Function Archetypes</v>
      </c>
      <c r="F1139" s="22" t="n">
        <v>3</v>
      </c>
      <c r="G1139" s="22" t="s">
        <v>4788</v>
      </c>
      <c r="H1139" s="22" t="s">
        <v>4642</v>
      </c>
      <c r="I1139" s="22" t="s">
        <v>4789</v>
      </c>
      <c r="J1139" s="22" t="s">
        <v>4644</v>
      </c>
      <c r="K1139" s="22" t="s">
        <v>4789</v>
      </c>
      <c r="L1139" s="22" t="s">
        <v>184</v>
      </c>
      <c r="M1139" s="22" t="s">
        <v>253</v>
      </c>
    </row>
    <row r="1140" customFormat="false" ht="43.5" hidden="false" customHeight="true" outlineLevel="0" collapsed="false">
      <c r="A1140" s="22" t="s">
        <v>4790</v>
      </c>
      <c r="B1140" s="22" t="s">
        <v>4791</v>
      </c>
      <c r="C1140" s="22" t="s">
        <v>61</v>
      </c>
      <c r="D1140" s="22" t="s">
        <v>4630</v>
      </c>
      <c r="E1140" s="22" t="str">
        <f aca="false">IF(D1140="","",IFERROR(VLOOKUP(D1140,$A$2:$B$1656,2,FALSE()),""))</f>
        <v>Resource and Casting Models</v>
      </c>
      <c r="F1140" s="22" t="n">
        <v>3</v>
      </c>
      <c r="G1140" s="22" t="s">
        <v>4792</v>
      </c>
      <c r="H1140" s="22" t="s">
        <v>4642</v>
      </c>
      <c r="I1140" s="22" t="s">
        <v>4793</v>
      </c>
      <c r="J1140" s="22" t="s">
        <v>4794</v>
      </c>
      <c r="K1140" s="22" t="s">
        <v>4793</v>
      </c>
      <c r="L1140" s="22" t="s">
        <v>184</v>
      </c>
      <c r="M1140" s="22" t="s">
        <v>253</v>
      </c>
    </row>
    <row r="1141" customFormat="false" ht="43.5" hidden="false" customHeight="true" outlineLevel="0" collapsed="false">
      <c r="A1141" s="22" t="s">
        <v>4795</v>
      </c>
      <c r="B1141" s="22" t="s">
        <v>4796</v>
      </c>
      <c r="C1141" s="22" t="s">
        <v>61</v>
      </c>
      <c r="D1141" s="22" t="s">
        <v>4630</v>
      </c>
      <c r="E1141" s="22" t="str">
        <f aca="false">IF(D1141="","",IFERROR(VLOOKUP(D1141,$A$2:$B$1656,2,FALSE()),""))</f>
        <v>Resource and Casting Models</v>
      </c>
      <c r="F1141" s="22" t="n">
        <v>3</v>
      </c>
      <c r="G1141" s="22" t="s">
        <v>4797</v>
      </c>
      <c r="H1141" s="22" t="s">
        <v>4642</v>
      </c>
      <c r="I1141" s="22" t="s">
        <v>4798</v>
      </c>
      <c r="J1141" s="22" t="s">
        <v>4794</v>
      </c>
      <c r="K1141" s="22" t="s">
        <v>4798</v>
      </c>
      <c r="L1141" s="22" t="s">
        <v>184</v>
      </c>
      <c r="M1141" s="22" t="s">
        <v>253</v>
      </c>
    </row>
    <row r="1142" customFormat="false" ht="43.5" hidden="false" customHeight="true" outlineLevel="0" collapsed="false">
      <c r="A1142" s="22" t="s">
        <v>4799</v>
      </c>
      <c r="B1142" s="22" t="s">
        <v>4800</v>
      </c>
      <c r="C1142" s="22" t="s">
        <v>61</v>
      </c>
      <c r="D1142" s="22" t="s">
        <v>4630</v>
      </c>
      <c r="E1142" s="22" t="str">
        <f aca="false">IF(D1142="","",IFERROR(VLOOKUP(D1142,$A$2:$B$1656,2,FALSE()),""))</f>
        <v>Resource and Casting Models</v>
      </c>
      <c r="F1142" s="22" t="n">
        <v>3</v>
      </c>
      <c r="G1142" s="22" t="s">
        <v>4801</v>
      </c>
      <c r="H1142" s="22" t="s">
        <v>4642</v>
      </c>
      <c r="I1142" s="22" t="s">
        <v>4802</v>
      </c>
      <c r="J1142" s="22" t="s">
        <v>4794</v>
      </c>
      <c r="K1142" s="22" t="s">
        <v>4802</v>
      </c>
      <c r="L1142" s="22" t="s">
        <v>184</v>
      </c>
      <c r="M1142" s="22" t="s">
        <v>253</v>
      </c>
    </row>
    <row r="1143" customFormat="false" ht="43.5" hidden="false" customHeight="true" outlineLevel="0" collapsed="false">
      <c r="A1143" s="22" t="s">
        <v>4803</v>
      </c>
      <c r="B1143" s="22" t="s">
        <v>4804</v>
      </c>
      <c r="C1143" s="22" t="s">
        <v>61</v>
      </c>
      <c r="D1143" s="22" t="s">
        <v>4630</v>
      </c>
      <c r="E1143" s="22" t="str">
        <f aca="false">IF(D1143="","",IFERROR(VLOOKUP(D1143,$A$2:$B$1656,2,FALSE()),""))</f>
        <v>Resource and Casting Models</v>
      </c>
      <c r="F1143" s="22" t="n">
        <v>3</v>
      </c>
      <c r="G1143" s="22" t="s">
        <v>4805</v>
      </c>
      <c r="H1143" s="22" t="s">
        <v>4642</v>
      </c>
      <c r="I1143" s="22" t="s">
        <v>4806</v>
      </c>
      <c r="J1143" s="22" t="s">
        <v>4794</v>
      </c>
      <c r="K1143" s="22" t="s">
        <v>4806</v>
      </c>
      <c r="L1143" s="22" t="s">
        <v>184</v>
      </c>
      <c r="M1143" s="22" t="s">
        <v>253</v>
      </c>
    </row>
    <row r="1144" customFormat="false" ht="43.5" hidden="false" customHeight="true" outlineLevel="0" collapsed="false">
      <c r="A1144" s="22" t="s">
        <v>4807</v>
      </c>
      <c r="B1144" s="22" t="s">
        <v>4808</v>
      </c>
      <c r="C1144" s="22" t="s">
        <v>61</v>
      </c>
      <c r="D1144" s="22" t="s">
        <v>4630</v>
      </c>
      <c r="E1144" s="22" t="str">
        <f aca="false">IF(D1144="","",IFERROR(VLOOKUP(D1144,$A$2:$B$1656,2,FALSE()),""))</f>
        <v>Resource and Casting Models</v>
      </c>
      <c r="F1144" s="22" t="n">
        <v>3</v>
      </c>
      <c r="G1144" s="22" t="s">
        <v>4809</v>
      </c>
      <c r="H1144" s="22" t="s">
        <v>4642</v>
      </c>
      <c r="I1144" s="22" t="s">
        <v>4810</v>
      </c>
      <c r="J1144" s="22" t="s">
        <v>4794</v>
      </c>
      <c r="K1144" s="22" t="s">
        <v>4810</v>
      </c>
      <c r="L1144" s="22" t="s">
        <v>184</v>
      </c>
      <c r="M1144" s="22" t="s">
        <v>253</v>
      </c>
    </row>
    <row r="1145" customFormat="false" ht="43.5" hidden="false" customHeight="true" outlineLevel="0" collapsed="false">
      <c r="A1145" s="22" t="s">
        <v>4811</v>
      </c>
      <c r="B1145" s="22" t="s">
        <v>4812</v>
      </c>
      <c r="C1145" s="22" t="s">
        <v>61</v>
      </c>
      <c r="D1145" s="22" t="s">
        <v>4630</v>
      </c>
      <c r="E1145" s="22" t="str">
        <f aca="false">IF(D1145="","",IFERROR(VLOOKUP(D1145,$A$2:$B$1656,2,FALSE()),""))</f>
        <v>Resource and Casting Models</v>
      </c>
      <c r="F1145" s="22" t="n">
        <v>3</v>
      </c>
      <c r="G1145" s="22" t="s">
        <v>4813</v>
      </c>
      <c r="H1145" s="22" t="s">
        <v>4642</v>
      </c>
      <c r="I1145" s="22" t="s">
        <v>4814</v>
      </c>
      <c r="J1145" s="22" t="s">
        <v>4794</v>
      </c>
      <c r="K1145" s="22" t="s">
        <v>4814</v>
      </c>
      <c r="L1145" s="22" t="s">
        <v>184</v>
      </c>
      <c r="M1145" s="22" t="s">
        <v>253</v>
      </c>
    </row>
    <row r="1146" customFormat="false" ht="43.5" hidden="false" customHeight="true" outlineLevel="0" collapsed="false">
      <c r="A1146" s="22" t="s">
        <v>4815</v>
      </c>
      <c r="B1146" s="22" t="s">
        <v>4816</v>
      </c>
      <c r="C1146" s="22" t="s">
        <v>61</v>
      </c>
      <c r="D1146" s="22" t="s">
        <v>4630</v>
      </c>
      <c r="E1146" s="22" t="str">
        <f aca="false">IF(D1146="","",IFERROR(VLOOKUP(D1146,$A$2:$B$1656,2,FALSE()),""))</f>
        <v>Resource and Casting Models</v>
      </c>
      <c r="F1146" s="22" t="n">
        <v>3</v>
      </c>
      <c r="G1146" s="22" t="s">
        <v>4817</v>
      </c>
      <c r="H1146" s="22" t="s">
        <v>4642</v>
      </c>
      <c r="I1146" s="22" t="s">
        <v>4818</v>
      </c>
      <c r="J1146" s="22" t="s">
        <v>4794</v>
      </c>
      <c r="K1146" s="22" t="s">
        <v>4818</v>
      </c>
      <c r="L1146" s="22" t="s">
        <v>184</v>
      </c>
      <c r="M1146" s="22" t="s">
        <v>253</v>
      </c>
    </row>
    <row r="1147" customFormat="false" ht="43.5" hidden="false" customHeight="true" outlineLevel="0" collapsed="false">
      <c r="A1147" s="22" t="s">
        <v>4819</v>
      </c>
      <c r="B1147" s="22" t="s">
        <v>4820</v>
      </c>
      <c r="C1147" s="22" t="s">
        <v>61</v>
      </c>
      <c r="D1147" s="22" t="s">
        <v>4630</v>
      </c>
      <c r="E1147" s="22" t="str">
        <f aca="false">IF(D1147="","",IFERROR(VLOOKUP(D1147,$A$2:$B$1656,2,FALSE()),""))</f>
        <v>Resource and Casting Models</v>
      </c>
      <c r="F1147" s="22" t="n">
        <v>3</v>
      </c>
      <c r="G1147" s="22" t="s">
        <v>4821</v>
      </c>
      <c r="H1147" s="22" t="s">
        <v>4642</v>
      </c>
      <c r="I1147" s="22" t="s">
        <v>4822</v>
      </c>
      <c r="J1147" s="22" t="s">
        <v>4794</v>
      </c>
      <c r="K1147" s="22" t="s">
        <v>4822</v>
      </c>
      <c r="L1147" s="22" t="s">
        <v>184</v>
      </c>
      <c r="M1147" s="22" t="s">
        <v>253</v>
      </c>
    </row>
    <row r="1148" customFormat="false" ht="43.5" hidden="false" customHeight="true" outlineLevel="0" collapsed="false">
      <c r="A1148" s="22" t="s">
        <v>4823</v>
      </c>
      <c r="B1148" s="22" t="s">
        <v>4824</v>
      </c>
      <c r="C1148" s="22" t="s">
        <v>61</v>
      </c>
      <c r="D1148" s="22" t="s">
        <v>4630</v>
      </c>
      <c r="E1148" s="22" t="str">
        <f aca="false">IF(D1148="","",IFERROR(VLOOKUP(D1148,$A$2:$B$1656,2,FALSE()),""))</f>
        <v>Resource and Casting Models</v>
      </c>
      <c r="F1148" s="22" t="n">
        <v>3</v>
      </c>
      <c r="G1148" s="22" t="s">
        <v>4825</v>
      </c>
      <c r="H1148" s="22" t="s">
        <v>4642</v>
      </c>
      <c r="I1148" s="22" t="s">
        <v>4826</v>
      </c>
      <c r="J1148" s="22" t="s">
        <v>4794</v>
      </c>
      <c r="K1148" s="22" t="s">
        <v>4826</v>
      </c>
      <c r="L1148" s="22" t="s">
        <v>184</v>
      </c>
      <c r="M1148" s="22" t="s">
        <v>253</v>
      </c>
    </row>
    <row r="1149" customFormat="false" ht="43.5" hidden="false" customHeight="true" outlineLevel="0" collapsed="false">
      <c r="A1149" s="22" t="s">
        <v>4827</v>
      </c>
      <c r="B1149" s="22" t="s">
        <v>4828</v>
      </c>
      <c r="C1149" s="22" t="s">
        <v>61</v>
      </c>
      <c r="D1149" s="22" t="s">
        <v>4630</v>
      </c>
      <c r="E1149" s="22" t="str">
        <f aca="false">IF(D1149="","",IFERROR(VLOOKUP(D1149,$A$2:$B$1656,2,FALSE()),""))</f>
        <v>Resource and Casting Models</v>
      </c>
      <c r="F1149" s="22" t="n">
        <v>3</v>
      </c>
      <c r="G1149" s="22" t="s">
        <v>4829</v>
      </c>
      <c r="H1149" s="22" t="s">
        <v>4642</v>
      </c>
      <c r="I1149" s="22" t="s">
        <v>4830</v>
      </c>
      <c r="J1149" s="22" t="s">
        <v>4794</v>
      </c>
      <c r="K1149" s="22" t="s">
        <v>4830</v>
      </c>
      <c r="L1149" s="22" t="s">
        <v>184</v>
      </c>
      <c r="M1149" s="22" t="s">
        <v>253</v>
      </c>
    </row>
    <row r="1150" customFormat="false" ht="43.5" hidden="false" customHeight="true" outlineLevel="0" collapsed="false">
      <c r="A1150" s="22" t="s">
        <v>4831</v>
      </c>
      <c r="B1150" s="22" t="s">
        <v>4832</v>
      </c>
      <c r="C1150" s="22" t="s">
        <v>61</v>
      </c>
      <c r="D1150" s="22" t="s">
        <v>4630</v>
      </c>
      <c r="E1150" s="22" t="str">
        <f aca="false">IF(D1150="","",IFERROR(VLOOKUP(D1150,$A$2:$B$1656,2,FALSE()),""))</f>
        <v>Resource and Casting Models</v>
      </c>
      <c r="F1150" s="22" t="n">
        <v>3</v>
      </c>
      <c r="G1150" s="22" t="s">
        <v>4833</v>
      </c>
      <c r="H1150" s="22" t="s">
        <v>4642</v>
      </c>
      <c r="I1150" s="22" t="s">
        <v>4834</v>
      </c>
      <c r="J1150" s="22" t="s">
        <v>4794</v>
      </c>
      <c r="K1150" s="22" t="s">
        <v>4834</v>
      </c>
      <c r="L1150" s="22" t="s">
        <v>184</v>
      </c>
      <c r="M1150" s="22" t="s">
        <v>253</v>
      </c>
    </row>
    <row r="1151" customFormat="false" ht="43.5" hidden="false" customHeight="true" outlineLevel="0" collapsed="false">
      <c r="A1151" s="22" t="s">
        <v>4835</v>
      </c>
      <c r="B1151" s="22" t="s">
        <v>4836</v>
      </c>
      <c r="C1151" s="22" t="s">
        <v>61</v>
      </c>
      <c r="D1151" s="22" t="s">
        <v>4630</v>
      </c>
      <c r="E1151" s="22" t="str">
        <f aca="false">IF(D1151="","",IFERROR(VLOOKUP(D1151,$A$2:$B$1656,2,FALSE()),""))</f>
        <v>Resource and Casting Models</v>
      </c>
      <c r="F1151" s="22" t="n">
        <v>3</v>
      </c>
      <c r="G1151" s="22" t="s">
        <v>4837</v>
      </c>
      <c r="H1151" s="22" t="s">
        <v>4642</v>
      </c>
      <c r="I1151" s="22" t="s">
        <v>4838</v>
      </c>
      <c r="J1151" s="22" t="s">
        <v>4794</v>
      </c>
      <c r="K1151" s="22" t="s">
        <v>4838</v>
      </c>
      <c r="L1151" s="22" t="s">
        <v>184</v>
      </c>
      <c r="M1151" s="22" t="s">
        <v>253</v>
      </c>
    </row>
    <row r="1152" customFormat="false" ht="43.5" hidden="false" customHeight="true" outlineLevel="0" collapsed="false">
      <c r="A1152" s="22" t="s">
        <v>4839</v>
      </c>
      <c r="B1152" s="22" t="s">
        <v>4840</v>
      </c>
      <c r="C1152" s="22" t="s">
        <v>61</v>
      </c>
      <c r="D1152" s="22" t="s">
        <v>4630</v>
      </c>
      <c r="E1152" s="22" t="str">
        <f aca="false">IF(D1152="","",IFERROR(VLOOKUP(D1152,$A$2:$B$1656,2,FALSE()),""))</f>
        <v>Resource and Casting Models</v>
      </c>
      <c r="F1152" s="22" t="n">
        <v>3</v>
      </c>
      <c r="G1152" s="22" t="s">
        <v>4841</v>
      </c>
      <c r="H1152" s="22" t="s">
        <v>4642</v>
      </c>
      <c r="I1152" s="22" t="s">
        <v>4842</v>
      </c>
      <c r="J1152" s="22" t="s">
        <v>4794</v>
      </c>
      <c r="K1152" s="22" t="s">
        <v>4842</v>
      </c>
      <c r="L1152" s="22" t="s">
        <v>184</v>
      </c>
      <c r="M1152" s="22" t="s">
        <v>253</v>
      </c>
    </row>
    <row r="1153" customFormat="false" ht="43.5" hidden="false" customHeight="true" outlineLevel="0" collapsed="false">
      <c r="A1153" s="22" t="s">
        <v>4843</v>
      </c>
      <c r="B1153" s="22" t="s">
        <v>4844</v>
      </c>
      <c r="C1153" s="22" t="s">
        <v>61</v>
      </c>
      <c r="D1153" s="22" t="s">
        <v>4630</v>
      </c>
      <c r="E1153" s="22" t="str">
        <f aca="false">IF(D1153="","",IFERROR(VLOOKUP(D1153,$A$2:$B$1656,2,FALSE()),""))</f>
        <v>Resource and Casting Models</v>
      </c>
      <c r="F1153" s="22" t="n">
        <v>3</v>
      </c>
      <c r="G1153" s="22" t="s">
        <v>4845</v>
      </c>
      <c r="H1153" s="22" t="s">
        <v>4642</v>
      </c>
      <c r="I1153" s="22" t="s">
        <v>4846</v>
      </c>
      <c r="J1153" s="22" t="s">
        <v>4794</v>
      </c>
      <c r="K1153" s="22" t="s">
        <v>4846</v>
      </c>
      <c r="L1153" s="22" t="s">
        <v>184</v>
      </c>
      <c r="M1153" s="22" t="s">
        <v>253</v>
      </c>
    </row>
    <row r="1154" customFormat="false" ht="43.5" hidden="false" customHeight="true" outlineLevel="0" collapsed="false">
      <c r="A1154" s="22" t="s">
        <v>4847</v>
      </c>
      <c r="B1154" s="22" t="s">
        <v>4848</v>
      </c>
      <c r="C1154" s="22" t="s">
        <v>61</v>
      </c>
      <c r="D1154" s="22" t="s">
        <v>4630</v>
      </c>
      <c r="E1154" s="22" t="str">
        <f aca="false">IF(D1154="","",IFERROR(VLOOKUP(D1154,$A$2:$B$1656,2,FALSE()),""))</f>
        <v>Resource and Casting Models</v>
      </c>
      <c r="F1154" s="22" t="n">
        <v>3</v>
      </c>
      <c r="G1154" s="22" t="s">
        <v>4849</v>
      </c>
      <c r="H1154" s="22" t="s">
        <v>4642</v>
      </c>
      <c r="I1154" s="22" t="s">
        <v>4850</v>
      </c>
      <c r="J1154" s="22" t="s">
        <v>4794</v>
      </c>
      <c r="K1154" s="22" t="s">
        <v>4850</v>
      </c>
      <c r="L1154" s="22" t="s">
        <v>184</v>
      </c>
      <c r="M1154" s="22" t="s">
        <v>253</v>
      </c>
    </row>
    <row r="1155" customFormat="false" ht="43.5" hidden="false" customHeight="true" outlineLevel="0" collapsed="false">
      <c r="A1155" s="22" t="s">
        <v>4851</v>
      </c>
      <c r="B1155" s="22" t="s">
        <v>4852</v>
      </c>
      <c r="C1155" s="22" t="s">
        <v>61</v>
      </c>
      <c r="D1155" s="22" t="s">
        <v>4630</v>
      </c>
      <c r="E1155" s="22" t="str">
        <f aca="false">IF(D1155="","",IFERROR(VLOOKUP(D1155,$A$2:$B$1656,2,FALSE()),""))</f>
        <v>Resource and Casting Models</v>
      </c>
      <c r="F1155" s="22" t="n">
        <v>3</v>
      </c>
      <c r="G1155" s="22" t="s">
        <v>4853</v>
      </c>
      <c r="H1155" s="22" t="s">
        <v>4642</v>
      </c>
      <c r="I1155" s="22" t="s">
        <v>4854</v>
      </c>
      <c r="J1155" s="22" t="s">
        <v>4794</v>
      </c>
      <c r="K1155" s="22" t="s">
        <v>4854</v>
      </c>
      <c r="L1155" s="22" t="s">
        <v>184</v>
      </c>
      <c r="M1155" s="22" t="s">
        <v>253</v>
      </c>
    </row>
    <row r="1156" customFormat="false" ht="43.5" hidden="false" customHeight="true" outlineLevel="0" collapsed="false">
      <c r="A1156" s="22" t="s">
        <v>4855</v>
      </c>
      <c r="B1156" s="22" t="s">
        <v>4856</v>
      </c>
      <c r="C1156" s="22" t="s">
        <v>61</v>
      </c>
      <c r="D1156" s="22" t="s">
        <v>4630</v>
      </c>
      <c r="E1156" s="22" t="str">
        <f aca="false">IF(D1156="","",IFERROR(VLOOKUP(D1156,$A$2:$B$1656,2,FALSE()),""))</f>
        <v>Resource and Casting Models</v>
      </c>
      <c r="F1156" s="22" t="n">
        <v>3</v>
      </c>
      <c r="G1156" s="22" t="s">
        <v>4857</v>
      </c>
      <c r="H1156" s="22" t="s">
        <v>4642</v>
      </c>
      <c r="I1156" s="22" t="s">
        <v>4858</v>
      </c>
      <c r="J1156" s="22" t="s">
        <v>4794</v>
      </c>
      <c r="K1156" s="22" t="s">
        <v>4858</v>
      </c>
      <c r="L1156" s="22" t="s">
        <v>184</v>
      </c>
      <c r="M1156" s="22" t="s">
        <v>253</v>
      </c>
    </row>
    <row r="1157" customFormat="false" ht="43.5" hidden="false" customHeight="true" outlineLevel="0" collapsed="false">
      <c r="A1157" s="22" t="s">
        <v>4859</v>
      </c>
      <c r="B1157" s="22" t="s">
        <v>4860</v>
      </c>
      <c r="C1157" s="22" t="s">
        <v>61</v>
      </c>
      <c r="D1157" s="22" t="s">
        <v>4630</v>
      </c>
      <c r="E1157" s="22" t="str">
        <f aca="false">IF(D1157="","",IFERROR(VLOOKUP(D1157,$A$2:$B$1656,2,FALSE()),""))</f>
        <v>Resource and Casting Models</v>
      </c>
      <c r="F1157" s="22" t="n">
        <v>3</v>
      </c>
      <c r="G1157" s="22" t="s">
        <v>4861</v>
      </c>
      <c r="H1157" s="22" t="s">
        <v>4642</v>
      </c>
      <c r="I1157" s="22" t="s">
        <v>4862</v>
      </c>
      <c r="J1157" s="22" t="s">
        <v>4794</v>
      </c>
      <c r="K1157" s="22" t="s">
        <v>4862</v>
      </c>
      <c r="L1157" s="22" t="s">
        <v>184</v>
      </c>
      <c r="M1157" s="22" t="s">
        <v>253</v>
      </c>
    </row>
    <row r="1158" customFormat="false" ht="43.5" hidden="false" customHeight="true" outlineLevel="0" collapsed="false">
      <c r="A1158" s="22" t="s">
        <v>4863</v>
      </c>
      <c r="B1158" s="22" t="s">
        <v>4864</v>
      </c>
      <c r="C1158" s="22" t="s">
        <v>61</v>
      </c>
      <c r="D1158" s="22" t="s">
        <v>4630</v>
      </c>
      <c r="E1158" s="22" t="str">
        <f aca="false">IF(D1158="","",IFERROR(VLOOKUP(D1158,$A$2:$B$1656,2,FALSE()),""))</f>
        <v>Resource and Casting Models</v>
      </c>
      <c r="F1158" s="22" t="n">
        <v>3</v>
      </c>
      <c r="G1158" s="22" t="s">
        <v>4865</v>
      </c>
      <c r="H1158" s="22" t="s">
        <v>4642</v>
      </c>
      <c r="I1158" s="22" t="s">
        <v>4866</v>
      </c>
      <c r="J1158" s="22" t="s">
        <v>4794</v>
      </c>
      <c r="K1158" s="22" t="s">
        <v>4866</v>
      </c>
      <c r="L1158" s="22" t="s">
        <v>184</v>
      </c>
      <c r="M1158" s="22" t="s">
        <v>253</v>
      </c>
    </row>
    <row r="1159" customFormat="false" ht="43.5" hidden="false" customHeight="true" outlineLevel="0" collapsed="false">
      <c r="A1159" s="22" t="s">
        <v>4867</v>
      </c>
      <c r="B1159" s="22" t="s">
        <v>4868</v>
      </c>
      <c r="C1159" s="22" t="s">
        <v>61</v>
      </c>
      <c r="D1159" s="22" t="s">
        <v>4630</v>
      </c>
      <c r="E1159" s="22" t="str">
        <f aca="false">IF(D1159="","",IFERROR(VLOOKUP(D1159,$A$2:$B$1656,2,FALSE()),""))</f>
        <v>Resource and Casting Models</v>
      </c>
      <c r="F1159" s="22" t="n">
        <v>3</v>
      </c>
      <c r="G1159" s="22" t="s">
        <v>4869</v>
      </c>
      <c r="H1159" s="22" t="s">
        <v>4642</v>
      </c>
      <c r="I1159" s="22" t="s">
        <v>4870</v>
      </c>
      <c r="J1159" s="22" t="s">
        <v>4794</v>
      </c>
      <c r="K1159" s="22" t="s">
        <v>4870</v>
      </c>
      <c r="L1159" s="22" t="s">
        <v>184</v>
      </c>
      <c r="M1159" s="22" t="s">
        <v>253</v>
      </c>
    </row>
    <row r="1160" customFormat="false" ht="43.5" hidden="false" customHeight="true" outlineLevel="0" collapsed="false">
      <c r="A1160" s="22" t="s">
        <v>4871</v>
      </c>
      <c r="B1160" s="22" t="s">
        <v>4872</v>
      </c>
      <c r="C1160" s="22" t="s">
        <v>61</v>
      </c>
      <c r="D1160" s="22" t="s">
        <v>4630</v>
      </c>
      <c r="E1160" s="22" t="str">
        <f aca="false">IF(D1160="","",IFERROR(VLOOKUP(D1160,$A$2:$B$1656,2,FALSE()),""))</f>
        <v>Resource and Casting Models</v>
      </c>
      <c r="F1160" s="22" t="n">
        <v>3</v>
      </c>
      <c r="G1160" s="22" t="s">
        <v>4873</v>
      </c>
      <c r="H1160" s="22" t="s">
        <v>4642</v>
      </c>
      <c r="I1160" s="22" t="s">
        <v>4874</v>
      </c>
      <c r="J1160" s="22" t="s">
        <v>4794</v>
      </c>
      <c r="K1160" s="22" t="s">
        <v>4874</v>
      </c>
      <c r="L1160" s="22" t="s">
        <v>184</v>
      </c>
      <c r="M1160" s="22" t="s">
        <v>253</v>
      </c>
    </row>
    <row r="1161" customFormat="false" ht="43.5" hidden="false" customHeight="true" outlineLevel="0" collapsed="false">
      <c r="A1161" s="22" t="s">
        <v>4875</v>
      </c>
      <c r="B1161" s="22" t="s">
        <v>4876</v>
      </c>
      <c r="C1161" s="22" t="s">
        <v>61</v>
      </c>
      <c r="D1161" s="22" t="s">
        <v>4630</v>
      </c>
      <c r="E1161" s="22" t="str">
        <f aca="false">IF(D1161="","",IFERROR(VLOOKUP(D1161,$A$2:$B$1656,2,FALSE()),""))</f>
        <v>Resource and Casting Models</v>
      </c>
      <c r="F1161" s="22" t="n">
        <v>3</v>
      </c>
      <c r="G1161" s="22" t="s">
        <v>4877</v>
      </c>
      <c r="H1161" s="22" t="s">
        <v>4642</v>
      </c>
      <c r="I1161" s="22" t="s">
        <v>4878</v>
      </c>
      <c r="J1161" s="22" t="s">
        <v>4794</v>
      </c>
      <c r="K1161" s="22" t="s">
        <v>4878</v>
      </c>
      <c r="L1161" s="22" t="s">
        <v>184</v>
      </c>
      <c r="M1161" s="22" t="s">
        <v>253</v>
      </c>
    </row>
    <row r="1162" customFormat="false" ht="43.5" hidden="false" customHeight="true" outlineLevel="0" collapsed="false">
      <c r="A1162" s="22" t="s">
        <v>4879</v>
      </c>
      <c r="B1162" s="22" t="s">
        <v>4880</v>
      </c>
      <c r="C1162" s="22" t="s">
        <v>61</v>
      </c>
      <c r="D1162" s="22" t="s">
        <v>4630</v>
      </c>
      <c r="E1162" s="22" t="str">
        <f aca="false">IF(D1162="","",IFERROR(VLOOKUP(D1162,$A$2:$B$1656,2,FALSE()),""))</f>
        <v>Resource and Casting Models</v>
      </c>
      <c r="F1162" s="22" t="n">
        <v>3</v>
      </c>
      <c r="G1162" s="22" t="s">
        <v>4881</v>
      </c>
      <c r="H1162" s="22" t="s">
        <v>4642</v>
      </c>
      <c r="I1162" s="22" t="s">
        <v>4882</v>
      </c>
      <c r="J1162" s="22" t="s">
        <v>4794</v>
      </c>
      <c r="K1162" s="22" t="s">
        <v>4882</v>
      </c>
      <c r="L1162" s="22" t="s">
        <v>184</v>
      </c>
      <c r="M1162" s="22" t="s">
        <v>253</v>
      </c>
    </row>
    <row r="1163" customFormat="false" ht="43.5" hidden="false" customHeight="true" outlineLevel="0" collapsed="false">
      <c r="A1163" s="22" t="s">
        <v>4883</v>
      </c>
      <c r="B1163" s="22" t="s">
        <v>4884</v>
      </c>
      <c r="C1163" s="22" t="s">
        <v>61</v>
      </c>
      <c r="D1163" s="22" t="s">
        <v>4630</v>
      </c>
      <c r="E1163" s="22" t="str">
        <f aca="false">IF(D1163="","",IFERROR(VLOOKUP(D1163,$A$2:$B$1656,2,FALSE()),""))</f>
        <v>Resource and Casting Models</v>
      </c>
      <c r="F1163" s="22" t="n">
        <v>3</v>
      </c>
      <c r="G1163" s="22" t="s">
        <v>4885</v>
      </c>
      <c r="H1163" s="22" t="s">
        <v>4642</v>
      </c>
      <c r="I1163" s="22" t="s">
        <v>4886</v>
      </c>
      <c r="J1163" s="22" t="s">
        <v>4794</v>
      </c>
      <c r="K1163" s="22" t="s">
        <v>4886</v>
      </c>
      <c r="L1163" s="22" t="s">
        <v>184</v>
      </c>
      <c r="M1163" s="22" t="s">
        <v>253</v>
      </c>
    </row>
    <row r="1164" customFormat="false" ht="43.5" hidden="false" customHeight="true" outlineLevel="0" collapsed="false">
      <c r="A1164" s="22" t="s">
        <v>4887</v>
      </c>
      <c r="B1164" s="22" t="s">
        <v>4888</v>
      </c>
      <c r="C1164" s="22" t="s">
        <v>61</v>
      </c>
      <c r="D1164" s="22" t="s">
        <v>4630</v>
      </c>
      <c r="E1164" s="22" t="str">
        <f aca="false">IF(D1164="","",IFERROR(VLOOKUP(D1164,$A$2:$B$1656,2,FALSE()),""))</f>
        <v>Resource and Casting Models</v>
      </c>
      <c r="F1164" s="22" t="n">
        <v>3</v>
      </c>
      <c r="G1164" s="22" t="s">
        <v>4889</v>
      </c>
      <c r="H1164" s="22" t="s">
        <v>4642</v>
      </c>
      <c r="I1164" s="22" t="s">
        <v>4890</v>
      </c>
      <c r="J1164" s="22" t="s">
        <v>4794</v>
      </c>
      <c r="K1164" s="22" t="s">
        <v>4890</v>
      </c>
      <c r="L1164" s="22" t="s">
        <v>184</v>
      </c>
      <c r="M1164" s="22" t="s">
        <v>253</v>
      </c>
    </row>
    <row r="1165" customFormat="false" ht="43.5" hidden="false" customHeight="true" outlineLevel="0" collapsed="false">
      <c r="A1165" s="22" t="s">
        <v>4891</v>
      </c>
      <c r="B1165" s="22" t="s">
        <v>4892</v>
      </c>
      <c r="C1165" s="22" t="s">
        <v>61</v>
      </c>
      <c r="D1165" s="22" t="s">
        <v>4630</v>
      </c>
      <c r="E1165" s="22" t="str">
        <f aca="false">IF(D1165="","",IFERROR(VLOOKUP(D1165,$A$2:$B$1656,2,FALSE()),""))</f>
        <v>Resource and Casting Models</v>
      </c>
      <c r="F1165" s="22" t="n">
        <v>3</v>
      </c>
      <c r="G1165" s="22" t="s">
        <v>4893</v>
      </c>
      <c r="H1165" s="22" t="s">
        <v>4642</v>
      </c>
      <c r="I1165" s="22" t="s">
        <v>4894</v>
      </c>
      <c r="J1165" s="22" t="s">
        <v>4794</v>
      </c>
      <c r="K1165" s="22" t="s">
        <v>4894</v>
      </c>
      <c r="L1165" s="22" t="s">
        <v>184</v>
      </c>
      <c r="M1165" s="22" t="s">
        <v>253</v>
      </c>
    </row>
    <row r="1166" customFormat="false" ht="43.5" hidden="false" customHeight="true" outlineLevel="0" collapsed="false">
      <c r="A1166" s="22" t="s">
        <v>4895</v>
      </c>
      <c r="B1166" s="22" t="s">
        <v>4896</v>
      </c>
      <c r="C1166" s="22" t="s">
        <v>61</v>
      </c>
      <c r="D1166" s="22" t="s">
        <v>4633</v>
      </c>
      <c r="E1166" s="22" t="str">
        <f aca="false">IF(D1166="","",IFERROR(VLOOKUP(D1166,$A$2:$B$1656,2,FALSE()),""))</f>
        <v>Progression and Build Models</v>
      </c>
      <c r="F1166" s="22" t="n">
        <v>3</v>
      </c>
      <c r="G1166" s="22" t="s">
        <v>4897</v>
      </c>
      <c r="H1166" s="22" t="s">
        <v>4642</v>
      </c>
      <c r="I1166" s="22" t="s">
        <v>4898</v>
      </c>
      <c r="J1166" s="22" t="s">
        <v>4899</v>
      </c>
      <c r="K1166" s="22" t="s">
        <v>4898</v>
      </c>
      <c r="L1166" s="22" t="s">
        <v>184</v>
      </c>
      <c r="M1166" s="22" t="s">
        <v>253</v>
      </c>
    </row>
    <row r="1167" customFormat="false" ht="43.5" hidden="false" customHeight="true" outlineLevel="0" collapsed="false">
      <c r="A1167" s="22" t="s">
        <v>4900</v>
      </c>
      <c r="B1167" s="22" t="s">
        <v>4901</v>
      </c>
      <c r="C1167" s="22" t="s">
        <v>61</v>
      </c>
      <c r="D1167" s="22" t="s">
        <v>4633</v>
      </c>
      <c r="E1167" s="22" t="str">
        <f aca="false">IF(D1167="","",IFERROR(VLOOKUP(D1167,$A$2:$B$1656,2,FALSE()),""))</f>
        <v>Progression and Build Models</v>
      </c>
      <c r="F1167" s="22" t="n">
        <v>3</v>
      </c>
      <c r="G1167" s="22" t="s">
        <v>4902</v>
      </c>
      <c r="H1167" s="22" t="s">
        <v>4642</v>
      </c>
      <c r="I1167" s="22" t="s">
        <v>4903</v>
      </c>
      <c r="J1167" s="22" t="s">
        <v>4899</v>
      </c>
      <c r="K1167" s="22" t="s">
        <v>4903</v>
      </c>
      <c r="L1167" s="22" t="s">
        <v>184</v>
      </c>
      <c r="M1167" s="22" t="s">
        <v>253</v>
      </c>
    </row>
    <row r="1168" customFormat="false" ht="43.5" hidden="false" customHeight="true" outlineLevel="0" collapsed="false">
      <c r="A1168" s="22" t="s">
        <v>4904</v>
      </c>
      <c r="B1168" s="22" t="s">
        <v>4905</v>
      </c>
      <c r="C1168" s="22" t="s">
        <v>61</v>
      </c>
      <c r="D1168" s="22" t="s">
        <v>4633</v>
      </c>
      <c r="E1168" s="22" t="str">
        <f aca="false">IF(D1168="","",IFERROR(VLOOKUP(D1168,$A$2:$B$1656,2,FALSE()),""))</f>
        <v>Progression and Build Models</v>
      </c>
      <c r="F1168" s="22" t="n">
        <v>3</v>
      </c>
      <c r="G1168" s="22" t="s">
        <v>4906</v>
      </c>
      <c r="H1168" s="22" t="s">
        <v>4642</v>
      </c>
      <c r="I1168" s="22" t="s">
        <v>4907</v>
      </c>
      <c r="J1168" s="22" t="s">
        <v>4899</v>
      </c>
      <c r="K1168" s="22" t="s">
        <v>4907</v>
      </c>
      <c r="L1168" s="22" t="s">
        <v>184</v>
      </c>
      <c r="M1168" s="22" t="s">
        <v>253</v>
      </c>
    </row>
    <row r="1169" customFormat="false" ht="43.5" hidden="false" customHeight="true" outlineLevel="0" collapsed="false">
      <c r="A1169" s="22" t="s">
        <v>4908</v>
      </c>
      <c r="B1169" s="22" t="s">
        <v>4909</v>
      </c>
      <c r="C1169" s="22" t="s">
        <v>61</v>
      </c>
      <c r="D1169" s="22" t="s">
        <v>4633</v>
      </c>
      <c r="E1169" s="22" t="str">
        <f aca="false">IF(D1169="","",IFERROR(VLOOKUP(D1169,$A$2:$B$1656,2,FALSE()),""))</f>
        <v>Progression and Build Models</v>
      </c>
      <c r="F1169" s="22" t="n">
        <v>3</v>
      </c>
      <c r="G1169" s="22" t="s">
        <v>4910</v>
      </c>
      <c r="H1169" s="22" t="s">
        <v>4642</v>
      </c>
      <c r="I1169" s="22" t="s">
        <v>4911</v>
      </c>
      <c r="J1169" s="22" t="s">
        <v>4899</v>
      </c>
      <c r="K1169" s="22" t="s">
        <v>4911</v>
      </c>
      <c r="L1169" s="22" t="s">
        <v>184</v>
      </c>
      <c r="M1169" s="22" t="s">
        <v>253</v>
      </c>
    </row>
    <row r="1170" customFormat="false" ht="43.5" hidden="false" customHeight="true" outlineLevel="0" collapsed="false">
      <c r="A1170" s="22" t="s">
        <v>4912</v>
      </c>
      <c r="B1170" s="22" t="s">
        <v>4913</v>
      </c>
      <c r="C1170" s="22" t="s">
        <v>61</v>
      </c>
      <c r="D1170" s="22" t="s">
        <v>4633</v>
      </c>
      <c r="E1170" s="22" t="str">
        <f aca="false">IF(D1170="","",IFERROR(VLOOKUP(D1170,$A$2:$B$1656,2,FALSE()),""))</f>
        <v>Progression and Build Models</v>
      </c>
      <c r="F1170" s="22" t="n">
        <v>3</v>
      </c>
      <c r="G1170" s="22" t="s">
        <v>4914</v>
      </c>
      <c r="H1170" s="22" t="s">
        <v>4642</v>
      </c>
      <c r="I1170" s="22" t="s">
        <v>4915</v>
      </c>
      <c r="J1170" s="22" t="s">
        <v>4899</v>
      </c>
      <c r="K1170" s="22" t="s">
        <v>4915</v>
      </c>
      <c r="L1170" s="22" t="s">
        <v>184</v>
      </c>
      <c r="M1170" s="22" t="s">
        <v>253</v>
      </c>
    </row>
    <row r="1171" customFormat="false" ht="43.5" hidden="false" customHeight="true" outlineLevel="0" collapsed="false">
      <c r="A1171" s="22" t="s">
        <v>4916</v>
      </c>
      <c r="B1171" s="22" t="s">
        <v>4917</v>
      </c>
      <c r="C1171" s="22" t="s">
        <v>61</v>
      </c>
      <c r="D1171" s="22" t="s">
        <v>4633</v>
      </c>
      <c r="E1171" s="22" t="str">
        <f aca="false">IF(D1171="","",IFERROR(VLOOKUP(D1171,$A$2:$B$1656,2,FALSE()),""))</f>
        <v>Progression and Build Models</v>
      </c>
      <c r="F1171" s="22" t="n">
        <v>3</v>
      </c>
      <c r="G1171" s="22" t="s">
        <v>4918</v>
      </c>
      <c r="H1171" s="22" t="s">
        <v>4642</v>
      </c>
      <c r="I1171" s="22" t="s">
        <v>4919</v>
      </c>
      <c r="J1171" s="22" t="s">
        <v>4899</v>
      </c>
      <c r="K1171" s="22" t="s">
        <v>4919</v>
      </c>
      <c r="L1171" s="22" t="s">
        <v>184</v>
      </c>
      <c r="M1171" s="22" t="s">
        <v>253</v>
      </c>
    </row>
    <row r="1172" customFormat="false" ht="43.5" hidden="false" customHeight="true" outlineLevel="0" collapsed="false">
      <c r="A1172" s="22" t="s">
        <v>4920</v>
      </c>
      <c r="B1172" s="22" t="s">
        <v>4921</v>
      </c>
      <c r="C1172" s="22" t="s">
        <v>61</v>
      </c>
      <c r="D1172" s="22" t="s">
        <v>4633</v>
      </c>
      <c r="E1172" s="22" t="str">
        <f aca="false">IF(D1172="","",IFERROR(VLOOKUP(D1172,$A$2:$B$1656,2,FALSE()),""))</f>
        <v>Progression and Build Models</v>
      </c>
      <c r="F1172" s="22" t="n">
        <v>3</v>
      </c>
      <c r="G1172" s="22" t="s">
        <v>4922</v>
      </c>
      <c r="H1172" s="22" t="s">
        <v>4642</v>
      </c>
      <c r="I1172" s="22" t="s">
        <v>4923</v>
      </c>
      <c r="J1172" s="22" t="s">
        <v>4899</v>
      </c>
      <c r="K1172" s="22" t="s">
        <v>4923</v>
      </c>
      <c r="L1172" s="22" t="s">
        <v>184</v>
      </c>
      <c r="M1172" s="22" t="s">
        <v>253</v>
      </c>
    </row>
    <row r="1173" customFormat="false" ht="43.5" hidden="false" customHeight="true" outlineLevel="0" collapsed="false">
      <c r="A1173" s="22" t="s">
        <v>4924</v>
      </c>
      <c r="B1173" s="22" t="s">
        <v>4925</v>
      </c>
      <c r="C1173" s="22" t="s">
        <v>61</v>
      </c>
      <c r="D1173" s="22" t="s">
        <v>4633</v>
      </c>
      <c r="E1173" s="22" t="str">
        <f aca="false">IF(D1173="","",IFERROR(VLOOKUP(D1173,$A$2:$B$1656,2,FALSE()),""))</f>
        <v>Progression and Build Models</v>
      </c>
      <c r="F1173" s="22" t="n">
        <v>3</v>
      </c>
      <c r="G1173" s="22" t="s">
        <v>4926</v>
      </c>
      <c r="H1173" s="22" t="s">
        <v>4642</v>
      </c>
      <c r="I1173" s="22" t="s">
        <v>4927</v>
      </c>
      <c r="J1173" s="22" t="s">
        <v>4899</v>
      </c>
      <c r="K1173" s="22" t="s">
        <v>4927</v>
      </c>
      <c r="L1173" s="22" t="s">
        <v>184</v>
      </c>
      <c r="M1173" s="22" t="s">
        <v>253</v>
      </c>
    </row>
    <row r="1174" customFormat="false" ht="43.5" hidden="false" customHeight="true" outlineLevel="0" collapsed="false">
      <c r="A1174" s="22" t="s">
        <v>4928</v>
      </c>
      <c r="B1174" s="22" t="s">
        <v>4929</v>
      </c>
      <c r="C1174" s="22" t="s">
        <v>61</v>
      </c>
      <c r="D1174" s="22" t="s">
        <v>4633</v>
      </c>
      <c r="E1174" s="22" t="str">
        <f aca="false">IF(D1174="","",IFERROR(VLOOKUP(D1174,$A$2:$B$1656,2,FALSE()),""))</f>
        <v>Progression and Build Models</v>
      </c>
      <c r="F1174" s="22" t="n">
        <v>3</v>
      </c>
      <c r="G1174" s="22" t="s">
        <v>4930</v>
      </c>
      <c r="H1174" s="22" t="s">
        <v>4642</v>
      </c>
      <c r="I1174" s="22" t="s">
        <v>4931</v>
      </c>
      <c r="J1174" s="22" t="s">
        <v>4899</v>
      </c>
      <c r="K1174" s="22" t="s">
        <v>4931</v>
      </c>
      <c r="L1174" s="22" t="s">
        <v>184</v>
      </c>
      <c r="M1174" s="22" t="s">
        <v>253</v>
      </c>
    </row>
    <row r="1175" customFormat="false" ht="43.5" hidden="false" customHeight="true" outlineLevel="0" collapsed="false">
      <c r="A1175" s="22" t="s">
        <v>4932</v>
      </c>
      <c r="B1175" s="22" t="s">
        <v>4933</v>
      </c>
      <c r="C1175" s="22" t="s">
        <v>61</v>
      </c>
      <c r="D1175" s="22" t="s">
        <v>4633</v>
      </c>
      <c r="E1175" s="22" t="str">
        <f aca="false">IF(D1175="","",IFERROR(VLOOKUP(D1175,$A$2:$B$1656,2,FALSE()),""))</f>
        <v>Progression and Build Models</v>
      </c>
      <c r="F1175" s="22" t="n">
        <v>3</v>
      </c>
      <c r="G1175" s="22" t="s">
        <v>4934</v>
      </c>
      <c r="H1175" s="22" t="s">
        <v>4642</v>
      </c>
      <c r="I1175" s="22" t="s">
        <v>4935</v>
      </c>
      <c r="J1175" s="22" t="s">
        <v>4899</v>
      </c>
      <c r="K1175" s="22" t="s">
        <v>4935</v>
      </c>
      <c r="L1175" s="22" t="s">
        <v>184</v>
      </c>
      <c r="M1175" s="22" t="s">
        <v>253</v>
      </c>
    </row>
    <row r="1176" customFormat="false" ht="43.5" hidden="false" customHeight="true" outlineLevel="0" collapsed="false">
      <c r="A1176" s="22" t="s">
        <v>4936</v>
      </c>
      <c r="B1176" s="22" t="s">
        <v>4937</v>
      </c>
      <c r="C1176" s="22" t="s">
        <v>61</v>
      </c>
      <c r="D1176" s="22" t="s">
        <v>4633</v>
      </c>
      <c r="E1176" s="22" t="str">
        <f aca="false">IF(D1176="","",IFERROR(VLOOKUP(D1176,$A$2:$B$1656,2,FALSE()),""))</f>
        <v>Progression and Build Models</v>
      </c>
      <c r="F1176" s="22" t="n">
        <v>3</v>
      </c>
      <c r="G1176" s="22" t="s">
        <v>4938</v>
      </c>
      <c r="H1176" s="22" t="s">
        <v>4642</v>
      </c>
      <c r="I1176" s="22" t="s">
        <v>4939</v>
      </c>
      <c r="J1176" s="22" t="s">
        <v>4899</v>
      </c>
      <c r="K1176" s="22" t="s">
        <v>4939</v>
      </c>
      <c r="L1176" s="22" t="s">
        <v>184</v>
      </c>
      <c r="M1176" s="22" t="s">
        <v>253</v>
      </c>
    </row>
    <row r="1177" customFormat="false" ht="43.5" hidden="false" customHeight="true" outlineLevel="0" collapsed="false">
      <c r="A1177" s="22" t="s">
        <v>4940</v>
      </c>
      <c r="B1177" s="22" t="s">
        <v>4941</v>
      </c>
      <c r="C1177" s="22" t="s">
        <v>61</v>
      </c>
      <c r="D1177" s="22" t="s">
        <v>4633</v>
      </c>
      <c r="E1177" s="22" t="str">
        <f aca="false">IF(D1177="","",IFERROR(VLOOKUP(D1177,$A$2:$B$1656,2,FALSE()),""))</f>
        <v>Progression and Build Models</v>
      </c>
      <c r="F1177" s="22" t="n">
        <v>3</v>
      </c>
      <c r="G1177" s="22" t="s">
        <v>4942</v>
      </c>
      <c r="H1177" s="22" t="s">
        <v>4642</v>
      </c>
      <c r="I1177" s="22" t="s">
        <v>4943</v>
      </c>
      <c r="J1177" s="22" t="s">
        <v>4899</v>
      </c>
      <c r="K1177" s="22" t="s">
        <v>4943</v>
      </c>
      <c r="L1177" s="22" t="s">
        <v>184</v>
      </c>
      <c r="M1177" s="22" t="s">
        <v>253</v>
      </c>
    </row>
    <row r="1178" customFormat="false" ht="43.5" hidden="false" customHeight="true" outlineLevel="0" collapsed="false">
      <c r="A1178" s="22" t="s">
        <v>4944</v>
      </c>
      <c r="B1178" s="22" t="s">
        <v>4945</v>
      </c>
      <c r="C1178" s="22" t="s">
        <v>61</v>
      </c>
      <c r="D1178" s="22" t="s">
        <v>4633</v>
      </c>
      <c r="E1178" s="22" t="str">
        <f aca="false">IF(D1178="","",IFERROR(VLOOKUP(D1178,$A$2:$B$1656,2,FALSE()),""))</f>
        <v>Progression and Build Models</v>
      </c>
      <c r="F1178" s="22" t="n">
        <v>3</v>
      </c>
      <c r="G1178" s="22" t="s">
        <v>4946</v>
      </c>
      <c r="H1178" s="22" t="s">
        <v>4642</v>
      </c>
      <c r="I1178" s="22" t="s">
        <v>4947</v>
      </c>
      <c r="J1178" s="22" t="s">
        <v>4899</v>
      </c>
      <c r="K1178" s="22" t="s">
        <v>4947</v>
      </c>
      <c r="L1178" s="22" t="s">
        <v>184</v>
      </c>
      <c r="M1178" s="22" t="s">
        <v>253</v>
      </c>
    </row>
    <row r="1179" customFormat="false" ht="43.5" hidden="false" customHeight="true" outlineLevel="0" collapsed="false">
      <c r="A1179" s="22" t="s">
        <v>4948</v>
      </c>
      <c r="B1179" s="22" t="s">
        <v>4949</v>
      </c>
      <c r="C1179" s="22" t="s">
        <v>61</v>
      </c>
      <c r="D1179" s="22" t="s">
        <v>4633</v>
      </c>
      <c r="E1179" s="22" t="str">
        <f aca="false">IF(D1179="","",IFERROR(VLOOKUP(D1179,$A$2:$B$1656,2,FALSE()),""))</f>
        <v>Progression and Build Models</v>
      </c>
      <c r="F1179" s="22" t="n">
        <v>3</v>
      </c>
      <c r="G1179" s="22" t="s">
        <v>4950</v>
      </c>
      <c r="H1179" s="22" t="s">
        <v>4642</v>
      </c>
      <c r="I1179" s="22" t="s">
        <v>4951</v>
      </c>
      <c r="J1179" s="22" t="s">
        <v>4899</v>
      </c>
      <c r="K1179" s="22" t="s">
        <v>4951</v>
      </c>
      <c r="L1179" s="22" t="s">
        <v>184</v>
      </c>
      <c r="M1179" s="22" t="s">
        <v>253</v>
      </c>
    </row>
    <row r="1180" customFormat="false" ht="43.5" hidden="false" customHeight="true" outlineLevel="0" collapsed="false">
      <c r="A1180" s="22" t="s">
        <v>4952</v>
      </c>
      <c r="B1180" s="22" t="s">
        <v>4953</v>
      </c>
      <c r="C1180" s="22" t="s">
        <v>61</v>
      </c>
      <c r="D1180" s="22" t="s">
        <v>4633</v>
      </c>
      <c r="E1180" s="22" t="str">
        <f aca="false">IF(D1180="","",IFERROR(VLOOKUP(D1180,$A$2:$B$1656,2,FALSE()),""))</f>
        <v>Progression and Build Models</v>
      </c>
      <c r="F1180" s="22" t="n">
        <v>3</v>
      </c>
      <c r="G1180" s="22" t="s">
        <v>4954</v>
      </c>
      <c r="H1180" s="22" t="s">
        <v>4642</v>
      </c>
      <c r="I1180" s="22" t="s">
        <v>4955</v>
      </c>
      <c r="J1180" s="22" t="s">
        <v>4899</v>
      </c>
      <c r="K1180" s="22" t="s">
        <v>4955</v>
      </c>
      <c r="L1180" s="22" t="s">
        <v>184</v>
      </c>
      <c r="M1180" s="22" t="s">
        <v>253</v>
      </c>
    </row>
    <row r="1181" customFormat="false" ht="43.5" hidden="false" customHeight="true" outlineLevel="0" collapsed="false">
      <c r="A1181" s="22" t="s">
        <v>4956</v>
      </c>
      <c r="B1181" s="22" t="s">
        <v>4957</v>
      </c>
      <c r="C1181" s="22" t="s">
        <v>61</v>
      </c>
      <c r="D1181" s="22" t="s">
        <v>4633</v>
      </c>
      <c r="E1181" s="22" t="str">
        <f aca="false">IF(D1181="","",IFERROR(VLOOKUP(D1181,$A$2:$B$1656,2,FALSE()),""))</f>
        <v>Progression and Build Models</v>
      </c>
      <c r="F1181" s="22" t="n">
        <v>3</v>
      </c>
      <c r="G1181" s="22" t="s">
        <v>4958</v>
      </c>
      <c r="H1181" s="22" t="s">
        <v>4642</v>
      </c>
      <c r="I1181" s="22" t="s">
        <v>4959</v>
      </c>
      <c r="J1181" s="22" t="s">
        <v>4899</v>
      </c>
      <c r="K1181" s="22" t="s">
        <v>4959</v>
      </c>
      <c r="L1181" s="22" t="s">
        <v>184</v>
      </c>
      <c r="M1181" s="22" t="s">
        <v>253</v>
      </c>
    </row>
    <row r="1182" customFormat="false" ht="43.5" hidden="false" customHeight="true" outlineLevel="0" collapsed="false">
      <c r="A1182" s="22" t="s">
        <v>4960</v>
      </c>
      <c r="B1182" s="22" t="s">
        <v>4961</v>
      </c>
      <c r="C1182" s="22" t="s">
        <v>61</v>
      </c>
      <c r="D1182" s="22" t="s">
        <v>4633</v>
      </c>
      <c r="E1182" s="22" t="str">
        <f aca="false">IF(D1182="","",IFERROR(VLOOKUP(D1182,$A$2:$B$1656,2,FALSE()),""))</f>
        <v>Progression and Build Models</v>
      </c>
      <c r="F1182" s="22" t="n">
        <v>3</v>
      </c>
      <c r="G1182" s="22" t="s">
        <v>4962</v>
      </c>
      <c r="H1182" s="22" t="s">
        <v>4642</v>
      </c>
      <c r="I1182" s="22" t="s">
        <v>4963</v>
      </c>
      <c r="J1182" s="22" t="s">
        <v>4899</v>
      </c>
      <c r="K1182" s="22" t="s">
        <v>4963</v>
      </c>
      <c r="L1182" s="22" t="s">
        <v>184</v>
      </c>
      <c r="M1182" s="22" t="s">
        <v>253</v>
      </c>
    </row>
    <row r="1183" customFormat="false" ht="43.5" hidden="false" customHeight="true" outlineLevel="0" collapsed="false">
      <c r="A1183" s="22" t="s">
        <v>4964</v>
      </c>
      <c r="B1183" s="22" t="s">
        <v>4965</v>
      </c>
      <c r="C1183" s="22" t="s">
        <v>61</v>
      </c>
      <c r="D1183" s="22" t="s">
        <v>4633</v>
      </c>
      <c r="E1183" s="22" t="str">
        <f aca="false">IF(D1183="","",IFERROR(VLOOKUP(D1183,$A$2:$B$1656,2,FALSE()),""))</f>
        <v>Progression and Build Models</v>
      </c>
      <c r="F1183" s="22" t="n">
        <v>3</v>
      </c>
      <c r="G1183" s="22" t="s">
        <v>4966</v>
      </c>
      <c r="H1183" s="22" t="s">
        <v>4642</v>
      </c>
      <c r="I1183" s="22" t="s">
        <v>4967</v>
      </c>
      <c r="J1183" s="22" t="s">
        <v>4899</v>
      </c>
      <c r="K1183" s="22" t="s">
        <v>4967</v>
      </c>
      <c r="L1183" s="22" t="s">
        <v>184</v>
      </c>
      <c r="M1183" s="22" t="s">
        <v>253</v>
      </c>
    </row>
    <row r="1184" customFormat="false" ht="43.5" hidden="false" customHeight="true" outlineLevel="0" collapsed="false">
      <c r="A1184" s="22" t="s">
        <v>4968</v>
      </c>
      <c r="B1184" s="22" t="s">
        <v>4969</v>
      </c>
      <c r="C1184" s="22" t="s">
        <v>61</v>
      </c>
      <c r="D1184" s="22" t="s">
        <v>4633</v>
      </c>
      <c r="E1184" s="22" t="str">
        <f aca="false">IF(D1184="","",IFERROR(VLOOKUP(D1184,$A$2:$B$1656,2,FALSE()),""))</f>
        <v>Progression and Build Models</v>
      </c>
      <c r="F1184" s="22" t="n">
        <v>3</v>
      </c>
      <c r="G1184" s="22" t="s">
        <v>4970</v>
      </c>
      <c r="H1184" s="22" t="s">
        <v>4642</v>
      </c>
      <c r="I1184" s="22" t="s">
        <v>4971</v>
      </c>
      <c r="J1184" s="22" t="s">
        <v>4899</v>
      </c>
      <c r="K1184" s="22" t="s">
        <v>4971</v>
      </c>
      <c r="L1184" s="22" t="s">
        <v>184</v>
      </c>
      <c r="M1184" s="22" t="s">
        <v>253</v>
      </c>
    </row>
    <row r="1185" customFormat="false" ht="43.5" hidden="false" customHeight="true" outlineLevel="0" collapsed="false">
      <c r="A1185" s="22" t="s">
        <v>4972</v>
      </c>
      <c r="B1185" s="22" t="s">
        <v>4973</v>
      </c>
      <c r="C1185" s="22" t="s">
        <v>61</v>
      </c>
      <c r="D1185" s="22" t="s">
        <v>4633</v>
      </c>
      <c r="E1185" s="22" t="str">
        <f aca="false">IF(D1185="","",IFERROR(VLOOKUP(D1185,$A$2:$B$1656,2,FALSE()),""))</f>
        <v>Progression and Build Models</v>
      </c>
      <c r="F1185" s="22" t="n">
        <v>3</v>
      </c>
      <c r="G1185" s="22" t="s">
        <v>4974</v>
      </c>
      <c r="H1185" s="22" t="s">
        <v>4642</v>
      </c>
      <c r="I1185" s="22" t="s">
        <v>4975</v>
      </c>
      <c r="J1185" s="22" t="s">
        <v>4899</v>
      </c>
      <c r="K1185" s="22" t="s">
        <v>4975</v>
      </c>
      <c r="L1185" s="22" t="s">
        <v>184</v>
      </c>
      <c r="M1185" s="22" t="s">
        <v>253</v>
      </c>
    </row>
    <row r="1186" customFormat="false" ht="43.5" hidden="false" customHeight="true" outlineLevel="0" collapsed="false">
      <c r="A1186" s="22" t="s">
        <v>4976</v>
      </c>
      <c r="B1186" s="22" t="s">
        <v>4977</v>
      </c>
      <c r="C1186" s="22" t="s">
        <v>61</v>
      </c>
      <c r="D1186" s="22" t="s">
        <v>4633</v>
      </c>
      <c r="E1186" s="22" t="str">
        <f aca="false">IF(D1186="","",IFERROR(VLOOKUP(D1186,$A$2:$B$1656,2,FALSE()),""))</f>
        <v>Progression and Build Models</v>
      </c>
      <c r="F1186" s="22" t="n">
        <v>3</v>
      </c>
      <c r="G1186" s="22" t="s">
        <v>4978</v>
      </c>
      <c r="H1186" s="22" t="s">
        <v>4642</v>
      </c>
      <c r="I1186" s="22" t="s">
        <v>4979</v>
      </c>
      <c r="J1186" s="22" t="s">
        <v>4899</v>
      </c>
      <c r="K1186" s="22" t="s">
        <v>4979</v>
      </c>
      <c r="L1186" s="22" t="s">
        <v>184</v>
      </c>
      <c r="M1186" s="22" t="s">
        <v>253</v>
      </c>
    </row>
    <row r="1187" customFormat="false" ht="43.5" hidden="false" customHeight="true" outlineLevel="0" collapsed="false">
      <c r="A1187" s="22" t="s">
        <v>4980</v>
      </c>
      <c r="B1187" s="22" t="s">
        <v>4981</v>
      </c>
      <c r="C1187" s="22" t="s">
        <v>61</v>
      </c>
      <c r="D1187" s="22" t="s">
        <v>4633</v>
      </c>
      <c r="E1187" s="22" t="str">
        <f aca="false">IF(D1187="","",IFERROR(VLOOKUP(D1187,$A$2:$B$1656,2,FALSE()),""))</f>
        <v>Progression and Build Models</v>
      </c>
      <c r="F1187" s="22" t="n">
        <v>3</v>
      </c>
      <c r="G1187" s="22" t="s">
        <v>4982</v>
      </c>
      <c r="H1187" s="22" t="s">
        <v>4642</v>
      </c>
      <c r="I1187" s="22" t="s">
        <v>4983</v>
      </c>
      <c r="J1187" s="22" t="s">
        <v>4899</v>
      </c>
      <c r="K1187" s="22" t="s">
        <v>4983</v>
      </c>
      <c r="L1187" s="22" t="s">
        <v>184</v>
      </c>
      <c r="M1187" s="22" t="s">
        <v>253</v>
      </c>
    </row>
    <row r="1188" customFormat="false" ht="43.5" hidden="false" customHeight="true" outlineLevel="0" collapsed="false">
      <c r="A1188" s="22" t="s">
        <v>4984</v>
      </c>
      <c r="B1188" s="22" t="s">
        <v>4985</v>
      </c>
      <c r="C1188" s="22" t="s">
        <v>61</v>
      </c>
      <c r="D1188" s="22" t="s">
        <v>4633</v>
      </c>
      <c r="E1188" s="22" t="str">
        <f aca="false">IF(D1188="","",IFERROR(VLOOKUP(D1188,$A$2:$B$1656,2,FALSE()),""))</f>
        <v>Progression and Build Models</v>
      </c>
      <c r="F1188" s="22" t="n">
        <v>3</v>
      </c>
      <c r="G1188" s="22" t="s">
        <v>4986</v>
      </c>
      <c r="H1188" s="22" t="s">
        <v>4642</v>
      </c>
      <c r="I1188" s="22" t="s">
        <v>4987</v>
      </c>
      <c r="J1188" s="22" t="s">
        <v>4899</v>
      </c>
      <c r="K1188" s="22" t="s">
        <v>4987</v>
      </c>
      <c r="L1188" s="22" t="s">
        <v>184</v>
      </c>
      <c r="M1188" s="22" t="s">
        <v>253</v>
      </c>
    </row>
    <row r="1189" customFormat="false" ht="43.5" hidden="false" customHeight="true" outlineLevel="0" collapsed="false">
      <c r="A1189" s="22" t="s">
        <v>4988</v>
      </c>
      <c r="B1189" s="22" t="s">
        <v>4989</v>
      </c>
      <c r="C1189" s="22" t="s">
        <v>61</v>
      </c>
      <c r="D1189" s="22" t="s">
        <v>4633</v>
      </c>
      <c r="E1189" s="22" t="str">
        <f aca="false">IF(D1189="","",IFERROR(VLOOKUP(D1189,$A$2:$B$1656,2,FALSE()),""))</f>
        <v>Progression and Build Models</v>
      </c>
      <c r="F1189" s="22" t="n">
        <v>3</v>
      </c>
      <c r="G1189" s="22" t="s">
        <v>4990</v>
      </c>
      <c r="H1189" s="22" t="s">
        <v>4642</v>
      </c>
      <c r="I1189" s="22" t="s">
        <v>4991</v>
      </c>
      <c r="J1189" s="22" t="s">
        <v>4899</v>
      </c>
      <c r="K1189" s="22" t="s">
        <v>4991</v>
      </c>
      <c r="L1189" s="22" t="s">
        <v>184</v>
      </c>
      <c r="M1189" s="22" t="s">
        <v>253</v>
      </c>
    </row>
    <row r="1190" customFormat="false" ht="43.5" hidden="false" customHeight="true" outlineLevel="0" collapsed="false">
      <c r="A1190" s="22" t="s">
        <v>4992</v>
      </c>
      <c r="B1190" s="22" t="s">
        <v>4993</v>
      </c>
      <c r="C1190" s="22" t="s">
        <v>61</v>
      </c>
      <c r="D1190" s="22" t="s">
        <v>4633</v>
      </c>
      <c r="E1190" s="22" t="str">
        <f aca="false">IF(D1190="","",IFERROR(VLOOKUP(D1190,$A$2:$B$1656,2,FALSE()),""))</f>
        <v>Progression and Build Models</v>
      </c>
      <c r="F1190" s="22" t="n">
        <v>3</v>
      </c>
      <c r="G1190" s="22" t="s">
        <v>4994</v>
      </c>
      <c r="H1190" s="22" t="s">
        <v>4642</v>
      </c>
      <c r="I1190" s="22" t="s">
        <v>4995</v>
      </c>
      <c r="J1190" s="22" t="s">
        <v>4899</v>
      </c>
      <c r="K1190" s="22" t="s">
        <v>4995</v>
      </c>
      <c r="L1190" s="22" t="s">
        <v>184</v>
      </c>
      <c r="M1190" s="22" t="s">
        <v>253</v>
      </c>
    </row>
    <row r="1191" customFormat="false" ht="43.5" hidden="false" customHeight="true" outlineLevel="0" collapsed="false">
      <c r="A1191" s="22" t="s">
        <v>4996</v>
      </c>
      <c r="B1191" s="22" t="s">
        <v>4997</v>
      </c>
      <c r="C1191" s="22" t="s">
        <v>61</v>
      </c>
      <c r="D1191" s="22" t="s">
        <v>4633</v>
      </c>
      <c r="E1191" s="22" t="str">
        <f aca="false">IF(D1191="","",IFERROR(VLOOKUP(D1191,$A$2:$B$1656,2,FALSE()),""))</f>
        <v>Progression and Build Models</v>
      </c>
      <c r="F1191" s="22" t="n">
        <v>3</v>
      </c>
      <c r="G1191" s="22" t="s">
        <v>4998</v>
      </c>
      <c r="H1191" s="22" t="s">
        <v>4642</v>
      </c>
      <c r="I1191" s="22" t="s">
        <v>4999</v>
      </c>
      <c r="J1191" s="22" t="s">
        <v>4899</v>
      </c>
      <c r="K1191" s="22" t="s">
        <v>4999</v>
      </c>
      <c r="L1191" s="22" t="s">
        <v>184</v>
      </c>
      <c r="M1191" s="22" t="s">
        <v>253</v>
      </c>
    </row>
    <row r="1192" customFormat="false" ht="43.5" hidden="false" customHeight="true" outlineLevel="0" collapsed="false">
      <c r="A1192" s="22" t="s">
        <v>5000</v>
      </c>
      <c r="B1192" s="22" t="s">
        <v>5001</v>
      </c>
      <c r="C1192" s="22" t="s">
        <v>61</v>
      </c>
      <c r="D1192" s="22" t="s">
        <v>4633</v>
      </c>
      <c r="E1192" s="22" t="str">
        <f aca="false">IF(D1192="","",IFERROR(VLOOKUP(D1192,$A$2:$B$1656,2,FALSE()),""))</f>
        <v>Progression and Build Models</v>
      </c>
      <c r="F1192" s="22" t="n">
        <v>3</v>
      </c>
      <c r="G1192" s="22" t="s">
        <v>5002</v>
      </c>
      <c r="H1192" s="22" t="s">
        <v>4642</v>
      </c>
      <c r="I1192" s="22" t="s">
        <v>5003</v>
      </c>
      <c r="J1192" s="22" t="s">
        <v>4899</v>
      </c>
      <c r="K1192" s="22" t="s">
        <v>5003</v>
      </c>
      <c r="L1192" s="22" t="s">
        <v>184</v>
      </c>
      <c r="M1192" s="22" t="s">
        <v>253</v>
      </c>
    </row>
    <row r="1193" customFormat="false" ht="43.5" hidden="false" customHeight="true" outlineLevel="0" collapsed="false">
      <c r="A1193" s="22" t="s">
        <v>5004</v>
      </c>
      <c r="B1193" s="22" t="s">
        <v>5005</v>
      </c>
      <c r="C1193" s="22" t="s">
        <v>61</v>
      </c>
      <c r="D1193" s="22" t="s">
        <v>4633</v>
      </c>
      <c r="E1193" s="22" t="str">
        <f aca="false">IF(D1193="","",IFERROR(VLOOKUP(D1193,$A$2:$B$1656,2,FALSE()),""))</f>
        <v>Progression and Build Models</v>
      </c>
      <c r="F1193" s="22" t="n">
        <v>3</v>
      </c>
      <c r="G1193" s="22" t="s">
        <v>5006</v>
      </c>
      <c r="H1193" s="22" t="s">
        <v>4642</v>
      </c>
      <c r="I1193" s="22" t="s">
        <v>5007</v>
      </c>
      <c r="J1193" s="22" t="s">
        <v>4899</v>
      </c>
      <c r="K1193" s="22" t="s">
        <v>5007</v>
      </c>
      <c r="L1193" s="22" t="s">
        <v>184</v>
      </c>
      <c r="M1193" s="22" t="s">
        <v>253</v>
      </c>
    </row>
    <row r="1194" customFormat="false" ht="43.5" hidden="false" customHeight="true" outlineLevel="0" collapsed="false">
      <c r="A1194" s="22" t="s">
        <v>5008</v>
      </c>
      <c r="B1194" s="22" t="s">
        <v>5009</v>
      </c>
      <c r="C1194" s="22" t="s">
        <v>61</v>
      </c>
      <c r="D1194" s="22" t="s">
        <v>4633</v>
      </c>
      <c r="E1194" s="22" t="str">
        <f aca="false">IF(D1194="","",IFERROR(VLOOKUP(D1194,$A$2:$B$1656,2,FALSE()),""))</f>
        <v>Progression and Build Models</v>
      </c>
      <c r="F1194" s="22" t="n">
        <v>3</v>
      </c>
      <c r="G1194" s="22" t="s">
        <v>5010</v>
      </c>
      <c r="H1194" s="22" t="s">
        <v>4642</v>
      </c>
      <c r="I1194" s="22" t="s">
        <v>5011</v>
      </c>
      <c r="J1194" s="22" t="s">
        <v>4899</v>
      </c>
      <c r="K1194" s="22" t="s">
        <v>5011</v>
      </c>
      <c r="L1194" s="22" t="s">
        <v>184</v>
      </c>
      <c r="M1194" s="22" t="s">
        <v>253</v>
      </c>
    </row>
    <row r="1195" customFormat="false" ht="43.5" hidden="false" customHeight="true" outlineLevel="0" collapsed="false">
      <c r="A1195" s="22" t="s">
        <v>5012</v>
      </c>
      <c r="B1195" s="22" t="s">
        <v>5013</v>
      </c>
      <c r="C1195" s="22" t="s">
        <v>61</v>
      </c>
      <c r="D1195" s="22" t="s">
        <v>4633</v>
      </c>
      <c r="E1195" s="22" t="str">
        <f aca="false">IF(D1195="","",IFERROR(VLOOKUP(D1195,$A$2:$B$1656,2,FALSE()),""))</f>
        <v>Progression and Build Models</v>
      </c>
      <c r="F1195" s="22" t="n">
        <v>3</v>
      </c>
      <c r="G1195" s="22" t="s">
        <v>5014</v>
      </c>
      <c r="H1195" s="22" t="s">
        <v>4642</v>
      </c>
      <c r="I1195" s="22" t="s">
        <v>5015</v>
      </c>
      <c r="J1195" s="22" t="s">
        <v>4899</v>
      </c>
      <c r="K1195" s="22" t="s">
        <v>5015</v>
      </c>
      <c r="L1195" s="22" t="s">
        <v>184</v>
      </c>
      <c r="M1195" s="22" t="s">
        <v>253</v>
      </c>
    </row>
    <row r="1196" customFormat="false" ht="43.5" hidden="false" customHeight="true" outlineLevel="0" collapsed="false">
      <c r="A1196" s="22" t="s">
        <v>5016</v>
      </c>
      <c r="B1196" s="22" t="s">
        <v>5017</v>
      </c>
      <c r="C1196" s="22" t="s">
        <v>61</v>
      </c>
      <c r="D1196" s="22" t="s">
        <v>4633</v>
      </c>
      <c r="E1196" s="22" t="str">
        <f aca="false">IF(D1196="","",IFERROR(VLOOKUP(D1196,$A$2:$B$1656,2,FALSE()),""))</f>
        <v>Progression and Build Models</v>
      </c>
      <c r="F1196" s="22" t="n">
        <v>3</v>
      </c>
      <c r="G1196" s="22" t="s">
        <v>5018</v>
      </c>
      <c r="H1196" s="22" t="s">
        <v>4642</v>
      </c>
      <c r="I1196" s="22" t="s">
        <v>5019</v>
      </c>
      <c r="J1196" s="22" t="s">
        <v>4899</v>
      </c>
      <c r="K1196" s="22" t="s">
        <v>5019</v>
      </c>
      <c r="L1196" s="22" t="s">
        <v>184</v>
      </c>
      <c r="M1196" s="22" t="s">
        <v>253</v>
      </c>
    </row>
    <row r="1197" customFormat="false" ht="43.5" hidden="false" customHeight="true" outlineLevel="0" collapsed="false">
      <c r="A1197" s="22" t="s">
        <v>5020</v>
      </c>
      <c r="B1197" s="22" t="s">
        <v>5021</v>
      </c>
      <c r="C1197" s="22" t="s">
        <v>61</v>
      </c>
      <c r="D1197" s="22" t="s">
        <v>4636</v>
      </c>
      <c r="E1197" s="22" t="str">
        <f aca="false">IF(D1197="","",IFERROR(VLOOKUP(D1197,$A$2:$B$1656,2,FALSE()),""))</f>
        <v>Unit and Encounter Models</v>
      </c>
      <c r="F1197" s="22" t="n">
        <v>3</v>
      </c>
      <c r="G1197" s="22" t="s">
        <v>5022</v>
      </c>
      <c r="H1197" s="22" t="s">
        <v>4642</v>
      </c>
      <c r="I1197" s="22" t="s">
        <v>5023</v>
      </c>
      <c r="J1197" s="22" t="s">
        <v>5024</v>
      </c>
      <c r="K1197" s="22" t="s">
        <v>5023</v>
      </c>
      <c r="L1197" s="22" t="s">
        <v>184</v>
      </c>
      <c r="M1197" s="22" t="s">
        <v>253</v>
      </c>
    </row>
    <row r="1198" customFormat="false" ht="43.5" hidden="false" customHeight="true" outlineLevel="0" collapsed="false">
      <c r="A1198" s="22" t="s">
        <v>5025</v>
      </c>
      <c r="B1198" s="22" t="s">
        <v>5026</v>
      </c>
      <c r="C1198" s="22" t="s">
        <v>61</v>
      </c>
      <c r="D1198" s="22" t="s">
        <v>4636</v>
      </c>
      <c r="E1198" s="22" t="str">
        <f aca="false">IF(D1198="","",IFERROR(VLOOKUP(D1198,$A$2:$B$1656,2,FALSE()),""))</f>
        <v>Unit and Encounter Models</v>
      </c>
      <c r="F1198" s="22" t="n">
        <v>3</v>
      </c>
      <c r="G1198" s="22" t="s">
        <v>5027</v>
      </c>
      <c r="H1198" s="22" t="s">
        <v>4642</v>
      </c>
      <c r="I1198" s="22" t="s">
        <v>5028</v>
      </c>
      <c r="J1198" s="22" t="s">
        <v>5024</v>
      </c>
      <c r="K1198" s="22" t="s">
        <v>5028</v>
      </c>
      <c r="L1198" s="22" t="s">
        <v>184</v>
      </c>
      <c r="M1198" s="22" t="s">
        <v>253</v>
      </c>
    </row>
    <row r="1199" customFormat="false" ht="43.5" hidden="false" customHeight="true" outlineLevel="0" collapsed="false">
      <c r="A1199" s="22" t="s">
        <v>5029</v>
      </c>
      <c r="B1199" s="22" t="s">
        <v>5030</v>
      </c>
      <c r="C1199" s="22" t="s">
        <v>61</v>
      </c>
      <c r="D1199" s="22" t="s">
        <v>4636</v>
      </c>
      <c r="E1199" s="22" t="str">
        <f aca="false">IF(D1199="","",IFERROR(VLOOKUP(D1199,$A$2:$B$1656,2,FALSE()),""))</f>
        <v>Unit and Encounter Models</v>
      </c>
      <c r="F1199" s="22" t="n">
        <v>3</v>
      </c>
      <c r="G1199" s="22" t="s">
        <v>5031</v>
      </c>
      <c r="H1199" s="22" t="s">
        <v>4642</v>
      </c>
      <c r="I1199" s="22" t="s">
        <v>5032</v>
      </c>
      <c r="J1199" s="22" t="s">
        <v>5024</v>
      </c>
      <c r="K1199" s="22" t="s">
        <v>5032</v>
      </c>
      <c r="L1199" s="22" t="s">
        <v>184</v>
      </c>
      <c r="M1199" s="22" t="s">
        <v>253</v>
      </c>
    </row>
    <row r="1200" customFormat="false" ht="43.5" hidden="false" customHeight="true" outlineLevel="0" collapsed="false">
      <c r="A1200" s="22" t="s">
        <v>5033</v>
      </c>
      <c r="B1200" s="22" t="s">
        <v>5034</v>
      </c>
      <c r="C1200" s="22" t="s">
        <v>61</v>
      </c>
      <c r="D1200" s="22" t="s">
        <v>4636</v>
      </c>
      <c r="E1200" s="22" t="str">
        <f aca="false">IF(D1200="","",IFERROR(VLOOKUP(D1200,$A$2:$B$1656,2,FALSE()),""))</f>
        <v>Unit and Encounter Models</v>
      </c>
      <c r="F1200" s="22" t="n">
        <v>3</v>
      </c>
      <c r="G1200" s="22" t="s">
        <v>5035</v>
      </c>
      <c r="H1200" s="22" t="s">
        <v>4642</v>
      </c>
      <c r="I1200" s="22" t="s">
        <v>5036</v>
      </c>
      <c r="J1200" s="22" t="s">
        <v>5024</v>
      </c>
      <c r="K1200" s="22" t="s">
        <v>5036</v>
      </c>
      <c r="L1200" s="22" t="s">
        <v>184</v>
      </c>
      <c r="M1200" s="22" t="s">
        <v>253</v>
      </c>
    </row>
    <row r="1201" customFormat="false" ht="43.5" hidden="false" customHeight="true" outlineLevel="0" collapsed="false">
      <c r="A1201" s="22" t="s">
        <v>5037</v>
      </c>
      <c r="B1201" s="22" t="s">
        <v>5038</v>
      </c>
      <c r="C1201" s="22" t="s">
        <v>61</v>
      </c>
      <c r="D1201" s="22" t="s">
        <v>4636</v>
      </c>
      <c r="E1201" s="22" t="str">
        <f aca="false">IF(D1201="","",IFERROR(VLOOKUP(D1201,$A$2:$B$1656,2,FALSE()),""))</f>
        <v>Unit and Encounter Models</v>
      </c>
      <c r="F1201" s="22" t="n">
        <v>3</v>
      </c>
      <c r="G1201" s="22" t="s">
        <v>5039</v>
      </c>
      <c r="H1201" s="22" t="s">
        <v>4642</v>
      </c>
      <c r="I1201" s="22" t="s">
        <v>5040</v>
      </c>
      <c r="J1201" s="22" t="s">
        <v>5024</v>
      </c>
      <c r="K1201" s="22" t="s">
        <v>5040</v>
      </c>
      <c r="L1201" s="22" t="s">
        <v>184</v>
      </c>
      <c r="M1201" s="22" t="s">
        <v>253</v>
      </c>
    </row>
    <row r="1202" customFormat="false" ht="43.5" hidden="false" customHeight="true" outlineLevel="0" collapsed="false">
      <c r="A1202" s="22" t="s">
        <v>5041</v>
      </c>
      <c r="B1202" s="22" t="s">
        <v>5042</v>
      </c>
      <c r="C1202" s="22" t="s">
        <v>61</v>
      </c>
      <c r="D1202" s="22" t="s">
        <v>4636</v>
      </c>
      <c r="E1202" s="22" t="str">
        <f aca="false">IF(D1202="","",IFERROR(VLOOKUP(D1202,$A$2:$B$1656,2,FALSE()),""))</f>
        <v>Unit and Encounter Models</v>
      </c>
      <c r="F1202" s="22" t="n">
        <v>3</v>
      </c>
      <c r="G1202" s="22" t="s">
        <v>5043</v>
      </c>
      <c r="H1202" s="22" t="s">
        <v>4642</v>
      </c>
      <c r="I1202" s="22" t="s">
        <v>5044</v>
      </c>
      <c r="J1202" s="22" t="s">
        <v>5024</v>
      </c>
      <c r="K1202" s="22" t="s">
        <v>5044</v>
      </c>
      <c r="L1202" s="22" t="s">
        <v>184</v>
      </c>
      <c r="M1202" s="22" t="s">
        <v>253</v>
      </c>
    </row>
    <row r="1203" customFormat="false" ht="43.5" hidden="false" customHeight="true" outlineLevel="0" collapsed="false">
      <c r="A1203" s="22" t="s">
        <v>5045</v>
      </c>
      <c r="B1203" s="22" t="s">
        <v>5046</v>
      </c>
      <c r="C1203" s="22" t="s">
        <v>61</v>
      </c>
      <c r="D1203" s="22" t="s">
        <v>4636</v>
      </c>
      <c r="E1203" s="22" t="str">
        <f aca="false">IF(D1203="","",IFERROR(VLOOKUP(D1203,$A$2:$B$1656,2,FALSE()),""))</f>
        <v>Unit and Encounter Models</v>
      </c>
      <c r="F1203" s="22" t="n">
        <v>3</v>
      </c>
      <c r="G1203" s="22" t="s">
        <v>5047</v>
      </c>
      <c r="H1203" s="22" t="s">
        <v>4642</v>
      </c>
      <c r="I1203" s="22" t="s">
        <v>5048</v>
      </c>
      <c r="J1203" s="22" t="s">
        <v>5024</v>
      </c>
      <c r="K1203" s="22" t="s">
        <v>5048</v>
      </c>
      <c r="L1203" s="22" t="s">
        <v>184</v>
      </c>
      <c r="M1203" s="22" t="s">
        <v>253</v>
      </c>
    </row>
    <row r="1204" customFormat="false" ht="43.5" hidden="false" customHeight="true" outlineLevel="0" collapsed="false">
      <c r="A1204" s="22" t="s">
        <v>5049</v>
      </c>
      <c r="B1204" s="22" t="s">
        <v>5050</v>
      </c>
      <c r="C1204" s="22" t="s">
        <v>61</v>
      </c>
      <c r="D1204" s="22" t="s">
        <v>4636</v>
      </c>
      <c r="E1204" s="22" t="str">
        <f aca="false">IF(D1204="","",IFERROR(VLOOKUP(D1204,$A$2:$B$1656,2,FALSE()),""))</f>
        <v>Unit and Encounter Models</v>
      </c>
      <c r="F1204" s="22" t="n">
        <v>3</v>
      </c>
      <c r="G1204" s="22" t="s">
        <v>5051</v>
      </c>
      <c r="H1204" s="22" t="s">
        <v>4642</v>
      </c>
      <c r="I1204" s="22" t="s">
        <v>5052</v>
      </c>
      <c r="J1204" s="22" t="s">
        <v>5024</v>
      </c>
      <c r="K1204" s="22" t="s">
        <v>5052</v>
      </c>
      <c r="L1204" s="22" t="s">
        <v>184</v>
      </c>
      <c r="M1204" s="22" t="s">
        <v>253</v>
      </c>
    </row>
    <row r="1205" customFormat="false" ht="43.5" hidden="false" customHeight="true" outlineLevel="0" collapsed="false">
      <c r="A1205" s="22" t="s">
        <v>5053</v>
      </c>
      <c r="B1205" s="22" t="s">
        <v>5054</v>
      </c>
      <c r="C1205" s="22" t="s">
        <v>61</v>
      </c>
      <c r="D1205" s="22" t="s">
        <v>4636</v>
      </c>
      <c r="E1205" s="22" t="str">
        <f aca="false">IF(D1205="","",IFERROR(VLOOKUP(D1205,$A$2:$B$1656,2,FALSE()),""))</f>
        <v>Unit and Encounter Models</v>
      </c>
      <c r="F1205" s="22" t="n">
        <v>3</v>
      </c>
      <c r="G1205" s="22" t="s">
        <v>5055</v>
      </c>
      <c r="H1205" s="22" t="s">
        <v>4642</v>
      </c>
      <c r="I1205" s="22" t="s">
        <v>5056</v>
      </c>
      <c r="J1205" s="22" t="s">
        <v>5024</v>
      </c>
      <c r="K1205" s="22" t="s">
        <v>5056</v>
      </c>
      <c r="L1205" s="22" t="s">
        <v>184</v>
      </c>
      <c r="M1205" s="22" t="s">
        <v>253</v>
      </c>
    </row>
    <row r="1206" customFormat="false" ht="43.5" hidden="false" customHeight="true" outlineLevel="0" collapsed="false">
      <c r="A1206" s="22" t="s">
        <v>5057</v>
      </c>
      <c r="B1206" s="22" t="s">
        <v>5058</v>
      </c>
      <c r="C1206" s="22" t="s">
        <v>61</v>
      </c>
      <c r="D1206" s="22" t="s">
        <v>4636</v>
      </c>
      <c r="E1206" s="22" t="str">
        <f aca="false">IF(D1206="","",IFERROR(VLOOKUP(D1206,$A$2:$B$1656,2,FALSE()),""))</f>
        <v>Unit and Encounter Models</v>
      </c>
      <c r="F1206" s="22" t="n">
        <v>3</v>
      </c>
      <c r="G1206" s="22" t="s">
        <v>5059</v>
      </c>
      <c r="H1206" s="22" t="s">
        <v>4642</v>
      </c>
      <c r="I1206" s="22" t="s">
        <v>5060</v>
      </c>
      <c r="J1206" s="22" t="s">
        <v>5024</v>
      </c>
      <c r="K1206" s="22" t="s">
        <v>5060</v>
      </c>
      <c r="L1206" s="22" t="s">
        <v>184</v>
      </c>
      <c r="M1206" s="22" t="s">
        <v>253</v>
      </c>
    </row>
    <row r="1207" customFormat="false" ht="43.5" hidden="false" customHeight="true" outlineLevel="0" collapsed="false">
      <c r="A1207" s="22" t="s">
        <v>5061</v>
      </c>
      <c r="B1207" s="22" t="s">
        <v>5062</v>
      </c>
      <c r="C1207" s="22" t="s">
        <v>61</v>
      </c>
      <c r="D1207" s="22" t="s">
        <v>4636</v>
      </c>
      <c r="E1207" s="22" t="str">
        <f aca="false">IF(D1207="","",IFERROR(VLOOKUP(D1207,$A$2:$B$1656,2,FALSE()),""))</f>
        <v>Unit and Encounter Models</v>
      </c>
      <c r="F1207" s="22" t="n">
        <v>3</v>
      </c>
      <c r="G1207" s="22" t="s">
        <v>5063</v>
      </c>
      <c r="H1207" s="22" t="s">
        <v>4642</v>
      </c>
      <c r="I1207" s="22" t="s">
        <v>5064</v>
      </c>
      <c r="J1207" s="22" t="s">
        <v>5024</v>
      </c>
      <c r="K1207" s="22" t="s">
        <v>5064</v>
      </c>
      <c r="L1207" s="22" t="s">
        <v>184</v>
      </c>
      <c r="M1207" s="22" t="s">
        <v>253</v>
      </c>
    </row>
    <row r="1208" customFormat="false" ht="43.5" hidden="false" customHeight="true" outlineLevel="0" collapsed="false">
      <c r="A1208" s="22" t="s">
        <v>5065</v>
      </c>
      <c r="B1208" s="22" t="s">
        <v>5066</v>
      </c>
      <c r="C1208" s="22" t="s">
        <v>61</v>
      </c>
      <c r="D1208" s="22" t="s">
        <v>4636</v>
      </c>
      <c r="E1208" s="22" t="str">
        <f aca="false">IF(D1208="","",IFERROR(VLOOKUP(D1208,$A$2:$B$1656,2,FALSE()),""))</f>
        <v>Unit and Encounter Models</v>
      </c>
      <c r="F1208" s="22" t="n">
        <v>3</v>
      </c>
      <c r="G1208" s="22" t="s">
        <v>5067</v>
      </c>
      <c r="H1208" s="22" t="s">
        <v>4642</v>
      </c>
      <c r="I1208" s="22" t="s">
        <v>5068</v>
      </c>
      <c r="J1208" s="22" t="s">
        <v>5024</v>
      </c>
      <c r="K1208" s="22" t="s">
        <v>5068</v>
      </c>
      <c r="L1208" s="22" t="s">
        <v>184</v>
      </c>
      <c r="M1208" s="22" t="s">
        <v>253</v>
      </c>
    </row>
    <row r="1209" customFormat="false" ht="43.5" hidden="false" customHeight="true" outlineLevel="0" collapsed="false">
      <c r="A1209" s="22" t="s">
        <v>5069</v>
      </c>
      <c r="B1209" s="22" t="s">
        <v>5070</v>
      </c>
      <c r="C1209" s="22" t="s">
        <v>61</v>
      </c>
      <c r="D1209" s="22" t="s">
        <v>4636</v>
      </c>
      <c r="E1209" s="22" t="str">
        <f aca="false">IF(D1209="","",IFERROR(VLOOKUP(D1209,$A$2:$B$1656,2,FALSE()),""))</f>
        <v>Unit and Encounter Models</v>
      </c>
      <c r="F1209" s="22" t="n">
        <v>3</v>
      </c>
      <c r="G1209" s="22" t="s">
        <v>5071</v>
      </c>
      <c r="H1209" s="22" t="s">
        <v>4642</v>
      </c>
      <c r="I1209" s="22" t="s">
        <v>5072</v>
      </c>
      <c r="J1209" s="22" t="s">
        <v>5024</v>
      </c>
      <c r="K1209" s="22" t="s">
        <v>5072</v>
      </c>
      <c r="L1209" s="22" t="s">
        <v>184</v>
      </c>
      <c r="M1209" s="22" t="s">
        <v>253</v>
      </c>
    </row>
    <row r="1210" customFormat="false" ht="43.5" hidden="false" customHeight="true" outlineLevel="0" collapsed="false">
      <c r="A1210" s="22" t="s">
        <v>5073</v>
      </c>
      <c r="B1210" s="22" t="s">
        <v>5074</v>
      </c>
      <c r="C1210" s="22" t="s">
        <v>61</v>
      </c>
      <c r="D1210" s="22" t="s">
        <v>4636</v>
      </c>
      <c r="E1210" s="22" t="str">
        <f aca="false">IF(D1210="","",IFERROR(VLOOKUP(D1210,$A$2:$B$1656,2,FALSE()),""))</f>
        <v>Unit and Encounter Models</v>
      </c>
      <c r="F1210" s="22" t="n">
        <v>3</v>
      </c>
      <c r="G1210" s="22" t="s">
        <v>5075</v>
      </c>
      <c r="H1210" s="22" t="s">
        <v>4642</v>
      </c>
      <c r="I1210" s="22" t="s">
        <v>5076</v>
      </c>
      <c r="J1210" s="22" t="s">
        <v>5024</v>
      </c>
      <c r="K1210" s="22" t="s">
        <v>5076</v>
      </c>
      <c r="L1210" s="22" t="s">
        <v>184</v>
      </c>
      <c r="M1210" s="22" t="s">
        <v>253</v>
      </c>
    </row>
    <row r="1211" customFormat="false" ht="43.5" hidden="false" customHeight="true" outlineLevel="0" collapsed="false">
      <c r="A1211" s="22" t="s">
        <v>5077</v>
      </c>
      <c r="B1211" s="22" t="s">
        <v>5078</v>
      </c>
      <c r="C1211" s="22" t="s">
        <v>61</v>
      </c>
      <c r="D1211" s="22" t="s">
        <v>4636</v>
      </c>
      <c r="E1211" s="22" t="str">
        <f aca="false">IF(D1211="","",IFERROR(VLOOKUP(D1211,$A$2:$B$1656,2,FALSE()),""))</f>
        <v>Unit and Encounter Models</v>
      </c>
      <c r="F1211" s="22" t="n">
        <v>3</v>
      </c>
      <c r="G1211" s="22" t="s">
        <v>5079</v>
      </c>
      <c r="H1211" s="22" t="s">
        <v>4642</v>
      </c>
      <c r="I1211" s="22" t="s">
        <v>5080</v>
      </c>
      <c r="J1211" s="22" t="s">
        <v>5024</v>
      </c>
      <c r="K1211" s="22" t="s">
        <v>5080</v>
      </c>
      <c r="L1211" s="22" t="s">
        <v>184</v>
      </c>
      <c r="M1211" s="22" t="s">
        <v>253</v>
      </c>
    </row>
    <row r="1212" customFormat="false" ht="43.5" hidden="false" customHeight="true" outlineLevel="0" collapsed="false">
      <c r="A1212" s="22" t="s">
        <v>5081</v>
      </c>
      <c r="B1212" s="22" t="s">
        <v>5082</v>
      </c>
      <c r="C1212" s="22" t="s">
        <v>61</v>
      </c>
      <c r="D1212" s="22" t="s">
        <v>4636</v>
      </c>
      <c r="E1212" s="22" t="str">
        <f aca="false">IF(D1212="","",IFERROR(VLOOKUP(D1212,$A$2:$B$1656,2,FALSE()),""))</f>
        <v>Unit and Encounter Models</v>
      </c>
      <c r="F1212" s="22" t="n">
        <v>3</v>
      </c>
      <c r="G1212" s="22" t="s">
        <v>5083</v>
      </c>
      <c r="H1212" s="22" t="s">
        <v>4642</v>
      </c>
      <c r="I1212" s="22" t="s">
        <v>5084</v>
      </c>
      <c r="J1212" s="22" t="s">
        <v>5024</v>
      </c>
      <c r="K1212" s="22" t="s">
        <v>5084</v>
      </c>
      <c r="L1212" s="22" t="s">
        <v>184</v>
      </c>
      <c r="M1212" s="22" t="s">
        <v>253</v>
      </c>
    </row>
    <row r="1213" customFormat="false" ht="43.5" hidden="false" customHeight="true" outlineLevel="0" collapsed="false">
      <c r="A1213" s="22" t="s">
        <v>5085</v>
      </c>
      <c r="B1213" s="22" t="s">
        <v>5086</v>
      </c>
      <c r="C1213" s="22" t="s">
        <v>61</v>
      </c>
      <c r="D1213" s="22" t="s">
        <v>4636</v>
      </c>
      <c r="E1213" s="22" t="str">
        <f aca="false">IF(D1213="","",IFERROR(VLOOKUP(D1213,$A$2:$B$1656,2,FALSE()),""))</f>
        <v>Unit and Encounter Models</v>
      </c>
      <c r="F1213" s="22" t="n">
        <v>3</v>
      </c>
      <c r="G1213" s="22" t="s">
        <v>5087</v>
      </c>
      <c r="H1213" s="22" t="s">
        <v>4642</v>
      </c>
      <c r="I1213" s="22" t="s">
        <v>5088</v>
      </c>
      <c r="J1213" s="22" t="s">
        <v>5024</v>
      </c>
      <c r="K1213" s="22" t="s">
        <v>5088</v>
      </c>
      <c r="L1213" s="22" t="s">
        <v>184</v>
      </c>
      <c r="M1213" s="22" t="s">
        <v>253</v>
      </c>
    </row>
    <row r="1214" customFormat="false" ht="43.5" hidden="false" customHeight="true" outlineLevel="0" collapsed="false">
      <c r="A1214" s="22" t="s">
        <v>5089</v>
      </c>
      <c r="B1214" s="22" t="s">
        <v>5090</v>
      </c>
      <c r="C1214" s="22" t="s">
        <v>61</v>
      </c>
      <c r="D1214" s="22" t="s">
        <v>4636</v>
      </c>
      <c r="E1214" s="22" t="str">
        <f aca="false">IF(D1214="","",IFERROR(VLOOKUP(D1214,$A$2:$B$1656,2,FALSE()),""))</f>
        <v>Unit and Encounter Models</v>
      </c>
      <c r="F1214" s="22" t="n">
        <v>3</v>
      </c>
      <c r="G1214" s="22" t="s">
        <v>5091</v>
      </c>
      <c r="H1214" s="22" t="s">
        <v>4642</v>
      </c>
      <c r="I1214" s="22" t="s">
        <v>5092</v>
      </c>
      <c r="J1214" s="22" t="s">
        <v>5024</v>
      </c>
      <c r="K1214" s="22" t="s">
        <v>5092</v>
      </c>
      <c r="L1214" s="22" t="s">
        <v>184</v>
      </c>
      <c r="M1214" s="22" t="s">
        <v>253</v>
      </c>
    </row>
    <row r="1215" customFormat="false" ht="43.5" hidden="false" customHeight="true" outlineLevel="0" collapsed="false">
      <c r="A1215" s="22" t="s">
        <v>5093</v>
      </c>
      <c r="B1215" s="22" t="s">
        <v>5094</v>
      </c>
      <c r="C1215" s="22" t="s">
        <v>61</v>
      </c>
      <c r="D1215" s="22" t="s">
        <v>4636</v>
      </c>
      <c r="E1215" s="22" t="str">
        <f aca="false">IF(D1215="","",IFERROR(VLOOKUP(D1215,$A$2:$B$1656,2,FALSE()),""))</f>
        <v>Unit and Encounter Models</v>
      </c>
      <c r="F1215" s="22" t="n">
        <v>3</v>
      </c>
      <c r="G1215" s="22" t="s">
        <v>5095</v>
      </c>
      <c r="H1215" s="22" t="s">
        <v>4642</v>
      </c>
      <c r="I1215" s="22" t="s">
        <v>1792</v>
      </c>
      <c r="J1215" s="22" t="s">
        <v>5024</v>
      </c>
      <c r="K1215" s="22" t="s">
        <v>1792</v>
      </c>
      <c r="L1215" s="22" t="s">
        <v>184</v>
      </c>
      <c r="M1215" s="22" t="s">
        <v>253</v>
      </c>
    </row>
    <row r="1216" customFormat="false" ht="43.5" hidden="false" customHeight="true" outlineLevel="0" collapsed="false">
      <c r="A1216" s="22" t="s">
        <v>5096</v>
      </c>
      <c r="B1216" s="22" t="s">
        <v>5097</v>
      </c>
      <c r="C1216" s="22" t="s">
        <v>61</v>
      </c>
      <c r="D1216" s="22" t="s">
        <v>4636</v>
      </c>
      <c r="E1216" s="22" t="str">
        <f aca="false">IF(D1216="","",IFERROR(VLOOKUP(D1216,$A$2:$B$1656,2,FALSE()),""))</f>
        <v>Unit and Encounter Models</v>
      </c>
      <c r="F1216" s="22" t="n">
        <v>3</v>
      </c>
      <c r="G1216" s="22" t="s">
        <v>5098</v>
      </c>
      <c r="H1216" s="22" t="s">
        <v>4642</v>
      </c>
      <c r="I1216" s="22" t="s">
        <v>5099</v>
      </c>
      <c r="J1216" s="22" t="s">
        <v>5024</v>
      </c>
      <c r="K1216" s="22" t="s">
        <v>5099</v>
      </c>
      <c r="L1216" s="22" t="s">
        <v>184</v>
      </c>
      <c r="M1216" s="22" t="s">
        <v>253</v>
      </c>
    </row>
    <row r="1217" customFormat="false" ht="43.5" hidden="false" customHeight="true" outlineLevel="0" collapsed="false">
      <c r="A1217" s="22" t="s">
        <v>5100</v>
      </c>
      <c r="B1217" s="22" t="s">
        <v>5101</v>
      </c>
      <c r="C1217" s="22" t="s">
        <v>61</v>
      </c>
      <c r="D1217" s="22" t="s">
        <v>4636</v>
      </c>
      <c r="E1217" s="22" t="str">
        <f aca="false">IF(D1217="","",IFERROR(VLOOKUP(D1217,$A$2:$B$1656,2,FALSE()),""))</f>
        <v>Unit and Encounter Models</v>
      </c>
      <c r="F1217" s="22" t="n">
        <v>3</v>
      </c>
      <c r="G1217" s="22" t="s">
        <v>5102</v>
      </c>
      <c r="H1217" s="22" t="s">
        <v>4642</v>
      </c>
      <c r="I1217" s="22" t="s">
        <v>5103</v>
      </c>
      <c r="J1217" s="22" t="s">
        <v>5024</v>
      </c>
      <c r="K1217" s="22" t="s">
        <v>5103</v>
      </c>
      <c r="L1217" s="22" t="s">
        <v>184</v>
      </c>
      <c r="M1217" s="22" t="s">
        <v>253</v>
      </c>
    </row>
    <row r="1218" customFormat="false" ht="43.5" hidden="false" customHeight="true" outlineLevel="0" collapsed="false">
      <c r="A1218" s="22" t="s">
        <v>5104</v>
      </c>
      <c r="B1218" s="22" t="s">
        <v>5105</v>
      </c>
      <c r="C1218" s="22" t="s">
        <v>61</v>
      </c>
      <c r="D1218" s="22" t="s">
        <v>4636</v>
      </c>
      <c r="E1218" s="22" t="str">
        <f aca="false">IF(D1218="","",IFERROR(VLOOKUP(D1218,$A$2:$B$1656,2,FALSE()),""))</f>
        <v>Unit and Encounter Models</v>
      </c>
      <c r="F1218" s="22" t="n">
        <v>3</v>
      </c>
      <c r="G1218" s="22" t="s">
        <v>5106</v>
      </c>
      <c r="H1218" s="22" t="s">
        <v>4642</v>
      </c>
      <c r="I1218" s="22" t="s">
        <v>5107</v>
      </c>
      <c r="J1218" s="22" t="s">
        <v>5024</v>
      </c>
      <c r="K1218" s="22" t="s">
        <v>5107</v>
      </c>
      <c r="L1218" s="22" t="s">
        <v>184</v>
      </c>
      <c r="M1218" s="22" t="s">
        <v>253</v>
      </c>
    </row>
    <row r="1219" customFormat="false" ht="43.5" hidden="false" customHeight="true" outlineLevel="0" collapsed="false">
      <c r="A1219" s="22" t="s">
        <v>5108</v>
      </c>
      <c r="B1219" s="22" t="s">
        <v>5109</v>
      </c>
      <c r="C1219" s="22" t="s">
        <v>61</v>
      </c>
      <c r="D1219" s="22" t="s">
        <v>4636</v>
      </c>
      <c r="E1219" s="22" t="str">
        <f aca="false">IF(D1219="","",IFERROR(VLOOKUP(D1219,$A$2:$B$1656,2,FALSE()),""))</f>
        <v>Unit and Encounter Models</v>
      </c>
      <c r="F1219" s="22" t="n">
        <v>3</v>
      </c>
      <c r="G1219" s="22" t="s">
        <v>5110</v>
      </c>
      <c r="H1219" s="22" t="s">
        <v>4642</v>
      </c>
      <c r="I1219" s="22" t="s">
        <v>5111</v>
      </c>
      <c r="J1219" s="22" t="s">
        <v>5024</v>
      </c>
      <c r="K1219" s="22" t="s">
        <v>5111</v>
      </c>
      <c r="L1219" s="22" t="s">
        <v>184</v>
      </c>
      <c r="M1219" s="22" t="s">
        <v>253</v>
      </c>
    </row>
    <row r="1220" customFormat="false" ht="43.5" hidden="false" customHeight="true" outlineLevel="0" collapsed="false">
      <c r="A1220" s="22" t="s">
        <v>5112</v>
      </c>
      <c r="B1220" s="22" t="s">
        <v>5113</v>
      </c>
      <c r="C1220" s="22" t="s">
        <v>61</v>
      </c>
      <c r="D1220" s="22" t="s">
        <v>4636</v>
      </c>
      <c r="E1220" s="22" t="str">
        <f aca="false">IF(D1220="","",IFERROR(VLOOKUP(D1220,$A$2:$B$1656,2,FALSE()),""))</f>
        <v>Unit and Encounter Models</v>
      </c>
      <c r="F1220" s="22" t="n">
        <v>3</v>
      </c>
      <c r="G1220" s="22" t="s">
        <v>5114</v>
      </c>
      <c r="H1220" s="22" t="s">
        <v>4642</v>
      </c>
      <c r="I1220" s="22" t="s">
        <v>5115</v>
      </c>
      <c r="J1220" s="22" t="s">
        <v>5024</v>
      </c>
      <c r="K1220" s="22" t="s">
        <v>5115</v>
      </c>
      <c r="L1220" s="22" t="s">
        <v>184</v>
      </c>
      <c r="M1220" s="22" t="s">
        <v>253</v>
      </c>
    </row>
    <row r="1221" customFormat="false" ht="43.5" hidden="false" customHeight="true" outlineLevel="0" collapsed="false">
      <c r="A1221" s="22" t="s">
        <v>5116</v>
      </c>
      <c r="B1221" s="22" t="s">
        <v>5117</v>
      </c>
      <c r="C1221" s="22" t="s">
        <v>61</v>
      </c>
      <c r="D1221" s="22" t="s">
        <v>4636</v>
      </c>
      <c r="E1221" s="22" t="str">
        <f aca="false">IF(D1221="","",IFERROR(VLOOKUP(D1221,$A$2:$B$1656,2,FALSE()),""))</f>
        <v>Unit and Encounter Models</v>
      </c>
      <c r="F1221" s="22" t="n">
        <v>3</v>
      </c>
      <c r="G1221" s="22" t="s">
        <v>5118</v>
      </c>
      <c r="H1221" s="22" t="s">
        <v>4642</v>
      </c>
      <c r="I1221" s="22" t="s">
        <v>5119</v>
      </c>
      <c r="J1221" s="22" t="s">
        <v>5024</v>
      </c>
      <c r="K1221" s="22" t="s">
        <v>5119</v>
      </c>
      <c r="L1221" s="22" t="s">
        <v>184</v>
      </c>
      <c r="M1221" s="22" t="s">
        <v>253</v>
      </c>
    </row>
    <row r="1222" customFormat="false" ht="43.5" hidden="false" customHeight="true" outlineLevel="0" collapsed="false">
      <c r="A1222" s="22" t="s">
        <v>5120</v>
      </c>
      <c r="B1222" s="22" t="s">
        <v>5121</v>
      </c>
      <c r="C1222" s="22" t="s">
        <v>61</v>
      </c>
      <c r="D1222" s="22" t="s">
        <v>4636</v>
      </c>
      <c r="E1222" s="22" t="str">
        <f aca="false">IF(D1222="","",IFERROR(VLOOKUP(D1222,$A$2:$B$1656,2,FALSE()),""))</f>
        <v>Unit and Encounter Models</v>
      </c>
      <c r="F1222" s="22" t="n">
        <v>3</v>
      </c>
      <c r="G1222" s="22" t="s">
        <v>5122</v>
      </c>
      <c r="H1222" s="22" t="s">
        <v>4642</v>
      </c>
      <c r="I1222" s="22" t="s">
        <v>5123</v>
      </c>
      <c r="J1222" s="22" t="s">
        <v>5024</v>
      </c>
      <c r="K1222" s="22" t="s">
        <v>5123</v>
      </c>
      <c r="L1222" s="22" t="s">
        <v>184</v>
      </c>
      <c r="M1222" s="22" t="s">
        <v>253</v>
      </c>
    </row>
    <row r="1223" customFormat="false" ht="43.5" hidden="false" customHeight="true" outlineLevel="0" collapsed="false">
      <c r="A1223" s="22" t="s">
        <v>5124</v>
      </c>
      <c r="B1223" s="22" t="s">
        <v>5125</v>
      </c>
      <c r="C1223" s="22" t="s">
        <v>61</v>
      </c>
      <c r="D1223" s="22" t="s">
        <v>4636</v>
      </c>
      <c r="E1223" s="22" t="str">
        <f aca="false">IF(D1223="","",IFERROR(VLOOKUP(D1223,$A$2:$B$1656,2,FALSE()),""))</f>
        <v>Unit and Encounter Models</v>
      </c>
      <c r="F1223" s="22" t="n">
        <v>3</v>
      </c>
      <c r="G1223" s="22" t="s">
        <v>5126</v>
      </c>
      <c r="H1223" s="22" t="s">
        <v>4642</v>
      </c>
      <c r="I1223" s="22" t="s">
        <v>5127</v>
      </c>
      <c r="J1223" s="22" t="s">
        <v>5024</v>
      </c>
      <c r="K1223" s="22" t="s">
        <v>5127</v>
      </c>
      <c r="L1223" s="22" t="s">
        <v>184</v>
      </c>
      <c r="M1223" s="22" t="s">
        <v>253</v>
      </c>
    </row>
    <row r="1224" customFormat="false" ht="43.5" hidden="false" customHeight="true" outlineLevel="0" collapsed="false">
      <c r="A1224" s="22" t="s">
        <v>5128</v>
      </c>
      <c r="B1224" s="22" t="s">
        <v>5129</v>
      </c>
      <c r="C1224" s="22" t="s">
        <v>61</v>
      </c>
      <c r="D1224" s="22" t="s">
        <v>4636</v>
      </c>
      <c r="E1224" s="22" t="str">
        <f aca="false">IF(D1224="","",IFERROR(VLOOKUP(D1224,$A$2:$B$1656,2,FALSE()),""))</f>
        <v>Unit and Encounter Models</v>
      </c>
      <c r="F1224" s="22" t="n">
        <v>3</v>
      </c>
      <c r="G1224" s="22" t="s">
        <v>5130</v>
      </c>
      <c r="H1224" s="22" t="s">
        <v>4642</v>
      </c>
      <c r="I1224" s="22" t="s">
        <v>5131</v>
      </c>
      <c r="J1224" s="22" t="s">
        <v>5024</v>
      </c>
      <c r="K1224" s="22" t="s">
        <v>5131</v>
      </c>
      <c r="L1224" s="22" t="s">
        <v>184</v>
      </c>
      <c r="M1224" s="22" t="s">
        <v>253</v>
      </c>
    </row>
    <row r="1225" customFormat="false" ht="43.5" hidden="false" customHeight="true" outlineLevel="0" collapsed="false">
      <c r="A1225" s="22" t="s">
        <v>5132</v>
      </c>
      <c r="B1225" s="22" t="s">
        <v>5133</v>
      </c>
      <c r="C1225" s="22" t="s">
        <v>61</v>
      </c>
      <c r="D1225" s="22" t="s">
        <v>4636</v>
      </c>
      <c r="E1225" s="22" t="str">
        <f aca="false">IF(D1225="","",IFERROR(VLOOKUP(D1225,$A$2:$B$1656,2,FALSE()),""))</f>
        <v>Unit and Encounter Models</v>
      </c>
      <c r="F1225" s="22" t="n">
        <v>3</v>
      </c>
      <c r="G1225" s="22" t="s">
        <v>5134</v>
      </c>
      <c r="H1225" s="22" t="s">
        <v>4642</v>
      </c>
      <c r="I1225" s="22" t="s">
        <v>5135</v>
      </c>
      <c r="J1225" s="22" t="s">
        <v>5024</v>
      </c>
      <c r="K1225" s="22" t="s">
        <v>5135</v>
      </c>
      <c r="L1225" s="22" t="s">
        <v>184</v>
      </c>
      <c r="M1225" s="22" t="s">
        <v>253</v>
      </c>
    </row>
    <row r="1226" customFormat="false" ht="43.5" hidden="false" customHeight="true" outlineLevel="0" collapsed="false">
      <c r="A1226" s="22" t="s">
        <v>5136</v>
      </c>
      <c r="B1226" s="22" t="s">
        <v>5137</v>
      </c>
      <c r="C1226" s="22" t="s">
        <v>61</v>
      </c>
      <c r="D1226" s="22" t="s">
        <v>4636</v>
      </c>
      <c r="E1226" s="22" t="str">
        <f aca="false">IF(D1226="","",IFERROR(VLOOKUP(D1226,$A$2:$B$1656,2,FALSE()),""))</f>
        <v>Unit and Encounter Models</v>
      </c>
      <c r="F1226" s="22" t="n">
        <v>3</v>
      </c>
      <c r="G1226" s="22" t="s">
        <v>5138</v>
      </c>
      <c r="H1226" s="22" t="s">
        <v>4642</v>
      </c>
      <c r="I1226" s="22" t="s">
        <v>5139</v>
      </c>
      <c r="J1226" s="22" t="s">
        <v>5024</v>
      </c>
      <c r="K1226" s="22" t="s">
        <v>5139</v>
      </c>
      <c r="L1226" s="22" t="s">
        <v>184</v>
      </c>
      <c r="M1226" s="22" t="s">
        <v>253</v>
      </c>
    </row>
    <row r="1227" customFormat="false" ht="43.5" hidden="false" customHeight="true" outlineLevel="0" collapsed="false">
      <c r="A1227" s="30" t="s">
        <v>5140</v>
      </c>
      <c r="B1227" s="31" t="s">
        <v>128</v>
      </c>
      <c r="C1227" s="31" t="s">
        <v>128</v>
      </c>
      <c r="D1227" s="31"/>
      <c r="E1227" s="31" t="str">
        <f aca="false">IF(D1227="","",IFERROR(VLOOKUP(D1227,$A$2:$B$1656,2,FALSE()),""))</f>
        <v/>
      </c>
      <c r="F1227" s="31" t="n">
        <v>1</v>
      </c>
      <c r="G1227" s="31" t="s">
        <v>5141</v>
      </c>
      <c r="H1227" s="31" t="s">
        <v>5142</v>
      </c>
      <c r="I1227" s="31"/>
      <c r="J1227" s="31" t="s">
        <v>5143</v>
      </c>
      <c r="K1227" s="31" t="s">
        <v>128</v>
      </c>
      <c r="L1227" s="31" t="s">
        <v>5144</v>
      </c>
      <c r="M1227" s="31" t="s">
        <v>185</v>
      </c>
    </row>
    <row r="1228" customFormat="false" ht="43.5" hidden="false" customHeight="true" outlineLevel="0" collapsed="false">
      <c r="A1228" s="30" t="s">
        <v>5145</v>
      </c>
      <c r="B1228" s="31" t="s">
        <v>5146</v>
      </c>
      <c r="C1228" s="31" t="s">
        <v>128</v>
      </c>
      <c r="D1228" s="31" t="s">
        <v>5140</v>
      </c>
      <c r="E1228" s="31" t="str">
        <f aca="false">IF(D1228="","",IFERROR(VLOOKUP(D1228,$A$2:$B$1656,2,FALSE()),""))</f>
        <v>Artifacts, Relics, Weapons &amp; Vehicles</v>
      </c>
      <c r="F1228" s="31" t="n">
        <v>2</v>
      </c>
      <c r="G1228" s="31" t="s">
        <v>5147</v>
      </c>
      <c r="H1228" s="31" t="s">
        <v>5148</v>
      </c>
      <c r="I1228" s="31"/>
      <c r="J1228" s="31" t="s">
        <v>5149</v>
      </c>
      <c r="K1228" s="31" t="s">
        <v>5146</v>
      </c>
      <c r="L1228" s="31" t="s">
        <v>5150</v>
      </c>
      <c r="M1228" s="31" t="s">
        <v>206</v>
      </c>
    </row>
    <row r="1229" customFormat="false" ht="43.5" hidden="false" customHeight="true" outlineLevel="0" collapsed="false">
      <c r="A1229" s="30" t="s">
        <v>5151</v>
      </c>
      <c r="B1229" s="31" t="s">
        <v>5152</v>
      </c>
      <c r="C1229" s="31" t="s">
        <v>128</v>
      </c>
      <c r="D1229" s="31" t="s">
        <v>5140</v>
      </c>
      <c r="E1229" s="31" t="str">
        <f aca="false">IF(D1229="","",IFERROR(VLOOKUP(D1229,$A$2:$B$1656,2,FALSE()),""))</f>
        <v>Artifacts, Relics, Weapons &amp; Vehicles</v>
      </c>
      <c r="F1229" s="31" t="n">
        <v>2</v>
      </c>
      <c r="G1229" s="31" t="s">
        <v>5153</v>
      </c>
      <c r="H1229" s="31" t="s">
        <v>5148</v>
      </c>
      <c r="I1229" s="31"/>
      <c r="J1229" s="31" t="s">
        <v>5149</v>
      </c>
      <c r="K1229" s="31" t="s">
        <v>5152</v>
      </c>
      <c r="L1229" s="31" t="s">
        <v>5150</v>
      </c>
      <c r="M1229" s="31" t="s">
        <v>206</v>
      </c>
    </row>
    <row r="1230" customFormat="false" ht="43.5" hidden="false" customHeight="true" outlineLevel="0" collapsed="false">
      <c r="A1230" s="30" t="s">
        <v>5154</v>
      </c>
      <c r="B1230" s="31" t="s">
        <v>5155</v>
      </c>
      <c r="C1230" s="31" t="s">
        <v>128</v>
      </c>
      <c r="D1230" s="31" t="s">
        <v>5140</v>
      </c>
      <c r="E1230" s="31" t="str">
        <f aca="false">IF(D1230="","",IFERROR(VLOOKUP(D1230,$A$2:$B$1656,2,FALSE()),""))</f>
        <v>Artifacts, Relics, Weapons &amp; Vehicles</v>
      </c>
      <c r="F1230" s="31" t="n">
        <v>2</v>
      </c>
      <c r="G1230" s="31" t="s">
        <v>5156</v>
      </c>
      <c r="H1230" s="31" t="s">
        <v>5148</v>
      </c>
      <c r="I1230" s="31"/>
      <c r="J1230" s="31" t="s">
        <v>5149</v>
      </c>
      <c r="K1230" s="31" t="s">
        <v>5155</v>
      </c>
      <c r="L1230" s="31" t="s">
        <v>5150</v>
      </c>
      <c r="M1230" s="31" t="s">
        <v>206</v>
      </c>
    </row>
    <row r="1231" customFormat="false" ht="43.5" hidden="false" customHeight="true" outlineLevel="0" collapsed="false">
      <c r="A1231" s="30" t="s">
        <v>5157</v>
      </c>
      <c r="B1231" s="31" t="s">
        <v>5158</v>
      </c>
      <c r="C1231" s="31" t="s">
        <v>128</v>
      </c>
      <c r="D1231" s="31" t="s">
        <v>5140</v>
      </c>
      <c r="E1231" s="31" t="str">
        <f aca="false">IF(D1231="","",IFERROR(VLOOKUP(D1231,$A$2:$B$1656,2,FALSE()),""))</f>
        <v>Artifacts, Relics, Weapons &amp; Vehicles</v>
      </c>
      <c r="F1231" s="31" t="n">
        <v>2</v>
      </c>
      <c r="G1231" s="31" t="s">
        <v>5159</v>
      </c>
      <c r="H1231" s="31" t="s">
        <v>5148</v>
      </c>
      <c r="I1231" s="31"/>
      <c r="J1231" s="31" t="s">
        <v>5149</v>
      </c>
      <c r="K1231" s="31" t="s">
        <v>5158</v>
      </c>
      <c r="L1231" s="31" t="s">
        <v>5150</v>
      </c>
      <c r="M1231" s="31" t="s">
        <v>206</v>
      </c>
    </row>
    <row r="1232" customFormat="false" ht="43.5" hidden="false" customHeight="true" outlineLevel="0" collapsed="false">
      <c r="A1232" s="30" t="s">
        <v>5160</v>
      </c>
      <c r="B1232" s="31" t="s">
        <v>5161</v>
      </c>
      <c r="C1232" s="31" t="s">
        <v>128</v>
      </c>
      <c r="D1232" s="31" t="s">
        <v>5140</v>
      </c>
      <c r="E1232" s="31" t="str">
        <f aca="false">IF(D1232="","",IFERROR(VLOOKUP(D1232,$A$2:$B$1656,2,FALSE()),""))</f>
        <v>Artifacts, Relics, Weapons &amp; Vehicles</v>
      </c>
      <c r="F1232" s="31" t="n">
        <v>2</v>
      </c>
      <c r="G1232" s="31" t="s">
        <v>5162</v>
      </c>
      <c r="H1232" s="31" t="s">
        <v>5148</v>
      </c>
      <c r="I1232" s="31"/>
      <c r="J1232" s="31" t="s">
        <v>5149</v>
      </c>
      <c r="K1232" s="31" t="s">
        <v>5161</v>
      </c>
      <c r="L1232" s="31" t="s">
        <v>5150</v>
      </c>
      <c r="M1232" s="31" t="s">
        <v>206</v>
      </c>
    </row>
    <row r="1233" customFormat="false" ht="43.5" hidden="false" customHeight="true" outlineLevel="0" collapsed="false">
      <c r="A1233" s="30" t="s">
        <v>5163</v>
      </c>
      <c r="B1233" s="31" t="s">
        <v>5164</v>
      </c>
      <c r="C1233" s="31" t="s">
        <v>128</v>
      </c>
      <c r="D1233" s="31" t="s">
        <v>5140</v>
      </c>
      <c r="E1233" s="31" t="str">
        <f aca="false">IF(D1233="","",IFERROR(VLOOKUP(D1233,$A$2:$B$1656,2,FALSE()),""))</f>
        <v>Artifacts, Relics, Weapons &amp; Vehicles</v>
      </c>
      <c r="F1233" s="31" t="n">
        <v>2</v>
      </c>
      <c r="G1233" s="31" t="s">
        <v>5165</v>
      </c>
      <c r="H1233" s="31" t="s">
        <v>5148</v>
      </c>
      <c r="I1233" s="31"/>
      <c r="J1233" s="31" t="s">
        <v>5149</v>
      </c>
      <c r="K1233" s="31" t="s">
        <v>5164</v>
      </c>
      <c r="L1233" s="31" t="s">
        <v>5150</v>
      </c>
      <c r="M1233" s="31" t="s">
        <v>206</v>
      </c>
    </row>
    <row r="1234" customFormat="false" ht="43.5" hidden="false" customHeight="true" outlineLevel="0" collapsed="false">
      <c r="A1234" s="30" t="s">
        <v>5166</v>
      </c>
      <c r="B1234" s="31" t="s">
        <v>5167</v>
      </c>
      <c r="C1234" s="31" t="s">
        <v>128</v>
      </c>
      <c r="D1234" s="31" t="s">
        <v>5140</v>
      </c>
      <c r="E1234" s="31" t="str">
        <f aca="false">IF(D1234="","",IFERROR(VLOOKUP(D1234,$A$2:$B$1656,2,FALSE()),""))</f>
        <v>Artifacts, Relics, Weapons &amp; Vehicles</v>
      </c>
      <c r="F1234" s="31" t="n">
        <v>2</v>
      </c>
      <c r="G1234" s="31" t="s">
        <v>5168</v>
      </c>
      <c r="H1234" s="31" t="s">
        <v>5148</v>
      </c>
      <c r="I1234" s="31"/>
      <c r="J1234" s="31" t="s">
        <v>5149</v>
      </c>
      <c r="K1234" s="31" t="s">
        <v>5167</v>
      </c>
      <c r="L1234" s="31" t="s">
        <v>5150</v>
      </c>
      <c r="M1234" s="31" t="s">
        <v>206</v>
      </c>
    </row>
    <row r="1235" customFormat="false" ht="43.5" hidden="false" customHeight="true" outlineLevel="0" collapsed="false">
      <c r="A1235" s="30" t="s">
        <v>5169</v>
      </c>
      <c r="B1235" s="31" t="s">
        <v>5170</v>
      </c>
      <c r="C1235" s="31" t="s">
        <v>128</v>
      </c>
      <c r="D1235" s="31" t="s">
        <v>5145</v>
      </c>
      <c r="E1235" s="31" t="str">
        <f aca="false">IF(D1235="","",IFERROR(VLOOKUP(D1235,$A$2:$B$1656,2,FALSE()),""))</f>
        <v>Empowered Objects &amp; Relics</v>
      </c>
      <c r="F1235" s="31" t="n">
        <v>3</v>
      </c>
      <c r="G1235" s="31" t="s">
        <v>5171</v>
      </c>
      <c r="H1235" s="31" t="s">
        <v>5172</v>
      </c>
      <c r="I1235" s="31" t="s">
        <v>5173</v>
      </c>
      <c r="J1235" s="31" t="s">
        <v>5174</v>
      </c>
      <c r="K1235" s="31" t="s">
        <v>5175</v>
      </c>
      <c r="L1235" s="31" t="s">
        <v>5150</v>
      </c>
      <c r="M1235" s="31" t="s">
        <v>5176</v>
      </c>
    </row>
    <row r="1236" customFormat="false" ht="43.5" hidden="false" customHeight="true" outlineLevel="0" collapsed="false">
      <c r="A1236" s="30" t="s">
        <v>5177</v>
      </c>
      <c r="B1236" s="31" t="s">
        <v>5178</v>
      </c>
      <c r="C1236" s="31" t="s">
        <v>128</v>
      </c>
      <c r="D1236" s="31" t="s">
        <v>5145</v>
      </c>
      <c r="E1236" s="31" t="str">
        <f aca="false">IF(D1236="","",IFERROR(VLOOKUP(D1236,$A$2:$B$1656,2,FALSE()),""))</f>
        <v>Empowered Objects &amp; Relics</v>
      </c>
      <c r="F1236" s="31" t="n">
        <v>3</v>
      </c>
      <c r="G1236" s="31" t="s">
        <v>5179</v>
      </c>
      <c r="H1236" s="31" t="s">
        <v>5180</v>
      </c>
      <c r="I1236" s="31" t="s">
        <v>5181</v>
      </c>
      <c r="J1236" s="31" t="s">
        <v>5182</v>
      </c>
      <c r="K1236" s="31" t="s">
        <v>5183</v>
      </c>
      <c r="L1236" s="31" t="s">
        <v>5150</v>
      </c>
      <c r="M1236" s="31" t="s">
        <v>5176</v>
      </c>
    </row>
    <row r="1237" customFormat="false" ht="43.5" hidden="false" customHeight="true" outlineLevel="0" collapsed="false">
      <c r="A1237" s="30" t="s">
        <v>5184</v>
      </c>
      <c r="B1237" s="31" t="s">
        <v>5185</v>
      </c>
      <c r="C1237" s="31" t="s">
        <v>128</v>
      </c>
      <c r="D1237" s="31" t="s">
        <v>5145</v>
      </c>
      <c r="E1237" s="31" t="str">
        <f aca="false">IF(D1237="","",IFERROR(VLOOKUP(D1237,$A$2:$B$1656,2,FALSE()),""))</f>
        <v>Empowered Objects &amp; Relics</v>
      </c>
      <c r="F1237" s="31" t="n">
        <v>3</v>
      </c>
      <c r="G1237" s="31" t="s">
        <v>5186</v>
      </c>
      <c r="H1237" s="31" t="s">
        <v>5187</v>
      </c>
      <c r="I1237" s="31" t="s">
        <v>5188</v>
      </c>
      <c r="J1237" s="31" t="s">
        <v>5189</v>
      </c>
      <c r="K1237" s="31" t="s">
        <v>5190</v>
      </c>
      <c r="L1237" s="31" t="s">
        <v>5150</v>
      </c>
      <c r="M1237" s="31" t="s">
        <v>5176</v>
      </c>
    </row>
    <row r="1238" customFormat="false" ht="43.5" hidden="false" customHeight="true" outlineLevel="0" collapsed="false">
      <c r="A1238" s="30" t="s">
        <v>5191</v>
      </c>
      <c r="B1238" s="31" t="s">
        <v>5192</v>
      </c>
      <c r="C1238" s="31" t="s">
        <v>128</v>
      </c>
      <c r="D1238" s="31" t="s">
        <v>5145</v>
      </c>
      <c r="E1238" s="31" t="str">
        <f aca="false">IF(D1238="","",IFERROR(VLOOKUP(D1238,$A$2:$B$1656,2,FALSE()),""))</f>
        <v>Empowered Objects &amp; Relics</v>
      </c>
      <c r="F1238" s="31" t="n">
        <v>3</v>
      </c>
      <c r="G1238" s="31" t="s">
        <v>5193</v>
      </c>
      <c r="H1238" s="31" t="s">
        <v>5194</v>
      </c>
      <c r="I1238" s="31" t="s">
        <v>5195</v>
      </c>
      <c r="J1238" s="31" t="s">
        <v>5196</v>
      </c>
      <c r="K1238" s="31" t="s">
        <v>5197</v>
      </c>
      <c r="L1238" s="31" t="s">
        <v>5150</v>
      </c>
      <c r="M1238" s="31" t="s">
        <v>5176</v>
      </c>
    </row>
    <row r="1239" customFormat="false" ht="43.5" hidden="false" customHeight="true" outlineLevel="0" collapsed="false">
      <c r="A1239" s="30" t="s">
        <v>5198</v>
      </c>
      <c r="B1239" s="31" t="s">
        <v>5199</v>
      </c>
      <c r="C1239" s="31" t="s">
        <v>128</v>
      </c>
      <c r="D1239" s="31" t="s">
        <v>5145</v>
      </c>
      <c r="E1239" s="31" t="str">
        <f aca="false">IF(D1239="","",IFERROR(VLOOKUP(D1239,$A$2:$B$1656,2,FALSE()),""))</f>
        <v>Empowered Objects &amp; Relics</v>
      </c>
      <c r="F1239" s="31" t="n">
        <v>3</v>
      </c>
      <c r="G1239" s="31" t="s">
        <v>5200</v>
      </c>
      <c r="H1239" s="31" t="s">
        <v>5201</v>
      </c>
      <c r="I1239" s="31" t="s">
        <v>5202</v>
      </c>
      <c r="J1239" s="31" t="s">
        <v>5203</v>
      </c>
      <c r="K1239" s="31" t="s">
        <v>5204</v>
      </c>
      <c r="L1239" s="31" t="s">
        <v>5150</v>
      </c>
      <c r="M1239" s="31" t="s">
        <v>5176</v>
      </c>
    </row>
    <row r="1240" customFormat="false" ht="43.5" hidden="false" customHeight="true" outlineLevel="0" collapsed="false">
      <c r="A1240" s="30" t="s">
        <v>5205</v>
      </c>
      <c r="B1240" s="31" t="s">
        <v>5206</v>
      </c>
      <c r="C1240" s="31" t="s">
        <v>128</v>
      </c>
      <c r="D1240" s="31" t="s">
        <v>5145</v>
      </c>
      <c r="E1240" s="31" t="str">
        <f aca="false">IF(D1240="","",IFERROR(VLOOKUP(D1240,$A$2:$B$1656,2,FALSE()),""))</f>
        <v>Empowered Objects &amp; Relics</v>
      </c>
      <c r="F1240" s="31" t="n">
        <v>3</v>
      </c>
      <c r="G1240" s="31" t="s">
        <v>5207</v>
      </c>
      <c r="H1240" s="31" t="s">
        <v>5208</v>
      </c>
      <c r="I1240" s="31" t="s">
        <v>5209</v>
      </c>
      <c r="J1240" s="31" t="s">
        <v>5210</v>
      </c>
      <c r="K1240" s="31" t="s">
        <v>5211</v>
      </c>
      <c r="L1240" s="31" t="s">
        <v>5150</v>
      </c>
      <c r="M1240" s="31" t="s">
        <v>5176</v>
      </c>
    </row>
    <row r="1241" customFormat="false" ht="43.5" hidden="false" customHeight="true" outlineLevel="0" collapsed="false">
      <c r="A1241" s="30" t="s">
        <v>5212</v>
      </c>
      <c r="B1241" s="31" t="s">
        <v>5213</v>
      </c>
      <c r="C1241" s="31" t="s">
        <v>128</v>
      </c>
      <c r="D1241" s="31" t="s">
        <v>5145</v>
      </c>
      <c r="E1241" s="31" t="str">
        <f aca="false">IF(D1241="","",IFERROR(VLOOKUP(D1241,$A$2:$B$1656,2,FALSE()),""))</f>
        <v>Empowered Objects &amp; Relics</v>
      </c>
      <c r="F1241" s="31" t="n">
        <v>3</v>
      </c>
      <c r="G1241" s="31" t="s">
        <v>5214</v>
      </c>
      <c r="H1241" s="31" t="s">
        <v>5215</v>
      </c>
      <c r="I1241" s="31" t="s">
        <v>5216</v>
      </c>
      <c r="J1241" s="31" t="s">
        <v>5217</v>
      </c>
      <c r="K1241" s="31" t="s">
        <v>5218</v>
      </c>
      <c r="L1241" s="31" t="s">
        <v>5150</v>
      </c>
      <c r="M1241" s="31" t="s">
        <v>5176</v>
      </c>
    </row>
    <row r="1242" customFormat="false" ht="43.5" hidden="false" customHeight="true" outlineLevel="0" collapsed="false">
      <c r="A1242" s="30" t="s">
        <v>5219</v>
      </c>
      <c r="B1242" s="31" t="s">
        <v>5220</v>
      </c>
      <c r="C1242" s="31" t="s">
        <v>128</v>
      </c>
      <c r="D1242" s="31" t="s">
        <v>5145</v>
      </c>
      <c r="E1242" s="31" t="str">
        <f aca="false">IF(D1242="","",IFERROR(VLOOKUP(D1242,$A$2:$B$1656,2,FALSE()),""))</f>
        <v>Empowered Objects &amp; Relics</v>
      </c>
      <c r="F1242" s="31" t="n">
        <v>3</v>
      </c>
      <c r="G1242" s="31" t="s">
        <v>5221</v>
      </c>
      <c r="H1242" s="31" t="s">
        <v>5222</v>
      </c>
      <c r="I1242" s="31" t="s">
        <v>5223</v>
      </c>
      <c r="J1242" s="31" t="s">
        <v>5224</v>
      </c>
      <c r="K1242" s="31" t="s">
        <v>5225</v>
      </c>
      <c r="L1242" s="31" t="s">
        <v>5150</v>
      </c>
      <c r="M1242" s="31" t="s">
        <v>5176</v>
      </c>
    </row>
    <row r="1243" customFormat="false" ht="43.5" hidden="false" customHeight="true" outlineLevel="0" collapsed="false">
      <c r="A1243" s="30" t="s">
        <v>5226</v>
      </c>
      <c r="B1243" s="31" t="s">
        <v>5227</v>
      </c>
      <c r="C1243" s="31" t="s">
        <v>128</v>
      </c>
      <c r="D1243" s="31" t="s">
        <v>5145</v>
      </c>
      <c r="E1243" s="31" t="str">
        <f aca="false">IF(D1243="","",IFERROR(VLOOKUP(D1243,$A$2:$B$1656,2,FALSE()),""))</f>
        <v>Empowered Objects &amp; Relics</v>
      </c>
      <c r="F1243" s="31" t="n">
        <v>3</v>
      </c>
      <c r="G1243" s="31" t="s">
        <v>5228</v>
      </c>
      <c r="H1243" s="31" t="s">
        <v>5229</v>
      </c>
      <c r="I1243" s="31" t="s">
        <v>5230</v>
      </c>
      <c r="J1243" s="31" t="s">
        <v>5231</v>
      </c>
      <c r="K1243" s="31" t="s">
        <v>5232</v>
      </c>
      <c r="L1243" s="31" t="s">
        <v>5150</v>
      </c>
      <c r="M1243" s="31" t="s">
        <v>5176</v>
      </c>
    </row>
    <row r="1244" customFormat="false" ht="43.5" hidden="false" customHeight="true" outlineLevel="0" collapsed="false">
      <c r="A1244" s="30" t="s">
        <v>5233</v>
      </c>
      <c r="B1244" s="31" t="s">
        <v>5234</v>
      </c>
      <c r="C1244" s="31" t="s">
        <v>128</v>
      </c>
      <c r="D1244" s="31" t="s">
        <v>5145</v>
      </c>
      <c r="E1244" s="31" t="str">
        <f aca="false">IF(D1244="","",IFERROR(VLOOKUP(D1244,$A$2:$B$1656,2,FALSE()),""))</f>
        <v>Empowered Objects &amp; Relics</v>
      </c>
      <c r="F1244" s="31" t="n">
        <v>3</v>
      </c>
      <c r="G1244" s="31" t="s">
        <v>5235</v>
      </c>
      <c r="H1244" s="31" t="s">
        <v>5236</v>
      </c>
      <c r="I1244" s="31" t="s">
        <v>5237</v>
      </c>
      <c r="J1244" s="31" t="s">
        <v>5238</v>
      </c>
      <c r="K1244" s="31" t="s">
        <v>5239</v>
      </c>
      <c r="L1244" s="31" t="s">
        <v>5150</v>
      </c>
      <c r="M1244" s="31" t="s">
        <v>5176</v>
      </c>
    </row>
    <row r="1245" customFormat="false" ht="43.5" hidden="false" customHeight="true" outlineLevel="0" collapsed="false">
      <c r="A1245" s="30" t="s">
        <v>5240</v>
      </c>
      <c r="B1245" s="31" t="s">
        <v>5241</v>
      </c>
      <c r="C1245" s="31" t="s">
        <v>128</v>
      </c>
      <c r="D1245" s="31" t="s">
        <v>5145</v>
      </c>
      <c r="E1245" s="31" t="str">
        <f aca="false">IF(D1245="","",IFERROR(VLOOKUP(D1245,$A$2:$B$1656,2,FALSE()),""))</f>
        <v>Empowered Objects &amp; Relics</v>
      </c>
      <c r="F1245" s="31" t="n">
        <v>3</v>
      </c>
      <c r="G1245" s="31" t="s">
        <v>5242</v>
      </c>
      <c r="H1245" s="31" t="s">
        <v>5243</v>
      </c>
      <c r="I1245" s="31" t="s">
        <v>5244</v>
      </c>
      <c r="J1245" s="31" t="s">
        <v>5245</v>
      </c>
      <c r="K1245" s="31" t="s">
        <v>5246</v>
      </c>
      <c r="L1245" s="31" t="s">
        <v>5150</v>
      </c>
      <c r="M1245" s="31" t="s">
        <v>5176</v>
      </c>
    </row>
    <row r="1246" customFormat="false" ht="43.5" hidden="false" customHeight="true" outlineLevel="0" collapsed="false">
      <c r="A1246" s="30" t="s">
        <v>5247</v>
      </c>
      <c r="B1246" s="31" t="s">
        <v>5248</v>
      </c>
      <c r="C1246" s="31" t="s">
        <v>128</v>
      </c>
      <c r="D1246" s="31" t="s">
        <v>5145</v>
      </c>
      <c r="E1246" s="31" t="str">
        <f aca="false">IF(D1246="","",IFERROR(VLOOKUP(D1246,$A$2:$B$1656,2,FALSE()),""))</f>
        <v>Empowered Objects &amp; Relics</v>
      </c>
      <c r="F1246" s="31" t="n">
        <v>3</v>
      </c>
      <c r="G1246" s="31" t="s">
        <v>5249</v>
      </c>
      <c r="H1246" s="31" t="s">
        <v>5250</v>
      </c>
      <c r="I1246" s="31" t="s">
        <v>5251</v>
      </c>
      <c r="J1246" s="31" t="s">
        <v>5252</v>
      </c>
      <c r="K1246" s="31" t="s">
        <v>5253</v>
      </c>
      <c r="L1246" s="31" t="s">
        <v>5150</v>
      </c>
      <c r="M1246" s="31" t="s">
        <v>5176</v>
      </c>
    </row>
    <row r="1247" customFormat="false" ht="43.5" hidden="false" customHeight="true" outlineLevel="0" collapsed="false">
      <c r="A1247" s="30" t="s">
        <v>5254</v>
      </c>
      <c r="B1247" s="31" t="s">
        <v>5255</v>
      </c>
      <c r="C1247" s="31" t="s">
        <v>128</v>
      </c>
      <c r="D1247" s="31" t="s">
        <v>5145</v>
      </c>
      <c r="E1247" s="31" t="str">
        <f aca="false">IF(D1247="","",IFERROR(VLOOKUP(D1247,$A$2:$B$1656,2,FALSE()),""))</f>
        <v>Empowered Objects &amp; Relics</v>
      </c>
      <c r="F1247" s="31" t="n">
        <v>3</v>
      </c>
      <c r="G1247" s="31" t="s">
        <v>5256</v>
      </c>
      <c r="H1247" s="31" t="s">
        <v>5257</v>
      </c>
      <c r="I1247" s="31" t="s">
        <v>5258</v>
      </c>
      <c r="J1247" s="31" t="s">
        <v>5259</v>
      </c>
      <c r="K1247" s="31" t="s">
        <v>5260</v>
      </c>
      <c r="L1247" s="31" t="s">
        <v>5150</v>
      </c>
      <c r="M1247" s="31" t="s">
        <v>5176</v>
      </c>
    </row>
    <row r="1248" customFormat="false" ht="43.5" hidden="false" customHeight="true" outlineLevel="0" collapsed="false">
      <c r="A1248" s="30" t="s">
        <v>5261</v>
      </c>
      <c r="B1248" s="31" t="s">
        <v>5262</v>
      </c>
      <c r="C1248" s="31" t="s">
        <v>128</v>
      </c>
      <c r="D1248" s="31" t="s">
        <v>5145</v>
      </c>
      <c r="E1248" s="31" t="str">
        <f aca="false">IF(D1248="","",IFERROR(VLOOKUP(D1248,$A$2:$B$1656,2,FALSE()),""))</f>
        <v>Empowered Objects &amp; Relics</v>
      </c>
      <c r="F1248" s="31" t="n">
        <v>3</v>
      </c>
      <c r="G1248" s="31" t="s">
        <v>5263</v>
      </c>
      <c r="H1248" s="31" t="s">
        <v>5264</v>
      </c>
      <c r="I1248" s="31" t="s">
        <v>5265</v>
      </c>
      <c r="J1248" s="31" t="s">
        <v>5266</v>
      </c>
      <c r="K1248" s="31" t="s">
        <v>5267</v>
      </c>
      <c r="L1248" s="31" t="s">
        <v>5150</v>
      </c>
      <c r="M1248" s="31" t="s">
        <v>5176</v>
      </c>
    </row>
    <row r="1249" customFormat="false" ht="43.5" hidden="false" customHeight="true" outlineLevel="0" collapsed="false">
      <c r="A1249" s="30" t="s">
        <v>5268</v>
      </c>
      <c r="B1249" s="31" t="s">
        <v>5269</v>
      </c>
      <c r="C1249" s="31" t="s">
        <v>128</v>
      </c>
      <c r="D1249" s="31" t="s">
        <v>5145</v>
      </c>
      <c r="E1249" s="31" t="str">
        <f aca="false">IF(D1249="","",IFERROR(VLOOKUP(D1249,$A$2:$B$1656,2,FALSE()),""))</f>
        <v>Empowered Objects &amp; Relics</v>
      </c>
      <c r="F1249" s="31" t="n">
        <v>3</v>
      </c>
      <c r="G1249" s="31" t="s">
        <v>5270</v>
      </c>
      <c r="H1249" s="31" t="s">
        <v>5271</v>
      </c>
      <c r="I1249" s="31" t="s">
        <v>5272</v>
      </c>
      <c r="J1249" s="31" t="s">
        <v>5273</v>
      </c>
      <c r="K1249" s="31" t="s">
        <v>5274</v>
      </c>
      <c r="L1249" s="31" t="s">
        <v>5150</v>
      </c>
      <c r="M1249" s="31" t="s">
        <v>5176</v>
      </c>
    </row>
    <row r="1250" customFormat="false" ht="43.5" hidden="false" customHeight="true" outlineLevel="0" collapsed="false">
      <c r="A1250" s="30" t="s">
        <v>5275</v>
      </c>
      <c r="B1250" s="31" t="s">
        <v>5276</v>
      </c>
      <c r="C1250" s="31" t="s">
        <v>128</v>
      </c>
      <c r="D1250" s="31" t="s">
        <v>5145</v>
      </c>
      <c r="E1250" s="31" t="str">
        <f aca="false">IF(D1250="","",IFERROR(VLOOKUP(D1250,$A$2:$B$1656,2,FALSE()),""))</f>
        <v>Empowered Objects &amp; Relics</v>
      </c>
      <c r="F1250" s="31" t="n">
        <v>3</v>
      </c>
      <c r="G1250" s="31" t="s">
        <v>5277</v>
      </c>
      <c r="H1250" s="31" t="s">
        <v>5278</v>
      </c>
      <c r="I1250" s="31" t="s">
        <v>5279</v>
      </c>
      <c r="J1250" s="31" t="s">
        <v>5280</v>
      </c>
      <c r="K1250" s="31" t="s">
        <v>5281</v>
      </c>
      <c r="L1250" s="31" t="s">
        <v>5150</v>
      </c>
      <c r="M1250" s="31" t="s">
        <v>5176</v>
      </c>
    </row>
    <row r="1251" customFormat="false" ht="43.5" hidden="false" customHeight="true" outlineLevel="0" collapsed="false">
      <c r="A1251" s="30" t="s">
        <v>5282</v>
      </c>
      <c r="B1251" s="31" t="s">
        <v>5283</v>
      </c>
      <c r="C1251" s="31" t="s">
        <v>128</v>
      </c>
      <c r="D1251" s="31" t="s">
        <v>5145</v>
      </c>
      <c r="E1251" s="31" t="str">
        <f aca="false">IF(D1251="","",IFERROR(VLOOKUP(D1251,$A$2:$B$1656,2,FALSE()),""))</f>
        <v>Empowered Objects &amp; Relics</v>
      </c>
      <c r="F1251" s="31" t="n">
        <v>3</v>
      </c>
      <c r="G1251" s="31" t="s">
        <v>5284</v>
      </c>
      <c r="H1251" s="31" t="s">
        <v>5285</v>
      </c>
      <c r="I1251" s="31" t="s">
        <v>5286</v>
      </c>
      <c r="J1251" s="31" t="s">
        <v>5287</v>
      </c>
      <c r="K1251" s="31" t="s">
        <v>5288</v>
      </c>
      <c r="L1251" s="31" t="s">
        <v>5150</v>
      </c>
      <c r="M1251" s="31" t="s">
        <v>5176</v>
      </c>
    </row>
    <row r="1252" customFormat="false" ht="43.5" hidden="false" customHeight="true" outlineLevel="0" collapsed="false">
      <c r="A1252" s="30" t="s">
        <v>5289</v>
      </c>
      <c r="B1252" s="31" t="s">
        <v>5290</v>
      </c>
      <c r="C1252" s="31" t="s">
        <v>128</v>
      </c>
      <c r="D1252" s="31" t="s">
        <v>5151</v>
      </c>
      <c r="E1252" s="31" t="str">
        <f aca="false">IF(D1252="","",IFERROR(VLOOKUP(D1252,$A$2:$B$1656,2,FALSE()),""))</f>
        <v>Weapons &amp; Instruments of Power</v>
      </c>
      <c r="F1252" s="31" t="n">
        <v>3</v>
      </c>
      <c r="G1252" s="31" t="s">
        <v>5291</v>
      </c>
      <c r="H1252" s="31" t="s">
        <v>5292</v>
      </c>
      <c r="I1252" s="31" t="s">
        <v>5293</v>
      </c>
      <c r="J1252" s="31" t="s">
        <v>5294</v>
      </c>
      <c r="K1252" s="31" t="s">
        <v>5295</v>
      </c>
      <c r="L1252" s="31" t="s">
        <v>5150</v>
      </c>
      <c r="M1252" s="31" t="s">
        <v>5176</v>
      </c>
    </row>
    <row r="1253" customFormat="false" ht="43.5" hidden="false" customHeight="true" outlineLevel="0" collapsed="false">
      <c r="A1253" s="30" t="s">
        <v>5296</v>
      </c>
      <c r="B1253" s="31" t="s">
        <v>5297</v>
      </c>
      <c r="C1253" s="31" t="s">
        <v>128</v>
      </c>
      <c r="D1253" s="31" t="s">
        <v>5151</v>
      </c>
      <c r="E1253" s="31" t="str">
        <f aca="false">IF(D1253="","",IFERROR(VLOOKUP(D1253,$A$2:$B$1656,2,FALSE()),""))</f>
        <v>Weapons &amp; Instruments of Power</v>
      </c>
      <c r="F1253" s="31" t="n">
        <v>3</v>
      </c>
      <c r="G1253" s="31" t="s">
        <v>5298</v>
      </c>
      <c r="H1253" s="31" t="s">
        <v>5299</v>
      </c>
      <c r="I1253" s="31" t="s">
        <v>5300</v>
      </c>
      <c r="J1253" s="31" t="s">
        <v>5301</v>
      </c>
      <c r="K1253" s="31" t="s">
        <v>5302</v>
      </c>
      <c r="L1253" s="31" t="s">
        <v>5150</v>
      </c>
      <c r="M1253" s="31" t="s">
        <v>5176</v>
      </c>
    </row>
    <row r="1254" customFormat="false" ht="43.5" hidden="false" customHeight="true" outlineLevel="0" collapsed="false">
      <c r="A1254" s="30" t="s">
        <v>5303</v>
      </c>
      <c r="B1254" s="31" t="s">
        <v>5304</v>
      </c>
      <c r="C1254" s="31" t="s">
        <v>128</v>
      </c>
      <c r="D1254" s="31" t="s">
        <v>5151</v>
      </c>
      <c r="E1254" s="31" t="str">
        <f aca="false">IF(D1254="","",IFERROR(VLOOKUP(D1254,$A$2:$B$1656,2,FALSE()),""))</f>
        <v>Weapons &amp; Instruments of Power</v>
      </c>
      <c r="F1254" s="31" t="n">
        <v>3</v>
      </c>
      <c r="G1254" s="31" t="s">
        <v>5305</v>
      </c>
      <c r="H1254" s="31" t="s">
        <v>5306</v>
      </c>
      <c r="I1254" s="31" t="s">
        <v>5307</v>
      </c>
      <c r="J1254" s="31" t="s">
        <v>5308</v>
      </c>
      <c r="K1254" s="31" t="s">
        <v>5309</v>
      </c>
      <c r="L1254" s="31" t="s">
        <v>5150</v>
      </c>
      <c r="M1254" s="31" t="s">
        <v>5176</v>
      </c>
    </row>
    <row r="1255" customFormat="false" ht="43.5" hidden="false" customHeight="true" outlineLevel="0" collapsed="false">
      <c r="A1255" s="30" t="s">
        <v>5310</v>
      </c>
      <c r="B1255" s="31" t="s">
        <v>5311</v>
      </c>
      <c r="C1255" s="31" t="s">
        <v>128</v>
      </c>
      <c r="D1255" s="31" t="s">
        <v>5151</v>
      </c>
      <c r="E1255" s="31" t="str">
        <f aca="false">IF(D1255="","",IFERROR(VLOOKUP(D1255,$A$2:$B$1656,2,FALSE()),""))</f>
        <v>Weapons &amp; Instruments of Power</v>
      </c>
      <c r="F1255" s="31" t="n">
        <v>3</v>
      </c>
      <c r="G1255" s="31" t="s">
        <v>5312</v>
      </c>
      <c r="H1255" s="31" t="s">
        <v>5313</v>
      </c>
      <c r="I1255" s="31" t="s">
        <v>5314</v>
      </c>
      <c r="J1255" s="31" t="s">
        <v>5315</v>
      </c>
      <c r="K1255" s="31" t="s">
        <v>5316</v>
      </c>
      <c r="L1255" s="31" t="s">
        <v>5150</v>
      </c>
      <c r="M1255" s="31" t="s">
        <v>5176</v>
      </c>
    </row>
    <row r="1256" customFormat="false" ht="43.5" hidden="false" customHeight="true" outlineLevel="0" collapsed="false">
      <c r="A1256" s="30" t="s">
        <v>5317</v>
      </c>
      <c r="B1256" s="31" t="s">
        <v>5318</v>
      </c>
      <c r="C1256" s="31" t="s">
        <v>128</v>
      </c>
      <c r="D1256" s="31" t="s">
        <v>5151</v>
      </c>
      <c r="E1256" s="31" t="str">
        <f aca="false">IF(D1256="","",IFERROR(VLOOKUP(D1256,$A$2:$B$1656,2,FALSE()),""))</f>
        <v>Weapons &amp; Instruments of Power</v>
      </c>
      <c r="F1256" s="31" t="n">
        <v>3</v>
      </c>
      <c r="G1256" s="31" t="s">
        <v>5319</v>
      </c>
      <c r="H1256" s="31" t="s">
        <v>5320</v>
      </c>
      <c r="I1256" s="31" t="s">
        <v>5321</v>
      </c>
      <c r="J1256" s="31" t="s">
        <v>5322</v>
      </c>
      <c r="K1256" s="31" t="s">
        <v>5323</v>
      </c>
      <c r="L1256" s="31" t="s">
        <v>5150</v>
      </c>
      <c r="M1256" s="31" t="s">
        <v>5176</v>
      </c>
    </row>
    <row r="1257" customFormat="false" ht="43.5" hidden="false" customHeight="true" outlineLevel="0" collapsed="false">
      <c r="A1257" s="30" t="s">
        <v>5324</v>
      </c>
      <c r="B1257" s="31" t="s">
        <v>5325</v>
      </c>
      <c r="C1257" s="31" t="s">
        <v>128</v>
      </c>
      <c r="D1257" s="31" t="s">
        <v>5151</v>
      </c>
      <c r="E1257" s="31" t="str">
        <f aca="false">IF(D1257="","",IFERROR(VLOOKUP(D1257,$A$2:$B$1656,2,FALSE()),""))</f>
        <v>Weapons &amp; Instruments of Power</v>
      </c>
      <c r="F1257" s="31" t="n">
        <v>3</v>
      </c>
      <c r="G1257" s="31" t="s">
        <v>5326</v>
      </c>
      <c r="H1257" s="31" t="s">
        <v>5327</v>
      </c>
      <c r="I1257" s="31" t="s">
        <v>5328</v>
      </c>
      <c r="J1257" s="31" t="s">
        <v>5329</v>
      </c>
      <c r="K1257" s="31" t="s">
        <v>5330</v>
      </c>
      <c r="L1257" s="31" t="s">
        <v>5150</v>
      </c>
      <c r="M1257" s="31" t="s">
        <v>5176</v>
      </c>
    </row>
    <row r="1258" customFormat="false" ht="43.5" hidden="false" customHeight="true" outlineLevel="0" collapsed="false">
      <c r="A1258" s="30" t="s">
        <v>5331</v>
      </c>
      <c r="B1258" s="31" t="s">
        <v>5332</v>
      </c>
      <c r="C1258" s="31" t="s">
        <v>128</v>
      </c>
      <c r="D1258" s="31" t="s">
        <v>5151</v>
      </c>
      <c r="E1258" s="31" t="str">
        <f aca="false">IF(D1258="","",IFERROR(VLOOKUP(D1258,$A$2:$B$1656,2,FALSE()),""))</f>
        <v>Weapons &amp; Instruments of Power</v>
      </c>
      <c r="F1258" s="31" t="n">
        <v>3</v>
      </c>
      <c r="G1258" s="31" t="s">
        <v>5333</v>
      </c>
      <c r="H1258" s="31" t="s">
        <v>5334</v>
      </c>
      <c r="I1258" s="31" t="s">
        <v>5335</v>
      </c>
      <c r="J1258" s="31" t="s">
        <v>5336</v>
      </c>
      <c r="K1258" s="31" t="s">
        <v>5337</v>
      </c>
      <c r="L1258" s="31" t="s">
        <v>5150</v>
      </c>
      <c r="M1258" s="31" t="s">
        <v>5176</v>
      </c>
    </row>
    <row r="1259" customFormat="false" ht="43.5" hidden="false" customHeight="true" outlineLevel="0" collapsed="false">
      <c r="A1259" s="30" t="s">
        <v>5338</v>
      </c>
      <c r="B1259" s="31" t="s">
        <v>5339</v>
      </c>
      <c r="C1259" s="31" t="s">
        <v>128</v>
      </c>
      <c r="D1259" s="31" t="s">
        <v>5151</v>
      </c>
      <c r="E1259" s="31" t="str">
        <f aca="false">IF(D1259="","",IFERROR(VLOOKUP(D1259,$A$2:$B$1656,2,FALSE()),""))</f>
        <v>Weapons &amp; Instruments of Power</v>
      </c>
      <c r="F1259" s="31" t="n">
        <v>3</v>
      </c>
      <c r="G1259" s="31" t="s">
        <v>5340</v>
      </c>
      <c r="H1259" s="31" t="s">
        <v>5341</v>
      </c>
      <c r="I1259" s="31" t="s">
        <v>5342</v>
      </c>
      <c r="J1259" s="31" t="s">
        <v>5343</v>
      </c>
      <c r="K1259" s="31" t="s">
        <v>5344</v>
      </c>
      <c r="L1259" s="31" t="s">
        <v>5150</v>
      </c>
      <c r="M1259" s="31" t="s">
        <v>5176</v>
      </c>
    </row>
    <row r="1260" customFormat="false" ht="43.5" hidden="false" customHeight="true" outlineLevel="0" collapsed="false">
      <c r="A1260" s="30" t="s">
        <v>5345</v>
      </c>
      <c r="B1260" s="31" t="s">
        <v>5346</v>
      </c>
      <c r="C1260" s="31" t="s">
        <v>128</v>
      </c>
      <c r="D1260" s="31" t="s">
        <v>5151</v>
      </c>
      <c r="E1260" s="31" t="str">
        <f aca="false">IF(D1260="","",IFERROR(VLOOKUP(D1260,$A$2:$B$1656,2,FALSE()),""))</f>
        <v>Weapons &amp; Instruments of Power</v>
      </c>
      <c r="F1260" s="31" t="n">
        <v>3</v>
      </c>
      <c r="G1260" s="31" t="s">
        <v>5347</v>
      </c>
      <c r="H1260" s="31" t="s">
        <v>5348</v>
      </c>
      <c r="I1260" s="31" t="s">
        <v>5349</v>
      </c>
      <c r="J1260" s="31" t="s">
        <v>5350</v>
      </c>
      <c r="K1260" s="31" t="s">
        <v>5351</v>
      </c>
      <c r="L1260" s="31" t="s">
        <v>5150</v>
      </c>
      <c r="M1260" s="31" t="s">
        <v>5176</v>
      </c>
    </row>
    <row r="1261" customFormat="false" ht="43.5" hidden="false" customHeight="true" outlineLevel="0" collapsed="false">
      <c r="A1261" s="30" t="s">
        <v>5352</v>
      </c>
      <c r="B1261" s="31" t="s">
        <v>5353</v>
      </c>
      <c r="C1261" s="31" t="s">
        <v>128</v>
      </c>
      <c r="D1261" s="31" t="s">
        <v>5151</v>
      </c>
      <c r="E1261" s="31" t="str">
        <f aca="false">IF(D1261="","",IFERROR(VLOOKUP(D1261,$A$2:$B$1656,2,FALSE()),""))</f>
        <v>Weapons &amp; Instruments of Power</v>
      </c>
      <c r="F1261" s="31" t="n">
        <v>3</v>
      </c>
      <c r="G1261" s="31" t="s">
        <v>5354</v>
      </c>
      <c r="H1261" s="31" t="s">
        <v>5355</v>
      </c>
      <c r="I1261" s="31" t="s">
        <v>5356</v>
      </c>
      <c r="J1261" s="31" t="s">
        <v>5357</v>
      </c>
      <c r="K1261" s="31" t="s">
        <v>5358</v>
      </c>
      <c r="L1261" s="31" t="s">
        <v>5150</v>
      </c>
      <c r="M1261" s="31" t="s">
        <v>5176</v>
      </c>
    </row>
    <row r="1262" customFormat="false" ht="43.5" hidden="false" customHeight="true" outlineLevel="0" collapsed="false">
      <c r="A1262" s="30" t="s">
        <v>5359</v>
      </c>
      <c r="B1262" s="31" t="s">
        <v>5360</v>
      </c>
      <c r="C1262" s="31" t="s">
        <v>128</v>
      </c>
      <c r="D1262" s="31" t="s">
        <v>5151</v>
      </c>
      <c r="E1262" s="31" t="str">
        <f aca="false">IF(D1262="","",IFERROR(VLOOKUP(D1262,$A$2:$B$1656,2,FALSE()),""))</f>
        <v>Weapons &amp; Instruments of Power</v>
      </c>
      <c r="F1262" s="31" t="n">
        <v>3</v>
      </c>
      <c r="G1262" s="31" t="s">
        <v>5361</v>
      </c>
      <c r="H1262" s="31" t="s">
        <v>5362</v>
      </c>
      <c r="I1262" s="31" t="s">
        <v>5363</v>
      </c>
      <c r="J1262" s="31" t="s">
        <v>5364</v>
      </c>
      <c r="K1262" s="31" t="s">
        <v>5365</v>
      </c>
      <c r="L1262" s="31" t="s">
        <v>5150</v>
      </c>
      <c r="M1262" s="31" t="s">
        <v>5176</v>
      </c>
    </row>
    <row r="1263" customFormat="false" ht="43.5" hidden="false" customHeight="true" outlineLevel="0" collapsed="false">
      <c r="A1263" s="30" t="s">
        <v>5366</v>
      </c>
      <c r="B1263" s="31" t="s">
        <v>5367</v>
      </c>
      <c r="C1263" s="31" t="s">
        <v>128</v>
      </c>
      <c r="D1263" s="31" t="s">
        <v>5151</v>
      </c>
      <c r="E1263" s="31" t="str">
        <f aca="false">IF(D1263="","",IFERROR(VLOOKUP(D1263,$A$2:$B$1656,2,FALSE()),""))</f>
        <v>Weapons &amp; Instruments of Power</v>
      </c>
      <c r="F1263" s="31" t="n">
        <v>3</v>
      </c>
      <c r="G1263" s="31" t="s">
        <v>5368</v>
      </c>
      <c r="H1263" s="31" t="s">
        <v>5369</v>
      </c>
      <c r="I1263" s="31" t="s">
        <v>5370</v>
      </c>
      <c r="J1263" s="31" t="s">
        <v>5371</v>
      </c>
      <c r="K1263" s="31" t="s">
        <v>5372</v>
      </c>
      <c r="L1263" s="31" t="s">
        <v>5150</v>
      </c>
      <c r="M1263" s="31" t="s">
        <v>5176</v>
      </c>
    </row>
    <row r="1264" customFormat="false" ht="43.5" hidden="false" customHeight="true" outlineLevel="0" collapsed="false">
      <c r="A1264" s="30" t="s">
        <v>5373</v>
      </c>
      <c r="B1264" s="31" t="s">
        <v>5374</v>
      </c>
      <c r="C1264" s="31" t="s">
        <v>128</v>
      </c>
      <c r="D1264" s="31" t="s">
        <v>5151</v>
      </c>
      <c r="E1264" s="31" t="str">
        <f aca="false">IF(D1264="","",IFERROR(VLOOKUP(D1264,$A$2:$B$1656,2,FALSE()),""))</f>
        <v>Weapons &amp; Instruments of Power</v>
      </c>
      <c r="F1264" s="31" t="n">
        <v>3</v>
      </c>
      <c r="G1264" s="31" t="s">
        <v>5375</v>
      </c>
      <c r="H1264" s="31" t="s">
        <v>5376</v>
      </c>
      <c r="I1264" s="31" t="s">
        <v>5377</v>
      </c>
      <c r="J1264" s="31" t="s">
        <v>5378</v>
      </c>
      <c r="K1264" s="31" t="s">
        <v>5379</v>
      </c>
      <c r="L1264" s="31" t="s">
        <v>5150</v>
      </c>
      <c r="M1264" s="31" t="s">
        <v>5176</v>
      </c>
    </row>
    <row r="1265" customFormat="false" ht="43.5" hidden="false" customHeight="true" outlineLevel="0" collapsed="false">
      <c r="A1265" s="30" t="s">
        <v>5380</v>
      </c>
      <c r="B1265" s="31" t="s">
        <v>5381</v>
      </c>
      <c r="C1265" s="31" t="s">
        <v>128</v>
      </c>
      <c r="D1265" s="31" t="s">
        <v>5151</v>
      </c>
      <c r="E1265" s="31" t="str">
        <f aca="false">IF(D1265="","",IFERROR(VLOOKUP(D1265,$A$2:$B$1656,2,FALSE()),""))</f>
        <v>Weapons &amp; Instruments of Power</v>
      </c>
      <c r="F1265" s="31" t="n">
        <v>3</v>
      </c>
      <c r="G1265" s="31" t="s">
        <v>5382</v>
      </c>
      <c r="H1265" s="31" t="s">
        <v>5383</v>
      </c>
      <c r="I1265" s="31" t="s">
        <v>5384</v>
      </c>
      <c r="J1265" s="31" t="s">
        <v>5385</v>
      </c>
      <c r="K1265" s="31" t="s">
        <v>5386</v>
      </c>
      <c r="L1265" s="31" t="s">
        <v>5150</v>
      </c>
      <c r="M1265" s="31" t="s">
        <v>5176</v>
      </c>
    </row>
    <row r="1266" customFormat="false" ht="43.5" hidden="false" customHeight="true" outlineLevel="0" collapsed="false">
      <c r="A1266" s="30" t="s">
        <v>5387</v>
      </c>
      <c r="B1266" s="31" t="s">
        <v>5388</v>
      </c>
      <c r="C1266" s="31" t="s">
        <v>128</v>
      </c>
      <c r="D1266" s="31" t="s">
        <v>5151</v>
      </c>
      <c r="E1266" s="31" t="str">
        <f aca="false">IF(D1266="","",IFERROR(VLOOKUP(D1266,$A$2:$B$1656,2,FALSE()),""))</f>
        <v>Weapons &amp; Instruments of Power</v>
      </c>
      <c r="F1266" s="31" t="n">
        <v>3</v>
      </c>
      <c r="G1266" s="31" t="s">
        <v>5389</v>
      </c>
      <c r="H1266" s="31" t="s">
        <v>5390</v>
      </c>
      <c r="I1266" s="31" t="s">
        <v>5391</v>
      </c>
      <c r="J1266" s="31" t="s">
        <v>5392</v>
      </c>
      <c r="K1266" s="31" t="s">
        <v>5393</v>
      </c>
      <c r="L1266" s="31" t="s">
        <v>5150</v>
      </c>
      <c r="M1266" s="31" t="s">
        <v>5176</v>
      </c>
    </row>
    <row r="1267" customFormat="false" ht="43.5" hidden="false" customHeight="true" outlineLevel="0" collapsed="false">
      <c r="A1267" s="30" t="s">
        <v>5394</v>
      </c>
      <c r="B1267" s="31" t="s">
        <v>5395</v>
      </c>
      <c r="C1267" s="31" t="s">
        <v>128</v>
      </c>
      <c r="D1267" s="31" t="s">
        <v>5151</v>
      </c>
      <c r="E1267" s="31" t="str">
        <f aca="false">IF(D1267="","",IFERROR(VLOOKUP(D1267,$A$2:$B$1656,2,FALSE()),""))</f>
        <v>Weapons &amp; Instruments of Power</v>
      </c>
      <c r="F1267" s="31" t="n">
        <v>3</v>
      </c>
      <c r="G1267" s="31" t="s">
        <v>5396</v>
      </c>
      <c r="H1267" s="31" t="s">
        <v>5397</v>
      </c>
      <c r="I1267" s="31" t="s">
        <v>5398</v>
      </c>
      <c r="J1267" s="31" t="s">
        <v>5399</v>
      </c>
      <c r="K1267" s="31" t="s">
        <v>5400</v>
      </c>
      <c r="L1267" s="31" t="s">
        <v>5150</v>
      </c>
      <c r="M1267" s="31" t="s">
        <v>5176</v>
      </c>
    </row>
    <row r="1268" customFormat="false" ht="43.5" hidden="false" customHeight="true" outlineLevel="0" collapsed="false">
      <c r="A1268" s="30" t="s">
        <v>5401</v>
      </c>
      <c r="B1268" s="31" t="s">
        <v>5402</v>
      </c>
      <c r="C1268" s="31" t="s">
        <v>128</v>
      </c>
      <c r="D1268" s="31" t="s">
        <v>5151</v>
      </c>
      <c r="E1268" s="31" t="str">
        <f aca="false">IF(D1268="","",IFERROR(VLOOKUP(D1268,$A$2:$B$1656,2,FALSE()),""))</f>
        <v>Weapons &amp; Instruments of Power</v>
      </c>
      <c r="F1268" s="31" t="n">
        <v>3</v>
      </c>
      <c r="G1268" s="31" t="s">
        <v>5403</v>
      </c>
      <c r="H1268" s="31" t="s">
        <v>5404</v>
      </c>
      <c r="I1268" s="31" t="s">
        <v>5405</v>
      </c>
      <c r="J1268" s="31" t="s">
        <v>5406</v>
      </c>
      <c r="K1268" s="31" t="s">
        <v>5407</v>
      </c>
      <c r="L1268" s="31" t="s">
        <v>5150</v>
      </c>
      <c r="M1268" s="31" t="s">
        <v>5176</v>
      </c>
    </row>
    <row r="1269" customFormat="false" ht="43.5" hidden="false" customHeight="true" outlineLevel="0" collapsed="false">
      <c r="A1269" s="30" t="s">
        <v>5408</v>
      </c>
      <c r="B1269" s="31" t="s">
        <v>5409</v>
      </c>
      <c r="C1269" s="31" t="s">
        <v>128</v>
      </c>
      <c r="D1269" s="31" t="s">
        <v>5151</v>
      </c>
      <c r="E1269" s="31" t="str">
        <f aca="false">IF(D1269="","",IFERROR(VLOOKUP(D1269,$A$2:$B$1656,2,FALSE()),""))</f>
        <v>Weapons &amp; Instruments of Power</v>
      </c>
      <c r="F1269" s="31" t="n">
        <v>3</v>
      </c>
      <c r="G1269" s="31" t="s">
        <v>5410</v>
      </c>
      <c r="H1269" s="31" t="s">
        <v>5411</v>
      </c>
      <c r="I1269" s="31" t="s">
        <v>5412</v>
      </c>
      <c r="J1269" s="31" t="s">
        <v>5413</v>
      </c>
      <c r="K1269" s="31" t="s">
        <v>5414</v>
      </c>
      <c r="L1269" s="31" t="s">
        <v>5150</v>
      </c>
      <c r="M1269" s="31" t="s">
        <v>5176</v>
      </c>
    </row>
    <row r="1270" customFormat="false" ht="43.5" hidden="false" customHeight="true" outlineLevel="0" collapsed="false">
      <c r="A1270" s="30" t="s">
        <v>5415</v>
      </c>
      <c r="B1270" s="31" t="s">
        <v>5416</v>
      </c>
      <c r="C1270" s="31" t="s">
        <v>128</v>
      </c>
      <c r="D1270" s="31" t="s">
        <v>5151</v>
      </c>
      <c r="E1270" s="31" t="str">
        <f aca="false">IF(D1270="","",IFERROR(VLOOKUP(D1270,$A$2:$B$1656,2,FALSE()),""))</f>
        <v>Weapons &amp; Instruments of Power</v>
      </c>
      <c r="F1270" s="31" t="n">
        <v>3</v>
      </c>
      <c r="G1270" s="31" t="s">
        <v>5417</v>
      </c>
      <c r="H1270" s="31" t="s">
        <v>5418</v>
      </c>
      <c r="I1270" s="31" t="s">
        <v>5419</v>
      </c>
      <c r="J1270" s="31" t="s">
        <v>5420</v>
      </c>
      <c r="K1270" s="31" t="s">
        <v>5421</v>
      </c>
      <c r="L1270" s="31" t="s">
        <v>5150</v>
      </c>
      <c r="M1270" s="31" t="s">
        <v>5176</v>
      </c>
    </row>
    <row r="1271" customFormat="false" ht="43.5" hidden="false" customHeight="true" outlineLevel="0" collapsed="false">
      <c r="A1271" s="30" t="s">
        <v>5422</v>
      </c>
      <c r="B1271" s="31" t="s">
        <v>5423</v>
      </c>
      <c r="C1271" s="31" t="s">
        <v>128</v>
      </c>
      <c r="D1271" s="31" t="s">
        <v>5154</v>
      </c>
      <c r="E1271" s="31" t="str">
        <f aca="false">IF(D1271="","",IFERROR(VLOOKUP(D1271,$A$2:$B$1656,2,FALSE()),""))</f>
        <v>Protective &amp; Transformative Gear</v>
      </c>
      <c r="F1271" s="31" t="n">
        <v>3</v>
      </c>
      <c r="G1271" s="31" t="s">
        <v>5424</v>
      </c>
      <c r="H1271" s="31" t="s">
        <v>5425</v>
      </c>
      <c r="I1271" s="31" t="s">
        <v>5426</v>
      </c>
      <c r="J1271" s="31" t="s">
        <v>5427</v>
      </c>
      <c r="K1271" s="31" t="s">
        <v>5428</v>
      </c>
      <c r="L1271" s="31" t="s">
        <v>5150</v>
      </c>
      <c r="M1271" s="31" t="s">
        <v>5176</v>
      </c>
    </row>
    <row r="1272" customFormat="false" ht="43.5" hidden="false" customHeight="true" outlineLevel="0" collapsed="false">
      <c r="A1272" s="30" t="s">
        <v>5429</v>
      </c>
      <c r="B1272" s="31" t="s">
        <v>5430</v>
      </c>
      <c r="C1272" s="31" t="s">
        <v>128</v>
      </c>
      <c r="D1272" s="31" t="s">
        <v>5154</v>
      </c>
      <c r="E1272" s="31" t="str">
        <f aca="false">IF(D1272="","",IFERROR(VLOOKUP(D1272,$A$2:$B$1656,2,FALSE()),""))</f>
        <v>Protective &amp; Transformative Gear</v>
      </c>
      <c r="F1272" s="31" t="n">
        <v>3</v>
      </c>
      <c r="G1272" s="31" t="s">
        <v>5431</v>
      </c>
      <c r="H1272" s="31" t="s">
        <v>5432</v>
      </c>
      <c r="I1272" s="31" t="s">
        <v>5433</v>
      </c>
      <c r="J1272" s="31" t="s">
        <v>5434</v>
      </c>
      <c r="K1272" s="31" t="s">
        <v>5435</v>
      </c>
      <c r="L1272" s="31" t="s">
        <v>5150</v>
      </c>
      <c r="M1272" s="31" t="s">
        <v>5176</v>
      </c>
    </row>
    <row r="1273" customFormat="false" ht="43.5" hidden="false" customHeight="true" outlineLevel="0" collapsed="false">
      <c r="A1273" s="30" t="s">
        <v>5436</v>
      </c>
      <c r="B1273" s="31" t="s">
        <v>5437</v>
      </c>
      <c r="C1273" s="31" t="s">
        <v>128</v>
      </c>
      <c r="D1273" s="31" t="s">
        <v>5154</v>
      </c>
      <c r="E1273" s="31" t="str">
        <f aca="false">IF(D1273="","",IFERROR(VLOOKUP(D1273,$A$2:$B$1656,2,FALSE()),""))</f>
        <v>Protective &amp; Transformative Gear</v>
      </c>
      <c r="F1273" s="31" t="n">
        <v>3</v>
      </c>
      <c r="G1273" s="31" t="s">
        <v>5438</v>
      </c>
      <c r="H1273" s="31" t="s">
        <v>5439</v>
      </c>
      <c r="I1273" s="31" t="s">
        <v>5440</v>
      </c>
      <c r="J1273" s="31" t="s">
        <v>5441</v>
      </c>
      <c r="K1273" s="31" t="s">
        <v>5442</v>
      </c>
      <c r="L1273" s="31" t="s">
        <v>5150</v>
      </c>
      <c r="M1273" s="31" t="s">
        <v>5176</v>
      </c>
    </row>
    <row r="1274" customFormat="false" ht="43.5" hidden="false" customHeight="true" outlineLevel="0" collapsed="false">
      <c r="A1274" s="30" t="s">
        <v>5443</v>
      </c>
      <c r="B1274" s="31" t="s">
        <v>5444</v>
      </c>
      <c r="C1274" s="31" t="s">
        <v>128</v>
      </c>
      <c r="D1274" s="31" t="s">
        <v>5154</v>
      </c>
      <c r="E1274" s="31" t="str">
        <f aca="false">IF(D1274="","",IFERROR(VLOOKUP(D1274,$A$2:$B$1656,2,FALSE()),""))</f>
        <v>Protective &amp; Transformative Gear</v>
      </c>
      <c r="F1274" s="31" t="n">
        <v>3</v>
      </c>
      <c r="G1274" s="31" t="s">
        <v>5445</v>
      </c>
      <c r="H1274" s="31" t="s">
        <v>5446</v>
      </c>
      <c r="I1274" s="31" t="s">
        <v>5447</v>
      </c>
      <c r="J1274" s="31" t="s">
        <v>5448</v>
      </c>
      <c r="K1274" s="31" t="s">
        <v>5449</v>
      </c>
      <c r="L1274" s="31" t="s">
        <v>5150</v>
      </c>
      <c r="M1274" s="31" t="s">
        <v>5176</v>
      </c>
    </row>
    <row r="1275" customFormat="false" ht="43.5" hidden="false" customHeight="true" outlineLevel="0" collapsed="false">
      <c r="A1275" s="30" t="s">
        <v>5450</v>
      </c>
      <c r="B1275" s="31" t="s">
        <v>5451</v>
      </c>
      <c r="C1275" s="31" t="s">
        <v>128</v>
      </c>
      <c r="D1275" s="31" t="s">
        <v>5154</v>
      </c>
      <c r="E1275" s="31" t="str">
        <f aca="false">IF(D1275="","",IFERROR(VLOOKUP(D1275,$A$2:$B$1656,2,FALSE()),""))</f>
        <v>Protective &amp; Transformative Gear</v>
      </c>
      <c r="F1275" s="31" t="n">
        <v>3</v>
      </c>
      <c r="G1275" s="31" t="s">
        <v>5452</v>
      </c>
      <c r="H1275" s="31" t="s">
        <v>5453</v>
      </c>
      <c r="I1275" s="31" t="s">
        <v>5454</v>
      </c>
      <c r="J1275" s="31" t="s">
        <v>5455</v>
      </c>
      <c r="K1275" s="31" t="s">
        <v>5456</v>
      </c>
      <c r="L1275" s="31" t="s">
        <v>5150</v>
      </c>
      <c r="M1275" s="31" t="s">
        <v>5176</v>
      </c>
    </row>
    <row r="1276" customFormat="false" ht="43.5" hidden="false" customHeight="true" outlineLevel="0" collapsed="false">
      <c r="A1276" s="30" t="s">
        <v>5457</v>
      </c>
      <c r="B1276" s="31" t="s">
        <v>5458</v>
      </c>
      <c r="C1276" s="31" t="s">
        <v>128</v>
      </c>
      <c r="D1276" s="31" t="s">
        <v>5154</v>
      </c>
      <c r="E1276" s="31" t="str">
        <f aca="false">IF(D1276="","",IFERROR(VLOOKUP(D1276,$A$2:$B$1656,2,FALSE()),""))</f>
        <v>Protective &amp; Transformative Gear</v>
      </c>
      <c r="F1276" s="31" t="n">
        <v>3</v>
      </c>
      <c r="G1276" s="31" t="s">
        <v>5459</v>
      </c>
      <c r="H1276" s="31" t="s">
        <v>5460</v>
      </c>
      <c r="I1276" s="31" t="s">
        <v>5461</v>
      </c>
      <c r="J1276" s="31" t="s">
        <v>5462</v>
      </c>
      <c r="K1276" s="31" t="s">
        <v>5463</v>
      </c>
      <c r="L1276" s="31" t="s">
        <v>5150</v>
      </c>
      <c r="M1276" s="31" t="s">
        <v>5176</v>
      </c>
    </row>
    <row r="1277" customFormat="false" ht="43.5" hidden="false" customHeight="true" outlineLevel="0" collapsed="false">
      <c r="A1277" s="30" t="s">
        <v>5464</v>
      </c>
      <c r="B1277" s="31" t="s">
        <v>5465</v>
      </c>
      <c r="C1277" s="31" t="s">
        <v>128</v>
      </c>
      <c r="D1277" s="31" t="s">
        <v>5154</v>
      </c>
      <c r="E1277" s="31" t="str">
        <f aca="false">IF(D1277="","",IFERROR(VLOOKUP(D1277,$A$2:$B$1656,2,FALSE()),""))</f>
        <v>Protective &amp; Transformative Gear</v>
      </c>
      <c r="F1277" s="31" t="n">
        <v>3</v>
      </c>
      <c r="G1277" s="31" t="s">
        <v>5466</v>
      </c>
      <c r="H1277" s="31" t="s">
        <v>5467</v>
      </c>
      <c r="I1277" s="31" t="s">
        <v>5468</v>
      </c>
      <c r="J1277" s="31" t="s">
        <v>5469</v>
      </c>
      <c r="K1277" s="31" t="s">
        <v>5470</v>
      </c>
      <c r="L1277" s="31" t="s">
        <v>5150</v>
      </c>
      <c r="M1277" s="31" t="s">
        <v>5176</v>
      </c>
    </row>
    <row r="1278" customFormat="false" ht="43.5" hidden="false" customHeight="true" outlineLevel="0" collapsed="false">
      <c r="A1278" s="30" t="s">
        <v>5471</v>
      </c>
      <c r="B1278" s="31" t="s">
        <v>5472</v>
      </c>
      <c r="C1278" s="31" t="s">
        <v>128</v>
      </c>
      <c r="D1278" s="31" t="s">
        <v>5154</v>
      </c>
      <c r="E1278" s="31" t="str">
        <f aca="false">IF(D1278="","",IFERROR(VLOOKUP(D1278,$A$2:$B$1656,2,FALSE()),""))</f>
        <v>Protective &amp; Transformative Gear</v>
      </c>
      <c r="F1278" s="31" t="n">
        <v>3</v>
      </c>
      <c r="G1278" s="31" t="s">
        <v>5473</v>
      </c>
      <c r="H1278" s="31" t="s">
        <v>5474</v>
      </c>
      <c r="I1278" s="31" t="s">
        <v>5475</v>
      </c>
      <c r="J1278" s="31" t="s">
        <v>5476</v>
      </c>
      <c r="K1278" s="31" t="s">
        <v>5477</v>
      </c>
      <c r="L1278" s="31" t="s">
        <v>5150</v>
      </c>
      <c r="M1278" s="31" t="s">
        <v>5176</v>
      </c>
    </row>
    <row r="1279" customFormat="false" ht="43.5" hidden="false" customHeight="true" outlineLevel="0" collapsed="false">
      <c r="A1279" s="30" t="s">
        <v>5478</v>
      </c>
      <c r="B1279" s="31" t="s">
        <v>5479</v>
      </c>
      <c r="C1279" s="31" t="s">
        <v>128</v>
      </c>
      <c r="D1279" s="31" t="s">
        <v>5154</v>
      </c>
      <c r="E1279" s="31" t="str">
        <f aca="false">IF(D1279="","",IFERROR(VLOOKUP(D1279,$A$2:$B$1656,2,FALSE()),""))</f>
        <v>Protective &amp; Transformative Gear</v>
      </c>
      <c r="F1279" s="31" t="n">
        <v>3</v>
      </c>
      <c r="G1279" s="31" t="s">
        <v>5480</v>
      </c>
      <c r="H1279" s="31" t="s">
        <v>5481</v>
      </c>
      <c r="I1279" s="31" t="s">
        <v>5482</v>
      </c>
      <c r="J1279" s="31" t="s">
        <v>5483</v>
      </c>
      <c r="K1279" s="31" t="s">
        <v>5484</v>
      </c>
      <c r="L1279" s="31" t="s">
        <v>5150</v>
      </c>
      <c r="M1279" s="31" t="s">
        <v>5176</v>
      </c>
    </row>
    <row r="1280" customFormat="false" ht="43.5" hidden="false" customHeight="true" outlineLevel="0" collapsed="false">
      <c r="A1280" s="30" t="s">
        <v>5485</v>
      </c>
      <c r="B1280" s="31" t="s">
        <v>5486</v>
      </c>
      <c r="C1280" s="31" t="s">
        <v>128</v>
      </c>
      <c r="D1280" s="31" t="s">
        <v>5154</v>
      </c>
      <c r="E1280" s="31" t="str">
        <f aca="false">IF(D1280="","",IFERROR(VLOOKUP(D1280,$A$2:$B$1656,2,FALSE()),""))</f>
        <v>Protective &amp; Transformative Gear</v>
      </c>
      <c r="F1280" s="31" t="n">
        <v>3</v>
      </c>
      <c r="G1280" s="31" t="s">
        <v>5487</v>
      </c>
      <c r="H1280" s="31" t="s">
        <v>5488</v>
      </c>
      <c r="I1280" s="31" t="s">
        <v>5489</v>
      </c>
      <c r="J1280" s="31" t="s">
        <v>5490</v>
      </c>
      <c r="K1280" s="31" t="s">
        <v>5491</v>
      </c>
      <c r="L1280" s="31" t="s">
        <v>5150</v>
      </c>
      <c r="M1280" s="31" t="s">
        <v>5176</v>
      </c>
    </row>
    <row r="1281" customFormat="false" ht="43.5" hidden="false" customHeight="true" outlineLevel="0" collapsed="false">
      <c r="A1281" s="30" t="s">
        <v>5492</v>
      </c>
      <c r="B1281" s="31" t="s">
        <v>5493</v>
      </c>
      <c r="C1281" s="31" t="s">
        <v>128</v>
      </c>
      <c r="D1281" s="31" t="s">
        <v>5154</v>
      </c>
      <c r="E1281" s="31" t="str">
        <f aca="false">IF(D1281="","",IFERROR(VLOOKUP(D1281,$A$2:$B$1656,2,FALSE()),""))</f>
        <v>Protective &amp; Transformative Gear</v>
      </c>
      <c r="F1281" s="31" t="n">
        <v>3</v>
      </c>
      <c r="G1281" s="31" t="s">
        <v>5494</v>
      </c>
      <c r="H1281" s="31" t="s">
        <v>5495</v>
      </c>
      <c r="I1281" s="31" t="s">
        <v>5496</v>
      </c>
      <c r="J1281" s="31" t="s">
        <v>5497</v>
      </c>
      <c r="K1281" s="31" t="s">
        <v>5498</v>
      </c>
      <c r="L1281" s="31" t="s">
        <v>5150</v>
      </c>
      <c r="M1281" s="31" t="s">
        <v>5176</v>
      </c>
    </row>
    <row r="1282" customFormat="false" ht="43.5" hidden="false" customHeight="true" outlineLevel="0" collapsed="false">
      <c r="A1282" s="30" t="s">
        <v>5499</v>
      </c>
      <c r="B1282" s="31" t="s">
        <v>5500</v>
      </c>
      <c r="C1282" s="31" t="s">
        <v>128</v>
      </c>
      <c r="D1282" s="31" t="s">
        <v>5154</v>
      </c>
      <c r="E1282" s="31" t="str">
        <f aca="false">IF(D1282="","",IFERROR(VLOOKUP(D1282,$A$2:$B$1656,2,FALSE()),""))</f>
        <v>Protective &amp; Transformative Gear</v>
      </c>
      <c r="F1282" s="31" t="n">
        <v>3</v>
      </c>
      <c r="G1282" s="31" t="s">
        <v>5501</v>
      </c>
      <c r="H1282" s="31" t="s">
        <v>5502</v>
      </c>
      <c r="I1282" s="31" t="s">
        <v>5503</v>
      </c>
      <c r="J1282" s="31" t="s">
        <v>5504</v>
      </c>
      <c r="K1282" s="31" t="s">
        <v>5505</v>
      </c>
      <c r="L1282" s="31" t="s">
        <v>5150</v>
      </c>
      <c r="M1282" s="31" t="s">
        <v>5176</v>
      </c>
    </row>
    <row r="1283" customFormat="false" ht="43.5" hidden="false" customHeight="true" outlineLevel="0" collapsed="false">
      <c r="A1283" s="30" t="s">
        <v>5506</v>
      </c>
      <c r="B1283" s="31" t="s">
        <v>5507</v>
      </c>
      <c r="C1283" s="31" t="s">
        <v>128</v>
      </c>
      <c r="D1283" s="31" t="s">
        <v>5154</v>
      </c>
      <c r="E1283" s="31" t="str">
        <f aca="false">IF(D1283="","",IFERROR(VLOOKUP(D1283,$A$2:$B$1656,2,FALSE()),""))</f>
        <v>Protective &amp; Transformative Gear</v>
      </c>
      <c r="F1283" s="31" t="n">
        <v>3</v>
      </c>
      <c r="G1283" s="31" t="s">
        <v>5508</v>
      </c>
      <c r="H1283" s="31" t="s">
        <v>5509</v>
      </c>
      <c r="I1283" s="31" t="s">
        <v>5510</v>
      </c>
      <c r="J1283" s="31" t="s">
        <v>5511</v>
      </c>
      <c r="K1283" s="31" t="s">
        <v>5512</v>
      </c>
      <c r="L1283" s="31" t="s">
        <v>5150</v>
      </c>
      <c r="M1283" s="31" t="s">
        <v>5176</v>
      </c>
    </row>
    <row r="1284" customFormat="false" ht="43.5" hidden="false" customHeight="true" outlineLevel="0" collapsed="false">
      <c r="A1284" s="30" t="s">
        <v>5513</v>
      </c>
      <c r="B1284" s="31" t="s">
        <v>5514</v>
      </c>
      <c r="C1284" s="31" t="s">
        <v>128</v>
      </c>
      <c r="D1284" s="31" t="s">
        <v>5154</v>
      </c>
      <c r="E1284" s="31" t="str">
        <f aca="false">IF(D1284="","",IFERROR(VLOOKUP(D1284,$A$2:$B$1656,2,FALSE()),""))</f>
        <v>Protective &amp; Transformative Gear</v>
      </c>
      <c r="F1284" s="31" t="n">
        <v>3</v>
      </c>
      <c r="G1284" s="31" t="s">
        <v>5515</v>
      </c>
      <c r="H1284" s="31" t="s">
        <v>5516</v>
      </c>
      <c r="I1284" s="31" t="s">
        <v>5517</v>
      </c>
      <c r="J1284" s="31" t="s">
        <v>5518</v>
      </c>
      <c r="K1284" s="31" t="s">
        <v>5519</v>
      </c>
      <c r="L1284" s="31" t="s">
        <v>5150</v>
      </c>
      <c r="M1284" s="31" t="s">
        <v>5176</v>
      </c>
    </row>
    <row r="1285" customFormat="false" ht="43.5" hidden="false" customHeight="true" outlineLevel="0" collapsed="false">
      <c r="A1285" s="30" t="s">
        <v>5520</v>
      </c>
      <c r="B1285" s="31" t="s">
        <v>5521</v>
      </c>
      <c r="C1285" s="31" t="s">
        <v>128</v>
      </c>
      <c r="D1285" s="31" t="s">
        <v>5157</v>
      </c>
      <c r="E1285" s="31" t="str">
        <f aca="false">IF(D1285="","",IFERROR(VLOOKUP(D1285,$A$2:$B$1656,2,FALSE()),""))</f>
        <v>Texts, Symbols &amp; Containers</v>
      </c>
      <c r="F1285" s="31" t="n">
        <v>3</v>
      </c>
      <c r="G1285" s="31" t="s">
        <v>5522</v>
      </c>
      <c r="H1285" s="31" t="s">
        <v>5523</v>
      </c>
      <c r="I1285" s="31" t="s">
        <v>5524</v>
      </c>
      <c r="J1285" s="31" t="s">
        <v>5525</v>
      </c>
      <c r="K1285" s="31" t="s">
        <v>5526</v>
      </c>
      <c r="L1285" s="31" t="s">
        <v>5150</v>
      </c>
      <c r="M1285" s="31" t="s">
        <v>5176</v>
      </c>
    </row>
    <row r="1286" customFormat="false" ht="43.5" hidden="false" customHeight="true" outlineLevel="0" collapsed="false">
      <c r="A1286" s="30" t="s">
        <v>5527</v>
      </c>
      <c r="B1286" s="31" t="s">
        <v>5528</v>
      </c>
      <c r="C1286" s="31" t="s">
        <v>128</v>
      </c>
      <c r="D1286" s="31" t="s">
        <v>5157</v>
      </c>
      <c r="E1286" s="31" t="str">
        <f aca="false">IF(D1286="","",IFERROR(VLOOKUP(D1286,$A$2:$B$1656,2,FALSE()),""))</f>
        <v>Texts, Symbols &amp; Containers</v>
      </c>
      <c r="F1286" s="31" t="n">
        <v>3</v>
      </c>
      <c r="G1286" s="31" t="s">
        <v>5529</v>
      </c>
      <c r="H1286" s="31" t="s">
        <v>5530</v>
      </c>
      <c r="I1286" s="31" t="s">
        <v>5531</v>
      </c>
      <c r="J1286" s="31" t="s">
        <v>5532</v>
      </c>
      <c r="K1286" s="31" t="s">
        <v>5533</v>
      </c>
      <c r="L1286" s="31" t="s">
        <v>5150</v>
      </c>
      <c r="M1286" s="31" t="s">
        <v>5176</v>
      </c>
    </row>
    <row r="1287" customFormat="false" ht="43.5" hidden="false" customHeight="true" outlineLevel="0" collapsed="false">
      <c r="A1287" s="30" t="s">
        <v>5534</v>
      </c>
      <c r="B1287" s="31" t="s">
        <v>5535</v>
      </c>
      <c r="C1287" s="31" t="s">
        <v>128</v>
      </c>
      <c r="D1287" s="31" t="s">
        <v>5157</v>
      </c>
      <c r="E1287" s="31" t="str">
        <f aca="false">IF(D1287="","",IFERROR(VLOOKUP(D1287,$A$2:$B$1656,2,FALSE()),""))</f>
        <v>Texts, Symbols &amp; Containers</v>
      </c>
      <c r="F1287" s="31" t="n">
        <v>3</v>
      </c>
      <c r="G1287" s="31" t="s">
        <v>5536</v>
      </c>
      <c r="H1287" s="31" t="s">
        <v>5537</v>
      </c>
      <c r="I1287" s="31" t="s">
        <v>5538</v>
      </c>
      <c r="J1287" s="31" t="s">
        <v>5539</v>
      </c>
      <c r="K1287" s="31" t="s">
        <v>5540</v>
      </c>
      <c r="L1287" s="31" t="s">
        <v>5150</v>
      </c>
      <c r="M1287" s="31" t="s">
        <v>5176</v>
      </c>
    </row>
    <row r="1288" customFormat="false" ht="43.5" hidden="false" customHeight="true" outlineLevel="0" collapsed="false">
      <c r="A1288" s="30" t="s">
        <v>5541</v>
      </c>
      <c r="B1288" s="31" t="s">
        <v>5542</v>
      </c>
      <c r="C1288" s="31" t="s">
        <v>128</v>
      </c>
      <c r="D1288" s="31" t="s">
        <v>5157</v>
      </c>
      <c r="E1288" s="31" t="str">
        <f aca="false">IF(D1288="","",IFERROR(VLOOKUP(D1288,$A$2:$B$1656,2,FALSE()),""))</f>
        <v>Texts, Symbols &amp; Containers</v>
      </c>
      <c r="F1288" s="31" t="n">
        <v>3</v>
      </c>
      <c r="G1288" s="31" t="s">
        <v>5543</v>
      </c>
      <c r="H1288" s="31" t="s">
        <v>5544</v>
      </c>
      <c r="I1288" s="31" t="s">
        <v>5545</v>
      </c>
      <c r="J1288" s="31" t="s">
        <v>5546</v>
      </c>
      <c r="K1288" s="31" t="s">
        <v>5547</v>
      </c>
      <c r="L1288" s="31" t="s">
        <v>5150</v>
      </c>
      <c r="M1288" s="31" t="s">
        <v>5176</v>
      </c>
    </row>
    <row r="1289" customFormat="false" ht="43.5" hidden="false" customHeight="true" outlineLevel="0" collapsed="false">
      <c r="A1289" s="30" t="s">
        <v>5548</v>
      </c>
      <c r="B1289" s="31" t="s">
        <v>5549</v>
      </c>
      <c r="C1289" s="31" t="s">
        <v>128</v>
      </c>
      <c r="D1289" s="31" t="s">
        <v>5157</v>
      </c>
      <c r="E1289" s="31" t="str">
        <f aca="false">IF(D1289="","",IFERROR(VLOOKUP(D1289,$A$2:$B$1656,2,FALSE()),""))</f>
        <v>Texts, Symbols &amp; Containers</v>
      </c>
      <c r="F1289" s="31" t="n">
        <v>3</v>
      </c>
      <c r="G1289" s="31" t="s">
        <v>5550</v>
      </c>
      <c r="H1289" s="31" t="s">
        <v>5551</v>
      </c>
      <c r="I1289" s="31" t="s">
        <v>5552</v>
      </c>
      <c r="J1289" s="31" t="s">
        <v>5553</v>
      </c>
      <c r="K1289" s="31" t="s">
        <v>5554</v>
      </c>
      <c r="L1289" s="31" t="s">
        <v>5150</v>
      </c>
      <c r="M1289" s="31" t="s">
        <v>5176</v>
      </c>
    </row>
    <row r="1290" customFormat="false" ht="43.5" hidden="false" customHeight="true" outlineLevel="0" collapsed="false">
      <c r="A1290" s="30" t="s">
        <v>5555</v>
      </c>
      <c r="B1290" s="31" t="s">
        <v>5556</v>
      </c>
      <c r="C1290" s="31" t="s">
        <v>128</v>
      </c>
      <c r="D1290" s="31" t="s">
        <v>5157</v>
      </c>
      <c r="E1290" s="31" t="str">
        <f aca="false">IF(D1290="","",IFERROR(VLOOKUP(D1290,$A$2:$B$1656,2,FALSE()),""))</f>
        <v>Texts, Symbols &amp; Containers</v>
      </c>
      <c r="F1290" s="31" t="n">
        <v>3</v>
      </c>
      <c r="G1290" s="31" t="s">
        <v>5557</v>
      </c>
      <c r="H1290" s="31" t="s">
        <v>5558</v>
      </c>
      <c r="I1290" s="31" t="s">
        <v>5559</v>
      </c>
      <c r="J1290" s="31" t="s">
        <v>5560</v>
      </c>
      <c r="K1290" s="31" t="s">
        <v>5561</v>
      </c>
      <c r="L1290" s="31" t="s">
        <v>5150</v>
      </c>
      <c r="M1290" s="31" t="s">
        <v>5176</v>
      </c>
    </row>
    <row r="1291" customFormat="false" ht="43.5" hidden="false" customHeight="true" outlineLevel="0" collapsed="false">
      <c r="A1291" s="30" t="s">
        <v>5562</v>
      </c>
      <c r="B1291" s="31" t="s">
        <v>5563</v>
      </c>
      <c r="C1291" s="31" t="s">
        <v>128</v>
      </c>
      <c r="D1291" s="31" t="s">
        <v>5157</v>
      </c>
      <c r="E1291" s="31" t="str">
        <f aca="false">IF(D1291="","",IFERROR(VLOOKUP(D1291,$A$2:$B$1656,2,FALSE()),""))</f>
        <v>Texts, Symbols &amp; Containers</v>
      </c>
      <c r="F1291" s="31" t="n">
        <v>3</v>
      </c>
      <c r="G1291" s="31" t="s">
        <v>5564</v>
      </c>
      <c r="H1291" s="31" t="s">
        <v>5565</v>
      </c>
      <c r="I1291" s="31" t="s">
        <v>5566</v>
      </c>
      <c r="J1291" s="31" t="s">
        <v>5567</v>
      </c>
      <c r="K1291" s="31" t="s">
        <v>5568</v>
      </c>
      <c r="L1291" s="31" t="s">
        <v>5150</v>
      </c>
      <c r="M1291" s="31" t="s">
        <v>5176</v>
      </c>
    </row>
    <row r="1292" customFormat="false" ht="43.5" hidden="false" customHeight="true" outlineLevel="0" collapsed="false">
      <c r="A1292" s="30" t="s">
        <v>5569</v>
      </c>
      <c r="B1292" s="31" t="s">
        <v>5570</v>
      </c>
      <c r="C1292" s="31" t="s">
        <v>128</v>
      </c>
      <c r="D1292" s="31" t="s">
        <v>5157</v>
      </c>
      <c r="E1292" s="31" t="str">
        <f aca="false">IF(D1292="","",IFERROR(VLOOKUP(D1292,$A$2:$B$1656,2,FALSE()),""))</f>
        <v>Texts, Symbols &amp; Containers</v>
      </c>
      <c r="F1292" s="31" t="n">
        <v>3</v>
      </c>
      <c r="G1292" s="31" t="s">
        <v>5571</v>
      </c>
      <c r="H1292" s="31" t="s">
        <v>5572</v>
      </c>
      <c r="I1292" s="31" t="s">
        <v>5573</v>
      </c>
      <c r="J1292" s="31" t="s">
        <v>5574</v>
      </c>
      <c r="K1292" s="31" t="s">
        <v>5575</v>
      </c>
      <c r="L1292" s="31" t="s">
        <v>5150</v>
      </c>
      <c r="M1292" s="31" t="s">
        <v>5176</v>
      </c>
    </row>
    <row r="1293" customFormat="false" ht="43.5" hidden="false" customHeight="true" outlineLevel="0" collapsed="false">
      <c r="A1293" s="30" t="s">
        <v>5576</v>
      </c>
      <c r="B1293" s="31" t="s">
        <v>5577</v>
      </c>
      <c r="C1293" s="31" t="s">
        <v>128</v>
      </c>
      <c r="D1293" s="31" t="s">
        <v>5157</v>
      </c>
      <c r="E1293" s="31" t="str">
        <f aca="false">IF(D1293="","",IFERROR(VLOOKUP(D1293,$A$2:$B$1656,2,FALSE()),""))</f>
        <v>Texts, Symbols &amp; Containers</v>
      </c>
      <c r="F1293" s="31" t="n">
        <v>3</v>
      </c>
      <c r="G1293" s="31" t="s">
        <v>5578</v>
      </c>
      <c r="H1293" s="31" t="s">
        <v>5579</v>
      </c>
      <c r="I1293" s="31" t="s">
        <v>5580</v>
      </c>
      <c r="J1293" s="31" t="s">
        <v>5581</v>
      </c>
      <c r="K1293" s="31" t="s">
        <v>5582</v>
      </c>
      <c r="L1293" s="31" t="s">
        <v>5150</v>
      </c>
      <c r="M1293" s="31" t="s">
        <v>5176</v>
      </c>
    </row>
    <row r="1294" customFormat="false" ht="43.5" hidden="false" customHeight="true" outlineLevel="0" collapsed="false">
      <c r="A1294" s="30" t="s">
        <v>5583</v>
      </c>
      <c r="B1294" s="31" t="s">
        <v>5584</v>
      </c>
      <c r="C1294" s="31" t="s">
        <v>128</v>
      </c>
      <c r="D1294" s="31" t="s">
        <v>5157</v>
      </c>
      <c r="E1294" s="31" t="str">
        <f aca="false">IF(D1294="","",IFERROR(VLOOKUP(D1294,$A$2:$B$1656,2,FALSE()),""))</f>
        <v>Texts, Symbols &amp; Containers</v>
      </c>
      <c r="F1294" s="31" t="n">
        <v>3</v>
      </c>
      <c r="G1294" s="31" t="s">
        <v>5585</v>
      </c>
      <c r="H1294" s="31" t="s">
        <v>5586</v>
      </c>
      <c r="I1294" s="31" t="s">
        <v>5587</v>
      </c>
      <c r="J1294" s="31" t="s">
        <v>5588</v>
      </c>
      <c r="K1294" s="31" t="s">
        <v>5589</v>
      </c>
      <c r="L1294" s="31" t="s">
        <v>5150</v>
      </c>
      <c r="M1294" s="31" t="s">
        <v>5176</v>
      </c>
    </row>
    <row r="1295" customFormat="false" ht="43.5" hidden="false" customHeight="true" outlineLevel="0" collapsed="false">
      <c r="A1295" s="30" t="s">
        <v>5590</v>
      </c>
      <c r="B1295" s="31" t="s">
        <v>5591</v>
      </c>
      <c r="C1295" s="31" t="s">
        <v>128</v>
      </c>
      <c r="D1295" s="31" t="s">
        <v>5157</v>
      </c>
      <c r="E1295" s="31" t="str">
        <f aca="false">IF(D1295="","",IFERROR(VLOOKUP(D1295,$A$2:$B$1656,2,FALSE()),""))</f>
        <v>Texts, Symbols &amp; Containers</v>
      </c>
      <c r="F1295" s="31" t="n">
        <v>3</v>
      </c>
      <c r="G1295" s="31" t="s">
        <v>5592</v>
      </c>
      <c r="H1295" s="31" t="s">
        <v>5593</v>
      </c>
      <c r="I1295" s="31" t="s">
        <v>5594</v>
      </c>
      <c r="J1295" s="31" t="s">
        <v>5595</v>
      </c>
      <c r="K1295" s="31" t="s">
        <v>5596</v>
      </c>
      <c r="L1295" s="31" t="s">
        <v>5150</v>
      </c>
      <c r="M1295" s="31" t="s">
        <v>5176</v>
      </c>
    </row>
    <row r="1296" customFormat="false" ht="43.5" hidden="false" customHeight="true" outlineLevel="0" collapsed="false">
      <c r="A1296" s="30" t="s">
        <v>5597</v>
      </c>
      <c r="B1296" s="31" t="s">
        <v>5598</v>
      </c>
      <c r="C1296" s="31" t="s">
        <v>128</v>
      </c>
      <c r="D1296" s="31" t="s">
        <v>5157</v>
      </c>
      <c r="E1296" s="31" t="str">
        <f aca="false">IF(D1296="","",IFERROR(VLOOKUP(D1296,$A$2:$B$1656,2,FALSE()),""))</f>
        <v>Texts, Symbols &amp; Containers</v>
      </c>
      <c r="F1296" s="31" t="n">
        <v>3</v>
      </c>
      <c r="G1296" s="31" t="s">
        <v>5599</v>
      </c>
      <c r="H1296" s="31" t="s">
        <v>5600</v>
      </c>
      <c r="I1296" s="31" t="s">
        <v>5601</v>
      </c>
      <c r="J1296" s="31" t="s">
        <v>5602</v>
      </c>
      <c r="K1296" s="31" t="s">
        <v>5603</v>
      </c>
      <c r="L1296" s="31" t="s">
        <v>5150</v>
      </c>
      <c r="M1296" s="31" t="s">
        <v>5176</v>
      </c>
    </row>
    <row r="1297" customFormat="false" ht="43.5" hidden="false" customHeight="true" outlineLevel="0" collapsed="false">
      <c r="A1297" s="30" t="s">
        <v>5604</v>
      </c>
      <c r="B1297" s="31" t="s">
        <v>5605</v>
      </c>
      <c r="C1297" s="31" t="s">
        <v>128</v>
      </c>
      <c r="D1297" s="31" t="s">
        <v>5157</v>
      </c>
      <c r="E1297" s="31" t="str">
        <f aca="false">IF(D1297="","",IFERROR(VLOOKUP(D1297,$A$2:$B$1656,2,FALSE()),""))</f>
        <v>Texts, Symbols &amp; Containers</v>
      </c>
      <c r="F1297" s="31" t="n">
        <v>3</v>
      </c>
      <c r="G1297" s="31" t="s">
        <v>5606</v>
      </c>
      <c r="H1297" s="31" t="s">
        <v>5607</v>
      </c>
      <c r="I1297" s="31" t="s">
        <v>5608</v>
      </c>
      <c r="J1297" s="31" t="s">
        <v>5609</v>
      </c>
      <c r="K1297" s="31" t="s">
        <v>5610</v>
      </c>
      <c r="L1297" s="31" t="s">
        <v>5150</v>
      </c>
      <c r="M1297" s="31" t="s">
        <v>5176</v>
      </c>
    </row>
    <row r="1298" customFormat="false" ht="43.5" hidden="false" customHeight="true" outlineLevel="0" collapsed="false">
      <c r="A1298" s="30" t="s">
        <v>5611</v>
      </c>
      <c r="B1298" s="31" t="s">
        <v>5612</v>
      </c>
      <c r="C1298" s="31" t="s">
        <v>128</v>
      </c>
      <c r="D1298" s="31" t="s">
        <v>5157</v>
      </c>
      <c r="E1298" s="31" t="str">
        <f aca="false">IF(D1298="","",IFERROR(VLOOKUP(D1298,$A$2:$B$1656,2,FALSE()),""))</f>
        <v>Texts, Symbols &amp; Containers</v>
      </c>
      <c r="F1298" s="31" t="n">
        <v>3</v>
      </c>
      <c r="G1298" s="31" t="s">
        <v>5613</v>
      </c>
      <c r="H1298" s="31" t="s">
        <v>5614</v>
      </c>
      <c r="I1298" s="31" t="s">
        <v>5615</v>
      </c>
      <c r="J1298" s="31" t="s">
        <v>5616</v>
      </c>
      <c r="K1298" s="31" t="s">
        <v>5617</v>
      </c>
      <c r="L1298" s="31" t="s">
        <v>5150</v>
      </c>
      <c r="M1298" s="31" t="s">
        <v>5176</v>
      </c>
    </row>
    <row r="1299" customFormat="false" ht="43.5" hidden="false" customHeight="true" outlineLevel="0" collapsed="false">
      <c r="A1299" s="30" t="s">
        <v>5618</v>
      </c>
      <c r="B1299" s="31" t="s">
        <v>5619</v>
      </c>
      <c r="C1299" s="31" t="s">
        <v>128</v>
      </c>
      <c r="D1299" s="31" t="s">
        <v>5157</v>
      </c>
      <c r="E1299" s="31" t="str">
        <f aca="false">IF(D1299="","",IFERROR(VLOOKUP(D1299,$A$2:$B$1656,2,FALSE()),""))</f>
        <v>Texts, Symbols &amp; Containers</v>
      </c>
      <c r="F1299" s="31" t="n">
        <v>3</v>
      </c>
      <c r="G1299" s="31" t="s">
        <v>5620</v>
      </c>
      <c r="H1299" s="31" t="s">
        <v>5621</v>
      </c>
      <c r="I1299" s="31" t="s">
        <v>5622</v>
      </c>
      <c r="J1299" s="31" t="s">
        <v>5623</v>
      </c>
      <c r="K1299" s="31" t="s">
        <v>5624</v>
      </c>
      <c r="L1299" s="31" t="s">
        <v>5150</v>
      </c>
      <c r="M1299" s="31" t="s">
        <v>5176</v>
      </c>
    </row>
    <row r="1300" customFormat="false" ht="43.5" hidden="false" customHeight="true" outlineLevel="0" collapsed="false">
      <c r="A1300" s="30" t="s">
        <v>5625</v>
      </c>
      <c r="B1300" s="31" t="s">
        <v>5626</v>
      </c>
      <c r="C1300" s="31" t="s">
        <v>128</v>
      </c>
      <c r="D1300" s="31" t="s">
        <v>5157</v>
      </c>
      <c r="E1300" s="31" t="str">
        <f aca="false">IF(D1300="","",IFERROR(VLOOKUP(D1300,$A$2:$B$1656,2,FALSE()),""))</f>
        <v>Texts, Symbols &amp; Containers</v>
      </c>
      <c r="F1300" s="31" t="n">
        <v>3</v>
      </c>
      <c r="G1300" s="31" t="s">
        <v>5627</v>
      </c>
      <c r="H1300" s="31" t="s">
        <v>5628</v>
      </c>
      <c r="I1300" s="31" t="s">
        <v>5629</v>
      </c>
      <c r="J1300" s="31" t="s">
        <v>5630</v>
      </c>
      <c r="K1300" s="31" t="s">
        <v>5631</v>
      </c>
      <c r="L1300" s="31" t="s">
        <v>5150</v>
      </c>
      <c r="M1300" s="31" t="s">
        <v>5176</v>
      </c>
    </row>
    <row r="1301" customFormat="false" ht="43.5" hidden="false" customHeight="true" outlineLevel="0" collapsed="false">
      <c r="A1301" s="30" t="s">
        <v>5632</v>
      </c>
      <c r="B1301" s="31" t="s">
        <v>5633</v>
      </c>
      <c r="C1301" s="31" t="s">
        <v>128</v>
      </c>
      <c r="D1301" s="31" t="s">
        <v>5157</v>
      </c>
      <c r="E1301" s="31" t="str">
        <f aca="false">IF(D1301="","",IFERROR(VLOOKUP(D1301,$A$2:$B$1656,2,FALSE()),""))</f>
        <v>Texts, Symbols &amp; Containers</v>
      </c>
      <c r="F1301" s="31" t="n">
        <v>3</v>
      </c>
      <c r="G1301" s="31" t="s">
        <v>5634</v>
      </c>
      <c r="H1301" s="31" t="s">
        <v>5635</v>
      </c>
      <c r="I1301" s="31" t="s">
        <v>5636</v>
      </c>
      <c r="J1301" s="31" t="s">
        <v>5637</v>
      </c>
      <c r="K1301" s="31" t="s">
        <v>5638</v>
      </c>
      <c r="L1301" s="31" t="s">
        <v>5150</v>
      </c>
      <c r="M1301" s="31" t="s">
        <v>5176</v>
      </c>
    </row>
    <row r="1302" customFormat="false" ht="43.5" hidden="false" customHeight="true" outlineLevel="0" collapsed="false">
      <c r="A1302" s="30" t="s">
        <v>5639</v>
      </c>
      <c r="B1302" s="31" t="s">
        <v>5640</v>
      </c>
      <c r="C1302" s="31" t="s">
        <v>128</v>
      </c>
      <c r="D1302" s="31" t="s">
        <v>5160</v>
      </c>
      <c r="E1302" s="31" t="str">
        <f aca="false">IF(D1302="","",IFERROR(VLOOKUP(D1302,$A$2:$B$1656,2,FALSE()),""))</f>
        <v>Vehicles, Mounts &amp; Conveyances</v>
      </c>
      <c r="F1302" s="31" t="n">
        <v>3</v>
      </c>
      <c r="G1302" s="31" t="s">
        <v>5641</v>
      </c>
      <c r="H1302" s="31" t="s">
        <v>5642</v>
      </c>
      <c r="I1302" s="31" t="s">
        <v>5643</v>
      </c>
      <c r="J1302" s="31" t="s">
        <v>5644</v>
      </c>
      <c r="K1302" s="31" t="s">
        <v>5645</v>
      </c>
      <c r="L1302" s="31" t="s">
        <v>5150</v>
      </c>
      <c r="M1302" s="31" t="s">
        <v>5176</v>
      </c>
    </row>
    <row r="1303" customFormat="false" ht="43.5" hidden="false" customHeight="true" outlineLevel="0" collapsed="false">
      <c r="A1303" s="30" t="s">
        <v>5646</v>
      </c>
      <c r="B1303" s="31" t="s">
        <v>5647</v>
      </c>
      <c r="C1303" s="31" t="s">
        <v>128</v>
      </c>
      <c r="D1303" s="31" t="s">
        <v>5160</v>
      </c>
      <c r="E1303" s="31" t="str">
        <f aca="false">IF(D1303="","",IFERROR(VLOOKUP(D1303,$A$2:$B$1656,2,FALSE()),""))</f>
        <v>Vehicles, Mounts &amp; Conveyances</v>
      </c>
      <c r="F1303" s="31" t="n">
        <v>3</v>
      </c>
      <c r="G1303" s="31" t="s">
        <v>5648</v>
      </c>
      <c r="H1303" s="31" t="s">
        <v>5649</v>
      </c>
      <c r="I1303" s="31" t="s">
        <v>5650</v>
      </c>
      <c r="J1303" s="31" t="s">
        <v>5651</v>
      </c>
      <c r="K1303" s="31" t="s">
        <v>5652</v>
      </c>
      <c r="L1303" s="31" t="s">
        <v>5150</v>
      </c>
      <c r="M1303" s="31" t="s">
        <v>5176</v>
      </c>
    </row>
    <row r="1304" customFormat="false" ht="43.5" hidden="false" customHeight="true" outlineLevel="0" collapsed="false">
      <c r="A1304" s="30" t="s">
        <v>5653</v>
      </c>
      <c r="B1304" s="31" t="s">
        <v>5654</v>
      </c>
      <c r="C1304" s="31" t="s">
        <v>128</v>
      </c>
      <c r="D1304" s="31" t="s">
        <v>5160</v>
      </c>
      <c r="E1304" s="31" t="str">
        <f aca="false">IF(D1304="","",IFERROR(VLOOKUP(D1304,$A$2:$B$1656,2,FALSE()),""))</f>
        <v>Vehicles, Mounts &amp; Conveyances</v>
      </c>
      <c r="F1304" s="31" t="n">
        <v>3</v>
      </c>
      <c r="G1304" s="31" t="s">
        <v>5655</v>
      </c>
      <c r="H1304" s="31" t="s">
        <v>5656</v>
      </c>
      <c r="I1304" s="31" t="s">
        <v>5657</v>
      </c>
      <c r="J1304" s="31" t="s">
        <v>5658</v>
      </c>
      <c r="K1304" s="31" t="s">
        <v>5659</v>
      </c>
      <c r="L1304" s="31" t="s">
        <v>5150</v>
      </c>
      <c r="M1304" s="31" t="s">
        <v>5176</v>
      </c>
    </row>
    <row r="1305" customFormat="false" ht="43.5" hidden="false" customHeight="true" outlineLevel="0" collapsed="false">
      <c r="A1305" s="30" t="s">
        <v>5660</v>
      </c>
      <c r="B1305" s="31" t="s">
        <v>5661</v>
      </c>
      <c r="C1305" s="31" t="s">
        <v>128</v>
      </c>
      <c r="D1305" s="31" t="s">
        <v>5160</v>
      </c>
      <c r="E1305" s="31" t="str">
        <f aca="false">IF(D1305="","",IFERROR(VLOOKUP(D1305,$A$2:$B$1656,2,FALSE()),""))</f>
        <v>Vehicles, Mounts &amp; Conveyances</v>
      </c>
      <c r="F1305" s="31" t="n">
        <v>3</v>
      </c>
      <c r="G1305" s="31" t="s">
        <v>5662</v>
      </c>
      <c r="H1305" s="31" t="s">
        <v>5663</v>
      </c>
      <c r="I1305" s="31" t="s">
        <v>5664</v>
      </c>
      <c r="J1305" s="31" t="s">
        <v>5665</v>
      </c>
      <c r="K1305" s="31" t="s">
        <v>5666</v>
      </c>
      <c r="L1305" s="31" t="s">
        <v>5150</v>
      </c>
      <c r="M1305" s="31" t="s">
        <v>5176</v>
      </c>
    </row>
    <row r="1306" customFormat="false" ht="43.5" hidden="false" customHeight="true" outlineLevel="0" collapsed="false">
      <c r="A1306" s="30" t="s">
        <v>5667</v>
      </c>
      <c r="B1306" s="31" t="s">
        <v>5668</v>
      </c>
      <c r="C1306" s="31" t="s">
        <v>128</v>
      </c>
      <c r="D1306" s="31" t="s">
        <v>5160</v>
      </c>
      <c r="E1306" s="31" t="str">
        <f aca="false">IF(D1306="","",IFERROR(VLOOKUP(D1306,$A$2:$B$1656,2,FALSE()),""))</f>
        <v>Vehicles, Mounts &amp; Conveyances</v>
      </c>
      <c r="F1306" s="31" t="n">
        <v>3</v>
      </c>
      <c r="G1306" s="31" t="s">
        <v>5669</v>
      </c>
      <c r="H1306" s="31" t="s">
        <v>5670</v>
      </c>
      <c r="I1306" s="31" t="s">
        <v>5671</v>
      </c>
      <c r="J1306" s="31" t="s">
        <v>5672</v>
      </c>
      <c r="K1306" s="31" t="s">
        <v>5673</v>
      </c>
      <c r="L1306" s="31" t="s">
        <v>5150</v>
      </c>
      <c r="M1306" s="31" t="s">
        <v>5176</v>
      </c>
    </row>
    <row r="1307" customFormat="false" ht="43.5" hidden="false" customHeight="true" outlineLevel="0" collapsed="false">
      <c r="A1307" s="30" t="s">
        <v>5674</v>
      </c>
      <c r="B1307" s="31" t="s">
        <v>5675</v>
      </c>
      <c r="C1307" s="31" t="s">
        <v>128</v>
      </c>
      <c r="D1307" s="31" t="s">
        <v>5160</v>
      </c>
      <c r="E1307" s="31" t="str">
        <f aca="false">IF(D1307="","",IFERROR(VLOOKUP(D1307,$A$2:$B$1656,2,FALSE()),""))</f>
        <v>Vehicles, Mounts &amp; Conveyances</v>
      </c>
      <c r="F1307" s="31" t="n">
        <v>3</v>
      </c>
      <c r="G1307" s="31" t="s">
        <v>5676</v>
      </c>
      <c r="H1307" s="31" t="s">
        <v>5677</v>
      </c>
      <c r="I1307" s="31" t="s">
        <v>5678</v>
      </c>
      <c r="J1307" s="31" t="s">
        <v>5679</v>
      </c>
      <c r="K1307" s="31" t="s">
        <v>5680</v>
      </c>
      <c r="L1307" s="31" t="s">
        <v>5150</v>
      </c>
      <c r="M1307" s="31" t="s">
        <v>5176</v>
      </c>
    </row>
    <row r="1308" customFormat="false" ht="43.5" hidden="false" customHeight="true" outlineLevel="0" collapsed="false">
      <c r="A1308" s="30" t="s">
        <v>5681</v>
      </c>
      <c r="B1308" s="31" t="s">
        <v>5682</v>
      </c>
      <c r="C1308" s="31" t="s">
        <v>128</v>
      </c>
      <c r="D1308" s="31" t="s">
        <v>5160</v>
      </c>
      <c r="E1308" s="31" t="str">
        <f aca="false">IF(D1308="","",IFERROR(VLOOKUP(D1308,$A$2:$B$1656,2,FALSE()),""))</f>
        <v>Vehicles, Mounts &amp; Conveyances</v>
      </c>
      <c r="F1308" s="31" t="n">
        <v>3</v>
      </c>
      <c r="G1308" s="31" t="s">
        <v>5683</v>
      </c>
      <c r="H1308" s="31" t="s">
        <v>5684</v>
      </c>
      <c r="I1308" s="31" t="s">
        <v>5685</v>
      </c>
      <c r="J1308" s="31" t="s">
        <v>5686</v>
      </c>
      <c r="K1308" s="31" t="s">
        <v>5687</v>
      </c>
      <c r="L1308" s="31" t="s">
        <v>5150</v>
      </c>
      <c r="M1308" s="31" t="s">
        <v>5176</v>
      </c>
    </row>
    <row r="1309" customFormat="false" ht="43.5" hidden="false" customHeight="true" outlineLevel="0" collapsed="false">
      <c r="A1309" s="30" t="s">
        <v>5688</v>
      </c>
      <c r="B1309" s="31" t="s">
        <v>5689</v>
      </c>
      <c r="C1309" s="31" t="s">
        <v>128</v>
      </c>
      <c r="D1309" s="31" t="s">
        <v>5160</v>
      </c>
      <c r="E1309" s="31" t="str">
        <f aca="false">IF(D1309="","",IFERROR(VLOOKUP(D1309,$A$2:$B$1656,2,FALSE()),""))</f>
        <v>Vehicles, Mounts &amp; Conveyances</v>
      </c>
      <c r="F1309" s="31" t="n">
        <v>3</v>
      </c>
      <c r="G1309" s="31" t="s">
        <v>5690</v>
      </c>
      <c r="H1309" s="31" t="s">
        <v>5691</v>
      </c>
      <c r="I1309" s="31" t="s">
        <v>5692</v>
      </c>
      <c r="J1309" s="31" t="s">
        <v>5693</v>
      </c>
      <c r="K1309" s="31" t="s">
        <v>5694</v>
      </c>
      <c r="L1309" s="31" t="s">
        <v>5150</v>
      </c>
      <c r="M1309" s="31" t="s">
        <v>5176</v>
      </c>
    </row>
    <row r="1310" customFormat="false" ht="43.5" hidden="false" customHeight="true" outlineLevel="0" collapsed="false">
      <c r="A1310" s="30" t="s">
        <v>5695</v>
      </c>
      <c r="B1310" s="31" t="s">
        <v>5696</v>
      </c>
      <c r="C1310" s="31" t="s">
        <v>128</v>
      </c>
      <c r="D1310" s="31" t="s">
        <v>5160</v>
      </c>
      <c r="E1310" s="31" t="str">
        <f aca="false">IF(D1310="","",IFERROR(VLOOKUP(D1310,$A$2:$B$1656,2,FALSE()),""))</f>
        <v>Vehicles, Mounts &amp; Conveyances</v>
      </c>
      <c r="F1310" s="31" t="n">
        <v>3</v>
      </c>
      <c r="G1310" s="31" t="s">
        <v>5697</v>
      </c>
      <c r="H1310" s="31" t="s">
        <v>5698</v>
      </c>
      <c r="I1310" s="31" t="s">
        <v>5699</v>
      </c>
      <c r="J1310" s="31" t="s">
        <v>5700</v>
      </c>
      <c r="K1310" s="31" t="s">
        <v>5701</v>
      </c>
      <c r="L1310" s="31" t="s">
        <v>5702</v>
      </c>
      <c r="M1310" s="31" t="s">
        <v>5176</v>
      </c>
    </row>
    <row r="1311" customFormat="false" ht="43.5" hidden="false" customHeight="true" outlineLevel="0" collapsed="false">
      <c r="A1311" s="30" t="s">
        <v>5703</v>
      </c>
      <c r="B1311" s="31" t="s">
        <v>5704</v>
      </c>
      <c r="C1311" s="31" t="s">
        <v>128</v>
      </c>
      <c r="D1311" s="31" t="s">
        <v>5160</v>
      </c>
      <c r="E1311" s="31" t="str">
        <f aca="false">IF(D1311="","",IFERROR(VLOOKUP(D1311,$A$2:$B$1656,2,FALSE()),""))</f>
        <v>Vehicles, Mounts &amp; Conveyances</v>
      </c>
      <c r="F1311" s="31" t="n">
        <v>3</v>
      </c>
      <c r="G1311" s="31" t="s">
        <v>5705</v>
      </c>
      <c r="H1311" s="31" t="s">
        <v>5706</v>
      </c>
      <c r="I1311" s="31" t="s">
        <v>5707</v>
      </c>
      <c r="J1311" s="31" t="s">
        <v>5708</v>
      </c>
      <c r="K1311" s="31" t="s">
        <v>5709</v>
      </c>
      <c r="L1311" s="31" t="s">
        <v>5150</v>
      </c>
      <c r="M1311" s="31" t="s">
        <v>5176</v>
      </c>
    </row>
    <row r="1312" customFormat="false" ht="43.5" hidden="false" customHeight="true" outlineLevel="0" collapsed="false">
      <c r="A1312" s="30" t="s">
        <v>5710</v>
      </c>
      <c r="B1312" s="31" t="s">
        <v>5711</v>
      </c>
      <c r="C1312" s="31" t="s">
        <v>128</v>
      </c>
      <c r="D1312" s="31" t="s">
        <v>5160</v>
      </c>
      <c r="E1312" s="31" t="str">
        <f aca="false">IF(D1312="","",IFERROR(VLOOKUP(D1312,$A$2:$B$1656,2,FALSE()),""))</f>
        <v>Vehicles, Mounts &amp; Conveyances</v>
      </c>
      <c r="F1312" s="31" t="n">
        <v>3</v>
      </c>
      <c r="G1312" s="31" t="s">
        <v>5712</v>
      </c>
      <c r="H1312" s="31" t="s">
        <v>5713</v>
      </c>
      <c r="I1312" s="31" t="s">
        <v>5714</v>
      </c>
      <c r="J1312" s="31" t="s">
        <v>5715</v>
      </c>
      <c r="K1312" s="31" t="s">
        <v>5716</v>
      </c>
      <c r="L1312" s="31" t="s">
        <v>5150</v>
      </c>
      <c r="M1312" s="31" t="s">
        <v>5176</v>
      </c>
    </row>
    <row r="1313" customFormat="false" ht="43.5" hidden="false" customHeight="true" outlineLevel="0" collapsed="false">
      <c r="A1313" s="30" t="s">
        <v>5717</v>
      </c>
      <c r="B1313" s="31" t="s">
        <v>5718</v>
      </c>
      <c r="C1313" s="31" t="s">
        <v>128</v>
      </c>
      <c r="D1313" s="31" t="s">
        <v>5160</v>
      </c>
      <c r="E1313" s="31" t="str">
        <f aca="false">IF(D1313="","",IFERROR(VLOOKUP(D1313,$A$2:$B$1656,2,FALSE()),""))</f>
        <v>Vehicles, Mounts &amp; Conveyances</v>
      </c>
      <c r="F1313" s="31" t="n">
        <v>3</v>
      </c>
      <c r="G1313" s="31" t="s">
        <v>5719</v>
      </c>
      <c r="H1313" s="31" t="s">
        <v>5720</v>
      </c>
      <c r="I1313" s="31" t="s">
        <v>5721</v>
      </c>
      <c r="J1313" s="31" t="s">
        <v>5722</v>
      </c>
      <c r="K1313" s="31" t="s">
        <v>5723</v>
      </c>
      <c r="L1313" s="31" t="s">
        <v>5150</v>
      </c>
      <c r="M1313" s="31" t="s">
        <v>5176</v>
      </c>
    </row>
    <row r="1314" customFormat="false" ht="43.5" hidden="false" customHeight="true" outlineLevel="0" collapsed="false">
      <c r="A1314" s="30" t="s">
        <v>5724</v>
      </c>
      <c r="B1314" s="31" t="s">
        <v>5725</v>
      </c>
      <c r="C1314" s="31" t="s">
        <v>128</v>
      </c>
      <c r="D1314" s="31" t="s">
        <v>5160</v>
      </c>
      <c r="E1314" s="31" t="str">
        <f aca="false">IF(D1314="","",IFERROR(VLOOKUP(D1314,$A$2:$B$1656,2,FALSE()),""))</f>
        <v>Vehicles, Mounts &amp; Conveyances</v>
      </c>
      <c r="F1314" s="31" t="n">
        <v>3</v>
      </c>
      <c r="G1314" s="31" t="s">
        <v>5726</v>
      </c>
      <c r="H1314" s="31" t="s">
        <v>5727</v>
      </c>
      <c r="I1314" s="31" t="s">
        <v>5728</v>
      </c>
      <c r="J1314" s="31" t="s">
        <v>5729</v>
      </c>
      <c r="K1314" s="31" t="s">
        <v>5730</v>
      </c>
      <c r="L1314" s="31" t="s">
        <v>5150</v>
      </c>
      <c r="M1314" s="31" t="s">
        <v>5176</v>
      </c>
    </row>
    <row r="1315" customFormat="false" ht="43.5" hidden="false" customHeight="true" outlineLevel="0" collapsed="false">
      <c r="A1315" s="30" t="s">
        <v>5731</v>
      </c>
      <c r="B1315" s="31" t="s">
        <v>5732</v>
      </c>
      <c r="C1315" s="31" t="s">
        <v>128</v>
      </c>
      <c r="D1315" s="31" t="s">
        <v>5160</v>
      </c>
      <c r="E1315" s="31" t="str">
        <f aca="false">IF(D1315="","",IFERROR(VLOOKUP(D1315,$A$2:$B$1656,2,FALSE()),""))</f>
        <v>Vehicles, Mounts &amp; Conveyances</v>
      </c>
      <c r="F1315" s="31" t="n">
        <v>3</v>
      </c>
      <c r="G1315" s="31" t="s">
        <v>5733</v>
      </c>
      <c r="H1315" s="31" t="s">
        <v>5734</v>
      </c>
      <c r="I1315" s="31" t="s">
        <v>5735</v>
      </c>
      <c r="J1315" s="31" t="s">
        <v>5736</v>
      </c>
      <c r="K1315" s="31" t="s">
        <v>5737</v>
      </c>
      <c r="L1315" s="31" t="s">
        <v>5150</v>
      </c>
      <c r="M1315" s="31" t="s">
        <v>5176</v>
      </c>
    </row>
    <row r="1316" customFormat="false" ht="43.5" hidden="false" customHeight="true" outlineLevel="0" collapsed="false">
      <c r="A1316" s="30" t="s">
        <v>5738</v>
      </c>
      <c r="B1316" s="31" t="s">
        <v>5739</v>
      </c>
      <c r="C1316" s="31" t="s">
        <v>128</v>
      </c>
      <c r="D1316" s="31" t="s">
        <v>5163</v>
      </c>
      <c r="E1316" s="31" t="str">
        <f aca="false">IF(D1316="","",IFERROR(VLOOKUP(D1316,$A$2:$B$1656,2,FALSE()),""))</f>
        <v>Keys, Seals &amp; Control Objects</v>
      </c>
      <c r="F1316" s="31" t="n">
        <v>3</v>
      </c>
      <c r="G1316" s="31" t="s">
        <v>5740</v>
      </c>
      <c r="H1316" s="31" t="s">
        <v>5741</v>
      </c>
      <c r="I1316" s="31" t="s">
        <v>5742</v>
      </c>
      <c r="J1316" s="31" t="s">
        <v>5743</v>
      </c>
      <c r="K1316" s="31" t="s">
        <v>5744</v>
      </c>
      <c r="L1316" s="31" t="s">
        <v>5150</v>
      </c>
      <c r="M1316" s="31" t="s">
        <v>5176</v>
      </c>
    </row>
    <row r="1317" customFormat="false" ht="43.5" hidden="false" customHeight="true" outlineLevel="0" collapsed="false">
      <c r="A1317" s="30" t="s">
        <v>5745</v>
      </c>
      <c r="B1317" s="31" t="s">
        <v>5746</v>
      </c>
      <c r="C1317" s="31" t="s">
        <v>128</v>
      </c>
      <c r="D1317" s="31" t="s">
        <v>5163</v>
      </c>
      <c r="E1317" s="31" t="str">
        <f aca="false">IF(D1317="","",IFERROR(VLOOKUP(D1317,$A$2:$B$1656,2,FALSE()),""))</f>
        <v>Keys, Seals &amp; Control Objects</v>
      </c>
      <c r="F1317" s="31" t="n">
        <v>3</v>
      </c>
      <c r="G1317" s="31" t="s">
        <v>5747</v>
      </c>
      <c r="H1317" s="31" t="s">
        <v>5748</v>
      </c>
      <c r="I1317" s="31" t="s">
        <v>5749</v>
      </c>
      <c r="J1317" s="31" t="s">
        <v>5750</v>
      </c>
      <c r="K1317" s="31" t="s">
        <v>5751</v>
      </c>
      <c r="L1317" s="31" t="s">
        <v>5150</v>
      </c>
      <c r="M1317" s="31" t="s">
        <v>5176</v>
      </c>
    </row>
    <row r="1318" customFormat="false" ht="43.5" hidden="false" customHeight="true" outlineLevel="0" collapsed="false">
      <c r="A1318" s="30" t="s">
        <v>5752</v>
      </c>
      <c r="B1318" s="31" t="s">
        <v>5753</v>
      </c>
      <c r="C1318" s="31" t="s">
        <v>128</v>
      </c>
      <c r="D1318" s="31" t="s">
        <v>5163</v>
      </c>
      <c r="E1318" s="31" t="str">
        <f aca="false">IF(D1318="","",IFERROR(VLOOKUP(D1318,$A$2:$B$1656,2,FALSE()),""))</f>
        <v>Keys, Seals &amp; Control Objects</v>
      </c>
      <c r="F1318" s="31" t="n">
        <v>3</v>
      </c>
      <c r="G1318" s="31" t="s">
        <v>5754</v>
      </c>
      <c r="H1318" s="31" t="s">
        <v>5755</v>
      </c>
      <c r="I1318" s="31" t="s">
        <v>5756</v>
      </c>
      <c r="J1318" s="31" t="s">
        <v>5757</v>
      </c>
      <c r="K1318" s="31" t="s">
        <v>5758</v>
      </c>
      <c r="L1318" s="31" t="s">
        <v>5150</v>
      </c>
      <c r="M1318" s="31" t="s">
        <v>5176</v>
      </c>
    </row>
    <row r="1319" customFormat="false" ht="43.5" hidden="false" customHeight="true" outlineLevel="0" collapsed="false">
      <c r="A1319" s="30" t="s">
        <v>5759</v>
      </c>
      <c r="B1319" s="31" t="s">
        <v>5760</v>
      </c>
      <c r="C1319" s="31" t="s">
        <v>128</v>
      </c>
      <c r="D1319" s="31" t="s">
        <v>5163</v>
      </c>
      <c r="E1319" s="31" t="str">
        <f aca="false">IF(D1319="","",IFERROR(VLOOKUP(D1319,$A$2:$B$1656,2,FALSE()),""))</f>
        <v>Keys, Seals &amp; Control Objects</v>
      </c>
      <c r="F1319" s="31" t="n">
        <v>3</v>
      </c>
      <c r="G1319" s="31" t="s">
        <v>5761</v>
      </c>
      <c r="H1319" s="31" t="s">
        <v>5762</v>
      </c>
      <c r="I1319" s="31" t="s">
        <v>5763</v>
      </c>
      <c r="J1319" s="31" t="s">
        <v>5764</v>
      </c>
      <c r="K1319" s="31" t="s">
        <v>5765</v>
      </c>
      <c r="L1319" s="31" t="s">
        <v>5150</v>
      </c>
      <c r="M1319" s="31" t="s">
        <v>5176</v>
      </c>
    </row>
    <row r="1320" customFormat="false" ht="43.5" hidden="false" customHeight="true" outlineLevel="0" collapsed="false">
      <c r="A1320" s="30" t="s">
        <v>5766</v>
      </c>
      <c r="B1320" s="31" t="s">
        <v>5767</v>
      </c>
      <c r="C1320" s="31" t="s">
        <v>128</v>
      </c>
      <c r="D1320" s="31" t="s">
        <v>5163</v>
      </c>
      <c r="E1320" s="31" t="str">
        <f aca="false">IF(D1320="","",IFERROR(VLOOKUP(D1320,$A$2:$B$1656,2,FALSE()),""))</f>
        <v>Keys, Seals &amp; Control Objects</v>
      </c>
      <c r="F1320" s="31" t="n">
        <v>3</v>
      </c>
      <c r="G1320" s="31" t="s">
        <v>5768</v>
      </c>
      <c r="H1320" s="31" t="s">
        <v>5769</v>
      </c>
      <c r="I1320" s="31" t="s">
        <v>5770</v>
      </c>
      <c r="J1320" s="31" t="s">
        <v>5771</v>
      </c>
      <c r="K1320" s="31" t="s">
        <v>5772</v>
      </c>
      <c r="L1320" s="31" t="s">
        <v>5150</v>
      </c>
      <c r="M1320" s="31" t="s">
        <v>5176</v>
      </c>
    </row>
    <row r="1321" customFormat="false" ht="43.5" hidden="false" customHeight="true" outlineLevel="0" collapsed="false">
      <c r="A1321" s="30" t="s">
        <v>5773</v>
      </c>
      <c r="B1321" s="31" t="s">
        <v>5774</v>
      </c>
      <c r="C1321" s="31" t="s">
        <v>128</v>
      </c>
      <c r="D1321" s="31" t="s">
        <v>5163</v>
      </c>
      <c r="E1321" s="31" t="str">
        <f aca="false">IF(D1321="","",IFERROR(VLOOKUP(D1321,$A$2:$B$1656,2,FALSE()),""))</f>
        <v>Keys, Seals &amp; Control Objects</v>
      </c>
      <c r="F1321" s="31" t="n">
        <v>3</v>
      </c>
      <c r="G1321" s="31" t="s">
        <v>5775</v>
      </c>
      <c r="H1321" s="31" t="s">
        <v>5776</v>
      </c>
      <c r="I1321" s="31" t="s">
        <v>5777</v>
      </c>
      <c r="J1321" s="31" t="s">
        <v>5778</v>
      </c>
      <c r="K1321" s="31" t="s">
        <v>5779</v>
      </c>
      <c r="L1321" s="31" t="s">
        <v>5150</v>
      </c>
      <c r="M1321" s="31" t="s">
        <v>5176</v>
      </c>
    </row>
    <row r="1322" customFormat="false" ht="43.5" hidden="false" customHeight="true" outlineLevel="0" collapsed="false">
      <c r="A1322" s="30" t="s">
        <v>5780</v>
      </c>
      <c r="B1322" s="31" t="s">
        <v>5781</v>
      </c>
      <c r="C1322" s="31" t="s">
        <v>128</v>
      </c>
      <c r="D1322" s="31" t="s">
        <v>5163</v>
      </c>
      <c r="E1322" s="31" t="str">
        <f aca="false">IF(D1322="","",IFERROR(VLOOKUP(D1322,$A$2:$B$1656,2,FALSE()),""))</f>
        <v>Keys, Seals &amp; Control Objects</v>
      </c>
      <c r="F1322" s="31" t="n">
        <v>3</v>
      </c>
      <c r="G1322" s="31" t="s">
        <v>5782</v>
      </c>
      <c r="H1322" s="31" t="s">
        <v>5783</v>
      </c>
      <c r="I1322" s="31" t="s">
        <v>5784</v>
      </c>
      <c r="J1322" s="31" t="s">
        <v>5785</v>
      </c>
      <c r="K1322" s="31" t="s">
        <v>5786</v>
      </c>
      <c r="L1322" s="31" t="s">
        <v>5150</v>
      </c>
      <c r="M1322" s="31" t="s">
        <v>5176</v>
      </c>
    </row>
    <row r="1323" customFormat="false" ht="43.5" hidden="false" customHeight="true" outlineLevel="0" collapsed="false">
      <c r="A1323" s="30" t="s">
        <v>5787</v>
      </c>
      <c r="B1323" s="31" t="s">
        <v>5788</v>
      </c>
      <c r="C1323" s="31" t="s">
        <v>128</v>
      </c>
      <c r="D1323" s="31" t="s">
        <v>5163</v>
      </c>
      <c r="E1323" s="31" t="str">
        <f aca="false">IF(D1323="","",IFERROR(VLOOKUP(D1323,$A$2:$B$1656,2,FALSE()),""))</f>
        <v>Keys, Seals &amp; Control Objects</v>
      </c>
      <c r="F1323" s="31" t="n">
        <v>3</v>
      </c>
      <c r="G1323" s="31" t="s">
        <v>5789</v>
      </c>
      <c r="H1323" s="31" t="s">
        <v>5790</v>
      </c>
      <c r="I1323" s="31" t="s">
        <v>5791</v>
      </c>
      <c r="J1323" s="31" t="s">
        <v>5792</v>
      </c>
      <c r="K1323" s="31" t="s">
        <v>5793</v>
      </c>
      <c r="L1323" s="31" t="s">
        <v>5150</v>
      </c>
      <c r="M1323" s="31" t="s">
        <v>5176</v>
      </c>
    </row>
    <row r="1324" customFormat="false" ht="43.5" hidden="false" customHeight="true" outlineLevel="0" collapsed="false">
      <c r="A1324" s="30" t="s">
        <v>5794</v>
      </c>
      <c r="B1324" s="31" t="s">
        <v>5795</v>
      </c>
      <c r="C1324" s="31" t="s">
        <v>128</v>
      </c>
      <c r="D1324" s="31" t="s">
        <v>5163</v>
      </c>
      <c r="E1324" s="31" t="str">
        <f aca="false">IF(D1324="","",IFERROR(VLOOKUP(D1324,$A$2:$B$1656,2,FALSE()),""))</f>
        <v>Keys, Seals &amp; Control Objects</v>
      </c>
      <c r="F1324" s="31" t="n">
        <v>3</v>
      </c>
      <c r="G1324" s="31" t="s">
        <v>5796</v>
      </c>
      <c r="H1324" s="31" t="s">
        <v>5797</v>
      </c>
      <c r="I1324" s="31" t="s">
        <v>5798</v>
      </c>
      <c r="J1324" s="31" t="s">
        <v>5799</v>
      </c>
      <c r="K1324" s="31" t="s">
        <v>5800</v>
      </c>
      <c r="L1324" s="31" t="s">
        <v>5150</v>
      </c>
      <c r="M1324" s="31" t="s">
        <v>5176</v>
      </c>
    </row>
    <row r="1325" customFormat="false" ht="43.5" hidden="false" customHeight="true" outlineLevel="0" collapsed="false">
      <c r="A1325" s="30" t="s">
        <v>5801</v>
      </c>
      <c r="B1325" s="31" t="s">
        <v>5802</v>
      </c>
      <c r="C1325" s="31" t="s">
        <v>128</v>
      </c>
      <c r="D1325" s="31" t="s">
        <v>5163</v>
      </c>
      <c r="E1325" s="31" t="str">
        <f aca="false">IF(D1325="","",IFERROR(VLOOKUP(D1325,$A$2:$B$1656,2,FALSE()),""))</f>
        <v>Keys, Seals &amp; Control Objects</v>
      </c>
      <c r="F1325" s="31" t="n">
        <v>3</v>
      </c>
      <c r="G1325" s="31" t="s">
        <v>5803</v>
      </c>
      <c r="H1325" s="31" t="s">
        <v>5804</v>
      </c>
      <c r="I1325" s="31" t="s">
        <v>5805</v>
      </c>
      <c r="J1325" s="31" t="s">
        <v>5806</v>
      </c>
      <c r="K1325" s="31" t="s">
        <v>5807</v>
      </c>
      <c r="L1325" s="31" t="s">
        <v>5150</v>
      </c>
      <c r="M1325" s="31" t="s">
        <v>5176</v>
      </c>
    </row>
    <row r="1326" customFormat="false" ht="43.5" hidden="false" customHeight="true" outlineLevel="0" collapsed="false">
      <c r="A1326" s="30" t="s">
        <v>5808</v>
      </c>
      <c r="B1326" s="31" t="s">
        <v>5809</v>
      </c>
      <c r="C1326" s="31" t="s">
        <v>128</v>
      </c>
      <c r="D1326" s="31" t="s">
        <v>5163</v>
      </c>
      <c r="E1326" s="31" t="str">
        <f aca="false">IF(D1326="","",IFERROR(VLOOKUP(D1326,$A$2:$B$1656,2,FALSE()),""))</f>
        <v>Keys, Seals &amp; Control Objects</v>
      </c>
      <c r="F1326" s="31" t="n">
        <v>3</v>
      </c>
      <c r="G1326" s="31" t="s">
        <v>5810</v>
      </c>
      <c r="H1326" s="31" t="s">
        <v>5811</v>
      </c>
      <c r="I1326" s="31" t="s">
        <v>5812</v>
      </c>
      <c r="J1326" s="31" t="s">
        <v>5813</v>
      </c>
      <c r="K1326" s="31" t="s">
        <v>5814</v>
      </c>
      <c r="L1326" s="31" t="s">
        <v>5150</v>
      </c>
      <c r="M1326" s="31" t="s">
        <v>5176</v>
      </c>
    </row>
    <row r="1327" customFormat="false" ht="43.5" hidden="false" customHeight="true" outlineLevel="0" collapsed="false">
      <c r="A1327" s="30" t="s">
        <v>5815</v>
      </c>
      <c r="B1327" s="31" t="s">
        <v>5816</v>
      </c>
      <c r="C1327" s="31" t="s">
        <v>128</v>
      </c>
      <c r="D1327" s="31" t="s">
        <v>5163</v>
      </c>
      <c r="E1327" s="31" t="str">
        <f aca="false">IF(D1327="","",IFERROR(VLOOKUP(D1327,$A$2:$B$1656,2,FALSE()),""))</f>
        <v>Keys, Seals &amp; Control Objects</v>
      </c>
      <c r="F1327" s="31" t="n">
        <v>3</v>
      </c>
      <c r="G1327" s="31" t="s">
        <v>5817</v>
      </c>
      <c r="H1327" s="31" t="s">
        <v>5818</v>
      </c>
      <c r="I1327" s="31" t="s">
        <v>5819</v>
      </c>
      <c r="J1327" s="31" t="s">
        <v>5820</v>
      </c>
      <c r="K1327" s="31" t="s">
        <v>5821</v>
      </c>
      <c r="L1327" s="31" t="s">
        <v>5150</v>
      </c>
      <c r="M1327" s="31" t="s">
        <v>5176</v>
      </c>
    </row>
    <row r="1328" customFormat="false" ht="43.5" hidden="false" customHeight="true" outlineLevel="0" collapsed="false">
      <c r="A1328" s="30" t="s">
        <v>5822</v>
      </c>
      <c r="B1328" s="31" t="s">
        <v>5823</v>
      </c>
      <c r="C1328" s="31" t="s">
        <v>128</v>
      </c>
      <c r="D1328" s="31" t="s">
        <v>5166</v>
      </c>
      <c r="E1328" s="31" t="str">
        <f aca="false">IF(D1328="","",IFERROR(VLOOKUP(D1328,$A$2:$B$1656,2,FALSE()),""))</f>
        <v>Artifacts by Narrative Function</v>
      </c>
      <c r="F1328" s="31" t="n">
        <v>3</v>
      </c>
      <c r="G1328" s="31" t="s">
        <v>5824</v>
      </c>
      <c r="H1328" s="31" t="s">
        <v>5825</v>
      </c>
      <c r="I1328" s="31" t="s">
        <v>5826</v>
      </c>
      <c r="J1328" s="31" t="s">
        <v>5827</v>
      </c>
      <c r="K1328" s="31" t="s">
        <v>5828</v>
      </c>
      <c r="L1328" s="31" t="s">
        <v>5150</v>
      </c>
      <c r="M1328" s="31" t="s">
        <v>5176</v>
      </c>
    </row>
    <row r="1329" customFormat="false" ht="43.5" hidden="false" customHeight="true" outlineLevel="0" collapsed="false">
      <c r="A1329" s="30" t="s">
        <v>5829</v>
      </c>
      <c r="B1329" s="31" t="s">
        <v>5830</v>
      </c>
      <c r="C1329" s="31" t="s">
        <v>128</v>
      </c>
      <c r="D1329" s="31" t="s">
        <v>5166</v>
      </c>
      <c r="E1329" s="31" t="str">
        <f aca="false">IF(D1329="","",IFERROR(VLOOKUP(D1329,$A$2:$B$1656,2,FALSE()),""))</f>
        <v>Artifacts by Narrative Function</v>
      </c>
      <c r="F1329" s="31" t="n">
        <v>3</v>
      </c>
      <c r="G1329" s="31" t="s">
        <v>5831</v>
      </c>
      <c r="H1329" s="31" t="s">
        <v>5832</v>
      </c>
      <c r="I1329" s="31" t="s">
        <v>5833</v>
      </c>
      <c r="J1329" s="31" t="s">
        <v>5834</v>
      </c>
      <c r="K1329" s="31" t="s">
        <v>5835</v>
      </c>
      <c r="L1329" s="31" t="s">
        <v>5150</v>
      </c>
      <c r="M1329" s="31" t="s">
        <v>5176</v>
      </c>
    </row>
    <row r="1330" customFormat="false" ht="43.5" hidden="false" customHeight="true" outlineLevel="0" collapsed="false">
      <c r="A1330" s="30" t="s">
        <v>5836</v>
      </c>
      <c r="B1330" s="31" t="s">
        <v>5837</v>
      </c>
      <c r="C1330" s="31" t="s">
        <v>128</v>
      </c>
      <c r="D1330" s="31" t="s">
        <v>5166</v>
      </c>
      <c r="E1330" s="31" t="str">
        <f aca="false">IF(D1330="","",IFERROR(VLOOKUP(D1330,$A$2:$B$1656,2,FALSE()),""))</f>
        <v>Artifacts by Narrative Function</v>
      </c>
      <c r="F1330" s="31" t="n">
        <v>3</v>
      </c>
      <c r="G1330" s="31" t="s">
        <v>5838</v>
      </c>
      <c r="H1330" s="31" t="s">
        <v>5839</v>
      </c>
      <c r="I1330" s="31" t="s">
        <v>5840</v>
      </c>
      <c r="J1330" s="31" t="s">
        <v>5841</v>
      </c>
      <c r="K1330" s="31" t="s">
        <v>5842</v>
      </c>
      <c r="L1330" s="31" t="s">
        <v>5150</v>
      </c>
      <c r="M1330" s="31" t="s">
        <v>5176</v>
      </c>
    </row>
    <row r="1331" customFormat="false" ht="43.5" hidden="false" customHeight="true" outlineLevel="0" collapsed="false">
      <c r="A1331" s="30" t="s">
        <v>5843</v>
      </c>
      <c r="B1331" s="31" t="s">
        <v>5844</v>
      </c>
      <c r="C1331" s="31" t="s">
        <v>128</v>
      </c>
      <c r="D1331" s="31" t="s">
        <v>5166</v>
      </c>
      <c r="E1331" s="31" t="str">
        <f aca="false">IF(D1331="","",IFERROR(VLOOKUP(D1331,$A$2:$B$1656,2,FALSE()),""))</f>
        <v>Artifacts by Narrative Function</v>
      </c>
      <c r="F1331" s="31" t="n">
        <v>3</v>
      </c>
      <c r="G1331" s="31" t="s">
        <v>5845</v>
      </c>
      <c r="H1331" s="31" t="s">
        <v>5846</v>
      </c>
      <c r="I1331" s="31" t="s">
        <v>5847</v>
      </c>
      <c r="J1331" s="31" t="s">
        <v>5848</v>
      </c>
      <c r="K1331" s="31" t="s">
        <v>5849</v>
      </c>
      <c r="L1331" s="31" t="s">
        <v>5150</v>
      </c>
      <c r="M1331" s="31" t="s">
        <v>5176</v>
      </c>
    </row>
    <row r="1332" customFormat="false" ht="43.5" hidden="false" customHeight="true" outlineLevel="0" collapsed="false">
      <c r="A1332" s="30" t="s">
        <v>5850</v>
      </c>
      <c r="B1332" s="31" t="s">
        <v>5851</v>
      </c>
      <c r="C1332" s="31" t="s">
        <v>128</v>
      </c>
      <c r="D1332" s="31" t="s">
        <v>5166</v>
      </c>
      <c r="E1332" s="31" t="str">
        <f aca="false">IF(D1332="","",IFERROR(VLOOKUP(D1332,$A$2:$B$1656,2,FALSE()),""))</f>
        <v>Artifacts by Narrative Function</v>
      </c>
      <c r="F1332" s="31" t="n">
        <v>3</v>
      </c>
      <c r="G1332" s="31" t="s">
        <v>5852</v>
      </c>
      <c r="H1332" s="31" t="s">
        <v>5853</v>
      </c>
      <c r="I1332" s="31" t="s">
        <v>5854</v>
      </c>
      <c r="J1332" s="31" t="s">
        <v>5855</v>
      </c>
      <c r="K1332" s="31" t="s">
        <v>5856</v>
      </c>
      <c r="L1332" s="31" t="s">
        <v>5150</v>
      </c>
      <c r="M1332" s="31" t="s">
        <v>5176</v>
      </c>
    </row>
    <row r="1333" customFormat="false" ht="43.5" hidden="false" customHeight="true" outlineLevel="0" collapsed="false">
      <c r="A1333" s="30" t="s">
        <v>5857</v>
      </c>
      <c r="B1333" s="31" t="s">
        <v>5858</v>
      </c>
      <c r="C1333" s="31" t="s">
        <v>128</v>
      </c>
      <c r="D1333" s="31" t="s">
        <v>5166</v>
      </c>
      <c r="E1333" s="31" t="str">
        <f aca="false">IF(D1333="","",IFERROR(VLOOKUP(D1333,$A$2:$B$1656,2,FALSE()),""))</f>
        <v>Artifacts by Narrative Function</v>
      </c>
      <c r="F1333" s="31" t="n">
        <v>3</v>
      </c>
      <c r="G1333" s="31" t="s">
        <v>5859</v>
      </c>
      <c r="H1333" s="31" t="s">
        <v>5860</v>
      </c>
      <c r="I1333" s="31" t="s">
        <v>5861</v>
      </c>
      <c r="J1333" s="31" t="s">
        <v>5862</v>
      </c>
      <c r="K1333" s="31" t="s">
        <v>5863</v>
      </c>
      <c r="L1333" s="31" t="s">
        <v>5150</v>
      </c>
      <c r="M1333" s="31" t="s">
        <v>5176</v>
      </c>
    </row>
    <row r="1334" customFormat="false" ht="43.5" hidden="false" customHeight="true" outlineLevel="0" collapsed="false">
      <c r="A1334" s="30" t="s">
        <v>5864</v>
      </c>
      <c r="B1334" s="31" t="s">
        <v>5865</v>
      </c>
      <c r="C1334" s="31" t="s">
        <v>128</v>
      </c>
      <c r="D1334" s="31" t="s">
        <v>5166</v>
      </c>
      <c r="E1334" s="31" t="str">
        <f aca="false">IF(D1334="","",IFERROR(VLOOKUP(D1334,$A$2:$B$1656,2,FALSE()),""))</f>
        <v>Artifacts by Narrative Function</v>
      </c>
      <c r="F1334" s="31" t="n">
        <v>3</v>
      </c>
      <c r="G1334" s="31" t="s">
        <v>5866</v>
      </c>
      <c r="H1334" s="31" t="s">
        <v>5867</v>
      </c>
      <c r="I1334" s="31" t="s">
        <v>5868</v>
      </c>
      <c r="J1334" s="31" t="s">
        <v>5869</v>
      </c>
      <c r="K1334" s="31" t="s">
        <v>5870</v>
      </c>
      <c r="L1334" s="31" t="s">
        <v>5150</v>
      </c>
      <c r="M1334" s="31" t="s">
        <v>5176</v>
      </c>
    </row>
    <row r="1335" customFormat="false" ht="43.5" hidden="false" customHeight="true" outlineLevel="0" collapsed="false">
      <c r="A1335" s="30" t="s">
        <v>5871</v>
      </c>
      <c r="B1335" s="31" t="s">
        <v>5872</v>
      </c>
      <c r="C1335" s="31" t="s">
        <v>128</v>
      </c>
      <c r="D1335" s="31" t="s">
        <v>5166</v>
      </c>
      <c r="E1335" s="31" t="str">
        <f aca="false">IF(D1335="","",IFERROR(VLOOKUP(D1335,$A$2:$B$1656,2,FALSE()),""))</f>
        <v>Artifacts by Narrative Function</v>
      </c>
      <c r="F1335" s="31" t="n">
        <v>3</v>
      </c>
      <c r="G1335" s="31" t="s">
        <v>5873</v>
      </c>
      <c r="H1335" s="31" t="s">
        <v>5874</v>
      </c>
      <c r="I1335" s="31" t="s">
        <v>5875</v>
      </c>
      <c r="J1335" s="31" t="s">
        <v>5876</v>
      </c>
      <c r="K1335" s="31" t="s">
        <v>5877</v>
      </c>
      <c r="L1335" s="31" t="s">
        <v>5150</v>
      </c>
      <c r="M1335" s="31" t="s">
        <v>5176</v>
      </c>
    </row>
    <row r="1336" customFormat="false" ht="43.5" hidden="false" customHeight="true" outlineLevel="0" collapsed="false">
      <c r="A1336" s="30" t="s">
        <v>5878</v>
      </c>
      <c r="B1336" s="31" t="s">
        <v>5879</v>
      </c>
      <c r="C1336" s="31" t="s">
        <v>128</v>
      </c>
      <c r="D1336" s="31" t="s">
        <v>5166</v>
      </c>
      <c r="E1336" s="31" t="str">
        <f aca="false">IF(D1336="","",IFERROR(VLOOKUP(D1336,$A$2:$B$1656,2,FALSE()),""))</f>
        <v>Artifacts by Narrative Function</v>
      </c>
      <c r="F1336" s="31" t="n">
        <v>3</v>
      </c>
      <c r="G1336" s="31" t="s">
        <v>5880</v>
      </c>
      <c r="H1336" s="31" t="s">
        <v>5881</v>
      </c>
      <c r="I1336" s="31" t="s">
        <v>5882</v>
      </c>
      <c r="J1336" s="31" t="s">
        <v>5883</v>
      </c>
      <c r="K1336" s="31" t="s">
        <v>5884</v>
      </c>
      <c r="L1336" s="31" t="s">
        <v>5150</v>
      </c>
      <c r="M1336" s="31" t="s">
        <v>5176</v>
      </c>
    </row>
    <row r="1337" customFormat="false" ht="43.5" hidden="false" customHeight="true" outlineLevel="0" collapsed="false">
      <c r="A1337" s="30" t="s">
        <v>5885</v>
      </c>
      <c r="B1337" s="31" t="s">
        <v>5886</v>
      </c>
      <c r="C1337" s="31" t="s">
        <v>128</v>
      </c>
      <c r="D1337" s="31" t="s">
        <v>5166</v>
      </c>
      <c r="E1337" s="31" t="str">
        <f aca="false">IF(D1337="","",IFERROR(VLOOKUP(D1337,$A$2:$B$1656,2,FALSE()),""))</f>
        <v>Artifacts by Narrative Function</v>
      </c>
      <c r="F1337" s="31" t="n">
        <v>3</v>
      </c>
      <c r="G1337" s="31" t="s">
        <v>5887</v>
      </c>
      <c r="H1337" s="31" t="s">
        <v>5888</v>
      </c>
      <c r="I1337" s="31" t="s">
        <v>5889</v>
      </c>
      <c r="J1337" s="31" t="s">
        <v>5890</v>
      </c>
      <c r="K1337" s="31" t="s">
        <v>5891</v>
      </c>
      <c r="L1337" s="31" t="s">
        <v>5150</v>
      </c>
      <c r="M1337" s="31" t="s">
        <v>5176</v>
      </c>
    </row>
    <row r="1338" customFormat="false" ht="43.5" hidden="false" customHeight="true" outlineLevel="0" collapsed="false">
      <c r="A1338" s="30" t="s">
        <v>5892</v>
      </c>
      <c r="B1338" s="31" t="s">
        <v>5893</v>
      </c>
      <c r="C1338" s="31" t="s">
        <v>128</v>
      </c>
      <c r="D1338" s="31" t="s">
        <v>5166</v>
      </c>
      <c r="E1338" s="31" t="str">
        <f aca="false">IF(D1338="","",IFERROR(VLOOKUP(D1338,$A$2:$B$1656,2,FALSE()),""))</f>
        <v>Artifacts by Narrative Function</v>
      </c>
      <c r="F1338" s="31" t="n">
        <v>3</v>
      </c>
      <c r="G1338" s="31" t="s">
        <v>5894</v>
      </c>
      <c r="H1338" s="31" t="s">
        <v>5895</v>
      </c>
      <c r="I1338" s="31" t="s">
        <v>5896</v>
      </c>
      <c r="J1338" s="31" t="s">
        <v>5897</v>
      </c>
      <c r="K1338" s="31" t="s">
        <v>5898</v>
      </c>
      <c r="L1338" s="31" t="s">
        <v>5150</v>
      </c>
      <c r="M1338" s="31" t="s">
        <v>5176</v>
      </c>
    </row>
    <row r="1339" customFormat="false" ht="43.5" hidden="false" customHeight="true" outlineLevel="0" collapsed="false">
      <c r="A1339" s="30" t="s">
        <v>5899</v>
      </c>
      <c r="B1339" s="31" t="s">
        <v>5900</v>
      </c>
      <c r="C1339" s="31" t="s">
        <v>128</v>
      </c>
      <c r="D1339" s="31" t="s">
        <v>5166</v>
      </c>
      <c r="E1339" s="31" t="str">
        <f aca="false">IF(D1339="","",IFERROR(VLOOKUP(D1339,$A$2:$B$1656,2,FALSE()),""))</f>
        <v>Artifacts by Narrative Function</v>
      </c>
      <c r="F1339" s="31" t="n">
        <v>3</v>
      </c>
      <c r="G1339" s="31" t="s">
        <v>5901</v>
      </c>
      <c r="H1339" s="31" t="s">
        <v>5902</v>
      </c>
      <c r="I1339" s="31" t="s">
        <v>5903</v>
      </c>
      <c r="J1339" s="31" t="s">
        <v>5904</v>
      </c>
      <c r="K1339" s="31" t="s">
        <v>5905</v>
      </c>
      <c r="L1339" s="31" t="s">
        <v>5150</v>
      </c>
      <c r="M1339" s="31" t="s">
        <v>5176</v>
      </c>
    </row>
    <row r="1340" customFormat="false" ht="43.5" hidden="false" customHeight="true" outlineLevel="0" collapsed="false">
      <c r="A1340" s="30" t="s">
        <v>5906</v>
      </c>
      <c r="B1340" s="31" t="s">
        <v>130</v>
      </c>
      <c r="C1340" s="31" t="s">
        <v>130</v>
      </c>
      <c r="D1340" s="31"/>
      <c r="E1340" s="31" t="str">
        <f aca="false">IF(D1340="","",IFERROR(VLOOKUP(D1340,$A$2:$B$1656,2,FALSE()),""))</f>
        <v/>
      </c>
      <c r="F1340" s="31" t="n">
        <v>1</v>
      </c>
      <c r="G1340" s="31" t="s">
        <v>5907</v>
      </c>
      <c r="H1340" s="31" t="s">
        <v>5142</v>
      </c>
      <c r="I1340" s="31"/>
      <c r="J1340" s="31" t="s">
        <v>5143</v>
      </c>
      <c r="K1340" s="31" t="s">
        <v>130</v>
      </c>
      <c r="L1340" s="31" t="s">
        <v>5144</v>
      </c>
      <c r="M1340" s="31" t="s">
        <v>185</v>
      </c>
    </row>
    <row r="1341" customFormat="false" ht="43.5" hidden="false" customHeight="true" outlineLevel="0" collapsed="false">
      <c r="A1341" s="30" t="s">
        <v>5908</v>
      </c>
      <c r="B1341" s="31" t="s">
        <v>5909</v>
      </c>
      <c r="C1341" s="31" t="s">
        <v>130</v>
      </c>
      <c r="D1341" s="31" t="s">
        <v>5906</v>
      </c>
      <c r="E1341" s="31" t="str">
        <f aca="false">IF(D1341="","",IFERROR(VLOOKUP(D1341,$A$2:$B$1656,2,FALSE()),""))</f>
        <v>Cosmologies, Realms &amp; Sacred Geography</v>
      </c>
      <c r="F1341" s="31" t="n">
        <v>2</v>
      </c>
      <c r="G1341" s="31" t="s">
        <v>5910</v>
      </c>
      <c r="H1341" s="31" t="s">
        <v>5148</v>
      </c>
      <c r="I1341" s="31"/>
      <c r="J1341" s="31" t="s">
        <v>5149</v>
      </c>
      <c r="K1341" s="31" t="s">
        <v>5909</v>
      </c>
      <c r="L1341" s="31" t="s">
        <v>5150</v>
      </c>
      <c r="M1341" s="31" t="s">
        <v>206</v>
      </c>
    </row>
    <row r="1342" customFormat="false" ht="43.5" hidden="false" customHeight="true" outlineLevel="0" collapsed="false">
      <c r="A1342" s="30" t="s">
        <v>5911</v>
      </c>
      <c r="B1342" s="31" t="s">
        <v>5912</v>
      </c>
      <c r="C1342" s="31" t="s">
        <v>130</v>
      </c>
      <c r="D1342" s="31" t="s">
        <v>5906</v>
      </c>
      <c r="E1342" s="31" t="str">
        <f aca="false">IF(D1342="","",IFERROR(VLOOKUP(D1342,$A$2:$B$1656,2,FALSE()),""))</f>
        <v>Cosmologies, Realms &amp; Sacred Geography</v>
      </c>
      <c r="F1342" s="31" t="n">
        <v>2</v>
      </c>
      <c r="G1342" s="31" t="s">
        <v>5913</v>
      </c>
      <c r="H1342" s="31" t="s">
        <v>5148</v>
      </c>
      <c r="I1342" s="31"/>
      <c r="J1342" s="31" t="s">
        <v>5149</v>
      </c>
      <c r="K1342" s="31" t="s">
        <v>5912</v>
      </c>
      <c r="L1342" s="31" t="s">
        <v>5150</v>
      </c>
      <c r="M1342" s="31" t="s">
        <v>206</v>
      </c>
    </row>
    <row r="1343" customFormat="false" ht="43.5" hidden="false" customHeight="true" outlineLevel="0" collapsed="false">
      <c r="A1343" s="30" t="s">
        <v>5914</v>
      </c>
      <c r="B1343" s="31" t="s">
        <v>5915</v>
      </c>
      <c r="C1343" s="31" t="s">
        <v>130</v>
      </c>
      <c r="D1343" s="31" t="s">
        <v>5906</v>
      </c>
      <c r="E1343" s="31" t="str">
        <f aca="false">IF(D1343="","",IFERROR(VLOOKUP(D1343,$A$2:$B$1656,2,FALSE()),""))</f>
        <v>Cosmologies, Realms &amp; Sacred Geography</v>
      </c>
      <c r="F1343" s="31" t="n">
        <v>2</v>
      </c>
      <c r="G1343" s="31" t="s">
        <v>5916</v>
      </c>
      <c r="H1343" s="31" t="s">
        <v>5148</v>
      </c>
      <c r="I1343" s="31"/>
      <c r="J1343" s="31" t="s">
        <v>5149</v>
      </c>
      <c r="K1343" s="31" t="s">
        <v>5915</v>
      </c>
      <c r="L1343" s="31" t="s">
        <v>5150</v>
      </c>
      <c r="M1343" s="31" t="s">
        <v>206</v>
      </c>
    </row>
    <row r="1344" customFormat="false" ht="43.5" hidden="false" customHeight="true" outlineLevel="0" collapsed="false">
      <c r="A1344" s="30" t="s">
        <v>5917</v>
      </c>
      <c r="B1344" s="31" t="s">
        <v>5918</v>
      </c>
      <c r="C1344" s="31" t="s">
        <v>130</v>
      </c>
      <c r="D1344" s="31" t="s">
        <v>5906</v>
      </c>
      <c r="E1344" s="31" t="str">
        <f aca="false">IF(D1344="","",IFERROR(VLOOKUP(D1344,$A$2:$B$1656,2,FALSE()),""))</f>
        <v>Cosmologies, Realms &amp; Sacred Geography</v>
      </c>
      <c r="F1344" s="31" t="n">
        <v>2</v>
      </c>
      <c r="G1344" s="31" t="s">
        <v>5919</v>
      </c>
      <c r="H1344" s="31" t="s">
        <v>5148</v>
      </c>
      <c r="I1344" s="31"/>
      <c r="J1344" s="31" t="s">
        <v>5149</v>
      </c>
      <c r="K1344" s="31" t="s">
        <v>5918</v>
      </c>
      <c r="L1344" s="31" t="s">
        <v>5150</v>
      </c>
      <c r="M1344" s="31" t="s">
        <v>206</v>
      </c>
    </row>
    <row r="1345" customFormat="false" ht="43.5" hidden="false" customHeight="true" outlineLevel="0" collapsed="false">
      <c r="A1345" s="30" t="s">
        <v>5920</v>
      </c>
      <c r="B1345" s="31" t="s">
        <v>5921</v>
      </c>
      <c r="C1345" s="31" t="s">
        <v>130</v>
      </c>
      <c r="D1345" s="31" t="s">
        <v>5906</v>
      </c>
      <c r="E1345" s="31" t="str">
        <f aca="false">IF(D1345="","",IFERROR(VLOOKUP(D1345,$A$2:$B$1656,2,FALSE()),""))</f>
        <v>Cosmologies, Realms &amp; Sacred Geography</v>
      </c>
      <c r="F1345" s="31" t="n">
        <v>2</v>
      </c>
      <c r="G1345" s="31" t="s">
        <v>5922</v>
      </c>
      <c r="H1345" s="31" t="s">
        <v>5148</v>
      </c>
      <c r="I1345" s="31"/>
      <c r="J1345" s="31" t="s">
        <v>5149</v>
      </c>
      <c r="K1345" s="31" t="s">
        <v>5921</v>
      </c>
      <c r="L1345" s="31" t="s">
        <v>5150</v>
      </c>
      <c r="M1345" s="31" t="s">
        <v>206</v>
      </c>
    </row>
    <row r="1346" customFormat="false" ht="43.5" hidden="false" customHeight="true" outlineLevel="0" collapsed="false">
      <c r="A1346" s="30" t="s">
        <v>5923</v>
      </c>
      <c r="B1346" s="31" t="s">
        <v>5924</v>
      </c>
      <c r="C1346" s="31" t="s">
        <v>130</v>
      </c>
      <c r="D1346" s="31" t="s">
        <v>5906</v>
      </c>
      <c r="E1346" s="31" t="str">
        <f aca="false">IF(D1346="","",IFERROR(VLOOKUP(D1346,$A$2:$B$1656,2,FALSE()),""))</f>
        <v>Cosmologies, Realms &amp; Sacred Geography</v>
      </c>
      <c r="F1346" s="31" t="n">
        <v>2</v>
      </c>
      <c r="G1346" s="31" t="s">
        <v>5925</v>
      </c>
      <c r="H1346" s="31" t="s">
        <v>5148</v>
      </c>
      <c r="I1346" s="31"/>
      <c r="J1346" s="31" t="s">
        <v>5149</v>
      </c>
      <c r="K1346" s="31" t="s">
        <v>5924</v>
      </c>
      <c r="L1346" s="31" t="s">
        <v>5150</v>
      </c>
      <c r="M1346" s="31" t="s">
        <v>206</v>
      </c>
    </row>
    <row r="1347" customFormat="false" ht="43.5" hidden="false" customHeight="true" outlineLevel="0" collapsed="false">
      <c r="A1347" s="30" t="s">
        <v>5926</v>
      </c>
      <c r="B1347" s="31" t="s">
        <v>5927</v>
      </c>
      <c r="C1347" s="31" t="s">
        <v>130</v>
      </c>
      <c r="D1347" s="31" t="s">
        <v>5906</v>
      </c>
      <c r="E1347" s="31" t="str">
        <f aca="false">IF(D1347="","",IFERROR(VLOOKUP(D1347,$A$2:$B$1656,2,FALSE()),""))</f>
        <v>Cosmologies, Realms &amp; Sacred Geography</v>
      </c>
      <c r="F1347" s="31" t="n">
        <v>2</v>
      </c>
      <c r="G1347" s="31" t="s">
        <v>5928</v>
      </c>
      <c r="H1347" s="31" t="s">
        <v>5148</v>
      </c>
      <c r="I1347" s="31"/>
      <c r="J1347" s="31" t="s">
        <v>5149</v>
      </c>
      <c r="K1347" s="31" t="s">
        <v>5927</v>
      </c>
      <c r="L1347" s="31" t="s">
        <v>5150</v>
      </c>
      <c r="M1347" s="31" t="s">
        <v>206</v>
      </c>
    </row>
    <row r="1348" customFormat="false" ht="43.5" hidden="false" customHeight="true" outlineLevel="0" collapsed="false">
      <c r="A1348" s="30" t="s">
        <v>5929</v>
      </c>
      <c r="B1348" s="31" t="s">
        <v>5930</v>
      </c>
      <c r="C1348" s="31" t="s">
        <v>130</v>
      </c>
      <c r="D1348" s="31" t="s">
        <v>5908</v>
      </c>
      <c r="E1348" s="31" t="str">
        <f aca="false">IF(D1348="","",IFERROR(VLOOKUP(D1348,$A$2:$B$1656,2,FALSE()),""))</f>
        <v>Cosmic Structure &amp; Time</v>
      </c>
      <c r="F1348" s="31" t="n">
        <v>3</v>
      </c>
      <c r="G1348" s="31" t="s">
        <v>5931</v>
      </c>
      <c r="H1348" s="31" t="s">
        <v>5932</v>
      </c>
      <c r="I1348" s="31" t="s">
        <v>5933</v>
      </c>
      <c r="J1348" s="31" t="s">
        <v>5934</v>
      </c>
      <c r="K1348" s="31" t="s">
        <v>5935</v>
      </c>
      <c r="L1348" s="31" t="s">
        <v>5150</v>
      </c>
      <c r="M1348" s="31" t="s">
        <v>5176</v>
      </c>
    </row>
    <row r="1349" customFormat="false" ht="43.5" hidden="false" customHeight="true" outlineLevel="0" collapsed="false">
      <c r="A1349" s="30" t="s">
        <v>5936</v>
      </c>
      <c r="B1349" s="31" t="s">
        <v>5937</v>
      </c>
      <c r="C1349" s="31" t="s">
        <v>130</v>
      </c>
      <c r="D1349" s="31" t="s">
        <v>5908</v>
      </c>
      <c r="E1349" s="31" t="str">
        <f aca="false">IF(D1349="","",IFERROR(VLOOKUP(D1349,$A$2:$B$1656,2,FALSE()),""))</f>
        <v>Cosmic Structure &amp; Time</v>
      </c>
      <c r="F1349" s="31" t="n">
        <v>3</v>
      </c>
      <c r="G1349" s="31" t="s">
        <v>5938</v>
      </c>
      <c r="H1349" s="31" t="s">
        <v>5939</v>
      </c>
      <c r="I1349" s="31" t="s">
        <v>5940</v>
      </c>
      <c r="J1349" s="31" t="s">
        <v>5941</v>
      </c>
      <c r="K1349" s="31" t="s">
        <v>5942</v>
      </c>
      <c r="L1349" s="31" t="s">
        <v>5150</v>
      </c>
      <c r="M1349" s="31" t="s">
        <v>5176</v>
      </c>
    </row>
    <row r="1350" customFormat="false" ht="43.5" hidden="false" customHeight="true" outlineLevel="0" collapsed="false">
      <c r="A1350" s="30" t="s">
        <v>5943</v>
      </c>
      <c r="B1350" s="31" t="s">
        <v>5944</v>
      </c>
      <c r="C1350" s="31" t="s">
        <v>130</v>
      </c>
      <c r="D1350" s="31" t="s">
        <v>5908</v>
      </c>
      <c r="E1350" s="31" t="str">
        <f aca="false">IF(D1350="","",IFERROR(VLOOKUP(D1350,$A$2:$B$1656,2,FALSE()),""))</f>
        <v>Cosmic Structure &amp; Time</v>
      </c>
      <c r="F1350" s="31" t="n">
        <v>3</v>
      </c>
      <c r="G1350" s="31" t="s">
        <v>5945</v>
      </c>
      <c r="H1350" s="31" t="s">
        <v>5946</v>
      </c>
      <c r="I1350" s="31" t="s">
        <v>5947</v>
      </c>
      <c r="J1350" s="31" t="s">
        <v>5948</v>
      </c>
      <c r="K1350" s="31" t="s">
        <v>5949</v>
      </c>
      <c r="L1350" s="31" t="s">
        <v>5150</v>
      </c>
      <c r="M1350" s="31" t="s">
        <v>5176</v>
      </c>
    </row>
    <row r="1351" customFormat="false" ht="43.5" hidden="false" customHeight="true" outlineLevel="0" collapsed="false">
      <c r="A1351" s="30" t="s">
        <v>5950</v>
      </c>
      <c r="B1351" s="31" t="s">
        <v>5951</v>
      </c>
      <c r="C1351" s="31" t="s">
        <v>130</v>
      </c>
      <c r="D1351" s="31" t="s">
        <v>5908</v>
      </c>
      <c r="E1351" s="31" t="str">
        <f aca="false">IF(D1351="","",IFERROR(VLOOKUP(D1351,$A$2:$B$1656,2,FALSE()),""))</f>
        <v>Cosmic Structure &amp; Time</v>
      </c>
      <c r="F1351" s="31" t="n">
        <v>3</v>
      </c>
      <c r="G1351" s="31" t="s">
        <v>5952</v>
      </c>
      <c r="H1351" s="31" t="s">
        <v>5953</v>
      </c>
      <c r="I1351" s="31" t="s">
        <v>5954</v>
      </c>
      <c r="J1351" s="31" t="s">
        <v>5955</v>
      </c>
      <c r="K1351" s="31" t="s">
        <v>5956</v>
      </c>
      <c r="L1351" s="31" t="s">
        <v>5150</v>
      </c>
      <c r="M1351" s="31" t="s">
        <v>5176</v>
      </c>
    </row>
    <row r="1352" customFormat="false" ht="43.5" hidden="false" customHeight="true" outlineLevel="0" collapsed="false">
      <c r="A1352" s="30" t="s">
        <v>5957</v>
      </c>
      <c r="B1352" s="31" t="s">
        <v>5958</v>
      </c>
      <c r="C1352" s="31" t="s">
        <v>130</v>
      </c>
      <c r="D1352" s="31" t="s">
        <v>5908</v>
      </c>
      <c r="E1352" s="31" t="str">
        <f aca="false">IF(D1352="","",IFERROR(VLOOKUP(D1352,$A$2:$B$1656,2,FALSE()),""))</f>
        <v>Cosmic Structure &amp; Time</v>
      </c>
      <c r="F1352" s="31" t="n">
        <v>3</v>
      </c>
      <c r="G1352" s="31" t="s">
        <v>5959</v>
      </c>
      <c r="H1352" s="31" t="s">
        <v>5960</v>
      </c>
      <c r="I1352" s="31" t="s">
        <v>5961</v>
      </c>
      <c r="J1352" s="31" t="s">
        <v>5962</v>
      </c>
      <c r="K1352" s="31" t="s">
        <v>5963</v>
      </c>
      <c r="L1352" s="31" t="s">
        <v>5150</v>
      </c>
      <c r="M1352" s="31" t="s">
        <v>5176</v>
      </c>
    </row>
    <row r="1353" customFormat="false" ht="43.5" hidden="false" customHeight="true" outlineLevel="0" collapsed="false">
      <c r="A1353" s="30" t="s">
        <v>5964</v>
      </c>
      <c r="B1353" s="31" t="s">
        <v>5965</v>
      </c>
      <c r="C1353" s="31" t="s">
        <v>130</v>
      </c>
      <c r="D1353" s="31" t="s">
        <v>5908</v>
      </c>
      <c r="E1353" s="31" t="str">
        <f aca="false">IF(D1353="","",IFERROR(VLOOKUP(D1353,$A$2:$B$1656,2,FALSE()),""))</f>
        <v>Cosmic Structure &amp; Time</v>
      </c>
      <c r="F1353" s="31" t="n">
        <v>3</v>
      </c>
      <c r="G1353" s="31" t="s">
        <v>5966</v>
      </c>
      <c r="H1353" s="31" t="s">
        <v>5967</v>
      </c>
      <c r="I1353" s="31" t="s">
        <v>5968</v>
      </c>
      <c r="J1353" s="31" t="s">
        <v>5969</v>
      </c>
      <c r="K1353" s="31" t="s">
        <v>5970</v>
      </c>
      <c r="L1353" s="31" t="s">
        <v>5150</v>
      </c>
      <c r="M1353" s="31" t="s">
        <v>5176</v>
      </c>
    </row>
    <row r="1354" customFormat="false" ht="43.5" hidden="false" customHeight="true" outlineLevel="0" collapsed="false">
      <c r="A1354" s="30" t="s">
        <v>5971</v>
      </c>
      <c r="B1354" s="31" t="s">
        <v>5972</v>
      </c>
      <c r="C1354" s="31" t="s">
        <v>130</v>
      </c>
      <c r="D1354" s="31" t="s">
        <v>5908</v>
      </c>
      <c r="E1354" s="31" t="str">
        <f aca="false">IF(D1354="","",IFERROR(VLOOKUP(D1354,$A$2:$B$1656,2,FALSE()),""))</f>
        <v>Cosmic Structure &amp; Time</v>
      </c>
      <c r="F1354" s="31" t="n">
        <v>3</v>
      </c>
      <c r="G1354" s="31" t="s">
        <v>5973</v>
      </c>
      <c r="H1354" s="31" t="s">
        <v>5974</v>
      </c>
      <c r="I1354" s="31" t="s">
        <v>5975</v>
      </c>
      <c r="J1354" s="31" t="s">
        <v>5976</v>
      </c>
      <c r="K1354" s="31" t="s">
        <v>5977</v>
      </c>
      <c r="L1354" s="31" t="s">
        <v>5150</v>
      </c>
      <c r="M1354" s="31" t="s">
        <v>5176</v>
      </c>
    </row>
    <row r="1355" customFormat="false" ht="43.5" hidden="false" customHeight="true" outlineLevel="0" collapsed="false">
      <c r="A1355" s="30" t="s">
        <v>5978</v>
      </c>
      <c r="B1355" s="31" t="s">
        <v>5979</v>
      </c>
      <c r="C1355" s="31" t="s">
        <v>130</v>
      </c>
      <c r="D1355" s="31" t="s">
        <v>5908</v>
      </c>
      <c r="E1355" s="31" t="str">
        <f aca="false">IF(D1355="","",IFERROR(VLOOKUP(D1355,$A$2:$B$1656,2,FALSE()),""))</f>
        <v>Cosmic Structure &amp; Time</v>
      </c>
      <c r="F1355" s="31" t="n">
        <v>3</v>
      </c>
      <c r="G1355" s="31" t="s">
        <v>5980</v>
      </c>
      <c r="H1355" s="31" t="s">
        <v>5981</v>
      </c>
      <c r="I1355" s="31" t="s">
        <v>5982</v>
      </c>
      <c r="J1355" s="31" t="s">
        <v>5983</v>
      </c>
      <c r="K1355" s="31" t="s">
        <v>5984</v>
      </c>
      <c r="L1355" s="31" t="s">
        <v>5150</v>
      </c>
      <c r="M1355" s="31" t="s">
        <v>5176</v>
      </c>
    </row>
    <row r="1356" customFormat="false" ht="43.5" hidden="false" customHeight="true" outlineLevel="0" collapsed="false">
      <c r="A1356" s="30" t="s">
        <v>5985</v>
      </c>
      <c r="B1356" s="31" t="s">
        <v>5986</v>
      </c>
      <c r="C1356" s="31" t="s">
        <v>130</v>
      </c>
      <c r="D1356" s="31" t="s">
        <v>5908</v>
      </c>
      <c r="E1356" s="31" t="str">
        <f aca="false">IF(D1356="","",IFERROR(VLOOKUP(D1356,$A$2:$B$1656,2,FALSE()),""))</f>
        <v>Cosmic Structure &amp; Time</v>
      </c>
      <c r="F1356" s="31" t="n">
        <v>3</v>
      </c>
      <c r="G1356" s="31" t="s">
        <v>5987</v>
      </c>
      <c r="H1356" s="31" t="s">
        <v>5988</v>
      </c>
      <c r="I1356" s="31" t="s">
        <v>5989</v>
      </c>
      <c r="J1356" s="31" t="s">
        <v>5990</v>
      </c>
      <c r="K1356" s="31" t="s">
        <v>5991</v>
      </c>
      <c r="L1356" s="31" t="s">
        <v>5150</v>
      </c>
      <c r="M1356" s="31" t="s">
        <v>5176</v>
      </c>
    </row>
    <row r="1357" customFormat="false" ht="43.5" hidden="false" customHeight="true" outlineLevel="0" collapsed="false">
      <c r="A1357" s="30" t="s">
        <v>5992</v>
      </c>
      <c r="B1357" s="31" t="s">
        <v>5993</v>
      </c>
      <c r="C1357" s="31" t="s">
        <v>130</v>
      </c>
      <c r="D1357" s="31" t="s">
        <v>5908</v>
      </c>
      <c r="E1357" s="31" t="str">
        <f aca="false">IF(D1357="","",IFERROR(VLOOKUP(D1357,$A$2:$B$1656,2,FALSE()),""))</f>
        <v>Cosmic Structure &amp; Time</v>
      </c>
      <c r="F1357" s="31" t="n">
        <v>3</v>
      </c>
      <c r="G1357" s="31" t="s">
        <v>5994</v>
      </c>
      <c r="H1357" s="31" t="s">
        <v>5995</v>
      </c>
      <c r="I1357" s="31" t="s">
        <v>5996</v>
      </c>
      <c r="J1357" s="31" t="s">
        <v>5997</v>
      </c>
      <c r="K1357" s="31" t="s">
        <v>5998</v>
      </c>
      <c r="L1357" s="31" t="s">
        <v>5150</v>
      </c>
      <c r="M1357" s="31" t="s">
        <v>5176</v>
      </c>
    </row>
    <row r="1358" customFormat="false" ht="43.5" hidden="false" customHeight="true" outlineLevel="0" collapsed="false">
      <c r="A1358" s="30" t="s">
        <v>5999</v>
      </c>
      <c r="B1358" s="31" t="s">
        <v>6000</v>
      </c>
      <c r="C1358" s="31" t="s">
        <v>130</v>
      </c>
      <c r="D1358" s="31" t="s">
        <v>5908</v>
      </c>
      <c r="E1358" s="31" t="str">
        <f aca="false">IF(D1358="","",IFERROR(VLOOKUP(D1358,$A$2:$B$1656,2,FALSE()),""))</f>
        <v>Cosmic Structure &amp; Time</v>
      </c>
      <c r="F1358" s="31" t="n">
        <v>3</v>
      </c>
      <c r="G1358" s="31" t="s">
        <v>6001</v>
      </c>
      <c r="H1358" s="31" t="s">
        <v>6002</v>
      </c>
      <c r="I1358" s="31" t="s">
        <v>6003</v>
      </c>
      <c r="J1358" s="31" t="s">
        <v>6004</v>
      </c>
      <c r="K1358" s="31" t="s">
        <v>6005</v>
      </c>
      <c r="L1358" s="31" t="s">
        <v>5150</v>
      </c>
      <c r="M1358" s="31" t="s">
        <v>5176</v>
      </c>
    </row>
    <row r="1359" customFormat="false" ht="43.5" hidden="false" customHeight="true" outlineLevel="0" collapsed="false">
      <c r="A1359" s="30" t="s">
        <v>6006</v>
      </c>
      <c r="B1359" s="31" t="s">
        <v>6007</v>
      </c>
      <c r="C1359" s="31" t="s">
        <v>130</v>
      </c>
      <c r="D1359" s="31" t="s">
        <v>5908</v>
      </c>
      <c r="E1359" s="31" t="str">
        <f aca="false">IF(D1359="","",IFERROR(VLOOKUP(D1359,$A$2:$B$1656,2,FALSE()),""))</f>
        <v>Cosmic Structure &amp; Time</v>
      </c>
      <c r="F1359" s="31" t="n">
        <v>3</v>
      </c>
      <c r="G1359" s="31" t="s">
        <v>6008</v>
      </c>
      <c r="H1359" s="31" t="s">
        <v>6009</v>
      </c>
      <c r="I1359" s="31" t="s">
        <v>6010</v>
      </c>
      <c r="J1359" s="31" t="s">
        <v>6011</v>
      </c>
      <c r="K1359" s="31" t="s">
        <v>6012</v>
      </c>
      <c r="L1359" s="31" t="s">
        <v>5150</v>
      </c>
      <c r="M1359" s="31" t="s">
        <v>5176</v>
      </c>
    </row>
    <row r="1360" customFormat="false" ht="43.5" hidden="false" customHeight="true" outlineLevel="0" collapsed="false">
      <c r="A1360" s="30" t="s">
        <v>6013</v>
      </c>
      <c r="B1360" s="31" t="s">
        <v>6014</v>
      </c>
      <c r="C1360" s="31" t="s">
        <v>130</v>
      </c>
      <c r="D1360" s="31" t="s">
        <v>5908</v>
      </c>
      <c r="E1360" s="31" t="str">
        <f aca="false">IF(D1360="","",IFERROR(VLOOKUP(D1360,$A$2:$B$1656,2,FALSE()),""))</f>
        <v>Cosmic Structure &amp; Time</v>
      </c>
      <c r="F1360" s="31" t="n">
        <v>3</v>
      </c>
      <c r="G1360" s="31" t="s">
        <v>6015</v>
      </c>
      <c r="H1360" s="31" t="s">
        <v>6016</v>
      </c>
      <c r="I1360" s="31" t="s">
        <v>6017</v>
      </c>
      <c r="J1360" s="31" t="s">
        <v>6018</v>
      </c>
      <c r="K1360" s="31" t="s">
        <v>6019</v>
      </c>
      <c r="L1360" s="31" t="s">
        <v>5150</v>
      </c>
      <c r="M1360" s="31" t="s">
        <v>5176</v>
      </c>
    </row>
    <row r="1361" customFormat="false" ht="43.5" hidden="false" customHeight="true" outlineLevel="0" collapsed="false">
      <c r="A1361" s="30" t="s">
        <v>6020</v>
      </c>
      <c r="B1361" s="31" t="s">
        <v>6021</v>
      </c>
      <c r="C1361" s="31" t="s">
        <v>130</v>
      </c>
      <c r="D1361" s="31" t="s">
        <v>5908</v>
      </c>
      <c r="E1361" s="31" t="str">
        <f aca="false">IF(D1361="","",IFERROR(VLOOKUP(D1361,$A$2:$B$1656,2,FALSE()),""))</f>
        <v>Cosmic Structure &amp; Time</v>
      </c>
      <c r="F1361" s="31" t="n">
        <v>3</v>
      </c>
      <c r="G1361" s="31" t="s">
        <v>6022</v>
      </c>
      <c r="H1361" s="31" t="s">
        <v>6023</v>
      </c>
      <c r="I1361" s="31" t="s">
        <v>6024</v>
      </c>
      <c r="J1361" s="31" t="s">
        <v>6025</v>
      </c>
      <c r="K1361" s="31" t="s">
        <v>6026</v>
      </c>
      <c r="L1361" s="31" t="s">
        <v>5150</v>
      </c>
      <c r="M1361" s="31" t="s">
        <v>5176</v>
      </c>
    </row>
    <row r="1362" customFormat="false" ht="43.5" hidden="false" customHeight="true" outlineLevel="0" collapsed="false">
      <c r="A1362" s="30" t="s">
        <v>6027</v>
      </c>
      <c r="B1362" s="31" t="s">
        <v>6028</v>
      </c>
      <c r="C1362" s="31" t="s">
        <v>130</v>
      </c>
      <c r="D1362" s="31" t="s">
        <v>5908</v>
      </c>
      <c r="E1362" s="31" t="str">
        <f aca="false">IF(D1362="","",IFERROR(VLOOKUP(D1362,$A$2:$B$1656,2,FALSE()),""))</f>
        <v>Cosmic Structure &amp; Time</v>
      </c>
      <c r="F1362" s="31" t="n">
        <v>3</v>
      </c>
      <c r="G1362" s="31" t="s">
        <v>6029</v>
      </c>
      <c r="H1362" s="31" t="s">
        <v>6030</v>
      </c>
      <c r="I1362" s="31" t="s">
        <v>6031</v>
      </c>
      <c r="J1362" s="31" t="s">
        <v>6032</v>
      </c>
      <c r="K1362" s="31" t="s">
        <v>6033</v>
      </c>
      <c r="L1362" s="31" t="s">
        <v>5150</v>
      </c>
      <c r="M1362" s="31" t="s">
        <v>5176</v>
      </c>
    </row>
    <row r="1363" customFormat="false" ht="43.5" hidden="false" customHeight="true" outlineLevel="0" collapsed="false">
      <c r="A1363" s="30" t="s">
        <v>6034</v>
      </c>
      <c r="B1363" s="31" t="s">
        <v>6035</v>
      </c>
      <c r="C1363" s="31" t="s">
        <v>130</v>
      </c>
      <c r="D1363" s="31" t="s">
        <v>5908</v>
      </c>
      <c r="E1363" s="31" t="str">
        <f aca="false">IF(D1363="","",IFERROR(VLOOKUP(D1363,$A$2:$B$1656,2,FALSE()),""))</f>
        <v>Cosmic Structure &amp; Time</v>
      </c>
      <c r="F1363" s="31" t="n">
        <v>3</v>
      </c>
      <c r="G1363" s="31" t="s">
        <v>6036</v>
      </c>
      <c r="H1363" s="31" t="s">
        <v>6037</v>
      </c>
      <c r="I1363" s="31" t="s">
        <v>6038</v>
      </c>
      <c r="J1363" s="31" t="s">
        <v>6039</v>
      </c>
      <c r="K1363" s="31" t="s">
        <v>6040</v>
      </c>
      <c r="L1363" s="31" t="s">
        <v>5150</v>
      </c>
      <c r="M1363" s="31" t="s">
        <v>5176</v>
      </c>
    </row>
    <row r="1364" customFormat="false" ht="43.5" hidden="false" customHeight="true" outlineLevel="0" collapsed="false">
      <c r="A1364" s="30" t="s">
        <v>6041</v>
      </c>
      <c r="B1364" s="31" t="s">
        <v>6042</v>
      </c>
      <c r="C1364" s="31" t="s">
        <v>130</v>
      </c>
      <c r="D1364" s="31" t="s">
        <v>5908</v>
      </c>
      <c r="E1364" s="31" t="str">
        <f aca="false">IF(D1364="","",IFERROR(VLOOKUP(D1364,$A$2:$B$1656,2,FALSE()),""))</f>
        <v>Cosmic Structure &amp; Time</v>
      </c>
      <c r="F1364" s="31" t="n">
        <v>3</v>
      </c>
      <c r="G1364" s="31" t="s">
        <v>6043</v>
      </c>
      <c r="H1364" s="31" t="s">
        <v>6044</v>
      </c>
      <c r="I1364" s="31" t="s">
        <v>6045</v>
      </c>
      <c r="J1364" s="31" t="s">
        <v>6046</v>
      </c>
      <c r="K1364" s="31" t="s">
        <v>6047</v>
      </c>
      <c r="L1364" s="31" t="s">
        <v>5150</v>
      </c>
      <c r="M1364" s="31" t="s">
        <v>5176</v>
      </c>
    </row>
    <row r="1365" customFormat="false" ht="43.5" hidden="false" customHeight="true" outlineLevel="0" collapsed="false">
      <c r="A1365" s="30" t="s">
        <v>6048</v>
      </c>
      <c r="B1365" s="31" t="s">
        <v>6049</v>
      </c>
      <c r="C1365" s="31" t="s">
        <v>130</v>
      </c>
      <c r="D1365" s="31" t="s">
        <v>5908</v>
      </c>
      <c r="E1365" s="31" t="str">
        <f aca="false">IF(D1365="","",IFERROR(VLOOKUP(D1365,$A$2:$B$1656,2,FALSE()),""))</f>
        <v>Cosmic Structure &amp; Time</v>
      </c>
      <c r="F1365" s="31" t="n">
        <v>3</v>
      </c>
      <c r="G1365" s="31" t="s">
        <v>6050</v>
      </c>
      <c r="H1365" s="31" t="s">
        <v>6051</v>
      </c>
      <c r="I1365" s="31" t="s">
        <v>6052</v>
      </c>
      <c r="J1365" s="31" t="s">
        <v>6053</v>
      </c>
      <c r="K1365" s="31" t="s">
        <v>6054</v>
      </c>
      <c r="L1365" s="31" t="s">
        <v>5150</v>
      </c>
      <c r="M1365" s="31" t="s">
        <v>5176</v>
      </c>
    </row>
    <row r="1366" customFormat="false" ht="43.5" hidden="false" customHeight="true" outlineLevel="0" collapsed="false">
      <c r="A1366" s="30" t="s">
        <v>6055</v>
      </c>
      <c r="B1366" s="31" t="s">
        <v>6056</v>
      </c>
      <c r="C1366" s="31" t="s">
        <v>130</v>
      </c>
      <c r="D1366" s="31" t="s">
        <v>5908</v>
      </c>
      <c r="E1366" s="31" t="str">
        <f aca="false">IF(D1366="","",IFERROR(VLOOKUP(D1366,$A$2:$B$1656,2,FALSE()),""))</f>
        <v>Cosmic Structure &amp; Time</v>
      </c>
      <c r="F1366" s="31" t="n">
        <v>3</v>
      </c>
      <c r="G1366" s="31" t="s">
        <v>6057</v>
      </c>
      <c r="H1366" s="31" t="s">
        <v>6058</v>
      </c>
      <c r="I1366" s="31" t="s">
        <v>6059</v>
      </c>
      <c r="J1366" s="31" t="s">
        <v>6060</v>
      </c>
      <c r="K1366" s="31" t="s">
        <v>6061</v>
      </c>
      <c r="L1366" s="31" t="s">
        <v>5150</v>
      </c>
      <c r="M1366" s="31" t="s">
        <v>5176</v>
      </c>
    </row>
    <row r="1367" customFormat="false" ht="43.5" hidden="false" customHeight="true" outlineLevel="0" collapsed="false">
      <c r="A1367" s="30" t="s">
        <v>6062</v>
      </c>
      <c r="B1367" s="31" t="s">
        <v>6063</v>
      </c>
      <c r="C1367" s="31" t="s">
        <v>130</v>
      </c>
      <c r="D1367" s="31" t="s">
        <v>5908</v>
      </c>
      <c r="E1367" s="31" t="str">
        <f aca="false">IF(D1367="","",IFERROR(VLOOKUP(D1367,$A$2:$B$1656,2,FALSE()),""))</f>
        <v>Cosmic Structure &amp; Time</v>
      </c>
      <c r="F1367" s="31" t="n">
        <v>3</v>
      </c>
      <c r="G1367" s="31" t="s">
        <v>6064</v>
      </c>
      <c r="H1367" s="31" t="s">
        <v>6065</v>
      </c>
      <c r="I1367" s="31" t="s">
        <v>6066</v>
      </c>
      <c r="J1367" s="31" t="s">
        <v>6067</v>
      </c>
      <c r="K1367" s="31" t="s">
        <v>6068</v>
      </c>
      <c r="L1367" s="31" t="s">
        <v>5150</v>
      </c>
      <c r="M1367" s="31" t="s">
        <v>5176</v>
      </c>
    </row>
    <row r="1368" customFormat="false" ht="43.5" hidden="false" customHeight="true" outlineLevel="0" collapsed="false">
      <c r="A1368" s="30" t="s">
        <v>6069</v>
      </c>
      <c r="B1368" s="31" t="s">
        <v>6070</v>
      </c>
      <c r="C1368" s="31" t="s">
        <v>130</v>
      </c>
      <c r="D1368" s="31" t="s">
        <v>5911</v>
      </c>
      <c r="E1368" s="31" t="str">
        <f aca="false">IF(D1368="","",IFERROR(VLOOKUP(D1368,$A$2:$B$1656,2,FALSE()),""))</f>
        <v>Divine, Spirit &amp; Elemental Realms</v>
      </c>
      <c r="F1368" s="31" t="n">
        <v>3</v>
      </c>
      <c r="G1368" s="31" t="s">
        <v>6071</v>
      </c>
      <c r="H1368" s="31" t="s">
        <v>6072</v>
      </c>
      <c r="I1368" s="31" t="s">
        <v>6073</v>
      </c>
      <c r="J1368" s="31" t="s">
        <v>6074</v>
      </c>
      <c r="K1368" s="31" t="s">
        <v>6075</v>
      </c>
      <c r="L1368" s="31" t="s">
        <v>5150</v>
      </c>
      <c r="M1368" s="31" t="s">
        <v>5176</v>
      </c>
    </row>
    <row r="1369" customFormat="false" ht="43.5" hidden="false" customHeight="true" outlineLevel="0" collapsed="false">
      <c r="A1369" s="30" t="s">
        <v>6076</v>
      </c>
      <c r="B1369" s="31" t="s">
        <v>6077</v>
      </c>
      <c r="C1369" s="31" t="s">
        <v>130</v>
      </c>
      <c r="D1369" s="31" t="s">
        <v>5911</v>
      </c>
      <c r="E1369" s="31" t="str">
        <f aca="false">IF(D1369="","",IFERROR(VLOOKUP(D1369,$A$2:$B$1656,2,FALSE()),""))</f>
        <v>Divine, Spirit &amp; Elemental Realms</v>
      </c>
      <c r="F1369" s="31" t="n">
        <v>3</v>
      </c>
      <c r="G1369" s="31" t="s">
        <v>6078</v>
      </c>
      <c r="H1369" s="31" t="s">
        <v>6079</v>
      </c>
      <c r="I1369" s="31" t="s">
        <v>6080</v>
      </c>
      <c r="J1369" s="31" t="s">
        <v>6081</v>
      </c>
      <c r="K1369" s="31" t="s">
        <v>6082</v>
      </c>
      <c r="L1369" s="31" t="s">
        <v>5150</v>
      </c>
      <c r="M1369" s="31" t="s">
        <v>5176</v>
      </c>
    </row>
    <row r="1370" customFormat="false" ht="43.5" hidden="false" customHeight="true" outlineLevel="0" collapsed="false">
      <c r="A1370" s="30" t="s">
        <v>6083</v>
      </c>
      <c r="B1370" s="31" t="s">
        <v>6084</v>
      </c>
      <c r="C1370" s="31" t="s">
        <v>130</v>
      </c>
      <c r="D1370" s="31" t="s">
        <v>5911</v>
      </c>
      <c r="E1370" s="31" t="str">
        <f aca="false">IF(D1370="","",IFERROR(VLOOKUP(D1370,$A$2:$B$1656,2,FALSE()),""))</f>
        <v>Divine, Spirit &amp; Elemental Realms</v>
      </c>
      <c r="F1370" s="31" t="n">
        <v>3</v>
      </c>
      <c r="G1370" s="31" t="s">
        <v>6085</v>
      </c>
      <c r="H1370" s="31" t="s">
        <v>6086</v>
      </c>
      <c r="I1370" s="31" t="s">
        <v>6087</v>
      </c>
      <c r="J1370" s="31" t="s">
        <v>6088</v>
      </c>
      <c r="K1370" s="31" t="s">
        <v>6089</v>
      </c>
      <c r="L1370" s="31" t="s">
        <v>5150</v>
      </c>
      <c r="M1370" s="31" t="s">
        <v>5176</v>
      </c>
    </row>
    <row r="1371" customFormat="false" ht="43.5" hidden="false" customHeight="true" outlineLevel="0" collapsed="false">
      <c r="A1371" s="30" t="s">
        <v>6090</v>
      </c>
      <c r="B1371" s="31" t="s">
        <v>6091</v>
      </c>
      <c r="C1371" s="31" t="s">
        <v>130</v>
      </c>
      <c r="D1371" s="31" t="s">
        <v>5911</v>
      </c>
      <c r="E1371" s="31" t="str">
        <f aca="false">IF(D1371="","",IFERROR(VLOOKUP(D1371,$A$2:$B$1656,2,FALSE()),""))</f>
        <v>Divine, Spirit &amp; Elemental Realms</v>
      </c>
      <c r="F1371" s="31" t="n">
        <v>3</v>
      </c>
      <c r="G1371" s="31" t="s">
        <v>6092</v>
      </c>
      <c r="H1371" s="31" t="s">
        <v>6093</v>
      </c>
      <c r="I1371" s="31" t="s">
        <v>6094</v>
      </c>
      <c r="J1371" s="31" t="s">
        <v>6095</v>
      </c>
      <c r="K1371" s="31" t="s">
        <v>6096</v>
      </c>
      <c r="L1371" s="31" t="s">
        <v>5150</v>
      </c>
      <c r="M1371" s="31" t="s">
        <v>5176</v>
      </c>
    </row>
    <row r="1372" customFormat="false" ht="43.5" hidden="false" customHeight="true" outlineLevel="0" collapsed="false">
      <c r="A1372" s="30" t="s">
        <v>6097</v>
      </c>
      <c r="B1372" s="31" t="s">
        <v>6098</v>
      </c>
      <c r="C1372" s="31" t="s">
        <v>130</v>
      </c>
      <c r="D1372" s="31" t="s">
        <v>5911</v>
      </c>
      <c r="E1372" s="31" t="str">
        <f aca="false">IF(D1372="","",IFERROR(VLOOKUP(D1372,$A$2:$B$1656,2,FALSE()),""))</f>
        <v>Divine, Spirit &amp; Elemental Realms</v>
      </c>
      <c r="F1372" s="31" t="n">
        <v>3</v>
      </c>
      <c r="G1372" s="31" t="s">
        <v>6099</v>
      </c>
      <c r="H1372" s="31" t="s">
        <v>6100</v>
      </c>
      <c r="I1372" s="31" t="s">
        <v>6101</v>
      </c>
      <c r="J1372" s="31" t="s">
        <v>6102</v>
      </c>
      <c r="K1372" s="31" t="s">
        <v>6103</v>
      </c>
      <c r="L1372" s="31" t="s">
        <v>5150</v>
      </c>
      <c r="M1372" s="31" t="s">
        <v>5176</v>
      </c>
    </row>
    <row r="1373" customFormat="false" ht="43.5" hidden="false" customHeight="true" outlineLevel="0" collapsed="false">
      <c r="A1373" s="30" t="s">
        <v>6104</v>
      </c>
      <c r="B1373" s="31" t="s">
        <v>6105</v>
      </c>
      <c r="C1373" s="31" t="s">
        <v>130</v>
      </c>
      <c r="D1373" s="31" t="s">
        <v>5911</v>
      </c>
      <c r="E1373" s="31" t="str">
        <f aca="false">IF(D1373="","",IFERROR(VLOOKUP(D1373,$A$2:$B$1656,2,FALSE()),""))</f>
        <v>Divine, Spirit &amp; Elemental Realms</v>
      </c>
      <c r="F1373" s="31" t="n">
        <v>3</v>
      </c>
      <c r="G1373" s="31" t="s">
        <v>6106</v>
      </c>
      <c r="H1373" s="31" t="s">
        <v>6107</v>
      </c>
      <c r="I1373" s="31" t="s">
        <v>6108</v>
      </c>
      <c r="J1373" s="31" t="s">
        <v>6109</v>
      </c>
      <c r="K1373" s="31" t="s">
        <v>6110</v>
      </c>
      <c r="L1373" s="31" t="s">
        <v>5150</v>
      </c>
      <c r="M1373" s="31" t="s">
        <v>5176</v>
      </c>
    </row>
    <row r="1374" customFormat="false" ht="43.5" hidden="false" customHeight="true" outlineLevel="0" collapsed="false">
      <c r="A1374" s="30" t="s">
        <v>6111</v>
      </c>
      <c r="B1374" s="31" t="s">
        <v>6112</v>
      </c>
      <c r="C1374" s="31" t="s">
        <v>130</v>
      </c>
      <c r="D1374" s="31" t="s">
        <v>5911</v>
      </c>
      <c r="E1374" s="31" t="str">
        <f aca="false">IF(D1374="","",IFERROR(VLOOKUP(D1374,$A$2:$B$1656,2,FALSE()),""))</f>
        <v>Divine, Spirit &amp; Elemental Realms</v>
      </c>
      <c r="F1374" s="31" t="n">
        <v>3</v>
      </c>
      <c r="G1374" s="31" t="s">
        <v>6113</v>
      </c>
      <c r="H1374" s="31" t="s">
        <v>6114</v>
      </c>
      <c r="I1374" s="31" t="s">
        <v>6115</v>
      </c>
      <c r="J1374" s="31" t="s">
        <v>6116</v>
      </c>
      <c r="K1374" s="31" t="s">
        <v>6117</v>
      </c>
      <c r="L1374" s="31" t="s">
        <v>5150</v>
      </c>
      <c r="M1374" s="31" t="s">
        <v>5176</v>
      </c>
    </row>
    <row r="1375" customFormat="false" ht="43.5" hidden="false" customHeight="true" outlineLevel="0" collapsed="false">
      <c r="A1375" s="30" t="s">
        <v>6118</v>
      </c>
      <c r="B1375" s="31" t="s">
        <v>6119</v>
      </c>
      <c r="C1375" s="31" t="s">
        <v>130</v>
      </c>
      <c r="D1375" s="31" t="s">
        <v>5911</v>
      </c>
      <c r="E1375" s="31" t="str">
        <f aca="false">IF(D1375="","",IFERROR(VLOOKUP(D1375,$A$2:$B$1656,2,FALSE()),""))</f>
        <v>Divine, Spirit &amp; Elemental Realms</v>
      </c>
      <c r="F1375" s="31" t="n">
        <v>3</v>
      </c>
      <c r="G1375" s="31" t="s">
        <v>6120</v>
      </c>
      <c r="H1375" s="31" t="s">
        <v>6121</v>
      </c>
      <c r="I1375" s="31" t="s">
        <v>6122</v>
      </c>
      <c r="J1375" s="31" t="s">
        <v>6123</v>
      </c>
      <c r="K1375" s="31" t="s">
        <v>6124</v>
      </c>
      <c r="L1375" s="31" t="s">
        <v>5150</v>
      </c>
      <c r="M1375" s="31" t="s">
        <v>5176</v>
      </c>
    </row>
    <row r="1376" customFormat="false" ht="43.5" hidden="false" customHeight="true" outlineLevel="0" collapsed="false">
      <c r="A1376" s="30" t="s">
        <v>6125</v>
      </c>
      <c r="B1376" s="31" t="s">
        <v>6126</v>
      </c>
      <c r="C1376" s="31" t="s">
        <v>130</v>
      </c>
      <c r="D1376" s="31" t="s">
        <v>5911</v>
      </c>
      <c r="E1376" s="31" t="str">
        <f aca="false">IF(D1376="","",IFERROR(VLOOKUP(D1376,$A$2:$B$1656,2,FALSE()),""))</f>
        <v>Divine, Spirit &amp; Elemental Realms</v>
      </c>
      <c r="F1376" s="31" t="n">
        <v>3</v>
      </c>
      <c r="G1376" s="31" t="s">
        <v>6127</v>
      </c>
      <c r="H1376" s="31" t="s">
        <v>6128</v>
      </c>
      <c r="I1376" s="31" t="s">
        <v>6129</v>
      </c>
      <c r="J1376" s="31" t="s">
        <v>6130</v>
      </c>
      <c r="K1376" s="31" t="s">
        <v>6131</v>
      </c>
      <c r="L1376" s="31" t="s">
        <v>5150</v>
      </c>
      <c r="M1376" s="31" t="s">
        <v>5176</v>
      </c>
    </row>
    <row r="1377" customFormat="false" ht="43.5" hidden="false" customHeight="true" outlineLevel="0" collapsed="false">
      <c r="A1377" s="30" t="s">
        <v>6132</v>
      </c>
      <c r="B1377" s="31" t="s">
        <v>6133</v>
      </c>
      <c r="C1377" s="31" t="s">
        <v>130</v>
      </c>
      <c r="D1377" s="31" t="s">
        <v>5911</v>
      </c>
      <c r="E1377" s="31" t="str">
        <f aca="false">IF(D1377="","",IFERROR(VLOOKUP(D1377,$A$2:$B$1656,2,FALSE()),""))</f>
        <v>Divine, Spirit &amp; Elemental Realms</v>
      </c>
      <c r="F1377" s="31" t="n">
        <v>3</v>
      </c>
      <c r="G1377" s="31" t="s">
        <v>6134</v>
      </c>
      <c r="H1377" s="31" t="s">
        <v>6135</v>
      </c>
      <c r="I1377" s="31" t="s">
        <v>6136</v>
      </c>
      <c r="J1377" s="31" t="s">
        <v>6137</v>
      </c>
      <c r="K1377" s="31" t="s">
        <v>6138</v>
      </c>
      <c r="L1377" s="31" t="s">
        <v>5150</v>
      </c>
      <c r="M1377" s="31" t="s">
        <v>5176</v>
      </c>
    </row>
    <row r="1378" customFormat="false" ht="43.5" hidden="false" customHeight="true" outlineLevel="0" collapsed="false">
      <c r="A1378" s="30" t="s">
        <v>6139</v>
      </c>
      <c r="B1378" s="31" t="s">
        <v>6140</v>
      </c>
      <c r="C1378" s="31" t="s">
        <v>130</v>
      </c>
      <c r="D1378" s="31" t="s">
        <v>5911</v>
      </c>
      <c r="E1378" s="31" t="str">
        <f aca="false">IF(D1378="","",IFERROR(VLOOKUP(D1378,$A$2:$B$1656,2,FALSE()),""))</f>
        <v>Divine, Spirit &amp; Elemental Realms</v>
      </c>
      <c r="F1378" s="31" t="n">
        <v>3</v>
      </c>
      <c r="G1378" s="31" t="s">
        <v>6141</v>
      </c>
      <c r="H1378" s="31" t="s">
        <v>6142</v>
      </c>
      <c r="I1378" s="31" t="s">
        <v>6143</v>
      </c>
      <c r="J1378" s="31" t="s">
        <v>6144</v>
      </c>
      <c r="K1378" s="31" t="s">
        <v>6145</v>
      </c>
      <c r="L1378" s="31" t="s">
        <v>5150</v>
      </c>
      <c r="M1378" s="31" t="s">
        <v>5176</v>
      </c>
    </row>
    <row r="1379" customFormat="false" ht="43.5" hidden="false" customHeight="true" outlineLevel="0" collapsed="false">
      <c r="A1379" s="30" t="s">
        <v>6146</v>
      </c>
      <c r="B1379" s="31" t="s">
        <v>6147</v>
      </c>
      <c r="C1379" s="31" t="s">
        <v>130</v>
      </c>
      <c r="D1379" s="31" t="s">
        <v>5911</v>
      </c>
      <c r="E1379" s="31" t="str">
        <f aca="false">IF(D1379="","",IFERROR(VLOOKUP(D1379,$A$2:$B$1656,2,FALSE()),""))</f>
        <v>Divine, Spirit &amp; Elemental Realms</v>
      </c>
      <c r="F1379" s="31" t="n">
        <v>3</v>
      </c>
      <c r="G1379" s="31" t="s">
        <v>6148</v>
      </c>
      <c r="H1379" s="31" t="s">
        <v>6149</v>
      </c>
      <c r="I1379" s="31" t="s">
        <v>6150</v>
      </c>
      <c r="J1379" s="31" t="s">
        <v>6151</v>
      </c>
      <c r="K1379" s="31" t="s">
        <v>6152</v>
      </c>
      <c r="L1379" s="31" t="s">
        <v>5150</v>
      </c>
      <c r="M1379" s="31" t="s">
        <v>5176</v>
      </c>
    </row>
    <row r="1380" customFormat="false" ht="43.5" hidden="false" customHeight="true" outlineLevel="0" collapsed="false">
      <c r="A1380" s="30" t="s">
        <v>6153</v>
      </c>
      <c r="B1380" s="31" t="s">
        <v>6154</v>
      </c>
      <c r="C1380" s="31" t="s">
        <v>130</v>
      </c>
      <c r="D1380" s="31" t="s">
        <v>5911</v>
      </c>
      <c r="E1380" s="31" t="str">
        <f aca="false">IF(D1380="","",IFERROR(VLOOKUP(D1380,$A$2:$B$1656,2,FALSE()),""))</f>
        <v>Divine, Spirit &amp; Elemental Realms</v>
      </c>
      <c r="F1380" s="31" t="n">
        <v>3</v>
      </c>
      <c r="G1380" s="31" t="s">
        <v>6155</v>
      </c>
      <c r="H1380" s="31" t="s">
        <v>6156</v>
      </c>
      <c r="I1380" s="31" t="s">
        <v>6157</v>
      </c>
      <c r="J1380" s="31" t="s">
        <v>6158</v>
      </c>
      <c r="K1380" s="31" t="s">
        <v>6159</v>
      </c>
      <c r="L1380" s="31" t="s">
        <v>5150</v>
      </c>
      <c r="M1380" s="31" t="s">
        <v>5176</v>
      </c>
    </row>
    <row r="1381" customFormat="false" ht="43.5" hidden="false" customHeight="true" outlineLevel="0" collapsed="false">
      <c r="A1381" s="30" t="s">
        <v>6160</v>
      </c>
      <c r="B1381" s="31" t="s">
        <v>6161</v>
      </c>
      <c r="C1381" s="31" t="s">
        <v>130</v>
      </c>
      <c r="D1381" s="31" t="s">
        <v>5911</v>
      </c>
      <c r="E1381" s="31" t="str">
        <f aca="false">IF(D1381="","",IFERROR(VLOOKUP(D1381,$A$2:$B$1656,2,FALSE()),""))</f>
        <v>Divine, Spirit &amp; Elemental Realms</v>
      </c>
      <c r="F1381" s="31" t="n">
        <v>3</v>
      </c>
      <c r="G1381" s="31" t="s">
        <v>6162</v>
      </c>
      <c r="H1381" s="31" t="s">
        <v>6163</v>
      </c>
      <c r="I1381" s="31" t="s">
        <v>6164</v>
      </c>
      <c r="J1381" s="31" t="s">
        <v>6165</v>
      </c>
      <c r="K1381" s="31" t="s">
        <v>6166</v>
      </c>
      <c r="L1381" s="31" t="s">
        <v>5150</v>
      </c>
      <c r="M1381" s="31" t="s">
        <v>5176</v>
      </c>
    </row>
    <row r="1382" customFormat="false" ht="43.5" hidden="false" customHeight="true" outlineLevel="0" collapsed="false">
      <c r="A1382" s="30" t="s">
        <v>6167</v>
      </c>
      <c r="B1382" s="31" t="s">
        <v>6168</v>
      </c>
      <c r="C1382" s="31" t="s">
        <v>130</v>
      </c>
      <c r="D1382" s="31" t="s">
        <v>5914</v>
      </c>
      <c r="E1382" s="31" t="str">
        <f aca="false">IF(D1382="","",IFERROR(VLOOKUP(D1382,$A$2:$B$1656,2,FALSE()),""))</f>
        <v>Afterlives &amp; Underworlds</v>
      </c>
      <c r="F1382" s="31" t="n">
        <v>3</v>
      </c>
      <c r="G1382" s="31" t="s">
        <v>6169</v>
      </c>
      <c r="H1382" s="31" t="s">
        <v>6170</v>
      </c>
      <c r="I1382" s="31" t="s">
        <v>6171</v>
      </c>
      <c r="J1382" s="31" t="s">
        <v>6172</v>
      </c>
      <c r="K1382" s="31" t="s">
        <v>6173</v>
      </c>
      <c r="L1382" s="31" t="s">
        <v>5150</v>
      </c>
      <c r="M1382" s="31" t="s">
        <v>5176</v>
      </c>
    </row>
    <row r="1383" customFormat="false" ht="43.5" hidden="false" customHeight="true" outlineLevel="0" collapsed="false">
      <c r="A1383" s="30" t="s">
        <v>6174</v>
      </c>
      <c r="B1383" s="31" t="s">
        <v>6175</v>
      </c>
      <c r="C1383" s="31" t="s">
        <v>130</v>
      </c>
      <c r="D1383" s="31" t="s">
        <v>5914</v>
      </c>
      <c r="E1383" s="31" t="str">
        <f aca="false">IF(D1383="","",IFERROR(VLOOKUP(D1383,$A$2:$B$1656,2,FALSE()),""))</f>
        <v>Afterlives &amp; Underworlds</v>
      </c>
      <c r="F1383" s="31" t="n">
        <v>3</v>
      </c>
      <c r="G1383" s="31" t="s">
        <v>6176</v>
      </c>
      <c r="H1383" s="31" t="s">
        <v>6177</v>
      </c>
      <c r="I1383" s="31" t="s">
        <v>6178</v>
      </c>
      <c r="J1383" s="31" t="s">
        <v>6179</v>
      </c>
      <c r="K1383" s="31" t="s">
        <v>6180</v>
      </c>
      <c r="L1383" s="31" t="s">
        <v>5150</v>
      </c>
      <c r="M1383" s="31" t="s">
        <v>5176</v>
      </c>
    </row>
    <row r="1384" customFormat="false" ht="43.5" hidden="false" customHeight="true" outlineLevel="0" collapsed="false">
      <c r="A1384" s="30" t="s">
        <v>6181</v>
      </c>
      <c r="B1384" s="31" t="s">
        <v>6182</v>
      </c>
      <c r="C1384" s="31" t="s">
        <v>130</v>
      </c>
      <c r="D1384" s="31" t="s">
        <v>5914</v>
      </c>
      <c r="E1384" s="31" t="str">
        <f aca="false">IF(D1384="","",IFERROR(VLOOKUP(D1384,$A$2:$B$1656,2,FALSE()),""))</f>
        <v>Afterlives &amp; Underworlds</v>
      </c>
      <c r="F1384" s="31" t="n">
        <v>3</v>
      </c>
      <c r="G1384" s="31" t="s">
        <v>6183</v>
      </c>
      <c r="H1384" s="31" t="s">
        <v>6184</v>
      </c>
      <c r="I1384" s="31" t="s">
        <v>6185</v>
      </c>
      <c r="J1384" s="31" t="s">
        <v>6186</v>
      </c>
      <c r="K1384" s="31" t="s">
        <v>6187</v>
      </c>
      <c r="L1384" s="31" t="s">
        <v>5150</v>
      </c>
      <c r="M1384" s="31" t="s">
        <v>5176</v>
      </c>
    </row>
    <row r="1385" customFormat="false" ht="43.5" hidden="false" customHeight="true" outlineLevel="0" collapsed="false">
      <c r="A1385" s="30" t="s">
        <v>6188</v>
      </c>
      <c r="B1385" s="31" t="s">
        <v>6189</v>
      </c>
      <c r="C1385" s="31" t="s">
        <v>130</v>
      </c>
      <c r="D1385" s="31" t="s">
        <v>5914</v>
      </c>
      <c r="E1385" s="31" t="str">
        <f aca="false">IF(D1385="","",IFERROR(VLOOKUP(D1385,$A$2:$B$1656,2,FALSE()),""))</f>
        <v>Afterlives &amp; Underworlds</v>
      </c>
      <c r="F1385" s="31" t="n">
        <v>3</v>
      </c>
      <c r="G1385" s="31" t="s">
        <v>6190</v>
      </c>
      <c r="H1385" s="31" t="s">
        <v>6191</v>
      </c>
      <c r="I1385" s="31" t="s">
        <v>6192</v>
      </c>
      <c r="J1385" s="31" t="s">
        <v>6193</v>
      </c>
      <c r="K1385" s="31" t="s">
        <v>6194</v>
      </c>
      <c r="L1385" s="31" t="s">
        <v>5150</v>
      </c>
      <c r="M1385" s="31" t="s">
        <v>5176</v>
      </c>
    </row>
    <row r="1386" customFormat="false" ht="43.5" hidden="false" customHeight="true" outlineLevel="0" collapsed="false">
      <c r="A1386" s="30" t="s">
        <v>6195</v>
      </c>
      <c r="B1386" s="31" t="s">
        <v>6196</v>
      </c>
      <c r="C1386" s="31" t="s">
        <v>130</v>
      </c>
      <c r="D1386" s="31" t="s">
        <v>5914</v>
      </c>
      <c r="E1386" s="31" t="str">
        <f aca="false">IF(D1386="","",IFERROR(VLOOKUP(D1386,$A$2:$B$1656,2,FALSE()),""))</f>
        <v>Afterlives &amp; Underworlds</v>
      </c>
      <c r="F1386" s="31" t="n">
        <v>3</v>
      </c>
      <c r="G1386" s="31" t="s">
        <v>6197</v>
      </c>
      <c r="H1386" s="31" t="s">
        <v>6198</v>
      </c>
      <c r="I1386" s="31" t="s">
        <v>6199</v>
      </c>
      <c r="J1386" s="31" t="s">
        <v>6200</v>
      </c>
      <c r="K1386" s="31" t="s">
        <v>6201</v>
      </c>
      <c r="L1386" s="31" t="s">
        <v>5150</v>
      </c>
      <c r="M1386" s="31" t="s">
        <v>5176</v>
      </c>
    </row>
    <row r="1387" customFormat="false" ht="43.5" hidden="false" customHeight="true" outlineLevel="0" collapsed="false">
      <c r="A1387" s="30" t="s">
        <v>6202</v>
      </c>
      <c r="B1387" s="31" t="s">
        <v>6203</v>
      </c>
      <c r="C1387" s="31" t="s">
        <v>130</v>
      </c>
      <c r="D1387" s="31" t="s">
        <v>5914</v>
      </c>
      <c r="E1387" s="31" t="str">
        <f aca="false">IF(D1387="","",IFERROR(VLOOKUP(D1387,$A$2:$B$1656,2,FALSE()),""))</f>
        <v>Afterlives &amp; Underworlds</v>
      </c>
      <c r="F1387" s="31" t="n">
        <v>3</v>
      </c>
      <c r="G1387" s="31" t="s">
        <v>6204</v>
      </c>
      <c r="H1387" s="31" t="s">
        <v>6205</v>
      </c>
      <c r="I1387" s="31" t="s">
        <v>6206</v>
      </c>
      <c r="J1387" s="31" t="s">
        <v>6207</v>
      </c>
      <c r="K1387" s="31" t="s">
        <v>6208</v>
      </c>
      <c r="L1387" s="31" t="s">
        <v>5150</v>
      </c>
      <c r="M1387" s="31" t="s">
        <v>5176</v>
      </c>
    </row>
    <row r="1388" customFormat="false" ht="43.5" hidden="false" customHeight="true" outlineLevel="0" collapsed="false">
      <c r="A1388" s="30" t="s">
        <v>6209</v>
      </c>
      <c r="B1388" s="31" t="s">
        <v>6210</v>
      </c>
      <c r="C1388" s="31" t="s">
        <v>130</v>
      </c>
      <c r="D1388" s="31" t="s">
        <v>5914</v>
      </c>
      <c r="E1388" s="31" t="str">
        <f aca="false">IF(D1388="","",IFERROR(VLOOKUP(D1388,$A$2:$B$1656,2,FALSE()),""))</f>
        <v>Afterlives &amp; Underworlds</v>
      </c>
      <c r="F1388" s="31" t="n">
        <v>3</v>
      </c>
      <c r="G1388" s="31" t="s">
        <v>6211</v>
      </c>
      <c r="H1388" s="31" t="s">
        <v>6212</v>
      </c>
      <c r="I1388" s="31" t="s">
        <v>6213</v>
      </c>
      <c r="J1388" s="31" t="s">
        <v>6214</v>
      </c>
      <c r="K1388" s="31" t="s">
        <v>6215</v>
      </c>
      <c r="L1388" s="31" t="s">
        <v>5150</v>
      </c>
      <c r="M1388" s="31" t="s">
        <v>5176</v>
      </c>
    </row>
    <row r="1389" customFormat="false" ht="43.5" hidden="false" customHeight="true" outlineLevel="0" collapsed="false">
      <c r="A1389" s="30" t="s">
        <v>6216</v>
      </c>
      <c r="B1389" s="31" t="s">
        <v>6217</v>
      </c>
      <c r="C1389" s="31" t="s">
        <v>130</v>
      </c>
      <c r="D1389" s="31" t="s">
        <v>5914</v>
      </c>
      <c r="E1389" s="31" t="str">
        <f aca="false">IF(D1389="","",IFERROR(VLOOKUP(D1389,$A$2:$B$1656,2,FALSE()),""))</f>
        <v>Afterlives &amp; Underworlds</v>
      </c>
      <c r="F1389" s="31" t="n">
        <v>3</v>
      </c>
      <c r="G1389" s="31" t="s">
        <v>6218</v>
      </c>
      <c r="H1389" s="31" t="s">
        <v>6219</v>
      </c>
      <c r="I1389" s="31" t="s">
        <v>6220</v>
      </c>
      <c r="J1389" s="31" t="s">
        <v>6221</v>
      </c>
      <c r="K1389" s="31" t="s">
        <v>6222</v>
      </c>
      <c r="L1389" s="31" t="s">
        <v>5150</v>
      </c>
      <c r="M1389" s="31" t="s">
        <v>5176</v>
      </c>
    </row>
    <row r="1390" customFormat="false" ht="43.5" hidden="false" customHeight="true" outlineLevel="0" collapsed="false">
      <c r="A1390" s="30" t="s">
        <v>6223</v>
      </c>
      <c r="B1390" s="31" t="s">
        <v>6224</v>
      </c>
      <c r="C1390" s="31" t="s">
        <v>130</v>
      </c>
      <c r="D1390" s="31" t="s">
        <v>5914</v>
      </c>
      <c r="E1390" s="31" t="str">
        <f aca="false">IF(D1390="","",IFERROR(VLOOKUP(D1390,$A$2:$B$1656,2,FALSE()),""))</f>
        <v>Afterlives &amp; Underworlds</v>
      </c>
      <c r="F1390" s="31" t="n">
        <v>3</v>
      </c>
      <c r="G1390" s="31" t="s">
        <v>6225</v>
      </c>
      <c r="H1390" s="31" t="s">
        <v>6226</v>
      </c>
      <c r="I1390" s="31" t="s">
        <v>6227</v>
      </c>
      <c r="J1390" s="31" t="s">
        <v>6228</v>
      </c>
      <c r="K1390" s="31" t="s">
        <v>6229</v>
      </c>
      <c r="L1390" s="31" t="s">
        <v>5150</v>
      </c>
      <c r="M1390" s="31" t="s">
        <v>5176</v>
      </c>
    </row>
    <row r="1391" customFormat="false" ht="43.5" hidden="false" customHeight="true" outlineLevel="0" collapsed="false">
      <c r="A1391" s="30" t="s">
        <v>6230</v>
      </c>
      <c r="B1391" s="31" t="s">
        <v>6231</v>
      </c>
      <c r="C1391" s="31" t="s">
        <v>130</v>
      </c>
      <c r="D1391" s="31" t="s">
        <v>5914</v>
      </c>
      <c r="E1391" s="31" t="str">
        <f aca="false">IF(D1391="","",IFERROR(VLOOKUP(D1391,$A$2:$B$1656,2,FALSE()),""))</f>
        <v>Afterlives &amp; Underworlds</v>
      </c>
      <c r="F1391" s="31" t="n">
        <v>3</v>
      </c>
      <c r="G1391" s="31" t="s">
        <v>6232</v>
      </c>
      <c r="H1391" s="31" t="s">
        <v>6233</v>
      </c>
      <c r="I1391" s="31" t="s">
        <v>6234</v>
      </c>
      <c r="J1391" s="31" t="s">
        <v>6235</v>
      </c>
      <c r="K1391" s="31" t="s">
        <v>6236</v>
      </c>
      <c r="L1391" s="31" t="s">
        <v>5150</v>
      </c>
      <c r="M1391" s="31" t="s">
        <v>5176</v>
      </c>
    </row>
    <row r="1392" customFormat="false" ht="43.5" hidden="false" customHeight="true" outlineLevel="0" collapsed="false">
      <c r="A1392" s="30" t="s">
        <v>6237</v>
      </c>
      <c r="B1392" s="31" t="s">
        <v>6238</v>
      </c>
      <c r="C1392" s="31" t="s">
        <v>130</v>
      </c>
      <c r="D1392" s="31" t="s">
        <v>5914</v>
      </c>
      <c r="E1392" s="31" t="str">
        <f aca="false">IF(D1392="","",IFERROR(VLOOKUP(D1392,$A$2:$B$1656,2,FALSE()),""))</f>
        <v>Afterlives &amp; Underworlds</v>
      </c>
      <c r="F1392" s="31" t="n">
        <v>3</v>
      </c>
      <c r="G1392" s="31" t="s">
        <v>6239</v>
      </c>
      <c r="H1392" s="31" t="s">
        <v>6240</v>
      </c>
      <c r="I1392" s="31" t="s">
        <v>6241</v>
      </c>
      <c r="J1392" s="31" t="s">
        <v>6242</v>
      </c>
      <c r="K1392" s="31" t="s">
        <v>6243</v>
      </c>
      <c r="L1392" s="31" t="s">
        <v>5150</v>
      </c>
      <c r="M1392" s="31" t="s">
        <v>5176</v>
      </c>
    </row>
    <row r="1393" customFormat="false" ht="43.5" hidden="false" customHeight="true" outlineLevel="0" collapsed="false">
      <c r="A1393" s="30" t="s">
        <v>6244</v>
      </c>
      <c r="B1393" s="31" t="s">
        <v>6245</v>
      </c>
      <c r="C1393" s="31" t="s">
        <v>130</v>
      </c>
      <c r="D1393" s="31" t="s">
        <v>5914</v>
      </c>
      <c r="E1393" s="31" t="str">
        <f aca="false">IF(D1393="","",IFERROR(VLOOKUP(D1393,$A$2:$B$1656,2,FALSE()),""))</f>
        <v>Afterlives &amp; Underworlds</v>
      </c>
      <c r="F1393" s="31" t="n">
        <v>3</v>
      </c>
      <c r="G1393" s="31" t="s">
        <v>6246</v>
      </c>
      <c r="H1393" s="31" t="s">
        <v>6247</v>
      </c>
      <c r="I1393" s="31" t="s">
        <v>6248</v>
      </c>
      <c r="J1393" s="31" t="s">
        <v>6249</v>
      </c>
      <c r="K1393" s="31" t="s">
        <v>6250</v>
      </c>
      <c r="L1393" s="31" t="s">
        <v>5150</v>
      </c>
      <c r="M1393" s="31" t="s">
        <v>5176</v>
      </c>
    </row>
    <row r="1394" customFormat="false" ht="43.5" hidden="false" customHeight="true" outlineLevel="0" collapsed="false">
      <c r="A1394" s="30" t="s">
        <v>6251</v>
      </c>
      <c r="B1394" s="31" t="s">
        <v>6252</v>
      </c>
      <c r="C1394" s="31" t="s">
        <v>130</v>
      </c>
      <c r="D1394" s="31" t="s">
        <v>5914</v>
      </c>
      <c r="E1394" s="31" t="str">
        <f aca="false">IF(D1394="","",IFERROR(VLOOKUP(D1394,$A$2:$B$1656,2,FALSE()),""))</f>
        <v>Afterlives &amp; Underworlds</v>
      </c>
      <c r="F1394" s="31" t="n">
        <v>3</v>
      </c>
      <c r="G1394" s="31" t="s">
        <v>6253</v>
      </c>
      <c r="H1394" s="31" t="s">
        <v>6254</v>
      </c>
      <c r="I1394" s="31" t="s">
        <v>6255</v>
      </c>
      <c r="J1394" s="31" t="s">
        <v>6256</v>
      </c>
      <c r="K1394" s="31" t="s">
        <v>6257</v>
      </c>
      <c r="L1394" s="31" t="s">
        <v>5150</v>
      </c>
      <c r="M1394" s="31" t="s">
        <v>5176</v>
      </c>
    </row>
    <row r="1395" customFormat="false" ht="43.5" hidden="false" customHeight="true" outlineLevel="0" collapsed="false">
      <c r="A1395" s="30" t="s">
        <v>6258</v>
      </c>
      <c r="B1395" s="31" t="s">
        <v>6259</v>
      </c>
      <c r="C1395" s="31" t="s">
        <v>130</v>
      </c>
      <c r="D1395" s="31" t="s">
        <v>5914</v>
      </c>
      <c r="E1395" s="31" t="str">
        <f aca="false">IF(D1395="","",IFERROR(VLOOKUP(D1395,$A$2:$B$1656,2,FALSE()),""))</f>
        <v>Afterlives &amp; Underworlds</v>
      </c>
      <c r="F1395" s="31" t="n">
        <v>3</v>
      </c>
      <c r="G1395" s="31" t="s">
        <v>6260</v>
      </c>
      <c r="H1395" s="31" t="s">
        <v>6261</v>
      </c>
      <c r="I1395" s="31" t="s">
        <v>6262</v>
      </c>
      <c r="J1395" s="31" t="s">
        <v>6263</v>
      </c>
      <c r="K1395" s="31" t="s">
        <v>6264</v>
      </c>
      <c r="L1395" s="31" t="s">
        <v>5150</v>
      </c>
      <c r="M1395" s="31" t="s">
        <v>5176</v>
      </c>
    </row>
    <row r="1396" customFormat="false" ht="43.5" hidden="false" customHeight="true" outlineLevel="0" collapsed="false">
      <c r="A1396" s="30" t="s">
        <v>6265</v>
      </c>
      <c r="B1396" s="31" t="s">
        <v>6266</v>
      </c>
      <c r="C1396" s="31" t="s">
        <v>130</v>
      </c>
      <c r="D1396" s="31" t="s">
        <v>5914</v>
      </c>
      <c r="E1396" s="31" t="str">
        <f aca="false">IF(D1396="","",IFERROR(VLOOKUP(D1396,$A$2:$B$1656,2,FALSE()),""))</f>
        <v>Afterlives &amp; Underworlds</v>
      </c>
      <c r="F1396" s="31" t="n">
        <v>3</v>
      </c>
      <c r="G1396" s="31" t="s">
        <v>6267</v>
      </c>
      <c r="H1396" s="31" t="s">
        <v>6268</v>
      </c>
      <c r="I1396" s="31" t="s">
        <v>6269</v>
      </c>
      <c r="J1396" s="31" t="s">
        <v>6270</v>
      </c>
      <c r="K1396" s="31" t="s">
        <v>6271</v>
      </c>
      <c r="L1396" s="31" t="s">
        <v>5150</v>
      </c>
      <c r="M1396" s="31" t="s">
        <v>5176</v>
      </c>
    </row>
    <row r="1397" customFormat="false" ht="43.5" hidden="false" customHeight="true" outlineLevel="0" collapsed="false">
      <c r="A1397" s="30" t="s">
        <v>6272</v>
      </c>
      <c r="B1397" s="31" t="s">
        <v>6273</v>
      </c>
      <c r="C1397" s="31" t="s">
        <v>130</v>
      </c>
      <c r="D1397" s="31" t="s">
        <v>5914</v>
      </c>
      <c r="E1397" s="31" t="str">
        <f aca="false">IF(D1397="","",IFERROR(VLOOKUP(D1397,$A$2:$B$1656,2,FALSE()),""))</f>
        <v>Afterlives &amp; Underworlds</v>
      </c>
      <c r="F1397" s="31" t="n">
        <v>3</v>
      </c>
      <c r="G1397" s="31" t="s">
        <v>6274</v>
      </c>
      <c r="H1397" s="31" t="s">
        <v>6275</v>
      </c>
      <c r="I1397" s="31" t="s">
        <v>6276</v>
      </c>
      <c r="J1397" s="31" t="s">
        <v>6277</v>
      </c>
      <c r="K1397" s="31" t="s">
        <v>6278</v>
      </c>
      <c r="L1397" s="31" t="s">
        <v>5150</v>
      </c>
      <c r="M1397" s="31" t="s">
        <v>5176</v>
      </c>
    </row>
    <row r="1398" customFormat="false" ht="43.5" hidden="false" customHeight="true" outlineLevel="0" collapsed="false">
      <c r="A1398" s="30" t="s">
        <v>6279</v>
      </c>
      <c r="B1398" s="31" t="s">
        <v>6280</v>
      </c>
      <c r="C1398" s="31" t="s">
        <v>130</v>
      </c>
      <c r="D1398" s="31" t="s">
        <v>5917</v>
      </c>
      <c r="E1398" s="31" t="str">
        <f aca="false">IF(D1398="","",IFERROR(VLOOKUP(D1398,$A$2:$B$1656,2,FALSE()),""))</f>
        <v>Liminal, Parallel &amp; Constructed Realms</v>
      </c>
      <c r="F1398" s="31" t="n">
        <v>3</v>
      </c>
      <c r="G1398" s="31" t="s">
        <v>6281</v>
      </c>
      <c r="H1398" s="31" t="s">
        <v>6282</v>
      </c>
      <c r="I1398" s="31" t="s">
        <v>6283</v>
      </c>
      <c r="J1398" s="31" t="s">
        <v>6284</v>
      </c>
      <c r="K1398" s="31" t="s">
        <v>6285</v>
      </c>
      <c r="L1398" s="31" t="s">
        <v>5150</v>
      </c>
      <c r="M1398" s="31" t="s">
        <v>5176</v>
      </c>
    </row>
    <row r="1399" customFormat="false" ht="43.5" hidden="false" customHeight="true" outlineLevel="0" collapsed="false">
      <c r="A1399" s="30" t="s">
        <v>6286</v>
      </c>
      <c r="B1399" s="31" t="s">
        <v>6287</v>
      </c>
      <c r="C1399" s="31" t="s">
        <v>130</v>
      </c>
      <c r="D1399" s="31" t="s">
        <v>5917</v>
      </c>
      <c r="E1399" s="31" t="str">
        <f aca="false">IF(D1399="","",IFERROR(VLOOKUP(D1399,$A$2:$B$1656,2,FALSE()),""))</f>
        <v>Liminal, Parallel &amp; Constructed Realms</v>
      </c>
      <c r="F1399" s="31" t="n">
        <v>3</v>
      </c>
      <c r="G1399" s="31" t="s">
        <v>6288</v>
      </c>
      <c r="H1399" s="31" t="s">
        <v>6289</v>
      </c>
      <c r="I1399" s="31" t="s">
        <v>6290</v>
      </c>
      <c r="J1399" s="31" t="s">
        <v>6291</v>
      </c>
      <c r="K1399" s="31" t="s">
        <v>6292</v>
      </c>
      <c r="L1399" s="31" t="s">
        <v>5150</v>
      </c>
      <c r="M1399" s="31" t="s">
        <v>5176</v>
      </c>
    </row>
    <row r="1400" customFormat="false" ht="43.5" hidden="false" customHeight="true" outlineLevel="0" collapsed="false">
      <c r="A1400" s="30" t="s">
        <v>6293</v>
      </c>
      <c r="B1400" s="31" t="s">
        <v>6294</v>
      </c>
      <c r="C1400" s="31" t="s">
        <v>130</v>
      </c>
      <c r="D1400" s="31" t="s">
        <v>5917</v>
      </c>
      <c r="E1400" s="31" t="str">
        <f aca="false">IF(D1400="","",IFERROR(VLOOKUP(D1400,$A$2:$B$1656,2,FALSE()),""))</f>
        <v>Liminal, Parallel &amp; Constructed Realms</v>
      </c>
      <c r="F1400" s="31" t="n">
        <v>3</v>
      </c>
      <c r="G1400" s="31" t="s">
        <v>6295</v>
      </c>
      <c r="H1400" s="31" t="s">
        <v>6296</v>
      </c>
      <c r="I1400" s="31" t="s">
        <v>6297</v>
      </c>
      <c r="J1400" s="31" t="s">
        <v>6298</v>
      </c>
      <c r="K1400" s="31" t="s">
        <v>6299</v>
      </c>
      <c r="L1400" s="31" t="s">
        <v>5150</v>
      </c>
      <c r="M1400" s="31" t="s">
        <v>5176</v>
      </c>
    </row>
    <row r="1401" customFormat="false" ht="43.5" hidden="false" customHeight="true" outlineLevel="0" collapsed="false">
      <c r="A1401" s="30" t="s">
        <v>6300</v>
      </c>
      <c r="B1401" s="31" t="s">
        <v>6301</v>
      </c>
      <c r="C1401" s="31" t="s">
        <v>130</v>
      </c>
      <c r="D1401" s="31" t="s">
        <v>5917</v>
      </c>
      <c r="E1401" s="31" t="str">
        <f aca="false">IF(D1401="","",IFERROR(VLOOKUP(D1401,$A$2:$B$1656,2,FALSE()),""))</f>
        <v>Liminal, Parallel &amp; Constructed Realms</v>
      </c>
      <c r="F1401" s="31" t="n">
        <v>3</v>
      </c>
      <c r="G1401" s="31" t="s">
        <v>6302</v>
      </c>
      <c r="H1401" s="31" t="s">
        <v>6303</v>
      </c>
      <c r="I1401" s="31" t="s">
        <v>6304</v>
      </c>
      <c r="J1401" s="31" t="s">
        <v>6305</v>
      </c>
      <c r="K1401" s="31" t="s">
        <v>6306</v>
      </c>
      <c r="L1401" s="31" t="s">
        <v>5150</v>
      </c>
      <c r="M1401" s="31" t="s">
        <v>5176</v>
      </c>
    </row>
    <row r="1402" customFormat="false" ht="43.5" hidden="false" customHeight="true" outlineLevel="0" collapsed="false">
      <c r="A1402" s="30" t="s">
        <v>6307</v>
      </c>
      <c r="B1402" s="31" t="s">
        <v>6308</v>
      </c>
      <c r="C1402" s="31" t="s">
        <v>130</v>
      </c>
      <c r="D1402" s="31" t="s">
        <v>5917</v>
      </c>
      <c r="E1402" s="31" t="str">
        <f aca="false">IF(D1402="","",IFERROR(VLOOKUP(D1402,$A$2:$B$1656,2,FALSE()),""))</f>
        <v>Liminal, Parallel &amp; Constructed Realms</v>
      </c>
      <c r="F1402" s="31" t="n">
        <v>3</v>
      </c>
      <c r="G1402" s="31" t="s">
        <v>6309</v>
      </c>
      <c r="H1402" s="31" t="s">
        <v>6310</v>
      </c>
      <c r="I1402" s="31" t="s">
        <v>6311</v>
      </c>
      <c r="J1402" s="31" t="s">
        <v>6312</v>
      </c>
      <c r="K1402" s="31" t="s">
        <v>6313</v>
      </c>
      <c r="L1402" s="31" t="s">
        <v>5150</v>
      </c>
      <c r="M1402" s="31" t="s">
        <v>5176</v>
      </c>
    </row>
    <row r="1403" customFormat="false" ht="43.5" hidden="false" customHeight="true" outlineLevel="0" collapsed="false">
      <c r="A1403" s="30" t="s">
        <v>6314</v>
      </c>
      <c r="B1403" s="31" t="s">
        <v>6315</v>
      </c>
      <c r="C1403" s="31" t="s">
        <v>130</v>
      </c>
      <c r="D1403" s="31" t="s">
        <v>5917</v>
      </c>
      <c r="E1403" s="31" t="str">
        <f aca="false">IF(D1403="","",IFERROR(VLOOKUP(D1403,$A$2:$B$1656,2,FALSE()),""))</f>
        <v>Liminal, Parallel &amp; Constructed Realms</v>
      </c>
      <c r="F1403" s="31" t="n">
        <v>3</v>
      </c>
      <c r="G1403" s="31" t="s">
        <v>6316</v>
      </c>
      <c r="H1403" s="31" t="s">
        <v>6317</v>
      </c>
      <c r="I1403" s="31" t="s">
        <v>6318</v>
      </c>
      <c r="J1403" s="31" t="s">
        <v>6319</v>
      </c>
      <c r="K1403" s="31" t="s">
        <v>6320</v>
      </c>
      <c r="L1403" s="31" t="s">
        <v>5150</v>
      </c>
      <c r="M1403" s="31" t="s">
        <v>5176</v>
      </c>
    </row>
    <row r="1404" customFormat="false" ht="43.5" hidden="false" customHeight="true" outlineLevel="0" collapsed="false">
      <c r="A1404" s="30" t="s">
        <v>6321</v>
      </c>
      <c r="B1404" s="31" t="s">
        <v>6322</v>
      </c>
      <c r="C1404" s="31" t="s">
        <v>130</v>
      </c>
      <c r="D1404" s="31" t="s">
        <v>5917</v>
      </c>
      <c r="E1404" s="31" t="str">
        <f aca="false">IF(D1404="","",IFERROR(VLOOKUP(D1404,$A$2:$B$1656,2,FALSE()),""))</f>
        <v>Liminal, Parallel &amp; Constructed Realms</v>
      </c>
      <c r="F1404" s="31" t="n">
        <v>3</v>
      </c>
      <c r="G1404" s="31" t="s">
        <v>6323</v>
      </c>
      <c r="H1404" s="31" t="s">
        <v>6324</v>
      </c>
      <c r="I1404" s="31" t="s">
        <v>6325</v>
      </c>
      <c r="J1404" s="31" t="s">
        <v>6326</v>
      </c>
      <c r="K1404" s="31" t="s">
        <v>6327</v>
      </c>
      <c r="L1404" s="31" t="s">
        <v>5150</v>
      </c>
      <c r="M1404" s="31" t="s">
        <v>5176</v>
      </c>
    </row>
    <row r="1405" customFormat="false" ht="43.5" hidden="false" customHeight="true" outlineLevel="0" collapsed="false">
      <c r="A1405" s="30" t="s">
        <v>6328</v>
      </c>
      <c r="B1405" s="31" t="s">
        <v>6329</v>
      </c>
      <c r="C1405" s="31" t="s">
        <v>130</v>
      </c>
      <c r="D1405" s="31" t="s">
        <v>5917</v>
      </c>
      <c r="E1405" s="31" t="str">
        <f aca="false">IF(D1405="","",IFERROR(VLOOKUP(D1405,$A$2:$B$1656,2,FALSE()),""))</f>
        <v>Liminal, Parallel &amp; Constructed Realms</v>
      </c>
      <c r="F1405" s="31" t="n">
        <v>3</v>
      </c>
      <c r="G1405" s="31" t="s">
        <v>6330</v>
      </c>
      <c r="H1405" s="31" t="s">
        <v>6331</v>
      </c>
      <c r="I1405" s="31" t="s">
        <v>6332</v>
      </c>
      <c r="J1405" s="31" t="s">
        <v>6333</v>
      </c>
      <c r="K1405" s="31" t="s">
        <v>6334</v>
      </c>
      <c r="L1405" s="31" t="s">
        <v>5150</v>
      </c>
      <c r="M1405" s="31" t="s">
        <v>5176</v>
      </c>
    </row>
    <row r="1406" customFormat="false" ht="43.5" hidden="false" customHeight="true" outlineLevel="0" collapsed="false">
      <c r="A1406" s="30" t="s">
        <v>6335</v>
      </c>
      <c r="B1406" s="31" t="s">
        <v>6336</v>
      </c>
      <c r="C1406" s="31" t="s">
        <v>130</v>
      </c>
      <c r="D1406" s="31" t="s">
        <v>5917</v>
      </c>
      <c r="E1406" s="31" t="str">
        <f aca="false">IF(D1406="","",IFERROR(VLOOKUP(D1406,$A$2:$B$1656,2,FALSE()),""))</f>
        <v>Liminal, Parallel &amp; Constructed Realms</v>
      </c>
      <c r="F1406" s="31" t="n">
        <v>3</v>
      </c>
      <c r="G1406" s="31" t="s">
        <v>6337</v>
      </c>
      <c r="H1406" s="31" t="s">
        <v>6338</v>
      </c>
      <c r="I1406" s="31" t="s">
        <v>6339</v>
      </c>
      <c r="J1406" s="31" t="s">
        <v>6340</v>
      </c>
      <c r="K1406" s="31" t="s">
        <v>6341</v>
      </c>
      <c r="L1406" s="31" t="s">
        <v>5150</v>
      </c>
      <c r="M1406" s="31" t="s">
        <v>5176</v>
      </c>
    </row>
    <row r="1407" customFormat="false" ht="43.5" hidden="false" customHeight="true" outlineLevel="0" collapsed="false">
      <c r="A1407" s="30" t="s">
        <v>6342</v>
      </c>
      <c r="B1407" s="31" t="s">
        <v>6343</v>
      </c>
      <c r="C1407" s="31" t="s">
        <v>130</v>
      </c>
      <c r="D1407" s="31" t="s">
        <v>5917</v>
      </c>
      <c r="E1407" s="31" t="str">
        <f aca="false">IF(D1407="","",IFERROR(VLOOKUP(D1407,$A$2:$B$1656,2,FALSE()),""))</f>
        <v>Liminal, Parallel &amp; Constructed Realms</v>
      </c>
      <c r="F1407" s="31" t="n">
        <v>3</v>
      </c>
      <c r="G1407" s="31" t="s">
        <v>6344</v>
      </c>
      <c r="H1407" s="31" t="s">
        <v>6345</v>
      </c>
      <c r="I1407" s="31" t="s">
        <v>6346</v>
      </c>
      <c r="J1407" s="31" t="s">
        <v>6347</v>
      </c>
      <c r="K1407" s="31" t="s">
        <v>6348</v>
      </c>
      <c r="L1407" s="31" t="s">
        <v>5150</v>
      </c>
      <c r="M1407" s="31" t="s">
        <v>5176</v>
      </c>
    </row>
    <row r="1408" customFormat="false" ht="43.5" hidden="false" customHeight="true" outlineLevel="0" collapsed="false">
      <c r="A1408" s="30" t="s">
        <v>6349</v>
      </c>
      <c r="B1408" s="31" t="s">
        <v>6350</v>
      </c>
      <c r="C1408" s="31" t="s">
        <v>130</v>
      </c>
      <c r="D1408" s="31" t="s">
        <v>5917</v>
      </c>
      <c r="E1408" s="31" t="str">
        <f aca="false">IF(D1408="","",IFERROR(VLOOKUP(D1408,$A$2:$B$1656,2,FALSE()),""))</f>
        <v>Liminal, Parallel &amp; Constructed Realms</v>
      </c>
      <c r="F1408" s="31" t="n">
        <v>3</v>
      </c>
      <c r="G1408" s="31" t="s">
        <v>6351</v>
      </c>
      <c r="H1408" s="31" t="s">
        <v>6352</v>
      </c>
      <c r="I1408" s="31" t="s">
        <v>6353</v>
      </c>
      <c r="J1408" s="31" t="s">
        <v>6354</v>
      </c>
      <c r="K1408" s="31" t="s">
        <v>6355</v>
      </c>
      <c r="L1408" s="31" t="s">
        <v>5150</v>
      </c>
      <c r="M1408" s="31" t="s">
        <v>5176</v>
      </c>
    </row>
    <row r="1409" customFormat="false" ht="43.5" hidden="false" customHeight="true" outlineLevel="0" collapsed="false">
      <c r="A1409" s="30" t="s">
        <v>6356</v>
      </c>
      <c r="B1409" s="31" t="s">
        <v>6357</v>
      </c>
      <c r="C1409" s="31" t="s">
        <v>130</v>
      </c>
      <c r="D1409" s="31" t="s">
        <v>5917</v>
      </c>
      <c r="E1409" s="31" t="str">
        <f aca="false">IF(D1409="","",IFERROR(VLOOKUP(D1409,$A$2:$B$1656,2,FALSE()),""))</f>
        <v>Liminal, Parallel &amp; Constructed Realms</v>
      </c>
      <c r="F1409" s="31" t="n">
        <v>3</v>
      </c>
      <c r="G1409" s="31" t="s">
        <v>6358</v>
      </c>
      <c r="H1409" s="31" t="s">
        <v>6359</v>
      </c>
      <c r="I1409" s="31" t="s">
        <v>6360</v>
      </c>
      <c r="J1409" s="31" t="s">
        <v>6361</v>
      </c>
      <c r="K1409" s="31" t="s">
        <v>6362</v>
      </c>
      <c r="L1409" s="31" t="s">
        <v>5150</v>
      </c>
      <c r="M1409" s="31" t="s">
        <v>5176</v>
      </c>
    </row>
    <row r="1410" customFormat="false" ht="43.5" hidden="false" customHeight="true" outlineLevel="0" collapsed="false">
      <c r="A1410" s="30" t="s">
        <v>6363</v>
      </c>
      <c r="B1410" s="31" t="s">
        <v>6364</v>
      </c>
      <c r="C1410" s="31" t="s">
        <v>130</v>
      </c>
      <c r="D1410" s="31" t="s">
        <v>5917</v>
      </c>
      <c r="E1410" s="31" t="str">
        <f aca="false">IF(D1410="","",IFERROR(VLOOKUP(D1410,$A$2:$B$1656,2,FALSE()),""))</f>
        <v>Liminal, Parallel &amp; Constructed Realms</v>
      </c>
      <c r="F1410" s="31" t="n">
        <v>3</v>
      </c>
      <c r="G1410" s="31" t="s">
        <v>6365</v>
      </c>
      <c r="H1410" s="31" t="s">
        <v>6366</v>
      </c>
      <c r="I1410" s="31" t="s">
        <v>6367</v>
      </c>
      <c r="J1410" s="31" t="s">
        <v>6368</v>
      </c>
      <c r="K1410" s="31" t="s">
        <v>6369</v>
      </c>
      <c r="L1410" s="31" t="s">
        <v>5150</v>
      </c>
      <c r="M1410" s="31" t="s">
        <v>5176</v>
      </c>
    </row>
    <row r="1411" customFormat="false" ht="43.5" hidden="false" customHeight="true" outlineLevel="0" collapsed="false">
      <c r="A1411" s="30" t="s">
        <v>6370</v>
      </c>
      <c r="B1411" s="31" t="s">
        <v>6371</v>
      </c>
      <c r="C1411" s="31" t="s">
        <v>130</v>
      </c>
      <c r="D1411" s="31" t="s">
        <v>5917</v>
      </c>
      <c r="E1411" s="31" t="str">
        <f aca="false">IF(D1411="","",IFERROR(VLOOKUP(D1411,$A$2:$B$1656,2,FALSE()),""))</f>
        <v>Liminal, Parallel &amp; Constructed Realms</v>
      </c>
      <c r="F1411" s="31" t="n">
        <v>3</v>
      </c>
      <c r="G1411" s="31" t="s">
        <v>6372</v>
      </c>
      <c r="H1411" s="31" t="s">
        <v>6373</v>
      </c>
      <c r="I1411" s="31" t="s">
        <v>6374</v>
      </c>
      <c r="J1411" s="31" t="s">
        <v>6375</v>
      </c>
      <c r="K1411" s="31" t="s">
        <v>6376</v>
      </c>
      <c r="L1411" s="31" t="s">
        <v>5150</v>
      </c>
      <c r="M1411" s="31" t="s">
        <v>5176</v>
      </c>
    </row>
    <row r="1412" customFormat="false" ht="43.5" hidden="false" customHeight="true" outlineLevel="0" collapsed="false">
      <c r="A1412" s="30" t="s">
        <v>6377</v>
      </c>
      <c r="B1412" s="31" t="s">
        <v>6378</v>
      </c>
      <c r="C1412" s="31" t="s">
        <v>130</v>
      </c>
      <c r="D1412" s="31" t="s">
        <v>5917</v>
      </c>
      <c r="E1412" s="31" t="str">
        <f aca="false">IF(D1412="","",IFERROR(VLOOKUP(D1412,$A$2:$B$1656,2,FALSE()),""))</f>
        <v>Liminal, Parallel &amp; Constructed Realms</v>
      </c>
      <c r="F1412" s="31" t="n">
        <v>3</v>
      </c>
      <c r="G1412" s="31" t="s">
        <v>6379</v>
      </c>
      <c r="H1412" s="31" t="s">
        <v>6380</v>
      </c>
      <c r="I1412" s="31" t="s">
        <v>6381</v>
      </c>
      <c r="J1412" s="31" t="s">
        <v>6382</v>
      </c>
      <c r="K1412" s="31" t="s">
        <v>6383</v>
      </c>
      <c r="L1412" s="31" t="s">
        <v>5150</v>
      </c>
      <c r="M1412" s="31" t="s">
        <v>5176</v>
      </c>
    </row>
    <row r="1413" customFormat="false" ht="43.5" hidden="false" customHeight="true" outlineLevel="0" collapsed="false">
      <c r="A1413" s="30" t="s">
        <v>6384</v>
      </c>
      <c r="B1413" s="31" t="s">
        <v>6385</v>
      </c>
      <c r="C1413" s="31" t="s">
        <v>130</v>
      </c>
      <c r="D1413" s="31" t="s">
        <v>5920</v>
      </c>
      <c r="E1413" s="31" t="str">
        <f aca="false">IF(D1413="","",IFERROR(VLOOKUP(D1413,$A$2:$B$1656,2,FALSE()),""))</f>
        <v>Sacred Geography &amp; World Anchors</v>
      </c>
      <c r="F1413" s="31" t="n">
        <v>3</v>
      </c>
      <c r="G1413" s="31" t="s">
        <v>6386</v>
      </c>
      <c r="H1413" s="31" t="s">
        <v>6387</v>
      </c>
      <c r="I1413" s="31" t="s">
        <v>6388</v>
      </c>
      <c r="J1413" s="31" t="s">
        <v>6389</v>
      </c>
      <c r="K1413" s="31" t="s">
        <v>6390</v>
      </c>
      <c r="L1413" s="31" t="s">
        <v>5150</v>
      </c>
      <c r="M1413" s="31" t="s">
        <v>5176</v>
      </c>
    </row>
    <row r="1414" customFormat="false" ht="43.5" hidden="false" customHeight="true" outlineLevel="0" collapsed="false">
      <c r="A1414" s="30" t="s">
        <v>6391</v>
      </c>
      <c r="B1414" s="31" t="s">
        <v>6392</v>
      </c>
      <c r="C1414" s="31" t="s">
        <v>130</v>
      </c>
      <c r="D1414" s="31" t="s">
        <v>5920</v>
      </c>
      <c r="E1414" s="31" t="str">
        <f aca="false">IF(D1414="","",IFERROR(VLOOKUP(D1414,$A$2:$B$1656,2,FALSE()),""))</f>
        <v>Sacred Geography &amp; World Anchors</v>
      </c>
      <c r="F1414" s="31" t="n">
        <v>3</v>
      </c>
      <c r="G1414" s="31" t="s">
        <v>6393</v>
      </c>
      <c r="H1414" s="31" t="s">
        <v>6394</v>
      </c>
      <c r="I1414" s="31" t="s">
        <v>6395</v>
      </c>
      <c r="J1414" s="31" t="s">
        <v>6396</v>
      </c>
      <c r="K1414" s="31" t="s">
        <v>6397</v>
      </c>
      <c r="L1414" s="31" t="s">
        <v>5150</v>
      </c>
      <c r="M1414" s="31" t="s">
        <v>5176</v>
      </c>
    </row>
    <row r="1415" customFormat="false" ht="43.5" hidden="false" customHeight="true" outlineLevel="0" collapsed="false">
      <c r="A1415" s="30" t="s">
        <v>6398</v>
      </c>
      <c r="B1415" s="31" t="s">
        <v>6399</v>
      </c>
      <c r="C1415" s="31" t="s">
        <v>130</v>
      </c>
      <c r="D1415" s="31" t="s">
        <v>5920</v>
      </c>
      <c r="E1415" s="31" t="str">
        <f aca="false">IF(D1415="","",IFERROR(VLOOKUP(D1415,$A$2:$B$1656,2,FALSE()),""))</f>
        <v>Sacred Geography &amp; World Anchors</v>
      </c>
      <c r="F1415" s="31" t="n">
        <v>3</v>
      </c>
      <c r="G1415" s="31" t="s">
        <v>6400</v>
      </c>
      <c r="H1415" s="31" t="s">
        <v>6401</v>
      </c>
      <c r="I1415" s="31" t="s">
        <v>6402</v>
      </c>
      <c r="J1415" s="31" t="s">
        <v>6403</v>
      </c>
      <c r="K1415" s="31" t="s">
        <v>6404</v>
      </c>
      <c r="L1415" s="31" t="s">
        <v>5150</v>
      </c>
      <c r="M1415" s="31" t="s">
        <v>5176</v>
      </c>
    </row>
    <row r="1416" customFormat="false" ht="43.5" hidden="false" customHeight="true" outlineLevel="0" collapsed="false">
      <c r="A1416" s="30" t="s">
        <v>6405</v>
      </c>
      <c r="B1416" s="31" t="s">
        <v>6406</v>
      </c>
      <c r="C1416" s="31" t="s">
        <v>130</v>
      </c>
      <c r="D1416" s="31" t="s">
        <v>5920</v>
      </c>
      <c r="E1416" s="31" t="str">
        <f aca="false">IF(D1416="","",IFERROR(VLOOKUP(D1416,$A$2:$B$1656,2,FALSE()),""))</f>
        <v>Sacred Geography &amp; World Anchors</v>
      </c>
      <c r="F1416" s="31" t="n">
        <v>3</v>
      </c>
      <c r="G1416" s="31" t="s">
        <v>6407</v>
      </c>
      <c r="H1416" s="31" t="s">
        <v>6408</v>
      </c>
      <c r="I1416" s="31" t="s">
        <v>6409</v>
      </c>
      <c r="J1416" s="31" t="s">
        <v>6410</v>
      </c>
      <c r="K1416" s="31" t="s">
        <v>6411</v>
      </c>
      <c r="L1416" s="31" t="s">
        <v>5150</v>
      </c>
      <c r="M1416" s="31" t="s">
        <v>5176</v>
      </c>
    </row>
    <row r="1417" customFormat="false" ht="43.5" hidden="false" customHeight="true" outlineLevel="0" collapsed="false">
      <c r="A1417" s="30" t="s">
        <v>6412</v>
      </c>
      <c r="B1417" s="31" t="s">
        <v>6413</v>
      </c>
      <c r="C1417" s="31" t="s">
        <v>130</v>
      </c>
      <c r="D1417" s="31" t="s">
        <v>5920</v>
      </c>
      <c r="E1417" s="31" t="str">
        <f aca="false">IF(D1417="","",IFERROR(VLOOKUP(D1417,$A$2:$B$1656,2,FALSE()),""))</f>
        <v>Sacred Geography &amp; World Anchors</v>
      </c>
      <c r="F1417" s="31" t="n">
        <v>3</v>
      </c>
      <c r="G1417" s="31" t="s">
        <v>6414</v>
      </c>
      <c r="H1417" s="31" t="s">
        <v>6415</v>
      </c>
      <c r="I1417" s="31" t="s">
        <v>6416</v>
      </c>
      <c r="J1417" s="31" t="s">
        <v>6417</v>
      </c>
      <c r="K1417" s="31" t="s">
        <v>6418</v>
      </c>
      <c r="L1417" s="31" t="s">
        <v>5150</v>
      </c>
      <c r="M1417" s="31" t="s">
        <v>5176</v>
      </c>
    </row>
    <row r="1418" customFormat="false" ht="43.5" hidden="false" customHeight="true" outlineLevel="0" collapsed="false">
      <c r="A1418" s="30" t="s">
        <v>6419</v>
      </c>
      <c r="B1418" s="31" t="s">
        <v>6420</v>
      </c>
      <c r="C1418" s="31" t="s">
        <v>130</v>
      </c>
      <c r="D1418" s="31" t="s">
        <v>5920</v>
      </c>
      <c r="E1418" s="31" t="str">
        <f aca="false">IF(D1418="","",IFERROR(VLOOKUP(D1418,$A$2:$B$1656,2,FALSE()),""))</f>
        <v>Sacred Geography &amp; World Anchors</v>
      </c>
      <c r="F1418" s="31" t="n">
        <v>3</v>
      </c>
      <c r="G1418" s="31" t="s">
        <v>6421</v>
      </c>
      <c r="H1418" s="31" t="s">
        <v>6422</v>
      </c>
      <c r="I1418" s="31" t="s">
        <v>6423</v>
      </c>
      <c r="J1418" s="31" t="s">
        <v>6424</v>
      </c>
      <c r="K1418" s="31" t="s">
        <v>6425</v>
      </c>
      <c r="L1418" s="31" t="s">
        <v>5150</v>
      </c>
      <c r="M1418" s="31" t="s">
        <v>5176</v>
      </c>
    </row>
    <row r="1419" customFormat="false" ht="43.5" hidden="false" customHeight="true" outlineLevel="0" collapsed="false">
      <c r="A1419" s="30" t="s">
        <v>6426</v>
      </c>
      <c r="B1419" s="31" t="s">
        <v>6427</v>
      </c>
      <c r="C1419" s="31" t="s">
        <v>130</v>
      </c>
      <c r="D1419" s="31" t="s">
        <v>5920</v>
      </c>
      <c r="E1419" s="31" t="str">
        <f aca="false">IF(D1419="","",IFERROR(VLOOKUP(D1419,$A$2:$B$1656,2,FALSE()),""))</f>
        <v>Sacred Geography &amp; World Anchors</v>
      </c>
      <c r="F1419" s="31" t="n">
        <v>3</v>
      </c>
      <c r="G1419" s="31" t="s">
        <v>6428</v>
      </c>
      <c r="H1419" s="31" t="s">
        <v>6429</v>
      </c>
      <c r="I1419" s="31" t="s">
        <v>6430</v>
      </c>
      <c r="J1419" s="31" t="s">
        <v>6431</v>
      </c>
      <c r="K1419" s="31" t="s">
        <v>6432</v>
      </c>
      <c r="L1419" s="31" t="s">
        <v>5150</v>
      </c>
      <c r="M1419" s="31" t="s">
        <v>5176</v>
      </c>
    </row>
    <row r="1420" customFormat="false" ht="43.5" hidden="false" customHeight="true" outlineLevel="0" collapsed="false">
      <c r="A1420" s="30" t="s">
        <v>6433</v>
      </c>
      <c r="B1420" s="31" t="s">
        <v>6434</v>
      </c>
      <c r="C1420" s="31" t="s">
        <v>130</v>
      </c>
      <c r="D1420" s="31" t="s">
        <v>5920</v>
      </c>
      <c r="E1420" s="31" t="str">
        <f aca="false">IF(D1420="","",IFERROR(VLOOKUP(D1420,$A$2:$B$1656,2,FALSE()),""))</f>
        <v>Sacred Geography &amp; World Anchors</v>
      </c>
      <c r="F1420" s="31" t="n">
        <v>3</v>
      </c>
      <c r="G1420" s="31" t="s">
        <v>6435</v>
      </c>
      <c r="H1420" s="31" t="s">
        <v>6436</v>
      </c>
      <c r="I1420" s="31" t="s">
        <v>6437</v>
      </c>
      <c r="J1420" s="31" t="s">
        <v>6438</v>
      </c>
      <c r="K1420" s="31" t="s">
        <v>6439</v>
      </c>
      <c r="L1420" s="31" t="s">
        <v>5150</v>
      </c>
      <c r="M1420" s="31" t="s">
        <v>5176</v>
      </c>
    </row>
    <row r="1421" customFormat="false" ht="43.5" hidden="false" customHeight="true" outlineLevel="0" collapsed="false">
      <c r="A1421" s="30" t="s">
        <v>6440</v>
      </c>
      <c r="B1421" s="31" t="s">
        <v>6441</v>
      </c>
      <c r="C1421" s="31" t="s">
        <v>130</v>
      </c>
      <c r="D1421" s="31" t="s">
        <v>5920</v>
      </c>
      <c r="E1421" s="31" t="str">
        <f aca="false">IF(D1421="","",IFERROR(VLOOKUP(D1421,$A$2:$B$1656,2,FALSE()),""))</f>
        <v>Sacred Geography &amp; World Anchors</v>
      </c>
      <c r="F1421" s="31" t="n">
        <v>3</v>
      </c>
      <c r="G1421" s="31" t="s">
        <v>6442</v>
      </c>
      <c r="H1421" s="31" t="s">
        <v>6443</v>
      </c>
      <c r="I1421" s="31" t="s">
        <v>6444</v>
      </c>
      <c r="J1421" s="31" t="s">
        <v>6445</v>
      </c>
      <c r="K1421" s="31" t="s">
        <v>6446</v>
      </c>
      <c r="L1421" s="31" t="s">
        <v>5150</v>
      </c>
      <c r="M1421" s="31" t="s">
        <v>5176</v>
      </c>
    </row>
    <row r="1422" customFormat="false" ht="43.5" hidden="false" customHeight="true" outlineLevel="0" collapsed="false">
      <c r="A1422" s="30" t="s">
        <v>6447</v>
      </c>
      <c r="B1422" s="31" t="s">
        <v>6448</v>
      </c>
      <c r="C1422" s="31" t="s">
        <v>130</v>
      </c>
      <c r="D1422" s="31" t="s">
        <v>5920</v>
      </c>
      <c r="E1422" s="31" t="str">
        <f aca="false">IF(D1422="","",IFERROR(VLOOKUP(D1422,$A$2:$B$1656,2,FALSE()),""))</f>
        <v>Sacred Geography &amp; World Anchors</v>
      </c>
      <c r="F1422" s="31" t="n">
        <v>3</v>
      </c>
      <c r="G1422" s="31" t="s">
        <v>6449</v>
      </c>
      <c r="H1422" s="31" t="s">
        <v>6450</v>
      </c>
      <c r="I1422" s="31" t="s">
        <v>6451</v>
      </c>
      <c r="J1422" s="31" t="s">
        <v>6452</v>
      </c>
      <c r="K1422" s="31" t="s">
        <v>6453</v>
      </c>
      <c r="L1422" s="31" t="s">
        <v>5150</v>
      </c>
      <c r="M1422" s="31" t="s">
        <v>5176</v>
      </c>
    </row>
    <row r="1423" customFormat="false" ht="43.5" hidden="false" customHeight="true" outlineLevel="0" collapsed="false">
      <c r="A1423" s="30" t="s">
        <v>6454</v>
      </c>
      <c r="B1423" s="31" t="s">
        <v>6455</v>
      </c>
      <c r="C1423" s="31" t="s">
        <v>130</v>
      </c>
      <c r="D1423" s="31" t="s">
        <v>5920</v>
      </c>
      <c r="E1423" s="31" t="str">
        <f aca="false">IF(D1423="","",IFERROR(VLOOKUP(D1423,$A$2:$B$1656,2,FALSE()),""))</f>
        <v>Sacred Geography &amp; World Anchors</v>
      </c>
      <c r="F1423" s="31" t="n">
        <v>3</v>
      </c>
      <c r="G1423" s="31" t="s">
        <v>6456</v>
      </c>
      <c r="H1423" s="31" t="s">
        <v>6457</v>
      </c>
      <c r="I1423" s="31" t="s">
        <v>6458</v>
      </c>
      <c r="J1423" s="31" t="s">
        <v>6459</v>
      </c>
      <c r="K1423" s="31" t="s">
        <v>6460</v>
      </c>
      <c r="L1423" s="31" t="s">
        <v>5150</v>
      </c>
      <c r="M1423" s="31" t="s">
        <v>5176</v>
      </c>
    </row>
    <row r="1424" customFormat="false" ht="43.5" hidden="false" customHeight="true" outlineLevel="0" collapsed="false">
      <c r="A1424" s="30" t="s">
        <v>6461</v>
      </c>
      <c r="B1424" s="31" t="s">
        <v>6462</v>
      </c>
      <c r="C1424" s="31" t="s">
        <v>130</v>
      </c>
      <c r="D1424" s="31" t="s">
        <v>5920</v>
      </c>
      <c r="E1424" s="31" t="str">
        <f aca="false">IF(D1424="","",IFERROR(VLOOKUP(D1424,$A$2:$B$1656,2,FALSE()),""))</f>
        <v>Sacred Geography &amp; World Anchors</v>
      </c>
      <c r="F1424" s="31" t="n">
        <v>3</v>
      </c>
      <c r="G1424" s="31" t="s">
        <v>6463</v>
      </c>
      <c r="H1424" s="31" t="s">
        <v>6464</v>
      </c>
      <c r="I1424" s="31" t="s">
        <v>6465</v>
      </c>
      <c r="J1424" s="31" t="s">
        <v>6466</v>
      </c>
      <c r="K1424" s="31" t="s">
        <v>6467</v>
      </c>
      <c r="L1424" s="31" t="s">
        <v>5150</v>
      </c>
      <c r="M1424" s="31" t="s">
        <v>5176</v>
      </c>
    </row>
    <row r="1425" customFormat="false" ht="43.5" hidden="false" customHeight="true" outlineLevel="0" collapsed="false">
      <c r="A1425" s="30" t="s">
        <v>6468</v>
      </c>
      <c r="B1425" s="31" t="s">
        <v>6469</v>
      </c>
      <c r="C1425" s="31" t="s">
        <v>130</v>
      </c>
      <c r="D1425" s="31" t="s">
        <v>5920</v>
      </c>
      <c r="E1425" s="31" t="str">
        <f aca="false">IF(D1425="","",IFERROR(VLOOKUP(D1425,$A$2:$B$1656,2,FALSE()),""))</f>
        <v>Sacred Geography &amp; World Anchors</v>
      </c>
      <c r="F1425" s="31" t="n">
        <v>3</v>
      </c>
      <c r="G1425" s="31" t="s">
        <v>6470</v>
      </c>
      <c r="H1425" s="31" t="s">
        <v>6471</v>
      </c>
      <c r="I1425" s="31" t="s">
        <v>6472</v>
      </c>
      <c r="J1425" s="31" t="s">
        <v>6473</v>
      </c>
      <c r="K1425" s="31" t="s">
        <v>6474</v>
      </c>
      <c r="L1425" s="31" t="s">
        <v>5150</v>
      </c>
      <c r="M1425" s="31" t="s">
        <v>5176</v>
      </c>
    </row>
    <row r="1426" customFormat="false" ht="43.5" hidden="false" customHeight="true" outlineLevel="0" collapsed="false">
      <c r="A1426" s="30" t="s">
        <v>6475</v>
      </c>
      <c r="B1426" s="31" t="s">
        <v>6476</v>
      </c>
      <c r="C1426" s="31" t="s">
        <v>130</v>
      </c>
      <c r="D1426" s="31" t="s">
        <v>5920</v>
      </c>
      <c r="E1426" s="31" t="str">
        <f aca="false">IF(D1426="","",IFERROR(VLOOKUP(D1426,$A$2:$B$1656,2,FALSE()),""))</f>
        <v>Sacred Geography &amp; World Anchors</v>
      </c>
      <c r="F1426" s="31" t="n">
        <v>3</v>
      </c>
      <c r="G1426" s="31" t="s">
        <v>6477</v>
      </c>
      <c r="H1426" s="31" t="s">
        <v>6478</v>
      </c>
      <c r="I1426" s="31" t="s">
        <v>6479</v>
      </c>
      <c r="J1426" s="31" t="s">
        <v>6480</v>
      </c>
      <c r="K1426" s="31" t="s">
        <v>6481</v>
      </c>
      <c r="L1426" s="31" t="s">
        <v>5150</v>
      </c>
      <c r="M1426" s="31" t="s">
        <v>5176</v>
      </c>
    </row>
    <row r="1427" customFormat="false" ht="43.5" hidden="false" customHeight="true" outlineLevel="0" collapsed="false">
      <c r="A1427" s="30" t="s">
        <v>6482</v>
      </c>
      <c r="B1427" s="31" t="s">
        <v>6483</v>
      </c>
      <c r="C1427" s="31" t="s">
        <v>130</v>
      </c>
      <c r="D1427" s="31" t="s">
        <v>5920</v>
      </c>
      <c r="E1427" s="31" t="str">
        <f aca="false">IF(D1427="","",IFERROR(VLOOKUP(D1427,$A$2:$B$1656,2,FALSE()),""))</f>
        <v>Sacred Geography &amp; World Anchors</v>
      </c>
      <c r="F1427" s="31" t="n">
        <v>3</v>
      </c>
      <c r="G1427" s="31" t="s">
        <v>6484</v>
      </c>
      <c r="H1427" s="31" t="s">
        <v>6485</v>
      </c>
      <c r="I1427" s="31" t="s">
        <v>6486</v>
      </c>
      <c r="J1427" s="31" t="s">
        <v>6487</v>
      </c>
      <c r="K1427" s="31" t="s">
        <v>6488</v>
      </c>
      <c r="L1427" s="31" t="s">
        <v>5150</v>
      </c>
      <c r="M1427" s="31" t="s">
        <v>5176</v>
      </c>
    </row>
    <row r="1428" customFormat="false" ht="43.5" hidden="false" customHeight="true" outlineLevel="0" collapsed="false">
      <c r="A1428" s="30" t="s">
        <v>6489</v>
      </c>
      <c r="B1428" s="31" t="s">
        <v>6490</v>
      </c>
      <c r="C1428" s="31" t="s">
        <v>130</v>
      </c>
      <c r="D1428" s="31" t="s">
        <v>5920</v>
      </c>
      <c r="E1428" s="31" t="str">
        <f aca="false">IF(D1428="","",IFERROR(VLOOKUP(D1428,$A$2:$B$1656,2,FALSE()),""))</f>
        <v>Sacred Geography &amp; World Anchors</v>
      </c>
      <c r="F1428" s="31" t="n">
        <v>3</v>
      </c>
      <c r="G1428" s="31" t="s">
        <v>6491</v>
      </c>
      <c r="H1428" s="31" t="s">
        <v>6492</v>
      </c>
      <c r="I1428" s="31" t="s">
        <v>6493</v>
      </c>
      <c r="J1428" s="31" t="s">
        <v>6494</v>
      </c>
      <c r="K1428" s="31" t="s">
        <v>6495</v>
      </c>
      <c r="L1428" s="31" t="s">
        <v>5150</v>
      </c>
      <c r="M1428" s="31" t="s">
        <v>5176</v>
      </c>
    </row>
    <row r="1429" customFormat="false" ht="43.5" hidden="false" customHeight="true" outlineLevel="0" collapsed="false">
      <c r="A1429" s="30" t="s">
        <v>6496</v>
      </c>
      <c r="B1429" s="31" t="s">
        <v>6497</v>
      </c>
      <c r="C1429" s="31" t="s">
        <v>130</v>
      </c>
      <c r="D1429" s="31" t="s">
        <v>5920</v>
      </c>
      <c r="E1429" s="31" t="str">
        <f aca="false">IF(D1429="","",IFERROR(VLOOKUP(D1429,$A$2:$B$1656,2,FALSE()),""))</f>
        <v>Sacred Geography &amp; World Anchors</v>
      </c>
      <c r="F1429" s="31" t="n">
        <v>3</v>
      </c>
      <c r="G1429" s="31" t="s">
        <v>6498</v>
      </c>
      <c r="H1429" s="31" t="s">
        <v>6499</v>
      </c>
      <c r="I1429" s="31" t="s">
        <v>6500</v>
      </c>
      <c r="J1429" s="31" t="s">
        <v>6501</v>
      </c>
      <c r="K1429" s="31" t="s">
        <v>6502</v>
      </c>
      <c r="L1429" s="31" t="s">
        <v>5150</v>
      </c>
      <c r="M1429" s="31" t="s">
        <v>5176</v>
      </c>
    </row>
    <row r="1430" customFormat="false" ht="43.5" hidden="false" customHeight="true" outlineLevel="0" collapsed="false">
      <c r="A1430" s="30" t="s">
        <v>6503</v>
      </c>
      <c r="B1430" s="31" t="s">
        <v>6504</v>
      </c>
      <c r="C1430" s="31" t="s">
        <v>130</v>
      </c>
      <c r="D1430" s="31" t="s">
        <v>5920</v>
      </c>
      <c r="E1430" s="31" t="str">
        <f aca="false">IF(D1430="","",IFERROR(VLOOKUP(D1430,$A$2:$B$1656,2,FALSE()),""))</f>
        <v>Sacred Geography &amp; World Anchors</v>
      </c>
      <c r="F1430" s="31" t="n">
        <v>3</v>
      </c>
      <c r="G1430" s="31" t="s">
        <v>6505</v>
      </c>
      <c r="H1430" s="31" t="s">
        <v>6506</v>
      </c>
      <c r="I1430" s="31" t="s">
        <v>6507</v>
      </c>
      <c r="J1430" s="31" t="s">
        <v>6508</v>
      </c>
      <c r="K1430" s="31" t="s">
        <v>6509</v>
      </c>
      <c r="L1430" s="31" t="s">
        <v>5150</v>
      </c>
      <c r="M1430" s="31" t="s">
        <v>5176</v>
      </c>
    </row>
    <row r="1431" customFormat="false" ht="43.5" hidden="false" customHeight="true" outlineLevel="0" collapsed="false">
      <c r="A1431" s="30" t="s">
        <v>6510</v>
      </c>
      <c r="B1431" s="31" t="s">
        <v>6511</v>
      </c>
      <c r="C1431" s="31" t="s">
        <v>130</v>
      </c>
      <c r="D1431" s="31" t="s">
        <v>5920</v>
      </c>
      <c r="E1431" s="31" t="str">
        <f aca="false">IF(D1431="","",IFERROR(VLOOKUP(D1431,$A$2:$B$1656,2,FALSE()),""))</f>
        <v>Sacred Geography &amp; World Anchors</v>
      </c>
      <c r="F1431" s="31" t="n">
        <v>3</v>
      </c>
      <c r="G1431" s="31" t="s">
        <v>6512</v>
      </c>
      <c r="H1431" s="31" t="s">
        <v>6513</v>
      </c>
      <c r="I1431" s="31" t="s">
        <v>6514</v>
      </c>
      <c r="J1431" s="31" t="s">
        <v>6515</v>
      </c>
      <c r="K1431" s="31" t="s">
        <v>6516</v>
      </c>
      <c r="L1431" s="31" t="s">
        <v>5150</v>
      </c>
      <c r="M1431" s="31" t="s">
        <v>5176</v>
      </c>
    </row>
    <row r="1432" customFormat="false" ht="43.5" hidden="false" customHeight="true" outlineLevel="0" collapsed="false">
      <c r="A1432" s="30" t="s">
        <v>6517</v>
      </c>
      <c r="B1432" s="31" t="s">
        <v>6518</v>
      </c>
      <c r="C1432" s="31" t="s">
        <v>130</v>
      </c>
      <c r="D1432" s="31" t="s">
        <v>5920</v>
      </c>
      <c r="E1432" s="31" t="str">
        <f aca="false">IF(D1432="","",IFERROR(VLOOKUP(D1432,$A$2:$B$1656,2,FALSE()),""))</f>
        <v>Sacred Geography &amp; World Anchors</v>
      </c>
      <c r="F1432" s="31" t="n">
        <v>3</v>
      </c>
      <c r="G1432" s="31" t="s">
        <v>6519</v>
      </c>
      <c r="H1432" s="31" t="s">
        <v>6520</v>
      </c>
      <c r="I1432" s="31" t="s">
        <v>6521</v>
      </c>
      <c r="J1432" s="31" t="s">
        <v>6522</v>
      </c>
      <c r="K1432" s="31" t="s">
        <v>6523</v>
      </c>
      <c r="L1432" s="31" t="s">
        <v>5150</v>
      </c>
      <c r="M1432" s="31" t="s">
        <v>5176</v>
      </c>
    </row>
    <row r="1433" customFormat="false" ht="43.5" hidden="false" customHeight="true" outlineLevel="0" collapsed="false">
      <c r="A1433" s="30" t="s">
        <v>6524</v>
      </c>
      <c r="B1433" s="31" t="s">
        <v>6525</v>
      </c>
      <c r="C1433" s="31" t="s">
        <v>130</v>
      </c>
      <c r="D1433" s="31" t="s">
        <v>5920</v>
      </c>
      <c r="E1433" s="31" t="str">
        <f aca="false">IF(D1433="","",IFERROR(VLOOKUP(D1433,$A$2:$B$1656,2,FALSE()),""))</f>
        <v>Sacred Geography &amp; World Anchors</v>
      </c>
      <c r="F1433" s="31" t="n">
        <v>3</v>
      </c>
      <c r="G1433" s="31" t="s">
        <v>6526</v>
      </c>
      <c r="H1433" s="31" t="s">
        <v>6527</v>
      </c>
      <c r="I1433" s="31" t="s">
        <v>6528</v>
      </c>
      <c r="J1433" s="31" t="s">
        <v>6529</v>
      </c>
      <c r="K1433" s="31" t="s">
        <v>6530</v>
      </c>
      <c r="L1433" s="31" t="s">
        <v>5150</v>
      </c>
      <c r="M1433" s="31" t="s">
        <v>5176</v>
      </c>
    </row>
    <row r="1434" customFormat="false" ht="43.5" hidden="false" customHeight="true" outlineLevel="0" collapsed="false">
      <c r="A1434" s="30" t="s">
        <v>6531</v>
      </c>
      <c r="B1434" s="31" t="s">
        <v>6532</v>
      </c>
      <c r="C1434" s="31" t="s">
        <v>130</v>
      </c>
      <c r="D1434" s="31" t="s">
        <v>5920</v>
      </c>
      <c r="E1434" s="31" t="str">
        <f aca="false">IF(D1434="","",IFERROR(VLOOKUP(D1434,$A$2:$B$1656,2,FALSE()),""))</f>
        <v>Sacred Geography &amp; World Anchors</v>
      </c>
      <c r="F1434" s="31" t="n">
        <v>3</v>
      </c>
      <c r="G1434" s="31" t="s">
        <v>6533</v>
      </c>
      <c r="H1434" s="31" t="s">
        <v>6534</v>
      </c>
      <c r="I1434" s="31" t="s">
        <v>6535</v>
      </c>
      <c r="J1434" s="31" t="s">
        <v>6536</v>
      </c>
      <c r="K1434" s="31" t="s">
        <v>6537</v>
      </c>
      <c r="L1434" s="31" t="s">
        <v>5150</v>
      </c>
      <c r="M1434" s="31" t="s">
        <v>5176</v>
      </c>
    </row>
    <row r="1435" customFormat="false" ht="43.5" hidden="false" customHeight="true" outlineLevel="0" collapsed="false">
      <c r="A1435" s="30" t="s">
        <v>6538</v>
      </c>
      <c r="B1435" s="31" t="s">
        <v>6539</v>
      </c>
      <c r="C1435" s="31" t="s">
        <v>130</v>
      </c>
      <c r="D1435" s="31" t="s">
        <v>5923</v>
      </c>
      <c r="E1435" s="31" t="str">
        <f aca="false">IF(D1435="","",IFERROR(VLOOKUP(D1435,$A$2:$B$1656,2,FALSE()),""))</f>
        <v>Cosmological Boundaries &amp; Travel</v>
      </c>
      <c r="F1435" s="31" t="n">
        <v>3</v>
      </c>
      <c r="G1435" s="31" t="s">
        <v>6540</v>
      </c>
      <c r="H1435" s="31" t="s">
        <v>6541</v>
      </c>
      <c r="I1435" s="31" t="s">
        <v>6542</v>
      </c>
      <c r="J1435" s="31" t="s">
        <v>6543</v>
      </c>
      <c r="K1435" s="31" t="s">
        <v>6544</v>
      </c>
      <c r="L1435" s="31" t="s">
        <v>5150</v>
      </c>
      <c r="M1435" s="31" t="s">
        <v>5176</v>
      </c>
    </row>
    <row r="1436" customFormat="false" ht="43.5" hidden="false" customHeight="true" outlineLevel="0" collapsed="false">
      <c r="A1436" s="30" t="s">
        <v>6545</v>
      </c>
      <c r="B1436" s="31" t="s">
        <v>6546</v>
      </c>
      <c r="C1436" s="31" t="s">
        <v>130</v>
      </c>
      <c r="D1436" s="31" t="s">
        <v>5923</v>
      </c>
      <c r="E1436" s="31" t="str">
        <f aca="false">IF(D1436="","",IFERROR(VLOOKUP(D1436,$A$2:$B$1656,2,FALSE()),""))</f>
        <v>Cosmological Boundaries &amp; Travel</v>
      </c>
      <c r="F1436" s="31" t="n">
        <v>3</v>
      </c>
      <c r="G1436" s="31" t="s">
        <v>6547</v>
      </c>
      <c r="H1436" s="31" t="s">
        <v>6548</v>
      </c>
      <c r="I1436" s="31" t="s">
        <v>6549</v>
      </c>
      <c r="J1436" s="31" t="s">
        <v>6550</v>
      </c>
      <c r="K1436" s="31" t="s">
        <v>6551</v>
      </c>
      <c r="L1436" s="31" t="s">
        <v>5150</v>
      </c>
      <c r="M1436" s="31" t="s">
        <v>5176</v>
      </c>
    </row>
    <row r="1437" customFormat="false" ht="43.5" hidden="false" customHeight="true" outlineLevel="0" collapsed="false">
      <c r="A1437" s="30" t="s">
        <v>6552</v>
      </c>
      <c r="B1437" s="31" t="s">
        <v>6553</v>
      </c>
      <c r="C1437" s="31" t="s">
        <v>130</v>
      </c>
      <c r="D1437" s="31" t="s">
        <v>5923</v>
      </c>
      <c r="E1437" s="31" t="str">
        <f aca="false">IF(D1437="","",IFERROR(VLOOKUP(D1437,$A$2:$B$1656,2,FALSE()),""))</f>
        <v>Cosmological Boundaries &amp; Travel</v>
      </c>
      <c r="F1437" s="31" t="n">
        <v>3</v>
      </c>
      <c r="G1437" s="31" t="s">
        <v>6554</v>
      </c>
      <c r="H1437" s="31" t="s">
        <v>6555</v>
      </c>
      <c r="I1437" s="31" t="s">
        <v>6556</v>
      </c>
      <c r="J1437" s="31" t="s">
        <v>6557</v>
      </c>
      <c r="K1437" s="31" t="s">
        <v>6558</v>
      </c>
      <c r="L1437" s="31" t="s">
        <v>5150</v>
      </c>
      <c r="M1437" s="31" t="s">
        <v>5176</v>
      </c>
    </row>
    <row r="1438" customFormat="false" ht="43.5" hidden="false" customHeight="true" outlineLevel="0" collapsed="false">
      <c r="A1438" s="30" t="s">
        <v>6559</v>
      </c>
      <c r="B1438" s="31" t="s">
        <v>6560</v>
      </c>
      <c r="C1438" s="31" t="s">
        <v>130</v>
      </c>
      <c r="D1438" s="31" t="s">
        <v>5923</v>
      </c>
      <c r="E1438" s="31" t="str">
        <f aca="false">IF(D1438="","",IFERROR(VLOOKUP(D1438,$A$2:$B$1656,2,FALSE()),""))</f>
        <v>Cosmological Boundaries &amp; Travel</v>
      </c>
      <c r="F1438" s="31" t="n">
        <v>3</v>
      </c>
      <c r="G1438" s="31" t="s">
        <v>6561</v>
      </c>
      <c r="H1438" s="31" t="s">
        <v>6562</v>
      </c>
      <c r="I1438" s="31" t="s">
        <v>6563</v>
      </c>
      <c r="J1438" s="31" t="s">
        <v>6564</v>
      </c>
      <c r="K1438" s="31" t="s">
        <v>6565</v>
      </c>
      <c r="L1438" s="31" t="s">
        <v>5150</v>
      </c>
      <c r="M1438" s="31" t="s">
        <v>5176</v>
      </c>
    </row>
    <row r="1439" customFormat="false" ht="43.5" hidden="false" customHeight="true" outlineLevel="0" collapsed="false">
      <c r="A1439" s="30" t="s">
        <v>6566</v>
      </c>
      <c r="B1439" s="31" t="s">
        <v>6567</v>
      </c>
      <c r="C1439" s="31" t="s">
        <v>130</v>
      </c>
      <c r="D1439" s="31" t="s">
        <v>5923</v>
      </c>
      <c r="E1439" s="31" t="str">
        <f aca="false">IF(D1439="","",IFERROR(VLOOKUP(D1439,$A$2:$B$1656,2,FALSE()),""))</f>
        <v>Cosmological Boundaries &amp; Travel</v>
      </c>
      <c r="F1439" s="31" t="n">
        <v>3</v>
      </c>
      <c r="G1439" s="31" t="s">
        <v>6568</v>
      </c>
      <c r="H1439" s="31" t="s">
        <v>6569</v>
      </c>
      <c r="I1439" s="31" t="s">
        <v>6570</v>
      </c>
      <c r="J1439" s="31" t="s">
        <v>6571</v>
      </c>
      <c r="K1439" s="31" t="s">
        <v>6572</v>
      </c>
      <c r="L1439" s="31" t="s">
        <v>5150</v>
      </c>
      <c r="M1439" s="31" t="s">
        <v>5176</v>
      </c>
    </row>
    <row r="1440" customFormat="false" ht="43.5" hidden="false" customHeight="true" outlineLevel="0" collapsed="false">
      <c r="A1440" s="30" t="s">
        <v>6573</v>
      </c>
      <c r="B1440" s="31" t="s">
        <v>6574</v>
      </c>
      <c r="C1440" s="31" t="s">
        <v>130</v>
      </c>
      <c r="D1440" s="31" t="s">
        <v>5923</v>
      </c>
      <c r="E1440" s="31" t="str">
        <f aca="false">IF(D1440="","",IFERROR(VLOOKUP(D1440,$A$2:$B$1656,2,FALSE()),""))</f>
        <v>Cosmological Boundaries &amp; Travel</v>
      </c>
      <c r="F1440" s="31" t="n">
        <v>3</v>
      </c>
      <c r="G1440" s="31" t="s">
        <v>6575</v>
      </c>
      <c r="H1440" s="31" t="s">
        <v>6576</v>
      </c>
      <c r="I1440" s="31" t="s">
        <v>6577</v>
      </c>
      <c r="J1440" s="31" t="s">
        <v>6578</v>
      </c>
      <c r="K1440" s="31" t="s">
        <v>6579</v>
      </c>
      <c r="L1440" s="31" t="s">
        <v>5150</v>
      </c>
      <c r="M1440" s="31" t="s">
        <v>5176</v>
      </c>
    </row>
    <row r="1441" customFormat="false" ht="43.5" hidden="false" customHeight="true" outlineLevel="0" collapsed="false">
      <c r="A1441" s="30" t="s">
        <v>6580</v>
      </c>
      <c r="B1441" s="31" t="s">
        <v>6581</v>
      </c>
      <c r="C1441" s="31" t="s">
        <v>130</v>
      </c>
      <c r="D1441" s="31" t="s">
        <v>5923</v>
      </c>
      <c r="E1441" s="31" t="str">
        <f aca="false">IF(D1441="","",IFERROR(VLOOKUP(D1441,$A$2:$B$1656,2,FALSE()),""))</f>
        <v>Cosmological Boundaries &amp; Travel</v>
      </c>
      <c r="F1441" s="31" t="n">
        <v>3</v>
      </c>
      <c r="G1441" s="31" t="s">
        <v>6582</v>
      </c>
      <c r="H1441" s="31" t="s">
        <v>6583</v>
      </c>
      <c r="I1441" s="31" t="s">
        <v>6584</v>
      </c>
      <c r="J1441" s="31" t="s">
        <v>6585</v>
      </c>
      <c r="K1441" s="31" t="s">
        <v>6586</v>
      </c>
      <c r="L1441" s="31" t="s">
        <v>5150</v>
      </c>
      <c r="M1441" s="31" t="s">
        <v>5176</v>
      </c>
    </row>
    <row r="1442" customFormat="false" ht="43.5" hidden="false" customHeight="true" outlineLevel="0" collapsed="false">
      <c r="A1442" s="30" t="s">
        <v>6587</v>
      </c>
      <c r="B1442" s="31" t="s">
        <v>6588</v>
      </c>
      <c r="C1442" s="31" t="s">
        <v>130</v>
      </c>
      <c r="D1442" s="31" t="s">
        <v>5923</v>
      </c>
      <c r="E1442" s="31" t="str">
        <f aca="false">IF(D1442="","",IFERROR(VLOOKUP(D1442,$A$2:$B$1656,2,FALSE()),""))</f>
        <v>Cosmological Boundaries &amp; Travel</v>
      </c>
      <c r="F1442" s="31" t="n">
        <v>3</v>
      </c>
      <c r="G1442" s="31" t="s">
        <v>6589</v>
      </c>
      <c r="H1442" s="31" t="s">
        <v>6590</v>
      </c>
      <c r="I1442" s="31" t="s">
        <v>6591</v>
      </c>
      <c r="J1442" s="31" t="s">
        <v>6592</v>
      </c>
      <c r="K1442" s="31" t="s">
        <v>6593</v>
      </c>
      <c r="L1442" s="31" t="s">
        <v>5150</v>
      </c>
      <c r="M1442" s="31" t="s">
        <v>5176</v>
      </c>
    </row>
    <row r="1443" customFormat="false" ht="43.5" hidden="false" customHeight="true" outlineLevel="0" collapsed="false">
      <c r="A1443" s="30" t="s">
        <v>6594</v>
      </c>
      <c r="B1443" s="31" t="s">
        <v>6595</v>
      </c>
      <c r="C1443" s="31" t="s">
        <v>130</v>
      </c>
      <c r="D1443" s="31" t="s">
        <v>5923</v>
      </c>
      <c r="E1443" s="31" t="str">
        <f aca="false">IF(D1443="","",IFERROR(VLOOKUP(D1443,$A$2:$B$1656,2,FALSE()),""))</f>
        <v>Cosmological Boundaries &amp; Travel</v>
      </c>
      <c r="F1443" s="31" t="n">
        <v>3</v>
      </c>
      <c r="G1443" s="31" t="s">
        <v>6596</v>
      </c>
      <c r="H1443" s="31" t="s">
        <v>6597</v>
      </c>
      <c r="I1443" s="31" t="s">
        <v>6598</v>
      </c>
      <c r="J1443" s="31" t="s">
        <v>6599</v>
      </c>
      <c r="K1443" s="31" t="s">
        <v>6600</v>
      </c>
      <c r="L1443" s="31" t="s">
        <v>5150</v>
      </c>
      <c r="M1443" s="31" t="s">
        <v>5176</v>
      </c>
    </row>
    <row r="1444" customFormat="false" ht="43.5" hidden="false" customHeight="true" outlineLevel="0" collapsed="false">
      <c r="A1444" s="30" t="s">
        <v>6601</v>
      </c>
      <c r="B1444" s="31" t="s">
        <v>6602</v>
      </c>
      <c r="C1444" s="31" t="s">
        <v>130</v>
      </c>
      <c r="D1444" s="31" t="s">
        <v>5923</v>
      </c>
      <c r="E1444" s="31" t="str">
        <f aca="false">IF(D1444="","",IFERROR(VLOOKUP(D1444,$A$2:$B$1656,2,FALSE()),""))</f>
        <v>Cosmological Boundaries &amp; Travel</v>
      </c>
      <c r="F1444" s="31" t="n">
        <v>3</v>
      </c>
      <c r="G1444" s="31" t="s">
        <v>6603</v>
      </c>
      <c r="H1444" s="31" t="s">
        <v>6604</v>
      </c>
      <c r="I1444" s="31" t="s">
        <v>6605</v>
      </c>
      <c r="J1444" s="31" t="s">
        <v>6606</v>
      </c>
      <c r="K1444" s="31" t="s">
        <v>6607</v>
      </c>
      <c r="L1444" s="31" t="s">
        <v>5150</v>
      </c>
      <c r="M1444" s="31" t="s">
        <v>5176</v>
      </c>
    </row>
    <row r="1445" customFormat="false" ht="43.5" hidden="false" customHeight="true" outlineLevel="0" collapsed="false">
      <c r="A1445" s="30" t="s">
        <v>6608</v>
      </c>
      <c r="B1445" s="31" t="s">
        <v>6609</v>
      </c>
      <c r="C1445" s="31" t="s">
        <v>130</v>
      </c>
      <c r="D1445" s="31" t="s">
        <v>5923</v>
      </c>
      <c r="E1445" s="31" t="str">
        <f aca="false">IF(D1445="","",IFERROR(VLOOKUP(D1445,$A$2:$B$1656,2,FALSE()),""))</f>
        <v>Cosmological Boundaries &amp; Travel</v>
      </c>
      <c r="F1445" s="31" t="n">
        <v>3</v>
      </c>
      <c r="G1445" s="31" t="s">
        <v>6610</v>
      </c>
      <c r="H1445" s="31" t="s">
        <v>6611</v>
      </c>
      <c r="I1445" s="31" t="s">
        <v>6612</v>
      </c>
      <c r="J1445" s="31" t="s">
        <v>6613</v>
      </c>
      <c r="K1445" s="31" t="s">
        <v>6614</v>
      </c>
      <c r="L1445" s="31" t="s">
        <v>5150</v>
      </c>
      <c r="M1445" s="31" t="s">
        <v>5176</v>
      </c>
    </row>
    <row r="1446" customFormat="false" ht="43.5" hidden="false" customHeight="true" outlineLevel="0" collapsed="false">
      <c r="A1446" s="30" t="s">
        <v>6615</v>
      </c>
      <c r="B1446" s="31" t="s">
        <v>6616</v>
      </c>
      <c r="C1446" s="31" t="s">
        <v>130</v>
      </c>
      <c r="D1446" s="31" t="s">
        <v>5923</v>
      </c>
      <c r="E1446" s="31" t="str">
        <f aca="false">IF(D1446="","",IFERROR(VLOOKUP(D1446,$A$2:$B$1656,2,FALSE()),""))</f>
        <v>Cosmological Boundaries &amp; Travel</v>
      </c>
      <c r="F1446" s="31" t="n">
        <v>3</v>
      </c>
      <c r="G1446" s="31" t="s">
        <v>6617</v>
      </c>
      <c r="H1446" s="31" t="s">
        <v>6618</v>
      </c>
      <c r="I1446" s="31" t="s">
        <v>6619</v>
      </c>
      <c r="J1446" s="31" t="s">
        <v>6620</v>
      </c>
      <c r="K1446" s="31" t="s">
        <v>6621</v>
      </c>
      <c r="L1446" s="31" t="s">
        <v>5150</v>
      </c>
      <c r="M1446" s="31" t="s">
        <v>5176</v>
      </c>
    </row>
    <row r="1447" customFormat="false" ht="43.5" hidden="false" customHeight="true" outlineLevel="0" collapsed="false">
      <c r="A1447" s="30" t="s">
        <v>6622</v>
      </c>
      <c r="B1447" s="31" t="s">
        <v>6623</v>
      </c>
      <c r="C1447" s="31" t="s">
        <v>130</v>
      </c>
      <c r="D1447" s="31" t="s">
        <v>5923</v>
      </c>
      <c r="E1447" s="31" t="str">
        <f aca="false">IF(D1447="","",IFERROR(VLOOKUP(D1447,$A$2:$B$1656,2,FALSE()),""))</f>
        <v>Cosmological Boundaries &amp; Travel</v>
      </c>
      <c r="F1447" s="31" t="n">
        <v>3</v>
      </c>
      <c r="G1447" s="31" t="s">
        <v>6624</v>
      </c>
      <c r="H1447" s="31" t="s">
        <v>6625</v>
      </c>
      <c r="I1447" s="31" t="s">
        <v>6626</v>
      </c>
      <c r="J1447" s="31" t="s">
        <v>6627</v>
      </c>
      <c r="K1447" s="31" t="s">
        <v>6628</v>
      </c>
      <c r="L1447" s="31" t="s">
        <v>5150</v>
      </c>
      <c r="M1447" s="31" t="s">
        <v>5176</v>
      </c>
    </row>
    <row r="1448" customFormat="false" ht="43.5" hidden="false" customHeight="true" outlineLevel="0" collapsed="false">
      <c r="A1448" s="30" t="s">
        <v>6629</v>
      </c>
      <c r="B1448" s="31" t="s">
        <v>6630</v>
      </c>
      <c r="C1448" s="31" t="s">
        <v>130</v>
      </c>
      <c r="D1448" s="31" t="s">
        <v>5923</v>
      </c>
      <c r="E1448" s="31" t="str">
        <f aca="false">IF(D1448="","",IFERROR(VLOOKUP(D1448,$A$2:$B$1656,2,FALSE()),""))</f>
        <v>Cosmological Boundaries &amp; Travel</v>
      </c>
      <c r="F1448" s="31" t="n">
        <v>3</v>
      </c>
      <c r="G1448" s="31" t="s">
        <v>6631</v>
      </c>
      <c r="H1448" s="31" t="s">
        <v>6632</v>
      </c>
      <c r="I1448" s="31" t="s">
        <v>6633</v>
      </c>
      <c r="J1448" s="31" t="s">
        <v>6634</v>
      </c>
      <c r="K1448" s="31" t="s">
        <v>6635</v>
      </c>
      <c r="L1448" s="31" t="s">
        <v>5150</v>
      </c>
      <c r="M1448" s="31" t="s">
        <v>5176</v>
      </c>
    </row>
    <row r="1449" customFormat="false" ht="43.5" hidden="false" customHeight="true" outlineLevel="0" collapsed="false">
      <c r="A1449" s="30" t="s">
        <v>6636</v>
      </c>
      <c r="B1449" s="31" t="s">
        <v>6637</v>
      </c>
      <c r="C1449" s="31" t="s">
        <v>130</v>
      </c>
      <c r="D1449" s="31" t="s">
        <v>5923</v>
      </c>
      <c r="E1449" s="31" t="str">
        <f aca="false">IF(D1449="","",IFERROR(VLOOKUP(D1449,$A$2:$B$1656,2,FALSE()),""))</f>
        <v>Cosmological Boundaries &amp; Travel</v>
      </c>
      <c r="F1449" s="31" t="n">
        <v>3</v>
      </c>
      <c r="G1449" s="31" t="s">
        <v>6638</v>
      </c>
      <c r="H1449" s="31" t="s">
        <v>6639</v>
      </c>
      <c r="I1449" s="31" t="s">
        <v>6640</v>
      </c>
      <c r="J1449" s="31" t="s">
        <v>6641</v>
      </c>
      <c r="K1449" s="31" t="s">
        <v>6642</v>
      </c>
      <c r="L1449" s="31" t="s">
        <v>5150</v>
      </c>
      <c r="M1449" s="31" t="s">
        <v>5176</v>
      </c>
    </row>
    <row r="1450" customFormat="false" ht="43.5" hidden="false" customHeight="true" outlineLevel="0" collapsed="false">
      <c r="A1450" s="30" t="s">
        <v>6643</v>
      </c>
      <c r="B1450" s="31" t="s">
        <v>6644</v>
      </c>
      <c r="C1450" s="31" t="s">
        <v>130</v>
      </c>
      <c r="D1450" s="31" t="s">
        <v>5923</v>
      </c>
      <c r="E1450" s="31" t="str">
        <f aca="false">IF(D1450="","",IFERROR(VLOOKUP(D1450,$A$2:$B$1656,2,FALSE()),""))</f>
        <v>Cosmological Boundaries &amp; Travel</v>
      </c>
      <c r="F1450" s="31" t="n">
        <v>3</v>
      </c>
      <c r="G1450" s="31" t="s">
        <v>6645</v>
      </c>
      <c r="H1450" s="31" t="s">
        <v>6646</v>
      </c>
      <c r="I1450" s="31" t="s">
        <v>6647</v>
      </c>
      <c r="J1450" s="31" t="s">
        <v>6648</v>
      </c>
      <c r="K1450" s="31" t="s">
        <v>6649</v>
      </c>
      <c r="L1450" s="31" t="s">
        <v>5150</v>
      </c>
      <c r="M1450" s="31" t="s">
        <v>5176</v>
      </c>
    </row>
    <row r="1451" customFormat="false" ht="43.5" hidden="false" customHeight="true" outlineLevel="0" collapsed="false">
      <c r="A1451" s="30" t="s">
        <v>6650</v>
      </c>
      <c r="B1451" s="31" t="s">
        <v>6651</v>
      </c>
      <c r="C1451" s="31" t="s">
        <v>130</v>
      </c>
      <c r="D1451" s="31" t="s">
        <v>5926</v>
      </c>
      <c r="E1451" s="31" t="str">
        <f aca="false">IF(D1451="","",IFERROR(VLOOKUP(D1451,$A$2:$B$1656,2,FALSE()),""))</f>
        <v>Eschatology, Cycles &amp; World Change</v>
      </c>
      <c r="F1451" s="31" t="n">
        <v>3</v>
      </c>
      <c r="G1451" s="31" t="s">
        <v>6652</v>
      </c>
      <c r="H1451" s="31" t="s">
        <v>6653</v>
      </c>
      <c r="I1451" s="31" t="s">
        <v>6654</v>
      </c>
      <c r="J1451" s="31" t="s">
        <v>6655</v>
      </c>
      <c r="K1451" s="31" t="s">
        <v>6656</v>
      </c>
      <c r="L1451" s="31" t="s">
        <v>5150</v>
      </c>
      <c r="M1451" s="31" t="s">
        <v>5176</v>
      </c>
    </row>
    <row r="1452" customFormat="false" ht="43.5" hidden="false" customHeight="true" outlineLevel="0" collapsed="false">
      <c r="A1452" s="30" t="s">
        <v>6657</v>
      </c>
      <c r="B1452" s="31" t="s">
        <v>6658</v>
      </c>
      <c r="C1452" s="31" t="s">
        <v>130</v>
      </c>
      <c r="D1452" s="31" t="s">
        <v>5926</v>
      </c>
      <c r="E1452" s="31" t="str">
        <f aca="false">IF(D1452="","",IFERROR(VLOOKUP(D1452,$A$2:$B$1656,2,FALSE()),""))</f>
        <v>Eschatology, Cycles &amp; World Change</v>
      </c>
      <c r="F1452" s="31" t="n">
        <v>3</v>
      </c>
      <c r="G1452" s="31" t="s">
        <v>6659</v>
      </c>
      <c r="H1452" s="31" t="s">
        <v>6660</v>
      </c>
      <c r="I1452" s="31" t="s">
        <v>6661</v>
      </c>
      <c r="J1452" s="31" t="s">
        <v>6662</v>
      </c>
      <c r="K1452" s="31" t="s">
        <v>6663</v>
      </c>
      <c r="L1452" s="31" t="s">
        <v>5150</v>
      </c>
      <c r="M1452" s="31" t="s">
        <v>5176</v>
      </c>
    </row>
    <row r="1453" customFormat="false" ht="43.5" hidden="false" customHeight="true" outlineLevel="0" collapsed="false">
      <c r="A1453" s="30" t="s">
        <v>6664</v>
      </c>
      <c r="B1453" s="31" t="s">
        <v>6665</v>
      </c>
      <c r="C1453" s="31" t="s">
        <v>130</v>
      </c>
      <c r="D1453" s="31" t="s">
        <v>5926</v>
      </c>
      <c r="E1453" s="31" t="str">
        <f aca="false">IF(D1453="","",IFERROR(VLOOKUP(D1453,$A$2:$B$1656,2,FALSE()),""))</f>
        <v>Eschatology, Cycles &amp; World Change</v>
      </c>
      <c r="F1453" s="31" t="n">
        <v>3</v>
      </c>
      <c r="G1453" s="31" t="s">
        <v>6666</v>
      </c>
      <c r="H1453" s="31" t="s">
        <v>6667</v>
      </c>
      <c r="I1453" s="31" t="s">
        <v>6668</v>
      </c>
      <c r="J1453" s="31" t="s">
        <v>6669</v>
      </c>
      <c r="K1453" s="31" t="s">
        <v>6670</v>
      </c>
      <c r="L1453" s="31" t="s">
        <v>5150</v>
      </c>
      <c r="M1453" s="31" t="s">
        <v>5176</v>
      </c>
    </row>
    <row r="1454" customFormat="false" ht="43.5" hidden="false" customHeight="true" outlineLevel="0" collapsed="false">
      <c r="A1454" s="30" t="s">
        <v>6671</v>
      </c>
      <c r="B1454" s="31" t="s">
        <v>6672</v>
      </c>
      <c r="C1454" s="31" t="s">
        <v>130</v>
      </c>
      <c r="D1454" s="31" t="s">
        <v>5926</v>
      </c>
      <c r="E1454" s="31" t="str">
        <f aca="false">IF(D1454="","",IFERROR(VLOOKUP(D1454,$A$2:$B$1656,2,FALSE()),""))</f>
        <v>Eschatology, Cycles &amp; World Change</v>
      </c>
      <c r="F1454" s="31" t="n">
        <v>3</v>
      </c>
      <c r="G1454" s="31" t="s">
        <v>6673</v>
      </c>
      <c r="H1454" s="31" t="s">
        <v>6674</v>
      </c>
      <c r="I1454" s="31" t="s">
        <v>6675</v>
      </c>
      <c r="J1454" s="31" t="s">
        <v>6676</v>
      </c>
      <c r="K1454" s="31" t="s">
        <v>6677</v>
      </c>
      <c r="L1454" s="31" t="s">
        <v>5150</v>
      </c>
      <c r="M1454" s="31" t="s">
        <v>5176</v>
      </c>
    </row>
    <row r="1455" customFormat="false" ht="43.5" hidden="false" customHeight="true" outlineLevel="0" collapsed="false">
      <c r="A1455" s="30" t="s">
        <v>6678</v>
      </c>
      <c r="B1455" s="31" t="s">
        <v>6679</v>
      </c>
      <c r="C1455" s="31" t="s">
        <v>130</v>
      </c>
      <c r="D1455" s="31" t="s">
        <v>5926</v>
      </c>
      <c r="E1455" s="31" t="str">
        <f aca="false">IF(D1455="","",IFERROR(VLOOKUP(D1455,$A$2:$B$1656,2,FALSE()),""))</f>
        <v>Eschatology, Cycles &amp; World Change</v>
      </c>
      <c r="F1455" s="31" t="n">
        <v>3</v>
      </c>
      <c r="G1455" s="31" t="s">
        <v>6680</v>
      </c>
      <c r="H1455" s="31" t="s">
        <v>6681</v>
      </c>
      <c r="I1455" s="31" t="s">
        <v>6682</v>
      </c>
      <c r="J1455" s="31" t="s">
        <v>6683</v>
      </c>
      <c r="K1455" s="31" t="s">
        <v>6684</v>
      </c>
      <c r="L1455" s="31" t="s">
        <v>5150</v>
      </c>
      <c r="M1455" s="31" t="s">
        <v>5176</v>
      </c>
    </row>
    <row r="1456" customFormat="false" ht="43.5" hidden="false" customHeight="true" outlineLevel="0" collapsed="false">
      <c r="A1456" s="30" t="s">
        <v>6685</v>
      </c>
      <c r="B1456" s="31" t="s">
        <v>6686</v>
      </c>
      <c r="C1456" s="31" t="s">
        <v>130</v>
      </c>
      <c r="D1456" s="31" t="s">
        <v>5926</v>
      </c>
      <c r="E1456" s="31" t="str">
        <f aca="false">IF(D1456="","",IFERROR(VLOOKUP(D1456,$A$2:$B$1656,2,FALSE()),""))</f>
        <v>Eschatology, Cycles &amp; World Change</v>
      </c>
      <c r="F1456" s="31" t="n">
        <v>3</v>
      </c>
      <c r="G1456" s="31" t="s">
        <v>6687</v>
      </c>
      <c r="H1456" s="31" t="s">
        <v>6688</v>
      </c>
      <c r="I1456" s="31" t="s">
        <v>6689</v>
      </c>
      <c r="J1456" s="31" t="s">
        <v>6690</v>
      </c>
      <c r="K1456" s="31" t="s">
        <v>6691</v>
      </c>
      <c r="L1456" s="31" t="s">
        <v>5150</v>
      </c>
      <c r="M1456" s="31" t="s">
        <v>5176</v>
      </c>
    </row>
    <row r="1457" customFormat="false" ht="43.5" hidden="false" customHeight="true" outlineLevel="0" collapsed="false">
      <c r="A1457" s="30" t="s">
        <v>6692</v>
      </c>
      <c r="B1457" s="31" t="s">
        <v>6693</v>
      </c>
      <c r="C1457" s="31" t="s">
        <v>130</v>
      </c>
      <c r="D1457" s="31" t="s">
        <v>5926</v>
      </c>
      <c r="E1457" s="31" t="str">
        <f aca="false">IF(D1457="","",IFERROR(VLOOKUP(D1457,$A$2:$B$1656,2,FALSE()),""))</f>
        <v>Eschatology, Cycles &amp; World Change</v>
      </c>
      <c r="F1457" s="31" t="n">
        <v>3</v>
      </c>
      <c r="G1457" s="31" t="s">
        <v>6694</v>
      </c>
      <c r="H1457" s="31" t="s">
        <v>6695</v>
      </c>
      <c r="I1457" s="31" t="s">
        <v>6696</v>
      </c>
      <c r="J1457" s="31" t="s">
        <v>6697</v>
      </c>
      <c r="K1457" s="31" t="s">
        <v>6698</v>
      </c>
      <c r="L1457" s="31" t="s">
        <v>5150</v>
      </c>
      <c r="M1457" s="31" t="s">
        <v>5176</v>
      </c>
    </row>
    <row r="1458" customFormat="false" ht="43.5" hidden="false" customHeight="true" outlineLevel="0" collapsed="false">
      <c r="A1458" s="30" t="s">
        <v>6699</v>
      </c>
      <c r="B1458" s="31" t="s">
        <v>6700</v>
      </c>
      <c r="C1458" s="31" t="s">
        <v>130</v>
      </c>
      <c r="D1458" s="31" t="s">
        <v>5926</v>
      </c>
      <c r="E1458" s="31" t="str">
        <f aca="false">IF(D1458="","",IFERROR(VLOOKUP(D1458,$A$2:$B$1656,2,FALSE()),""))</f>
        <v>Eschatology, Cycles &amp; World Change</v>
      </c>
      <c r="F1458" s="31" t="n">
        <v>3</v>
      </c>
      <c r="G1458" s="31" t="s">
        <v>6701</v>
      </c>
      <c r="H1458" s="31" t="s">
        <v>6702</v>
      </c>
      <c r="I1458" s="31" t="s">
        <v>6703</v>
      </c>
      <c r="J1458" s="31" t="s">
        <v>6704</v>
      </c>
      <c r="K1458" s="31" t="s">
        <v>6705</v>
      </c>
      <c r="L1458" s="31" t="s">
        <v>5150</v>
      </c>
      <c r="M1458" s="31" t="s">
        <v>5176</v>
      </c>
    </row>
    <row r="1459" customFormat="false" ht="43.5" hidden="false" customHeight="true" outlineLevel="0" collapsed="false">
      <c r="A1459" s="30" t="s">
        <v>6706</v>
      </c>
      <c r="B1459" s="31" t="s">
        <v>6707</v>
      </c>
      <c r="C1459" s="31" t="s">
        <v>130</v>
      </c>
      <c r="D1459" s="31" t="s">
        <v>5926</v>
      </c>
      <c r="E1459" s="31" t="str">
        <f aca="false">IF(D1459="","",IFERROR(VLOOKUP(D1459,$A$2:$B$1656,2,FALSE()),""))</f>
        <v>Eschatology, Cycles &amp; World Change</v>
      </c>
      <c r="F1459" s="31" t="n">
        <v>3</v>
      </c>
      <c r="G1459" s="31" t="s">
        <v>6708</v>
      </c>
      <c r="H1459" s="31" t="s">
        <v>6709</v>
      </c>
      <c r="I1459" s="31" t="s">
        <v>6710</v>
      </c>
      <c r="J1459" s="31" t="s">
        <v>6711</v>
      </c>
      <c r="K1459" s="31" t="s">
        <v>6712</v>
      </c>
      <c r="L1459" s="31" t="s">
        <v>5150</v>
      </c>
      <c r="M1459" s="31" t="s">
        <v>5176</v>
      </c>
    </row>
    <row r="1460" customFormat="false" ht="43.5" hidden="false" customHeight="true" outlineLevel="0" collapsed="false">
      <c r="A1460" s="30" t="s">
        <v>6713</v>
      </c>
      <c r="B1460" s="31" t="s">
        <v>6714</v>
      </c>
      <c r="C1460" s="31" t="s">
        <v>130</v>
      </c>
      <c r="D1460" s="31" t="s">
        <v>5926</v>
      </c>
      <c r="E1460" s="31" t="str">
        <f aca="false">IF(D1460="","",IFERROR(VLOOKUP(D1460,$A$2:$B$1656,2,FALSE()),""))</f>
        <v>Eschatology, Cycles &amp; World Change</v>
      </c>
      <c r="F1460" s="31" t="n">
        <v>3</v>
      </c>
      <c r="G1460" s="31" t="s">
        <v>6715</v>
      </c>
      <c r="H1460" s="31" t="s">
        <v>6716</v>
      </c>
      <c r="I1460" s="31" t="s">
        <v>6717</v>
      </c>
      <c r="J1460" s="31" t="s">
        <v>6718</v>
      </c>
      <c r="K1460" s="31" t="s">
        <v>6719</v>
      </c>
      <c r="L1460" s="31" t="s">
        <v>5150</v>
      </c>
      <c r="M1460" s="31" t="s">
        <v>5176</v>
      </c>
    </row>
    <row r="1461" customFormat="false" ht="43.5" hidden="false" customHeight="true" outlineLevel="0" collapsed="false">
      <c r="A1461" s="30" t="s">
        <v>6720</v>
      </c>
      <c r="B1461" s="31" t="s">
        <v>6721</v>
      </c>
      <c r="C1461" s="31" t="s">
        <v>130</v>
      </c>
      <c r="D1461" s="31" t="s">
        <v>5926</v>
      </c>
      <c r="E1461" s="31" t="str">
        <f aca="false">IF(D1461="","",IFERROR(VLOOKUP(D1461,$A$2:$B$1656,2,FALSE()),""))</f>
        <v>Eschatology, Cycles &amp; World Change</v>
      </c>
      <c r="F1461" s="31" t="n">
        <v>3</v>
      </c>
      <c r="G1461" s="31" t="s">
        <v>6722</v>
      </c>
      <c r="H1461" s="31" t="s">
        <v>6723</v>
      </c>
      <c r="I1461" s="31" t="s">
        <v>6724</v>
      </c>
      <c r="J1461" s="31" t="s">
        <v>6725</v>
      </c>
      <c r="K1461" s="31" t="s">
        <v>6726</v>
      </c>
      <c r="L1461" s="31" t="s">
        <v>5150</v>
      </c>
      <c r="M1461" s="31" t="s">
        <v>5176</v>
      </c>
    </row>
    <row r="1462" customFormat="false" ht="43.5" hidden="false" customHeight="true" outlineLevel="0" collapsed="false">
      <c r="A1462" s="30" t="s">
        <v>6727</v>
      </c>
      <c r="B1462" s="31" t="s">
        <v>6728</v>
      </c>
      <c r="C1462" s="31" t="s">
        <v>130</v>
      </c>
      <c r="D1462" s="31" t="s">
        <v>5926</v>
      </c>
      <c r="E1462" s="31" t="str">
        <f aca="false">IF(D1462="","",IFERROR(VLOOKUP(D1462,$A$2:$B$1656,2,FALSE()),""))</f>
        <v>Eschatology, Cycles &amp; World Change</v>
      </c>
      <c r="F1462" s="31" t="n">
        <v>3</v>
      </c>
      <c r="G1462" s="31" t="s">
        <v>6729</v>
      </c>
      <c r="H1462" s="31" t="s">
        <v>6730</v>
      </c>
      <c r="I1462" s="31" t="s">
        <v>6731</v>
      </c>
      <c r="J1462" s="31" t="s">
        <v>6732</v>
      </c>
      <c r="K1462" s="31" t="s">
        <v>6733</v>
      </c>
      <c r="L1462" s="31" t="s">
        <v>5150</v>
      </c>
      <c r="M1462" s="31" t="s">
        <v>5176</v>
      </c>
    </row>
    <row r="1463" customFormat="false" ht="43.5" hidden="false" customHeight="true" outlineLevel="0" collapsed="false">
      <c r="A1463" s="30" t="s">
        <v>6734</v>
      </c>
      <c r="B1463" s="31" t="s">
        <v>6735</v>
      </c>
      <c r="C1463" s="31" t="s">
        <v>130</v>
      </c>
      <c r="D1463" s="31" t="s">
        <v>5926</v>
      </c>
      <c r="E1463" s="31" t="str">
        <f aca="false">IF(D1463="","",IFERROR(VLOOKUP(D1463,$A$2:$B$1656,2,FALSE()),""))</f>
        <v>Eschatology, Cycles &amp; World Change</v>
      </c>
      <c r="F1463" s="31" t="n">
        <v>3</v>
      </c>
      <c r="G1463" s="31" t="s">
        <v>6736</v>
      </c>
      <c r="H1463" s="31" t="s">
        <v>6737</v>
      </c>
      <c r="I1463" s="31" t="s">
        <v>6738</v>
      </c>
      <c r="J1463" s="31" t="s">
        <v>6739</v>
      </c>
      <c r="K1463" s="31" t="s">
        <v>6740</v>
      </c>
      <c r="L1463" s="31" t="s">
        <v>5150</v>
      </c>
      <c r="M1463" s="31" t="s">
        <v>5176</v>
      </c>
    </row>
    <row r="1464" customFormat="false" ht="43.5" hidden="false" customHeight="true" outlineLevel="0" collapsed="false">
      <c r="A1464" s="30" t="s">
        <v>6741</v>
      </c>
      <c r="B1464" s="31" t="s">
        <v>6742</v>
      </c>
      <c r="C1464" s="31" t="s">
        <v>130</v>
      </c>
      <c r="D1464" s="31" t="s">
        <v>5926</v>
      </c>
      <c r="E1464" s="31" t="str">
        <f aca="false">IF(D1464="","",IFERROR(VLOOKUP(D1464,$A$2:$B$1656,2,FALSE()),""))</f>
        <v>Eschatology, Cycles &amp; World Change</v>
      </c>
      <c r="F1464" s="31" t="n">
        <v>3</v>
      </c>
      <c r="G1464" s="31" t="s">
        <v>6743</v>
      </c>
      <c r="H1464" s="31" t="s">
        <v>6744</v>
      </c>
      <c r="I1464" s="31" t="s">
        <v>6745</v>
      </c>
      <c r="J1464" s="31" t="s">
        <v>6746</v>
      </c>
      <c r="K1464" s="31" t="s">
        <v>6747</v>
      </c>
      <c r="L1464" s="31" t="s">
        <v>5150</v>
      </c>
      <c r="M1464" s="31" t="s">
        <v>5176</v>
      </c>
    </row>
    <row r="1465" customFormat="false" ht="43.5" hidden="false" customHeight="true" outlineLevel="0" collapsed="false">
      <c r="A1465" s="30" t="s">
        <v>6748</v>
      </c>
      <c r="B1465" s="31" t="s">
        <v>6749</v>
      </c>
      <c r="C1465" s="31" t="s">
        <v>130</v>
      </c>
      <c r="D1465" s="31" t="s">
        <v>5926</v>
      </c>
      <c r="E1465" s="31" t="str">
        <f aca="false">IF(D1465="","",IFERROR(VLOOKUP(D1465,$A$2:$B$1656,2,FALSE()),""))</f>
        <v>Eschatology, Cycles &amp; World Change</v>
      </c>
      <c r="F1465" s="31" t="n">
        <v>3</v>
      </c>
      <c r="G1465" s="31" t="s">
        <v>6750</v>
      </c>
      <c r="H1465" s="31" t="s">
        <v>6751</v>
      </c>
      <c r="I1465" s="31" t="s">
        <v>6752</v>
      </c>
      <c r="J1465" s="31" t="s">
        <v>6753</v>
      </c>
      <c r="K1465" s="31" t="s">
        <v>6754</v>
      </c>
      <c r="L1465" s="31" t="s">
        <v>5150</v>
      </c>
      <c r="M1465" s="31" t="s">
        <v>5176</v>
      </c>
    </row>
    <row r="1466" customFormat="false" ht="43.5" hidden="false" customHeight="true" outlineLevel="0" collapsed="false">
      <c r="A1466" s="30" t="s">
        <v>6755</v>
      </c>
      <c r="B1466" s="31" t="s">
        <v>6756</v>
      </c>
      <c r="C1466" s="31" t="s">
        <v>130</v>
      </c>
      <c r="D1466" s="31" t="s">
        <v>5926</v>
      </c>
      <c r="E1466" s="31" t="str">
        <f aca="false">IF(D1466="","",IFERROR(VLOOKUP(D1466,$A$2:$B$1656,2,FALSE()),""))</f>
        <v>Eschatology, Cycles &amp; World Change</v>
      </c>
      <c r="F1466" s="31" t="n">
        <v>3</v>
      </c>
      <c r="G1466" s="31" t="s">
        <v>6757</v>
      </c>
      <c r="H1466" s="31" t="s">
        <v>6758</v>
      </c>
      <c r="I1466" s="31" t="s">
        <v>6759</v>
      </c>
      <c r="J1466" s="31" t="s">
        <v>6760</v>
      </c>
      <c r="K1466" s="31" t="s">
        <v>6761</v>
      </c>
      <c r="L1466" s="31" t="s">
        <v>5150</v>
      </c>
      <c r="M1466" s="31" t="s">
        <v>5176</v>
      </c>
    </row>
    <row r="1467" customFormat="false" ht="43.5" hidden="false" customHeight="true" outlineLevel="0" collapsed="false">
      <c r="A1467" s="30" t="s">
        <v>6762</v>
      </c>
      <c r="B1467" s="31" t="s">
        <v>132</v>
      </c>
      <c r="C1467" s="31" t="s">
        <v>132</v>
      </c>
      <c r="D1467" s="31"/>
      <c r="E1467" s="31" t="str">
        <f aca="false">IF(D1467="","",IFERROR(VLOOKUP(D1467,$A$2:$B$1656,2,FALSE()),""))</f>
        <v/>
      </c>
      <c r="F1467" s="31" t="n">
        <v>1</v>
      </c>
      <c r="G1467" s="31" t="s">
        <v>6763</v>
      </c>
      <c r="H1467" s="31" t="s">
        <v>5142</v>
      </c>
      <c r="I1467" s="31"/>
      <c r="J1467" s="31" t="s">
        <v>5143</v>
      </c>
      <c r="K1467" s="31" t="s">
        <v>132</v>
      </c>
      <c r="L1467" s="31" t="s">
        <v>5144</v>
      </c>
      <c r="M1467" s="31" t="s">
        <v>185</v>
      </c>
    </row>
    <row r="1468" customFormat="false" ht="43.5" hidden="false" customHeight="true" outlineLevel="0" collapsed="false">
      <c r="A1468" s="30" t="s">
        <v>6764</v>
      </c>
      <c r="B1468" s="31" t="s">
        <v>6765</v>
      </c>
      <c r="C1468" s="31" t="s">
        <v>132</v>
      </c>
      <c r="D1468" s="31" t="s">
        <v>6762</v>
      </c>
      <c r="E1468" s="31" t="str">
        <f aca="false">IF(D1468="","",IFERROR(VLOOKUP(D1468,$A$2:$B$1656,2,FALSE()),""))</f>
        <v>Metaphysical Laws, Rituals &amp; Exchanges</v>
      </c>
      <c r="F1468" s="31" t="n">
        <v>2</v>
      </c>
      <c r="G1468" s="31" t="s">
        <v>6766</v>
      </c>
      <c r="H1468" s="31" t="s">
        <v>5148</v>
      </c>
      <c r="I1468" s="31"/>
      <c r="J1468" s="31" t="s">
        <v>5149</v>
      </c>
      <c r="K1468" s="31" t="s">
        <v>6765</v>
      </c>
      <c r="L1468" s="31" t="s">
        <v>5150</v>
      </c>
      <c r="M1468" s="31" t="s">
        <v>206</v>
      </c>
    </row>
    <row r="1469" customFormat="false" ht="43.5" hidden="false" customHeight="true" outlineLevel="0" collapsed="false">
      <c r="A1469" s="30" t="s">
        <v>6767</v>
      </c>
      <c r="B1469" s="31" t="s">
        <v>6768</v>
      </c>
      <c r="C1469" s="31" t="s">
        <v>132</v>
      </c>
      <c r="D1469" s="31" t="s">
        <v>6762</v>
      </c>
      <c r="E1469" s="31" t="str">
        <f aca="false">IF(D1469="","",IFERROR(VLOOKUP(D1469,$A$2:$B$1656,2,FALSE()),""))</f>
        <v>Metaphysical Laws, Rituals &amp; Exchanges</v>
      </c>
      <c r="F1469" s="31" t="n">
        <v>2</v>
      </c>
      <c r="G1469" s="31" t="s">
        <v>6769</v>
      </c>
      <c r="H1469" s="31" t="s">
        <v>5148</v>
      </c>
      <c r="I1469" s="31"/>
      <c r="J1469" s="31" t="s">
        <v>5149</v>
      </c>
      <c r="K1469" s="31" t="s">
        <v>6768</v>
      </c>
      <c r="L1469" s="31" t="s">
        <v>5150</v>
      </c>
      <c r="M1469" s="31" t="s">
        <v>206</v>
      </c>
    </row>
    <row r="1470" customFormat="false" ht="43.5" hidden="false" customHeight="true" outlineLevel="0" collapsed="false">
      <c r="A1470" s="30" t="s">
        <v>6770</v>
      </c>
      <c r="B1470" s="31" t="s">
        <v>6771</v>
      </c>
      <c r="C1470" s="31" t="s">
        <v>132</v>
      </c>
      <c r="D1470" s="31" t="s">
        <v>6762</v>
      </c>
      <c r="E1470" s="31" t="str">
        <f aca="false">IF(D1470="","",IFERROR(VLOOKUP(D1470,$A$2:$B$1656,2,FALSE()),""))</f>
        <v>Metaphysical Laws, Rituals &amp; Exchanges</v>
      </c>
      <c r="F1470" s="31" t="n">
        <v>2</v>
      </c>
      <c r="G1470" s="31" t="s">
        <v>6772</v>
      </c>
      <c r="H1470" s="31" t="s">
        <v>5148</v>
      </c>
      <c r="I1470" s="31"/>
      <c r="J1470" s="31" t="s">
        <v>5149</v>
      </c>
      <c r="K1470" s="31" t="s">
        <v>6771</v>
      </c>
      <c r="L1470" s="31" t="s">
        <v>5150</v>
      </c>
      <c r="M1470" s="31" t="s">
        <v>206</v>
      </c>
    </row>
    <row r="1471" customFormat="false" ht="43.5" hidden="false" customHeight="true" outlineLevel="0" collapsed="false">
      <c r="A1471" s="30" t="s">
        <v>6773</v>
      </c>
      <c r="B1471" s="31" t="s">
        <v>6774</v>
      </c>
      <c r="C1471" s="31" t="s">
        <v>132</v>
      </c>
      <c r="D1471" s="31" t="s">
        <v>6762</v>
      </c>
      <c r="E1471" s="31" t="str">
        <f aca="false">IF(D1471="","",IFERROR(VLOOKUP(D1471,$A$2:$B$1656,2,FALSE()),""))</f>
        <v>Metaphysical Laws, Rituals &amp; Exchanges</v>
      </c>
      <c r="F1471" s="31" t="n">
        <v>2</v>
      </c>
      <c r="G1471" s="31" t="s">
        <v>6775</v>
      </c>
      <c r="H1471" s="31" t="s">
        <v>5148</v>
      </c>
      <c r="I1471" s="31"/>
      <c r="J1471" s="31" t="s">
        <v>5149</v>
      </c>
      <c r="K1471" s="31" t="s">
        <v>6774</v>
      </c>
      <c r="L1471" s="31" t="s">
        <v>5150</v>
      </c>
      <c r="M1471" s="31" t="s">
        <v>206</v>
      </c>
    </row>
    <row r="1472" customFormat="false" ht="43.5" hidden="false" customHeight="true" outlineLevel="0" collapsed="false">
      <c r="A1472" s="30" t="s">
        <v>6776</v>
      </c>
      <c r="B1472" s="31" t="s">
        <v>6777</v>
      </c>
      <c r="C1472" s="31" t="s">
        <v>132</v>
      </c>
      <c r="D1472" s="31" t="s">
        <v>6762</v>
      </c>
      <c r="E1472" s="31" t="str">
        <f aca="false">IF(D1472="","",IFERROR(VLOOKUP(D1472,$A$2:$B$1656,2,FALSE()),""))</f>
        <v>Metaphysical Laws, Rituals &amp; Exchanges</v>
      </c>
      <c r="F1472" s="31" t="n">
        <v>2</v>
      </c>
      <c r="G1472" s="31" t="s">
        <v>6778</v>
      </c>
      <c r="H1472" s="31" t="s">
        <v>5148</v>
      </c>
      <c r="I1472" s="31"/>
      <c r="J1472" s="31" t="s">
        <v>5149</v>
      </c>
      <c r="K1472" s="31" t="s">
        <v>6777</v>
      </c>
      <c r="L1472" s="31" t="s">
        <v>5150</v>
      </c>
      <c r="M1472" s="31" t="s">
        <v>206</v>
      </c>
    </row>
    <row r="1473" customFormat="false" ht="43.5" hidden="false" customHeight="true" outlineLevel="0" collapsed="false">
      <c r="A1473" s="30" t="s">
        <v>6779</v>
      </c>
      <c r="B1473" s="31" t="s">
        <v>6780</v>
      </c>
      <c r="C1473" s="31" t="s">
        <v>132</v>
      </c>
      <c r="D1473" s="31" t="s">
        <v>6762</v>
      </c>
      <c r="E1473" s="31" t="str">
        <f aca="false">IF(D1473="","",IFERROR(VLOOKUP(D1473,$A$2:$B$1656,2,FALSE()),""))</f>
        <v>Metaphysical Laws, Rituals &amp; Exchanges</v>
      </c>
      <c r="F1473" s="31" t="n">
        <v>2</v>
      </c>
      <c r="G1473" s="31" t="s">
        <v>6781</v>
      </c>
      <c r="H1473" s="31" t="s">
        <v>5148</v>
      </c>
      <c r="I1473" s="31"/>
      <c r="J1473" s="31" t="s">
        <v>5149</v>
      </c>
      <c r="K1473" s="31" t="s">
        <v>6780</v>
      </c>
      <c r="L1473" s="31" t="s">
        <v>5150</v>
      </c>
      <c r="M1473" s="31" t="s">
        <v>206</v>
      </c>
    </row>
    <row r="1474" customFormat="false" ht="43.5" hidden="false" customHeight="true" outlineLevel="0" collapsed="false">
      <c r="A1474" s="30" t="s">
        <v>6782</v>
      </c>
      <c r="B1474" s="31" t="s">
        <v>6783</v>
      </c>
      <c r="C1474" s="31" t="s">
        <v>132</v>
      </c>
      <c r="D1474" s="31" t="s">
        <v>6762</v>
      </c>
      <c r="E1474" s="31" t="str">
        <f aca="false">IF(D1474="","",IFERROR(VLOOKUP(D1474,$A$2:$B$1656,2,FALSE()),""))</f>
        <v>Metaphysical Laws, Rituals &amp; Exchanges</v>
      </c>
      <c r="F1474" s="31" t="n">
        <v>2</v>
      </c>
      <c r="G1474" s="31" t="s">
        <v>6784</v>
      </c>
      <c r="H1474" s="31" t="s">
        <v>5148</v>
      </c>
      <c r="I1474" s="31"/>
      <c r="J1474" s="31" t="s">
        <v>5149</v>
      </c>
      <c r="K1474" s="31" t="s">
        <v>6783</v>
      </c>
      <c r="L1474" s="31" t="s">
        <v>5150</v>
      </c>
      <c r="M1474" s="31" t="s">
        <v>206</v>
      </c>
    </row>
    <row r="1475" customFormat="false" ht="43.5" hidden="false" customHeight="true" outlineLevel="0" collapsed="false">
      <c r="A1475" s="30" t="s">
        <v>6785</v>
      </c>
      <c r="B1475" s="31" t="s">
        <v>6786</v>
      </c>
      <c r="C1475" s="31" t="s">
        <v>132</v>
      </c>
      <c r="D1475" s="31" t="s">
        <v>6762</v>
      </c>
      <c r="E1475" s="31" t="str">
        <f aca="false">IF(D1475="","",IFERROR(VLOOKUP(D1475,$A$2:$B$1656,2,FALSE()),""))</f>
        <v>Metaphysical Laws, Rituals &amp; Exchanges</v>
      </c>
      <c r="F1475" s="31" t="n">
        <v>2</v>
      </c>
      <c r="G1475" s="31" t="s">
        <v>6787</v>
      </c>
      <c r="H1475" s="31" t="s">
        <v>5148</v>
      </c>
      <c r="I1475" s="31"/>
      <c r="J1475" s="31" t="s">
        <v>5149</v>
      </c>
      <c r="K1475" s="31" t="s">
        <v>6786</v>
      </c>
      <c r="L1475" s="31" t="s">
        <v>5150</v>
      </c>
      <c r="M1475" s="31" t="s">
        <v>206</v>
      </c>
    </row>
    <row r="1476" customFormat="false" ht="43.5" hidden="false" customHeight="true" outlineLevel="0" collapsed="false">
      <c r="A1476" s="30" t="s">
        <v>6788</v>
      </c>
      <c r="B1476" s="31" t="s">
        <v>6789</v>
      </c>
      <c r="C1476" s="31" t="s">
        <v>132</v>
      </c>
      <c r="D1476" s="31" t="s">
        <v>6764</v>
      </c>
      <c r="E1476" s="31" t="str">
        <f aca="false">IF(D1476="","",IFERROR(VLOOKUP(D1476,$A$2:$B$1656,2,FALSE()),""))</f>
        <v>Oaths, Vows &amp; Prohibitions</v>
      </c>
      <c r="F1476" s="31" t="n">
        <v>3</v>
      </c>
      <c r="G1476" s="31" t="s">
        <v>6790</v>
      </c>
      <c r="H1476" s="31" t="s">
        <v>6791</v>
      </c>
      <c r="I1476" s="31" t="s">
        <v>6792</v>
      </c>
      <c r="J1476" s="31" t="s">
        <v>6793</v>
      </c>
      <c r="K1476" s="31" t="s">
        <v>6794</v>
      </c>
      <c r="L1476" s="31" t="s">
        <v>5150</v>
      </c>
      <c r="M1476" s="31" t="s">
        <v>5176</v>
      </c>
    </row>
    <row r="1477" customFormat="false" ht="43.5" hidden="false" customHeight="true" outlineLevel="0" collapsed="false">
      <c r="A1477" s="30" t="s">
        <v>6795</v>
      </c>
      <c r="B1477" s="31" t="s">
        <v>6796</v>
      </c>
      <c r="C1477" s="31" t="s">
        <v>132</v>
      </c>
      <c r="D1477" s="31" t="s">
        <v>6764</v>
      </c>
      <c r="E1477" s="31" t="str">
        <f aca="false">IF(D1477="","",IFERROR(VLOOKUP(D1477,$A$2:$B$1656,2,FALSE()),""))</f>
        <v>Oaths, Vows &amp; Prohibitions</v>
      </c>
      <c r="F1477" s="31" t="n">
        <v>3</v>
      </c>
      <c r="G1477" s="31" t="s">
        <v>6797</v>
      </c>
      <c r="H1477" s="31" t="s">
        <v>6798</v>
      </c>
      <c r="I1477" s="31" t="s">
        <v>6799</v>
      </c>
      <c r="J1477" s="31" t="s">
        <v>6800</v>
      </c>
      <c r="K1477" s="31" t="s">
        <v>6801</v>
      </c>
      <c r="L1477" s="31" t="s">
        <v>5150</v>
      </c>
      <c r="M1477" s="31" t="s">
        <v>5176</v>
      </c>
    </row>
    <row r="1478" customFormat="false" ht="43.5" hidden="false" customHeight="true" outlineLevel="0" collapsed="false">
      <c r="A1478" s="30" t="s">
        <v>6802</v>
      </c>
      <c r="B1478" s="31" t="s">
        <v>6803</v>
      </c>
      <c r="C1478" s="31" t="s">
        <v>132</v>
      </c>
      <c r="D1478" s="31" t="s">
        <v>6764</v>
      </c>
      <c r="E1478" s="31" t="str">
        <f aca="false">IF(D1478="","",IFERROR(VLOOKUP(D1478,$A$2:$B$1656,2,FALSE()),""))</f>
        <v>Oaths, Vows &amp; Prohibitions</v>
      </c>
      <c r="F1478" s="31" t="n">
        <v>3</v>
      </c>
      <c r="G1478" s="31" t="s">
        <v>6804</v>
      </c>
      <c r="H1478" s="31" t="s">
        <v>6805</v>
      </c>
      <c r="I1478" s="31" t="s">
        <v>6806</v>
      </c>
      <c r="J1478" s="31" t="s">
        <v>6807</v>
      </c>
      <c r="K1478" s="31" t="s">
        <v>6808</v>
      </c>
      <c r="L1478" s="31" t="s">
        <v>5150</v>
      </c>
      <c r="M1478" s="31" t="s">
        <v>5176</v>
      </c>
    </row>
    <row r="1479" customFormat="false" ht="43.5" hidden="false" customHeight="true" outlineLevel="0" collapsed="false">
      <c r="A1479" s="30" t="s">
        <v>6809</v>
      </c>
      <c r="B1479" s="31" t="s">
        <v>6810</v>
      </c>
      <c r="C1479" s="31" t="s">
        <v>132</v>
      </c>
      <c r="D1479" s="31" t="s">
        <v>6764</v>
      </c>
      <c r="E1479" s="31" t="str">
        <f aca="false">IF(D1479="","",IFERROR(VLOOKUP(D1479,$A$2:$B$1656,2,FALSE()),""))</f>
        <v>Oaths, Vows &amp; Prohibitions</v>
      </c>
      <c r="F1479" s="31" t="n">
        <v>3</v>
      </c>
      <c r="G1479" s="31" t="s">
        <v>6811</v>
      </c>
      <c r="H1479" s="31" t="s">
        <v>6812</v>
      </c>
      <c r="I1479" s="31" t="s">
        <v>6813</v>
      </c>
      <c r="J1479" s="31" t="s">
        <v>6814</v>
      </c>
      <c r="K1479" s="31" t="s">
        <v>6815</v>
      </c>
      <c r="L1479" s="31" t="s">
        <v>5150</v>
      </c>
      <c r="M1479" s="31" t="s">
        <v>5176</v>
      </c>
    </row>
    <row r="1480" customFormat="false" ht="43.5" hidden="false" customHeight="true" outlineLevel="0" collapsed="false">
      <c r="A1480" s="30" t="s">
        <v>6816</v>
      </c>
      <c r="B1480" s="31" t="s">
        <v>6817</v>
      </c>
      <c r="C1480" s="31" t="s">
        <v>132</v>
      </c>
      <c r="D1480" s="31" t="s">
        <v>6764</v>
      </c>
      <c r="E1480" s="31" t="str">
        <f aca="false">IF(D1480="","",IFERROR(VLOOKUP(D1480,$A$2:$B$1656,2,FALSE()),""))</f>
        <v>Oaths, Vows &amp; Prohibitions</v>
      </c>
      <c r="F1480" s="31" t="n">
        <v>3</v>
      </c>
      <c r="G1480" s="31" t="s">
        <v>6818</v>
      </c>
      <c r="H1480" s="31" t="s">
        <v>6819</v>
      </c>
      <c r="I1480" s="31" t="s">
        <v>6820</v>
      </c>
      <c r="J1480" s="31" t="s">
        <v>6821</v>
      </c>
      <c r="K1480" s="31" t="s">
        <v>6822</v>
      </c>
      <c r="L1480" s="31" t="s">
        <v>5150</v>
      </c>
      <c r="M1480" s="31" t="s">
        <v>5176</v>
      </c>
    </row>
    <row r="1481" customFormat="false" ht="43.5" hidden="false" customHeight="true" outlineLevel="0" collapsed="false">
      <c r="A1481" s="30" t="s">
        <v>6823</v>
      </c>
      <c r="B1481" s="31" t="s">
        <v>6824</v>
      </c>
      <c r="C1481" s="31" t="s">
        <v>132</v>
      </c>
      <c r="D1481" s="31" t="s">
        <v>6764</v>
      </c>
      <c r="E1481" s="31" t="str">
        <f aca="false">IF(D1481="","",IFERROR(VLOOKUP(D1481,$A$2:$B$1656,2,FALSE()),""))</f>
        <v>Oaths, Vows &amp; Prohibitions</v>
      </c>
      <c r="F1481" s="31" t="n">
        <v>3</v>
      </c>
      <c r="G1481" s="31" t="s">
        <v>6825</v>
      </c>
      <c r="H1481" s="31" t="s">
        <v>6826</v>
      </c>
      <c r="I1481" s="31" t="s">
        <v>6827</v>
      </c>
      <c r="J1481" s="31" t="s">
        <v>6828</v>
      </c>
      <c r="K1481" s="31" t="s">
        <v>6829</v>
      </c>
      <c r="L1481" s="31" t="s">
        <v>5150</v>
      </c>
      <c r="M1481" s="31" t="s">
        <v>5176</v>
      </c>
    </row>
    <row r="1482" customFormat="false" ht="43.5" hidden="false" customHeight="true" outlineLevel="0" collapsed="false">
      <c r="A1482" s="30" t="s">
        <v>6830</v>
      </c>
      <c r="B1482" s="31" t="s">
        <v>6831</v>
      </c>
      <c r="C1482" s="31" t="s">
        <v>132</v>
      </c>
      <c r="D1482" s="31" t="s">
        <v>6764</v>
      </c>
      <c r="E1482" s="31" t="str">
        <f aca="false">IF(D1482="","",IFERROR(VLOOKUP(D1482,$A$2:$B$1656,2,FALSE()),""))</f>
        <v>Oaths, Vows &amp; Prohibitions</v>
      </c>
      <c r="F1482" s="31" t="n">
        <v>3</v>
      </c>
      <c r="G1482" s="31" t="s">
        <v>6832</v>
      </c>
      <c r="H1482" s="31" t="s">
        <v>6833</v>
      </c>
      <c r="I1482" s="31" t="s">
        <v>6834</v>
      </c>
      <c r="J1482" s="31" t="s">
        <v>6835</v>
      </c>
      <c r="K1482" s="31" t="s">
        <v>6836</v>
      </c>
      <c r="L1482" s="31" t="s">
        <v>5150</v>
      </c>
      <c r="M1482" s="31" t="s">
        <v>5176</v>
      </c>
    </row>
    <row r="1483" customFormat="false" ht="43.5" hidden="false" customHeight="true" outlineLevel="0" collapsed="false">
      <c r="A1483" s="30" t="s">
        <v>6837</v>
      </c>
      <c r="B1483" s="31" t="s">
        <v>6838</v>
      </c>
      <c r="C1483" s="31" t="s">
        <v>132</v>
      </c>
      <c r="D1483" s="31" t="s">
        <v>6764</v>
      </c>
      <c r="E1483" s="31" t="str">
        <f aca="false">IF(D1483="","",IFERROR(VLOOKUP(D1483,$A$2:$B$1656,2,FALSE()),""))</f>
        <v>Oaths, Vows &amp; Prohibitions</v>
      </c>
      <c r="F1483" s="31" t="n">
        <v>3</v>
      </c>
      <c r="G1483" s="31" t="s">
        <v>6839</v>
      </c>
      <c r="H1483" s="31" t="s">
        <v>6840</v>
      </c>
      <c r="I1483" s="31" t="s">
        <v>6841</v>
      </c>
      <c r="J1483" s="31" t="s">
        <v>6842</v>
      </c>
      <c r="K1483" s="31" t="s">
        <v>6843</v>
      </c>
      <c r="L1483" s="31" t="s">
        <v>5150</v>
      </c>
      <c r="M1483" s="31" t="s">
        <v>5176</v>
      </c>
    </row>
    <row r="1484" customFormat="false" ht="43.5" hidden="false" customHeight="true" outlineLevel="0" collapsed="false">
      <c r="A1484" s="30" t="s">
        <v>6844</v>
      </c>
      <c r="B1484" s="31" t="s">
        <v>6845</v>
      </c>
      <c r="C1484" s="31" t="s">
        <v>132</v>
      </c>
      <c r="D1484" s="31" t="s">
        <v>6764</v>
      </c>
      <c r="E1484" s="31" t="str">
        <f aca="false">IF(D1484="","",IFERROR(VLOOKUP(D1484,$A$2:$B$1656,2,FALSE()),""))</f>
        <v>Oaths, Vows &amp; Prohibitions</v>
      </c>
      <c r="F1484" s="31" t="n">
        <v>3</v>
      </c>
      <c r="G1484" s="31" t="s">
        <v>6846</v>
      </c>
      <c r="H1484" s="31" t="s">
        <v>6847</v>
      </c>
      <c r="I1484" s="31" t="s">
        <v>6848</v>
      </c>
      <c r="J1484" s="31" t="s">
        <v>6849</v>
      </c>
      <c r="K1484" s="31" t="s">
        <v>6850</v>
      </c>
      <c r="L1484" s="31" t="s">
        <v>6851</v>
      </c>
      <c r="M1484" s="31" t="s">
        <v>5176</v>
      </c>
    </row>
    <row r="1485" customFormat="false" ht="43.5" hidden="false" customHeight="true" outlineLevel="0" collapsed="false">
      <c r="A1485" s="30" t="s">
        <v>6852</v>
      </c>
      <c r="B1485" s="31" t="s">
        <v>6853</v>
      </c>
      <c r="C1485" s="31" t="s">
        <v>132</v>
      </c>
      <c r="D1485" s="31" t="s">
        <v>6764</v>
      </c>
      <c r="E1485" s="31" t="str">
        <f aca="false">IF(D1485="","",IFERROR(VLOOKUP(D1485,$A$2:$B$1656,2,FALSE()),""))</f>
        <v>Oaths, Vows &amp; Prohibitions</v>
      </c>
      <c r="F1485" s="31" t="n">
        <v>3</v>
      </c>
      <c r="G1485" s="31" t="s">
        <v>6854</v>
      </c>
      <c r="H1485" s="31" t="s">
        <v>6855</v>
      </c>
      <c r="I1485" s="31" t="s">
        <v>6856</v>
      </c>
      <c r="J1485" s="31" t="s">
        <v>6857</v>
      </c>
      <c r="K1485" s="31" t="s">
        <v>6858</v>
      </c>
      <c r="L1485" s="31" t="s">
        <v>5150</v>
      </c>
      <c r="M1485" s="31" t="s">
        <v>5176</v>
      </c>
    </row>
    <row r="1486" customFormat="false" ht="43.5" hidden="false" customHeight="true" outlineLevel="0" collapsed="false">
      <c r="A1486" s="30" t="s">
        <v>6859</v>
      </c>
      <c r="B1486" s="31" t="s">
        <v>6860</v>
      </c>
      <c r="C1486" s="31" t="s">
        <v>132</v>
      </c>
      <c r="D1486" s="31" t="s">
        <v>6764</v>
      </c>
      <c r="E1486" s="31" t="str">
        <f aca="false">IF(D1486="","",IFERROR(VLOOKUP(D1486,$A$2:$B$1656,2,FALSE()),""))</f>
        <v>Oaths, Vows &amp; Prohibitions</v>
      </c>
      <c r="F1486" s="31" t="n">
        <v>3</v>
      </c>
      <c r="G1486" s="31" t="s">
        <v>6861</v>
      </c>
      <c r="H1486" s="31" t="s">
        <v>6862</v>
      </c>
      <c r="I1486" s="31" t="s">
        <v>6863</v>
      </c>
      <c r="J1486" s="31" t="s">
        <v>6864</v>
      </c>
      <c r="K1486" s="31" t="s">
        <v>6865</v>
      </c>
      <c r="L1486" s="31" t="s">
        <v>5150</v>
      </c>
      <c r="M1486" s="31" t="s">
        <v>5176</v>
      </c>
    </row>
    <row r="1487" customFormat="false" ht="43.5" hidden="false" customHeight="true" outlineLevel="0" collapsed="false">
      <c r="A1487" s="30" t="s">
        <v>6866</v>
      </c>
      <c r="B1487" s="31" t="s">
        <v>6867</v>
      </c>
      <c r="C1487" s="31" t="s">
        <v>132</v>
      </c>
      <c r="D1487" s="31" t="s">
        <v>6764</v>
      </c>
      <c r="E1487" s="31" t="str">
        <f aca="false">IF(D1487="","",IFERROR(VLOOKUP(D1487,$A$2:$B$1656,2,FALSE()),""))</f>
        <v>Oaths, Vows &amp; Prohibitions</v>
      </c>
      <c r="F1487" s="31" t="n">
        <v>3</v>
      </c>
      <c r="G1487" s="31" t="s">
        <v>6868</v>
      </c>
      <c r="H1487" s="31" t="s">
        <v>6869</v>
      </c>
      <c r="I1487" s="31" t="s">
        <v>6870</v>
      </c>
      <c r="J1487" s="31" t="s">
        <v>6871</v>
      </c>
      <c r="K1487" s="31" t="s">
        <v>6872</v>
      </c>
      <c r="L1487" s="31" t="s">
        <v>5150</v>
      </c>
      <c r="M1487" s="31" t="s">
        <v>5176</v>
      </c>
    </row>
    <row r="1488" customFormat="false" ht="43.5" hidden="false" customHeight="true" outlineLevel="0" collapsed="false">
      <c r="A1488" s="30" t="s">
        <v>6873</v>
      </c>
      <c r="B1488" s="31" t="s">
        <v>6874</v>
      </c>
      <c r="C1488" s="31" t="s">
        <v>132</v>
      </c>
      <c r="D1488" s="31" t="s">
        <v>6764</v>
      </c>
      <c r="E1488" s="31" t="str">
        <f aca="false">IF(D1488="","",IFERROR(VLOOKUP(D1488,$A$2:$B$1656,2,FALSE()),""))</f>
        <v>Oaths, Vows &amp; Prohibitions</v>
      </c>
      <c r="F1488" s="31" t="n">
        <v>3</v>
      </c>
      <c r="G1488" s="31" t="s">
        <v>6875</v>
      </c>
      <c r="H1488" s="31" t="s">
        <v>6876</v>
      </c>
      <c r="I1488" s="31" t="s">
        <v>6877</v>
      </c>
      <c r="J1488" s="31" t="s">
        <v>6878</v>
      </c>
      <c r="K1488" s="31" t="s">
        <v>6879</v>
      </c>
      <c r="L1488" s="31" t="s">
        <v>5150</v>
      </c>
      <c r="M1488" s="31" t="s">
        <v>5176</v>
      </c>
    </row>
    <row r="1489" customFormat="false" ht="43.5" hidden="false" customHeight="true" outlineLevel="0" collapsed="false">
      <c r="A1489" s="30" t="s">
        <v>6880</v>
      </c>
      <c r="B1489" s="31" t="s">
        <v>6881</v>
      </c>
      <c r="C1489" s="31" t="s">
        <v>132</v>
      </c>
      <c r="D1489" s="31" t="s">
        <v>6764</v>
      </c>
      <c r="E1489" s="31" t="str">
        <f aca="false">IF(D1489="","",IFERROR(VLOOKUP(D1489,$A$2:$B$1656,2,FALSE()),""))</f>
        <v>Oaths, Vows &amp; Prohibitions</v>
      </c>
      <c r="F1489" s="31" t="n">
        <v>3</v>
      </c>
      <c r="G1489" s="31" t="s">
        <v>6882</v>
      </c>
      <c r="H1489" s="31" t="s">
        <v>6883</v>
      </c>
      <c r="I1489" s="31" t="s">
        <v>6884</v>
      </c>
      <c r="J1489" s="31" t="s">
        <v>6885</v>
      </c>
      <c r="K1489" s="31" t="s">
        <v>6886</v>
      </c>
      <c r="L1489" s="31" t="s">
        <v>5150</v>
      </c>
      <c r="M1489" s="31" t="s">
        <v>5176</v>
      </c>
    </row>
    <row r="1490" customFormat="false" ht="43.5" hidden="false" customHeight="true" outlineLevel="0" collapsed="false">
      <c r="A1490" s="30" t="s">
        <v>6887</v>
      </c>
      <c r="B1490" s="31" t="s">
        <v>6888</v>
      </c>
      <c r="C1490" s="31" t="s">
        <v>132</v>
      </c>
      <c r="D1490" s="31" t="s">
        <v>6767</v>
      </c>
      <c r="E1490" s="31" t="str">
        <f aca="false">IF(D1490="","",IFERROR(VLOOKUP(D1490,$A$2:$B$1656,2,FALSE()),""))</f>
        <v>Gifts, Boons, Curses &amp; Contracts</v>
      </c>
      <c r="F1490" s="31" t="n">
        <v>3</v>
      </c>
      <c r="G1490" s="31" t="s">
        <v>6889</v>
      </c>
      <c r="H1490" s="31" t="s">
        <v>6890</v>
      </c>
      <c r="I1490" s="31" t="s">
        <v>6891</v>
      </c>
      <c r="J1490" s="31" t="s">
        <v>6892</v>
      </c>
      <c r="K1490" s="31" t="s">
        <v>6893</v>
      </c>
      <c r="L1490" s="31" t="s">
        <v>5150</v>
      </c>
      <c r="M1490" s="31" t="s">
        <v>5176</v>
      </c>
    </row>
    <row r="1491" customFormat="false" ht="43.5" hidden="false" customHeight="true" outlineLevel="0" collapsed="false">
      <c r="A1491" s="30" t="s">
        <v>6894</v>
      </c>
      <c r="B1491" s="31" t="s">
        <v>6895</v>
      </c>
      <c r="C1491" s="31" t="s">
        <v>132</v>
      </c>
      <c r="D1491" s="31" t="s">
        <v>6767</v>
      </c>
      <c r="E1491" s="31" t="str">
        <f aca="false">IF(D1491="","",IFERROR(VLOOKUP(D1491,$A$2:$B$1656,2,FALSE()),""))</f>
        <v>Gifts, Boons, Curses &amp; Contracts</v>
      </c>
      <c r="F1491" s="31" t="n">
        <v>3</v>
      </c>
      <c r="G1491" s="31" t="s">
        <v>6896</v>
      </c>
      <c r="H1491" s="31" t="s">
        <v>6897</v>
      </c>
      <c r="I1491" s="31" t="s">
        <v>6898</v>
      </c>
      <c r="J1491" s="31" t="s">
        <v>6899</v>
      </c>
      <c r="K1491" s="31" t="s">
        <v>6900</v>
      </c>
      <c r="L1491" s="31" t="s">
        <v>5150</v>
      </c>
      <c r="M1491" s="31" t="s">
        <v>5176</v>
      </c>
    </row>
    <row r="1492" customFormat="false" ht="43.5" hidden="false" customHeight="true" outlineLevel="0" collapsed="false">
      <c r="A1492" s="30" t="s">
        <v>6901</v>
      </c>
      <c r="B1492" s="31" t="s">
        <v>6902</v>
      </c>
      <c r="C1492" s="31" t="s">
        <v>132</v>
      </c>
      <c r="D1492" s="31" t="s">
        <v>6767</v>
      </c>
      <c r="E1492" s="31" t="str">
        <f aca="false">IF(D1492="","",IFERROR(VLOOKUP(D1492,$A$2:$B$1656,2,FALSE()),""))</f>
        <v>Gifts, Boons, Curses &amp; Contracts</v>
      </c>
      <c r="F1492" s="31" t="n">
        <v>3</v>
      </c>
      <c r="G1492" s="31" t="s">
        <v>6903</v>
      </c>
      <c r="H1492" s="31" t="s">
        <v>6904</v>
      </c>
      <c r="I1492" s="31" t="s">
        <v>6905</v>
      </c>
      <c r="J1492" s="31" t="s">
        <v>6906</v>
      </c>
      <c r="K1492" s="31" t="s">
        <v>6907</v>
      </c>
      <c r="L1492" s="31" t="s">
        <v>5150</v>
      </c>
      <c r="M1492" s="31" t="s">
        <v>5176</v>
      </c>
    </row>
    <row r="1493" customFormat="false" ht="43.5" hidden="false" customHeight="true" outlineLevel="0" collapsed="false">
      <c r="A1493" s="30" t="s">
        <v>6908</v>
      </c>
      <c r="B1493" s="31" t="s">
        <v>6909</v>
      </c>
      <c r="C1493" s="31" t="s">
        <v>132</v>
      </c>
      <c r="D1493" s="31" t="s">
        <v>6767</v>
      </c>
      <c r="E1493" s="31" t="str">
        <f aca="false">IF(D1493="","",IFERROR(VLOOKUP(D1493,$A$2:$B$1656,2,FALSE()),""))</f>
        <v>Gifts, Boons, Curses &amp; Contracts</v>
      </c>
      <c r="F1493" s="31" t="n">
        <v>3</v>
      </c>
      <c r="G1493" s="31" t="s">
        <v>6910</v>
      </c>
      <c r="H1493" s="31" t="s">
        <v>6911</v>
      </c>
      <c r="I1493" s="31" t="s">
        <v>6912</v>
      </c>
      <c r="J1493" s="31" t="s">
        <v>6913</v>
      </c>
      <c r="K1493" s="31" t="s">
        <v>6914</v>
      </c>
      <c r="L1493" s="31" t="s">
        <v>5150</v>
      </c>
      <c r="M1493" s="31" t="s">
        <v>5176</v>
      </c>
    </row>
    <row r="1494" customFormat="false" ht="43.5" hidden="false" customHeight="true" outlineLevel="0" collapsed="false">
      <c r="A1494" s="30" t="s">
        <v>6915</v>
      </c>
      <c r="B1494" s="31" t="s">
        <v>6916</v>
      </c>
      <c r="C1494" s="31" t="s">
        <v>132</v>
      </c>
      <c r="D1494" s="31" t="s">
        <v>6767</v>
      </c>
      <c r="E1494" s="31" t="str">
        <f aca="false">IF(D1494="","",IFERROR(VLOOKUP(D1494,$A$2:$B$1656,2,FALSE()),""))</f>
        <v>Gifts, Boons, Curses &amp; Contracts</v>
      </c>
      <c r="F1494" s="31" t="n">
        <v>3</v>
      </c>
      <c r="G1494" s="31" t="s">
        <v>6917</v>
      </c>
      <c r="H1494" s="31" t="s">
        <v>6918</v>
      </c>
      <c r="I1494" s="31" t="s">
        <v>6919</v>
      </c>
      <c r="J1494" s="31" t="s">
        <v>6920</v>
      </c>
      <c r="K1494" s="31" t="s">
        <v>6921</v>
      </c>
      <c r="L1494" s="31" t="s">
        <v>5150</v>
      </c>
      <c r="M1494" s="31" t="s">
        <v>5176</v>
      </c>
    </row>
    <row r="1495" customFormat="false" ht="43.5" hidden="false" customHeight="true" outlineLevel="0" collapsed="false">
      <c r="A1495" s="30" t="s">
        <v>6922</v>
      </c>
      <c r="B1495" s="31" t="s">
        <v>6923</v>
      </c>
      <c r="C1495" s="31" t="s">
        <v>132</v>
      </c>
      <c r="D1495" s="31" t="s">
        <v>6767</v>
      </c>
      <c r="E1495" s="31" t="str">
        <f aca="false">IF(D1495="","",IFERROR(VLOOKUP(D1495,$A$2:$B$1656,2,FALSE()),""))</f>
        <v>Gifts, Boons, Curses &amp; Contracts</v>
      </c>
      <c r="F1495" s="31" t="n">
        <v>3</v>
      </c>
      <c r="G1495" s="31" t="s">
        <v>6924</v>
      </c>
      <c r="H1495" s="31" t="s">
        <v>6925</v>
      </c>
      <c r="I1495" s="31" t="s">
        <v>6926</v>
      </c>
      <c r="J1495" s="31" t="s">
        <v>6927</v>
      </c>
      <c r="K1495" s="31" t="s">
        <v>6928</v>
      </c>
      <c r="L1495" s="31" t="s">
        <v>5150</v>
      </c>
      <c r="M1495" s="31" t="s">
        <v>5176</v>
      </c>
    </row>
    <row r="1496" customFormat="false" ht="43.5" hidden="false" customHeight="true" outlineLevel="0" collapsed="false">
      <c r="A1496" s="30" t="s">
        <v>6929</v>
      </c>
      <c r="B1496" s="31" t="s">
        <v>6930</v>
      </c>
      <c r="C1496" s="31" t="s">
        <v>132</v>
      </c>
      <c r="D1496" s="31" t="s">
        <v>6767</v>
      </c>
      <c r="E1496" s="31" t="str">
        <f aca="false">IF(D1496="","",IFERROR(VLOOKUP(D1496,$A$2:$B$1656,2,FALSE()),""))</f>
        <v>Gifts, Boons, Curses &amp; Contracts</v>
      </c>
      <c r="F1496" s="31" t="n">
        <v>3</v>
      </c>
      <c r="G1496" s="31" t="s">
        <v>6931</v>
      </c>
      <c r="H1496" s="31" t="s">
        <v>6932</v>
      </c>
      <c r="I1496" s="31" t="s">
        <v>6933</v>
      </c>
      <c r="J1496" s="31" t="s">
        <v>6934</v>
      </c>
      <c r="K1496" s="31" t="s">
        <v>6935</v>
      </c>
      <c r="L1496" s="31" t="s">
        <v>5150</v>
      </c>
      <c r="M1496" s="31" t="s">
        <v>5176</v>
      </c>
    </row>
    <row r="1497" customFormat="false" ht="43.5" hidden="false" customHeight="true" outlineLevel="0" collapsed="false">
      <c r="A1497" s="30" t="s">
        <v>6936</v>
      </c>
      <c r="B1497" s="31" t="s">
        <v>6937</v>
      </c>
      <c r="C1497" s="31" t="s">
        <v>132</v>
      </c>
      <c r="D1497" s="31" t="s">
        <v>6767</v>
      </c>
      <c r="E1497" s="31" t="str">
        <f aca="false">IF(D1497="","",IFERROR(VLOOKUP(D1497,$A$2:$B$1656,2,FALSE()),""))</f>
        <v>Gifts, Boons, Curses &amp; Contracts</v>
      </c>
      <c r="F1497" s="31" t="n">
        <v>3</v>
      </c>
      <c r="G1497" s="31" t="s">
        <v>6938</v>
      </c>
      <c r="H1497" s="31" t="s">
        <v>6939</v>
      </c>
      <c r="I1497" s="31" t="s">
        <v>6940</v>
      </c>
      <c r="J1497" s="31" t="s">
        <v>6941</v>
      </c>
      <c r="K1497" s="31" t="s">
        <v>6942</v>
      </c>
      <c r="L1497" s="31" t="s">
        <v>5150</v>
      </c>
      <c r="M1497" s="31" t="s">
        <v>5176</v>
      </c>
    </row>
    <row r="1498" customFormat="false" ht="43.5" hidden="false" customHeight="true" outlineLevel="0" collapsed="false">
      <c r="A1498" s="30" t="s">
        <v>6943</v>
      </c>
      <c r="B1498" s="31" t="s">
        <v>6944</v>
      </c>
      <c r="C1498" s="31" t="s">
        <v>132</v>
      </c>
      <c r="D1498" s="31" t="s">
        <v>6767</v>
      </c>
      <c r="E1498" s="31" t="str">
        <f aca="false">IF(D1498="","",IFERROR(VLOOKUP(D1498,$A$2:$B$1656,2,FALSE()),""))</f>
        <v>Gifts, Boons, Curses &amp; Contracts</v>
      </c>
      <c r="F1498" s="31" t="n">
        <v>3</v>
      </c>
      <c r="G1498" s="31" t="s">
        <v>6945</v>
      </c>
      <c r="H1498" s="31" t="s">
        <v>6946</v>
      </c>
      <c r="I1498" s="31" t="s">
        <v>6947</v>
      </c>
      <c r="J1498" s="31" t="s">
        <v>6948</v>
      </c>
      <c r="K1498" s="31" t="s">
        <v>6949</v>
      </c>
      <c r="L1498" s="31" t="s">
        <v>5150</v>
      </c>
      <c r="M1498" s="31" t="s">
        <v>5176</v>
      </c>
    </row>
    <row r="1499" customFormat="false" ht="43.5" hidden="false" customHeight="true" outlineLevel="0" collapsed="false">
      <c r="A1499" s="30" t="s">
        <v>6950</v>
      </c>
      <c r="B1499" s="31" t="s">
        <v>6951</v>
      </c>
      <c r="C1499" s="31" t="s">
        <v>132</v>
      </c>
      <c r="D1499" s="31" t="s">
        <v>6767</v>
      </c>
      <c r="E1499" s="31" t="str">
        <f aca="false">IF(D1499="","",IFERROR(VLOOKUP(D1499,$A$2:$B$1656,2,FALSE()),""))</f>
        <v>Gifts, Boons, Curses &amp; Contracts</v>
      </c>
      <c r="F1499" s="31" t="n">
        <v>3</v>
      </c>
      <c r="G1499" s="31" t="s">
        <v>6952</v>
      </c>
      <c r="H1499" s="31" t="s">
        <v>6953</v>
      </c>
      <c r="I1499" s="31" t="s">
        <v>6954</v>
      </c>
      <c r="J1499" s="31" t="s">
        <v>6955</v>
      </c>
      <c r="K1499" s="31" t="s">
        <v>6956</v>
      </c>
      <c r="L1499" s="31" t="s">
        <v>5150</v>
      </c>
      <c r="M1499" s="31" t="s">
        <v>5176</v>
      </c>
    </row>
    <row r="1500" customFormat="false" ht="43.5" hidden="false" customHeight="true" outlineLevel="0" collapsed="false">
      <c r="A1500" s="30" t="s">
        <v>6957</v>
      </c>
      <c r="B1500" s="31" t="s">
        <v>6958</v>
      </c>
      <c r="C1500" s="31" t="s">
        <v>132</v>
      </c>
      <c r="D1500" s="31" t="s">
        <v>6767</v>
      </c>
      <c r="E1500" s="31" t="str">
        <f aca="false">IF(D1500="","",IFERROR(VLOOKUP(D1500,$A$2:$B$1656,2,FALSE()),""))</f>
        <v>Gifts, Boons, Curses &amp; Contracts</v>
      </c>
      <c r="F1500" s="31" t="n">
        <v>3</v>
      </c>
      <c r="G1500" s="31" t="s">
        <v>6959</v>
      </c>
      <c r="H1500" s="31" t="s">
        <v>6960</v>
      </c>
      <c r="I1500" s="31" t="s">
        <v>6961</v>
      </c>
      <c r="J1500" s="31" t="s">
        <v>6962</v>
      </c>
      <c r="K1500" s="31" t="s">
        <v>6963</v>
      </c>
      <c r="L1500" s="31" t="s">
        <v>5150</v>
      </c>
      <c r="M1500" s="31" t="s">
        <v>5176</v>
      </c>
    </row>
    <row r="1501" customFormat="false" ht="43.5" hidden="false" customHeight="true" outlineLevel="0" collapsed="false">
      <c r="A1501" s="30" t="s">
        <v>6964</v>
      </c>
      <c r="B1501" s="31" t="s">
        <v>6965</v>
      </c>
      <c r="C1501" s="31" t="s">
        <v>132</v>
      </c>
      <c r="D1501" s="31" t="s">
        <v>6767</v>
      </c>
      <c r="E1501" s="31" t="str">
        <f aca="false">IF(D1501="","",IFERROR(VLOOKUP(D1501,$A$2:$B$1656,2,FALSE()),""))</f>
        <v>Gifts, Boons, Curses &amp; Contracts</v>
      </c>
      <c r="F1501" s="31" t="n">
        <v>3</v>
      </c>
      <c r="G1501" s="31" t="s">
        <v>6966</v>
      </c>
      <c r="H1501" s="31" t="s">
        <v>6967</v>
      </c>
      <c r="I1501" s="31" t="s">
        <v>6968</v>
      </c>
      <c r="J1501" s="31" t="s">
        <v>6969</v>
      </c>
      <c r="K1501" s="31" t="s">
        <v>6970</v>
      </c>
      <c r="L1501" s="31" t="s">
        <v>5150</v>
      </c>
      <c r="M1501" s="31" t="s">
        <v>5176</v>
      </c>
    </row>
    <row r="1502" customFormat="false" ht="43.5" hidden="false" customHeight="true" outlineLevel="0" collapsed="false">
      <c r="A1502" s="30" t="s">
        <v>6971</v>
      </c>
      <c r="B1502" s="31" t="s">
        <v>6972</v>
      </c>
      <c r="C1502" s="31" t="s">
        <v>132</v>
      </c>
      <c r="D1502" s="31" t="s">
        <v>6767</v>
      </c>
      <c r="E1502" s="31" t="str">
        <f aca="false">IF(D1502="","",IFERROR(VLOOKUP(D1502,$A$2:$B$1656,2,FALSE()),""))</f>
        <v>Gifts, Boons, Curses &amp; Contracts</v>
      </c>
      <c r="F1502" s="31" t="n">
        <v>3</v>
      </c>
      <c r="G1502" s="31" t="s">
        <v>6973</v>
      </c>
      <c r="H1502" s="31" t="s">
        <v>6974</v>
      </c>
      <c r="I1502" s="31" t="s">
        <v>6975</v>
      </c>
      <c r="J1502" s="31" t="s">
        <v>6976</v>
      </c>
      <c r="K1502" s="31" t="s">
        <v>6977</v>
      </c>
      <c r="L1502" s="31" t="s">
        <v>5150</v>
      </c>
      <c r="M1502" s="31" t="s">
        <v>5176</v>
      </c>
    </row>
    <row r="1503" customFormat="false" ht="43.5" hidden="false" customHeight="true" outlineLevel="0" collapsed="false">
      <c r="A1503" s="30" t="s">
        <v>6978</v>
      </c>
      <c r="B1503" s="31" t="s">
        <v>6979</v>
      </c>
      <c r="C1503" s="31" t="s">
        <v>132</v>
      </c>
      <c r="D1503" s="31" t="s">
        <v>6767</v>
      </c>
      <c r="E1503" s="31" t="str">
        <f aca="false">IF(D1503="","",IFERROR(VLOOKUP(D1503,$A$2:$B$1656,2,FALSE()),""))</f>
        <v>Gifts, Boons, Curses &amp; Contracts</v>
      </c>
      <c r="F1503" s="31" t="n">
        <v>3</v>
      </c>
      <c r="G1503" s="31" t="s">
        <v>6980</v>
      </c>
      <c r="H1503" s="31" t="s">
        <v>6981</v>
      </c>
      <c r="I1503" s="31" t="s">
        <v>6982</v>
      </c>
      <c r="J1503" s="31" t="s">
        <v>6983</v>
      </c>
      <c r="K1503" s="31" t="s">
        <v>6984</v>
      </c>
      <c r="L1503" s="31" t="s">
        <v>5150</v>
      </c>
      <c r="M1503" s="31" t="s">
        <v>5176</v>
      </c>
    </row>
    <row r="1504" customFormat="false" ht="43.5" hidden="false" customHeight="true" outlineLevel="0" collapsed="false">
      <c r="A1504" s="30" t="s">
        <v>6985</v>
      </c>
      <c r="B1504" s="31" t="s">
        <v>6986</v>
      </c>
      <c r="C1504" s="31" t="s">
        <v>132</v>
      </c>
      <c r="D1504" s="31" t="s">
        <v>6767</v>
      </c>
      <c r="E1504" s="31" t="str">
        <f aca="false">IF(D1504="","",IFERROR(VLOOKUP(D1504,$A$2:$B$1656,2,FALSE()),""))</f>
        <v>Gifts, Boons, Curses &amp; Contracts</v>
      </c>
      <c r="F1504" s="31" t="n">
        <v>3</v>
      </c>
      <c r="G1504" s="31" t="s">
        <v>6987</v>
      </c>
      <c r="H1504" s="31" t="s">
        <v>6988</v>
      </c>
      <c r="I1504" s="31" t="s">
        <v>6989</v>
      </c>
      <c r="J1504" s="31" t="s">
        <v>6990</v>
      </c>
      <c r="K1504" s="31" t="s">
        <v>6991</v>
      </c>
      <c r="L1504" s="31" t="s">
        <v>5150</v>
      </c>
      <c r="M1504" s="31" t="s">
        <v>5176</v>
      </c>
    </row>
    <row r="1505" customFormat="false" ht="43.5" hidden="false" customHeight="true" outlineLevel="0" collapsed="false">
      <c r="A1505" s="30" t="s">
        <v>6992</v>
      </c>
      <c r="B1505" s="31" t="s">
        <v>6993</v>
      </c>
      <c r="C1505" s="31" t="s">
        <v>132</v>
      </c>
      <c r="D1505" s="31" t="s">
        <v>6767</v>
      </c>
      <c r="E1505" s="31" t="str">
        <f aca="false">IF(D1505="","",IFERROR(VLOOKUP(D1505,$A$2:$B$1656,2,FALSE()),""))</f>
        <v>Gifts, Boons, Curses &amp; Contracts</v>
      </c>
      <c r="F1505" s="31" t="n">
        <v>3</v>
      </c>
      <c r="G1505" s="31" t="s">
        <v>6994</v>
      </c>
      <c r="H1505" s="31" t="s">
        <v>6995</v>
      </c>
      <c r="I1505" s="31" t="s">
        <v>6996</v>
      </c>
      <c r="J1505" s="31" t="s">
        <v>6997</v>
      </c>
      <c r="K1505" s="31" t="s">
        <v>6998</v>
      </c>
      <c r="L1505" s="31" t="s">
        <v>5150</v>
      </c>
      <c r="M1505" s="31" t="s">
        <v>5176</v>
      </c>
    </row>
    <row r="1506" customFormat="false" ht="43.5" hidden="false" customHeight="true" outlineLevel="0" collapsed="false">
      <c r="A1506" s="30" t="s">
        <v>6999</v>
      </c>
      <c r="B1506" s="31" t="s">
        <v>7000</v>
      </c>
      <c r="C1506" s="31" t="s">
        <v>132</v>
      </c>
      <c r="D1506" s="31" t="s">
        <v>6767</v>
      </c>
      <c r="E1506" s="31" t="str">
        <f aca="false">IF(D1506="","",IFERROR(VLOOKUP(D1506,$A$2:$B$1656,2,FALSE()),""))</f>
        <v>Gifts, Boons, Curses &amp; Contracts</v>
      </c>
      <c r="F1506" s="31" t="n">
        <v>3</v>
      </c>
      <c r="G1506" s="31" t="s">
        <v>7001</v>
      </c>
      <c r="H1506" s="31" t="s">
        <v>7002</v>
      </c>
      <c r="I1506" s="31" t="s">
        <v>7003</v>
      </c>
      <c r="J1506" s="31" t="s">
        <v>7004</v>
      </c>
      <c r="K1506" s="31" t="s">
        <v>7005</v>
      </c>
      <c r="L1506" s="31" t="s">
        <v>5150</v>
      </c>
      <c r="M1506" s="31" t="s">
        <v>5176</v>
      </c>
    </row>
    <row r="1507" customFormat="false" ht="43.5" hidden="false" customHeight="true" outlineLevel="0" collapsed="false">
      <c r="A1507" s="30" t="s">
        <v>7006</v>
      </c>
      <c r="B1507" s="31" t="s">
        <v>7007</v>
      </c>
      <c r="C1507" s="31" t="s">
        <v>132</v>
      </c>
      <c r="D1507" s="31" t="s">
        <v>6770</v>
      </c>
      <c r="E1507" s="31" t="str">
        <f aca="false">IF(D1507="","",IFERROR(VLOOKUP(D1507,$A$2:$B$1656,2,FALSE()),""))</f>
        <v>Sacrifice, Offerings &amp; Ritual Economy</v>
      </c>
      <c r="F1507" s="31" t="n">
        <v>3</v>
      </c>
      <c r="G1507" s="31" t="s">
        <v>7008</v>
      </c>
      <c r="H1507" s="31" t="s">
        <v>7009</v>
      </c>
      <c r="I1507" s="31" t="s">
        <v>7010</v>
      </c>
      <c r="J1507" s="31" t="s">
        <v>7011</v>
      </c>
      <c r="K1507" s="31" t="s">
        <v>7012</v>
      </c>
      <c r="L1507" s="31" t="s">
        <v>5150</v>
      </c>
      <c r="M1507" s="31" t="s">
        <v>5176</v>
      </c>
    </row>
    <row r="1508" customFormat="false" ht="43.5" hidden="false" customHeight="true" outlineLevel="0" collapsed="false">
      <c r="A1508" s="30" t="s">
        <v>7013</v>
      </c>
      <c r="B1508" s="31" t="s">
        <v>7014</v>
      </c>
      <c r="C1508" s="31" t="s">
        <v>132</v>
      </c>
      <c r="D1508" s="31" t="s">
        <v>6770</v>
      </c>
      <c r="E1508" s="31" t="str">
        <f aca="false">IF(D1508="","",IFERROR(VLOOKUP(D1508,$A$2:$B$1656,2,FALSE()),""))</f>
        <v>Sacrifice, Offerings &amp; Ritual Economy</v>
      </c>
      <c r="F1508" s="31" t="n">
        <v>3</v>
      </c>
      <c r="G1508" s="31" t="s">
        <v>7015</v>
      </c>
      <c r="H1508" s="31" t="s">
        <v>7016</v>
      </c>
      <c r="I1508" s="31" t="s">
        <v>7017</v>
      </c>
      <c r="J1508" s="31" t="s">
        <v>7018</v>
      </c>
      <c r="K1508" s="31" t="s">
        <v>7019</v>
      </c>
      <c r="L1508" s="31" t="s">
        <v>5150</v>
      </c>
      <c r="M1508" s="31" t="s">
        <v>5176</v>
      </c>
    </row>
    <row r="1509" customFormat="false" ht="43.5" hidden="false" customHeight="true" outlineLevel="0" collapsed="false">
      <c r="A1509" s="30" t="s">
        <v>7020</v>
      </c>
      <c r="B1509" s="31" t="s">
        <v>7021</v>
      </c>
      <c r="C1509" s="31" t="s">
        <v>132</v>
      </c>
      <c r="D1509" s="31" t="s">
        <v>6770</v>
      </c>
      <c r="E1509" s="31" t="str">
        <f aca="false">IF(D1509="","",IFERROR(VLOOKUP(D1509,$A$2:$B$1656,2,FALSE()),""))</f>
        <v>Sacrifice, Offerings &amp; Ritual Economy</v>
      </c>
      <c r="F1509" s="31" t="n">
        <v>3</v>
      </c>
      <c r="G1509" s="31" t="s">
        <v>7022</v>
      </c>
      <c r="H1509" s="31" t="s">
        <v>7023</v>
      </c>
      <c r="I1509" s="31" t="s">
        <v>7024</v>
      </c>
      <c r="J1509" s="31" t="s">
        <v>7025</v>
      </c>
      <c r="K1509" s="31" t="s">
        <v>7026</v>
      </c>
      <c r="L1509" s="31" t="s">
        <v>5150</v>
      </c>
      <c r="M1509" s="31" t="s">
        <v>5176</v>
      </c>
    </row>
    <row r="1510" customFormat="false" ht="43.5" hidden="false" customHeight="true" outlineLevel="0" collapsed="false">
      <c r="A1510" s="30" t="s">
        <v>7027</v>
      </c>
      <c r="B1510" s="31" t="s">
        <v>7028</v>
      </c>
      <c r="C1510" s="31" t="s">
        <v>132</v>
      </c>
      <c r="D1510" s="31" t="s">
        <v>6770</v>
      </c>
      <c r="E1510" s="31" t="str">
        <f aca="false">IF(D1510="","",IFERROR(VLOOKUP(D1510,$A$2:$B$1656,2,FALSE()),""))</f>
        <v>Sacrifice, Offerings &amp; Ritual Economy</v>
      </c>
      <c r="F1510" s="31" t="n">
        <v>3</v>
      </c>
      <c r="G1510" s="31" t="s">
        <v>7029</v>
      </c>
      <c r="H1510" s="31" t="s">
        <v>7030</v>
      </c>
      <c r="I1510" s="31" t="s">
        <v>7031</v>
      </c>
      <c r="J1510" s="31" t="s">
        <v>7032</v>
      </c>
      <c r="K1510" s="31" t="s">
        <v>7033</v>
      </c>
      <c r="L1510" s="31" t="s">
        <v>5150</v>
      </c>
      <c r="M1510" s="31" t="s">
        <v>5176</v>
      </c>
    </row>
    <row r="1511" customFormat="false" ht="43.5" hidden="false" customHeight="true" outlineLevel="0" collapsed="false">
      <c r="A1511" s="30" t="s">
        <v>7034</v>
      </c>
      <c r="B1511" s="31" t="s">
        <v>7035</v>
      </c>
      <c r="C1511" s="31" t="s">
        <v>132</v>
      </c>
      <c r="D1511" s="31" t="s">
        <v>6770</v>
      </c>
      <c r="E1511" s="31" t="str">
        <f aca="false">IF(D1511="","",IFERROR(VLOOKUP(D1511,$A$2:$B$1656,2,FALSE()),""))</f>
        <v>Sacrifice, Offerings &amp; Ritual Economy</v>
      </c>
      <c r="F1511" s="31" t="n">
        <v>3</v>
      </c>
      <c r="G1511" s="31" t="s">
        <v>7036</v>
      </c>
      <c r="H1511" s="31" t="s">
        <v>7037</v>
      </c>
      <c r="I1511" s="31" t="s">
        <v>7038</v>
      </c>
      <c r="J1511" s="31" t="s">
        <v>7039</v>
      </c>
      <c r="K1511" s="31" t="s">
        <v>7040</v>
      </c>
      <c r="L1511" s="31" t="s">
        <v>5150</v>
      </c>
      <c r="M1511" s="31" t="s">
        <v>5176</v>
      </c>
    </row>
    <row r="1512" customFormat="false" ht="43.5" hidden="false" customHeight="true" outlineLevel="0" collapsed="false">
      <c r="A1512" s="30" t="s">
        <v>7041</v>
      </c>
      <c r="B1512" s="31" t="s">
        <v>7042</v>
      </c>
      <c r="C1512" s="31" t="s">
        <v>132</v>
      </c>
      <c r="D1512" s="31" t="s">
        <v>6770</v>
      </c>
      <c r="E1512" s="31" t="str">
        <f aca="false">IF(D1512="","",IFERROR(VLOOKUP(D1512,$A$2:$B$1656,2,FALSE()),""))</f>
        <v>Sacrifice, Offerings &amp; Ritual Economy</v>
      </c>
      <c r="F1512" s="31" t="n">
        <v>3</v>
      </c>
      <c r="G1512" s="31" t="s">
        <v>7043</v>
      </c>
      <c r="H1512" s="31" t="s">
        <v>7044</v>
      </c>
      <c r="I1512" s="31" t="s">
        <v>7045</v>
      </c>
      <c r="J1512" s="31" t="s">
        <v>7046</v>
      </c>
      <c r="K1512" s="31" t="s">
        <v>7047</v>
      </c>
      <c r="L1512" s="31" t="s">
        <v>5150</v>
      </c>
      <c r="M1512" s="31" t="s">
        <v>5176</v>
      </c>
    </row>
    <row r="1513" customFormat="false" ht="43.5" hidden="false" customHeight="true" outlineLevel="0" collapsed="false">
      <c r="A1513" s="30" t="s">
        <v>7048</v>
      </c>
      <c r="B1513" s="31" t="s">
        <v>7049</v>
      </c>
      <c r="C1513" s="31" t="s">
        <v>132</v>
      </c>
      <c r="D1513" s="31" t="s">
        <v>6770</v>
      </c>
      <c r="E1513" s="31" t="str">
        <f aca="false">IF(D1513="","",IFERROR(VLOOKUP(D1513,$A$2:$B$1656,2,FALSE()),""))</f>
        <v>Sacrifice, Offerings &amp; Ritual Economy</v>
      </c>
      <c r="F1513" s="31" t="n">
        <v>3</v>
      </c>
      <c r="G1513" s="31" t="s">
        <v>7050</v>
      </c>
      <c r="H1513" s="31" t="s">
        <v>7051</v>
      </c>
      <c r="I1513" s="31" t="s">
        <v>7052</v>
      </c>
      <c r="J1513" s="31" t="s">
        <v>7053</v>
      </c>
      <c r="K1513" s="31" t="s">
        <v>7054</v>
      </c>
      <c r="L1513" s="31" t="s">
        <v>5150</v>
      </c>
      <c r="M1513" s="31" t="s">
        <v>5176</v>
      </c>
    </row>
    <row r="1514" customFormat="false" ht="43.5" hidden="false" customHeight="true" outlineLevel="0" collapsed="false">
      <c r="A1514" s="30" t="s">
        <v>7055</v>
      </c>
      <c r="B1514" s="31" t="s">
        <v>7056</v>
      </c>
      <c r="C1514" s="31" t="s">
        <v>132</v>
      </c>
      <c r="D1514" s="31" t="s">
        <v>6770</v>
      </c>
      <c r="E1514" s="31" t="str">
        <f aca="false">IF(D1514="","",IFERROR(VLOOKUP(D1514,$A$2:$B$1656,2,FALSE()),""))</f>
        <v>Sacrifice, Offerings &amp; Ritual Economy</v>
      </c>
      <c r="F1514" s="31" t="n">
        <v>3</v>
      </c>
      <c r="G1514" s="31" t="s">
        <v>7057</v>
      </c>
      <c r="H1514" s="31" t="s">
        <v>7058</v>
      </c>
      <c r="I1514" s="31" t="s">
        <v>7059</v>
      </c>
      <c r="J1514" s="31" t="s">
        <v>7060</v>
      </c>
      <c r="K1514" s="31" t="s">
        <v>7061</v>
      </c>
      <c r="L1514" s="31" t="s">
        <v>5150</v>
      </c>
      <c r="M1514" s="31" t="s">
        <v>5176</v>
      </c>
    </row>
    <row r="1515" customFormat="false" ht="43.5" hidden="false" customHeight="true" outlineLevel="0" collapsed="false">
      <c r="A1515" s="30" t="s">
        <v>7062</v>
      </c>
      <c r="B1515" s="31" t="s">
        <v>7063</v>
      </c>
      <c r="C1515" s="31" t="s">
        <v>132</v>
      </c>
      <c r="D1515" s="31" t="s">
        <v>6770</v>
      </c>
      <c r="E1515" s="31" t="str">
        <f aca="false">IF(D1515="","",IFERROR(VLOOKUP(D1515,$A$2:$B$1656,2,FALSE()),""))</f>
        <v>Sacrifice, Offerings &amp; Ritual Economy</v>
      </c>
      <c r="F1515" s="31" t="n">
        <v>3</v>
      </c>
      <c r="G1515" s="31" t="s">
        <v>7064</v>
      </c>
      <c r="H1515" s="31" t="s">
        <v>7065</v>
      </c>
      <c r="I1515" s="31" t="s">
        <v>7066</v>
      </c>
      <c r="J1515" s="31" t="s">
        <v>7067</v>
      </c>
      <c r="K1515" s="31" t="s">
        <v>7068</v>
      </c>
      <c r="L1515" s="31" t="s">
        <v>5150</v>
      </c>
      <c r="M1515" s="31" t="s">
        <v>5176</v>
      </c>
    </row>
    <row r="1516" customFormat="false" ht="43.5" hidden="false" customHeight="true" outlineLevel="0" collapsed="false">
      <c r="A1516" s="30" t="s">
        <v>7069</v>
      </c>
      <c r="B1516" s="31" t="s">
        <v>7070</v>
      </c>
      <c r="C1516" s="31" t="s">
        <v>132</v>
      </c>
      <c r="D1516" s="31" t="s">
        <v>6770</v>
      </c>
      <c r="E1516" s="31" t="str">
        <f aca="false">IF(D1516="","",IFERROR(VLOOKUP(D1516,$A$2:$B$1656,2,FALSE()),""))</f>
        <v>Sacrifice, Offerings &amp; Ritual Economy</v>
      </c>
      <c r="F1516" s="31" t="n">
        <v>3</v>
      </c>
      <c r="G1516" s="31" t="s">
        <v>7071</v>
      </c>
      <c r="H1516" s="31" t="s">
        <v>7072</v>
      </c>
      <c r="I1516" s="31" t="s">
        <v>7073</v>
      </c>
      <c r="J1516" s="31" t="s">
        <v>7074</v>
      </c>
      <c r="K1516" s="31" t="s">
        <v>7075</v>
      </c>
      <c r="L1516" s="31" t="s">
        <v>5150</v>
      </c>
      <c r="M1516" s="31" t="s">
        <v>5176</v>
      </c>
    </row>
    <row r="1517" customFormat="false" ht="43.5" hidden="false" customHeight="true" outlineLevel="0" collapsed="false">
      <c r="A1517" s="30" t="s">
        <v>7076</v>
      </c>
      <c r="B1517" s="31" t="s">
        <v>7077</v>
      </c>
      <c r="C1517" s="31" t="s">
        <v>132</v>
      </c>
      <c r="D1517" s="31" t="s">
        <v>6770</v>
      </c>
      <c r="E1517" s="31" t="str">
        <f aca="false">IF(D1517="","",IFERROR(VLOOKUP(D1517,$A$2:$B$1656,2,FALSE()),""))</f>
        <v>Sacrifice, Offerings &amp; Ritual Economy</v>
      </c>
      <c r="F1517" s="31" t="n">
        <v>3</v>
      </c>
      <c r="G1517" s="31" t="s">
        <v>7078</v>
      </c>
      <c r="H1517" s="31" t="s">
        <v>7079</v>
      </c>
      <c r="I1517" s="31" t="s">
        <v>7080</v>
      </c>
      <c r="J1517" s="31" t="s">
        <v>7081</v>
      </c>
      <c r="K1517" s="31" t="s">
        <v>7082</v>
      </c>
      <c r="L1517" s="31" t="s">
        <v>7083</v>
      </c>
      <c r="M1517" s="31" t="s">
        <v>5176</v>
      </c>
    </row>
    <row r="1518" customFormat="false" ht="43.5" hidden="false" customHeight="true" outlineLevel="0" collapsed="false">
      <c r="A1518" s="30" t="s">
        <v>7084</v>
      </c>
      <c r="B1518" s="31" t="s">
        <v>7085</v>
      </c>
      <c r="C1518" s="31" t="s">
        <v>132</v>
      </c>
      <c r="D1518" s="31" t="s">
        <v>6770</v>
      </c>
      <c r="E1518" s="31" t="str">
        <f aca="false">IF(D1518="","",IFERROR(VLOOKUP(D1518,$A$2:$B$1656,2,FALSE()),""))</f>
        <v>Sacrifice, Offerings &amp; Ritual Economy</v>
      </c>
      <c r="F1518" s="31" t="n">
        <v>3</v>
      </c>
      <c r="G1518" s="31" t="s">
        <v>7086</v>
      </c>
      <c r="H1518" s="31" t="s">
        <v>7087</v>
      </c>
      <c r="I1518" s="31" t="s">
        <v>7088</v>
      </c>
      <c r="J1518" s="31" t="s">
        <v>7089</v>
      </c>
      <c r="K1518" s="31" t="s">
        <v>7090</v>
      </c>
      <c r="L1518" s="31" t="s">
        <v>5150</v>
      </c>
      <c r="M1518" s="31" t="s">
        <v>5176</v>
      </c>
    </row>
    <row r="1519" customFormat="false" ht="43.5" hidden="false" customHeight="true" outlineLevel="0" collapsed="false">
      <c r="A1519" s="30" t="s">
        <v>7091</v>
      </c>
      <c r="B1519" s="31" t="s">
        <v>7092</v>
      </c>
      <c r="C1519" s="31" t="s">
        <v>132</v>
      </c>
      <c r="D1519" s="31" t="s">
        <v>6770</v>
      </c>
      <c r="E1519" s="31" t="str">
        <f aca="false">IF(D1519="","",IFERROR(VLOOKUP(D1519,$A$2:$B$1656,2,FALSE()),""))</f>
        <v>Sacrifice, Offerings &amp; Ritual Economy</v>
      </c>
      <c r="F1519" s="31" t="n">
        <v>3</v>
      </c>
      <c r="G1519" s="31" t="s">
        <v>7093</v>
      </c>
      <c r="H1519" s="31" t="s">
        <v>7094</v>
      </c>
      <c r="I1519" s="31" t="s">
        <v>7095</v>
      </c>
      <c r="J1519" s="31" t="s">
        <v>7096</v>
      </c>
      <c r="K1519" s="31" t="s">
        <v>7097</v>
      </c>
      <c r="L1519" s="31" t="s">
        <v>5150</v>
      </c>
      <c r="M1519" s="31" t="s">
        <v>5176</v>
      </c>
    </row>
    <row r="1520" customFormat="false" ht="43.5" hidden="false" customHeight="true" outlineLevel="0" collapsed="false">
      <c r="A1520" s="30" t="s">
        <v>7098</v>
      </c>
      <c r="B1520" s="31" t="s">
        <v>7099</v>
      </c>
      <c r="C1520" s="31" t="s">
        <v>132</v>
      </c>
      <c r="D1520" s="31" t="s">
        <v>6770</v>
      </c>
      <c r="E1520" s="31" t="str">
        <f aca="false">IF(D1520="","",IFERROR(VLOOKUP(D1520,$A$2:$B$1656,2,FALSE()),""))</f>
        <v>Sacrifice, Offerings &amp; Ritual Economy</v>
      </c>
      <c r="F1520" s="31" t="n">
        <v>3</v>
      </c>
      <c r="G1520" s="31" t="s">
        <v>7100</v>
      </c>
      <c r="H1520" s="31" t="s">
        <v>7101</v>
      </c>
      <c r="I1520" s="31" t="s">
        <v>7102</v>
      </c>
      <c r="J1520" s="31" t="s">
        <v>7103</v>
      </c>
      <c r="K1520" s="31" t="s">
        <v>7104</v>
      </c>
      <c r="L1520" s="31" t="s">
        <v>5150</v>
      </c>
      <c r="M1520" s="31" t="s">
        <v>5176</v>
      </c>
    </row>
    <row r="1521" customFormat="false" ht="43.5" hidden="false" customHeight="true" outlineLevel="0" collapsed="false">
      <c r="A1521" s="30" t="s">
        <v>7105</v>
      </c>
      <c r="B1521" s="31" t="s">
        <v>7106</v>
      </c>
      <c r="C1521" s="31" t="s">
        <v>132</v>
      </c>
      <c r="D1521" s="31" t="s">
        <v>6770</v>
      </c>
      <c r="E1521" s="31" t="str">
        <f aca="false">IF(D1521="","",IFERROR(VLOOKUP(D1521,$A$2:$B$1656,2,FALSE()),""))</f>
        <v>Sacrifice, Offerings &amp; Ritual Economy</v>
      </c>
      <c r="F1521" s="31" t="n">
        <v>3</v>
      </c>
      <c r="G1521" s="31" t="s">
        <v>7107</v>
      </c>
      <c r="H1521" s="31" t="s">
        <v>7108</v>
      </c>
      <c r="I1521" s="31" t="s">
        <v>7109</v>
      </c>
      <c r="J1521" s="31" t="s">
        <v>7110</v>
      </c>
      <c r="K1521" s="31" t="s">
        <v>7111</v>
      </c>
      <c r="L1521" s="31" t="s">
        <v>5150</v>
      </c>
      <c r="M1521" s="31" t="s">
        <v>5176</v>
      </c>
    </row>
    <row r="1522" customFormat="false" ht="43.5" hidden="false" customHeight="true" outlineLevel="0" collapsed="false">
      <c r="A1522" s="30" t="s">
        <v>7112</v>
      </c>
      <c r="B1522" s="31" t="s">
        <v>7113</v>
      </c>
      <c r="C1522" s="31" t="s">
        <v>132</v>
      </c>
      <c r="D1522" s="31" t="s">
        <v>6770</v>
      </c>
      <c r="E1522" s="31" t="str">
        <f aca="false">IF(D1522="","",IFERROR(VLOOKUP(D1522,$A$2:$B$1656,2,FALSE()),""))</f>
        <v>Sacrifice, Offerings &amp; Ritual Economy</v>
      </c>
      <c r="F1522" s="31" t="n">
        <v>3</v>
      </c>
      <c r="G1522" s="31" t="s">
        <v>7114</v>
      </c>
      <c r="H1522" s="31" t="s">
        <v>7115</v>
      </c>
      <c r="I1522" s="31" t="s">
        <v>7116</v>
      </c>
      <c r="J1522" s="31" t="s">
        <v>7117</v>
      </c>
      <c r="K1522" s="31" t="s">
        <v>7118</v>
      </c>
      <c r="L1522" s="31" t="s">
        <v>5150</v>
      </c>
      <c r="M1522" s="31" t="s">
        <v>5176</v>
      </c>
    </row>
    <row r="1523" customFormat="false" ht="43.5" hidden="false" customHeight="true" outlineLevel="0" collapsed="false">
      <c r="A1523" s="30" t="s">
        <v>7119</v>
      </c>
      <c r="B1523" s="31" t="s">
        <v>7120</v>
      </c>
      <c r="C1523" s="31" t="s">
        <v>132</v>
      </c>
      <c r="D1523" s="31" t="s">
        <v>6770</v>
      </c>
      <c r="E1523" s="31" t="str">
        <f aca="false">IF(D1523="","",IFERROR(VLOOKUP(D1523,$A$2:$B$1656,2,FALSE()),""))</f>
        <v>Sacrifice, Offerings &amp; Ritual Economy</v>
      </c>
      <c r="F1523" s="31" t="n">
        <v>3</v>
      </c>
      <c r="G1523" s="31" t="s">
        <v>7121</v>
      </c>
      <c r="H1523" s="31" t="s">
        <v>7122</v>
      </c>
      <c r="I1523" s="31" t="s">
        <v>7123</v>
      </c>
      <c r="J1523" s="31" t="s">
        <v>7124</v>
      </c>
      <c r="K1523" s="31" t="s">
        <v>7125</v>
      </c>
      <c r="L1523" s="31" t="s">
        <v>5150</v>
      </c>
      <c r="M1523" s="31" t="s">
        <v>5176</v>
      </c>
    </row>
    <row r="1524" customFormat="false" ht="43.5" hidden="false" customHeight="true" outlineLevel="0" collapsed="false">
      <c r="A1524" s="30" t="s">
        <v>7126</v>
      </c>
      <c r="B1524" s="31" t="s">
        <v>7127</v>
      </c>
      <c r="C1524" s="31" t="s">
        <v>132</v>
      </c>
      <c r="D1524" s="31" t="s">
        <v>6773</v>
      </c>
      <c r="E1524" s="31" t="str">
        <f aca="false">IF(D1524="","",IFERROR(VLOOKUP(D1524,$A$2:$B$1656,2,FALSE()),""))</f>
        <v>Purity, Pollution &amp; Sacred Boundaries</v>
      </c>
      <c r="F1524" s="31" t="n">
        <v>3</v>
      </c>
      <c r="G1524" s="31" t="s">
        <v>7128</v>
      </c>
      <c r="H1524" s="31" t="s">
        <v>7129</v>
      </c>
      <c r="I1524" s="31" t="s">
        <v>7130</v>
      </c>
      <c r="J1524" s="31" t="s">
        <v>7131</v>
      </c>
      <c r="K1524" s="31" t="s">
        <v>7132</v>
      </c>
      <c r="L1524" s="31" t="s">
        <v>5150</v>
      </c>
      <c r="M1524" s="31" t="s">
        <v>5176</v>
      </c>
    </row>
    <row r="1525" customFormat="false" ht="43.5" hidden="false" customHeight="true" outlineLevel="0" collapsed="false">
      <c r="A1525" s="30" t="s">
        <v>7133</v>
      </c>
      <c r="B1525" s="31" t="s">
        <v>7134</v>
      </c>
      <c r="C1525" s="31" t="s">
        <v>132</v>
      </c>
      <c r="D1525" s="31" t="s">
        <v>6773</v>
      </c>
      <c r="E1525" s="31" t="str">
        <f aca="false">IF(D1525="","",IFERROR(VLOOKUP(D1525,$A$2:$B$1656,2,FALSE()),""))</f>
        <v>Purity, Pollution &amp; Sacred Boundaries</v>
      </c>
      <c r="F1525" s="31" t="n">
        <v>3</v>
      </c>
      <c r="G1525" s="31" t="s">
        <v>7135</v>
      </c>
      <c r="H1525" s="31" t="s">
        <v>7136</v>
      </c>
      <c r="I1525" s="31" t="s">
        <v>7137</v>
      </c>
      <c r="J1525" s="31" t="s">
        <v>7138</v>
      </c>
      <c r="K1525" s="31" t="s">
        <v>7139</v>
      </c>
      <c r="L1525" s="31" t="s">
        <v>5150</v>
      </c>
      <c r="M1525" s="31" t="s">
        <v>5176</v>
      </c>
    </row>
    <row r="1526" customFormat="false" ht="43.5" hidden="false" customHeight="true" outlineLevel="0" collapsed="false">
      <c r="A1526" s="30" t="s">
        <v>7140</v>
      </c>
      <c r="B1526" s="31" t="s">
        <v>7141</v>
      </c>
      <c r="C1526" s="31" t="s">
        <v>132</v>
      </c>
      <c r="D1526" s="31" t="s">
        <v>6773</v>
      </c>
      <c r="E1526" s="31" t="str">
        <f aca="false">IF(D1526="","",IFERROR(VLOOKUP(D1526,$A$2:$B$1656,2,FALSE()),""))</f>
        <v>Purity, Pollution &amp; Sacred Boundaries</v>
      </c>
      <c r="F1526" s="31" t="n">
        <v>3</v>
      </c>
      <c r="G1526" s="31" t="s">
        <v>7142</v>
      </c>
      <c r="H1526" s="31" t="s">
        <v>7143</v>
      </c>
      <c r="I1526" s="31" t="s">
        <v>7144</v>
      </c>
      <c r="J1526" s="31" t="s">
        <v>7145</v>
      </c>
      <c r="K1526" s="31" t="s">
        <v>7146</v>
      </c>
      <c r="L1526" s="31" t="s">
        <v>5150</v>
      </c>
      <c r="M1526" s="31" t="s">
        <v>5176</v>
      </c>
    </row>
    <row r="1527" customFormat="false" ht="43.5" hidden="false" customHeight="true" outlineLevel="0" collapsed="false">
      <c r="A1527" s="30" t="s">
        <v>7147</v>
      </c>
      <c r="B1527" s="31" t="s">
        <v>7148</v>
      </c>
      <c r="C1527" s="31" t="s">
        <v>132</v>
      </c>
      <c r="D1527" s="31" t="s">
        <v>6773</v>
      </c>
      <c r="E1527" s="31" t="str">
        <f aca="false">IF(D1527="","",IFERROR(VLOOKUP(D1527,$A$2:$B$1656,2,FALSE()),""))</f>
        <v>Purity, Pollution &amp; Sacred Boundaries</v>
      </c>
      <c r="F1527" s="31" t="n">
        <v>3</v>
      </c>
      <c r="G1527" s="31" t="s">
        <v>7149</v>
      </c>
      <c r="H1527" s="31" t="s">
        <v>7150</v>
      </c>
      <c r="I1527" s="31" t="s">
        <v>7151</v>
      </c>
      <c r="J1527" s="31" t="s">
        <v>7152</v>
      </c>
      <c r="K1527" s="31" t="s">
        <v>7153</v>
      </c>
      <c r="L1527" s="31" t="s">
        <v>5150</v>
      </c>
      <c r="M1527" s="31" t="s">
        <v>5176</v>
      </c>
    </row>
    <row r="1528" customFormat="false" ht="43.5" hidden="false" customHeight="true" outlineLevel="0" collapsed="false">
      <c r="A1528" s="30" t="s">
        <v>7154</v>
      </c>
      <c r="B1528" s="31" t="s">
        <v>7155</v>
      </c>
      <c r="C1528" s="31" t="s">
        <v>132</v>
      </c>
      <c r="D1528" s="31" t="s">
        <v>6773</v>
      </c>
      <c r="E1528" s="31" t="str">
        <f aca="false">IF(D1528="","",IFERROR(VLOOKUP(D1528,$A$2:$B$1656,2,FALSE()),""))</f>
        <v>Purity, Pollution &amp; Sacred Boundaries</v>
      </c>
      <c r="F1528" s="31" t="n">
        <v>3</v>
      </c>
      <c r="G1528" s="31" t="s">
        <v>7156</v>
      </c>
      <c r="H1528" s="31" t="s">
        <v>7157</v>
      </c>
      <c r="I1528" s="31" t="s">
        <v>7158</v>
      </c>
      <c r="J1528" s="31" t="s">
        <v>7159</v>
      </c>
      <c r="K1528" s="31" t="s">
        <v>7160</v>
      </c>
      <c r="L1528" s="31" t="s">
        <v>5150</v>
      </c>
      <c r="M1528" s="31" t="s">
        <v>5176</v>
      </c>
    </row>
    <row r="1529" customFormat="false" ht="43.5" hidden="false" customHeight="true" outlineLevel="0" collapsed="false">
      <c r="A1529" s="30" t="s">
        <v>7161</v>
      </c>
      <c r="B1529" s="31" t="s">
        <v>7162</v>
      </c>
      <c r="C1529" s="31" t="s">
        <v>132</v>
      </c>
      <c r="D1529" s="31" t="s">
        <v>6773</v>
      </c>
      <c r="E1529" s="31" t="str">
        <f aca="false">IF(D1529="","",IFERROR(VLOOKUP(D1529,$A$2:$B$1656,2,FALSE()),""))</f>
        <v>Purity, Pollution &amp; Sacred Boundaries</v>
      </c>
      <c r="F1529" s="31" t="n">
        <v>3</v>
      </c>
      <c r="G1529" s="31" t="s">
        <v>7163</v>
      </c>
      <c r="H1529" s="31" t="s">
        <v>7164</v>
      </c>
      <c r="I1529" s="31" t="s">
        <v>7165</v>
      </c>
      <c r="J1529" s="31" t="s">
        <v>7166</v>
      </c>
      <c r="K1529" s="31" t="s">
        <v>7167</v>
      </c>
      <c r="L1529" s="31" t="s">
        <v>5150</v>
      </c>
      <c r="M1529" s="31" t="s">
        <v>5176</v>
      </c>
    </row>
    <row r="1530" customFormat="false" ht="43.5" hidden="false" customHeight="true" outlineLevel="0" collapsed="false">
      <c r="A1530" s="30" t="s">
        <v>7168</v>
      </c>
      <c r="B1530" s="31" t="s">
        <v>7169</v>
      </c>
      <c r="C1530" s="31" t="s">
        <v>132</v>
      </c>
      <c r="D1530" s="31" t="s">
        <v>6773</v>
      </c>
      <c r="E1530" s="31" t="str">
        <f aca="false">IF(D1530="","",IFERROR(VLOOKUP(D1530,$A$2:$B$1656,2,FALSE()),""))</f>
        <v>Purity, Pollution &amp; Sacred Boundaries</v>
      </c>
      <c r="F1530" s="31" t="n">
        <v>3</v>
      </c>
      <c r="G1530" s="31" t="s">
        <v>7170</v>
      </c>
      <c r="H1530" s="31" t="s">
        <v>7171</v>
      </c>
      <c r="I1530" s="31" t="s">
        <v>7172</v>
      </c>
      <c r="J1530" s="31" t="s">
        <v>7173</v>
      </c>
      <c r="K1530" s="31" t="s">
        <v>7174</v>
      </c>
      <c r="L1530" s="31" t="s">
        <v>5150</v>
      </c>
      <c r="M1530" s="31" t="s">
        <v>5176</v>
      </c>
    </row>
    <row r="1531" customFormat="false" ht="43.5" hidden="false" customHeight="true" outlineLevel="0" collapsed="false">
      <c r="A1531" s="30" t="s">
        <v>7175</v>
      </c>
      <c r="B1531" s="31" t="s">
        <v>7176</v>
      </c>
      <c r="C1531" s="31" t="s">
        <v>132</v>
      </c>
      <c r="D1531" s="31" t="s">
        <v>6773</v>
      </c>
      <c r="E1531" s="31" t="str">
        <f aca="false">IF(D1531="","",IFERROR(VLOOKUP(D1531,$A$2:$B$1656,2,FALSE()),""))</f>
        <v>Purity, Pollution &amp; Sacred Boundaries</v>
      </c>
      <c r="F1531" s="31" t="n">
        <v>3</v>
      </c>
      <c r="G1531" s="31" t="s">
        <v>7177</v>
      </c>
      <c r="H1531" s="31" t="s">
        <v>7178</v>
      </c>
      <c r="I1531" s="31" t="s">
        <v>7179</v>
      </c>
      <c r="J1531" s="31" t="s">
        <v>7180</v>
      </c>
      <c r="K1531" s="31" t="s">
        <v>7181</v>
      </c>
      <c r="L1531" s="31" t="s">
        <v>5150</v>
      </c>
      <c r="M1531" s="31" t="s">
        <v>5176</v>
      </c>
    </row>
    <row r="1532" customFormat="false" ht="43.5" hidden="false" customHeight="true" outlineLevel="0" collapsed="false">
      <c r="A1532" s="30" t="s">
        <v>7182</v>
      </c>
      <c r="B1532" s="31" t="s">
        <v>7183</v>
      </c>
      <c r="C1532" s="31" t="s">
        <v>132</v>
      </c>
      <c r="D1532" s="31" t="s">
        <v>6773</v>
      </c>
      <c r="E1532" s="31" t="str">
        <f aca="false">IF(D1532="","",IFERROR(VLOOKUP(D1532,$A$2:$B$1656,2,FALSE()),""))</f>
        <v>Purity, Pollution &amp; Sacred Boundaries</v>
      </c>
      <c r="F1532" s="31" t="n">
        <v>3</v>
      </c>
      <c r="G1532" s="31" t="s">
        <v>7184</v>
      </c>
      <c r="H1532" s="31" t="s">
        <v>7185</v>
      </c>
      <c r="I1532" s="31" t="s">
        <v>7186</v>
      </c>
      <c r="J1532" s="31" t="s">
        <v>7187</v>
      </c>
      <c r="K1532" s="31" t="s">
        <v>7188</v>
      </c>
      <c r="L1532" s="31" t="s">
        <v>5150</v>
      </c>
      <c r="M1532" s="31" t="s">
        <v>5176</v>
      </c>
    </row>
    <row r="1533" customFormat="false" ht="43.5" hidden="false" customHeight="true" outlineLevel="0" collapsed="false">
      <c r="A1533" s="30" t="s">
        <v>7189</v>
      </c>
      <c r="B1533" s="31" t="s">
        <v>7190</v>
      </c>
      <c r="C1533" s="31" t="s">
        <v>132</v>
      </c>
      <c r="D1533" s="31" t="s">
        <v>6773</v>
      </c>
      <c r="E1533" s="31" t="str">
        <f aca="false">IF(D1533="","",IFERROR(VLOOKUP(D1533,$A$2:$B$1656,2,FALSE()),""))</f>
        <v>Purity, Pollution &amp; Sacred Boundaries</v>
      </c>
      <c r="F1533" s="31" t="n">
        <v>3</v>
      </c>
      <c r="G1533" s="31" t="s">
        <v>7191</v>
      </c>
      <c r="H1533" s="31" t="s">
        <v>7192</v>
      </c>
      <c r="I1533" s="31" t="s">
        <v>7193</v>
      </c>
      <c r="J1533" s="31" t="s">
        <v>7194</v>
      </c>
      <c r="K1533" s="31" t="s">
        <v>7195</v>
      </c>
      <c r="L1533" s="31" t="s">
        <v>5150</v>
      </c>
      <c r="M1533" s="31" t="s">
        <v>5176</v>
      </c>
    </row>
    <row r="1534" customFormat="false" ht="43.5" hidden="false" customHeight="true" outlineLevel="0" collapsed="false">
      <c r="A1534" s="30" t="s">
        <v>7196</v>
      </c>
      <c r="B1534" s="31" t="s">
        <v>7197</v>
      </c>
      <c r="C1534" s="31" t="s">
        <v>132</v>
      </c>
      <c r="D1534" s="31" t="s">
        <v>6773</v>
      </c>
      <c r="E1534" s="31" t="str">
        <f aca="false">IF(D1534="","",IFERROR(VLOOKUP(D1534,$A$2:$B$1656,2,FALSE()),""))</f>
        <v>Purity, Pollution &amp; Sacred Boundaries</v>
      </c>
      <c r="F1534" s="31" t="n">
        <v>3</v>
      </c>
      <c r="G1534" s="31" t="s">
        <v>7198</v>
      </c>
      <c r="H1534" s="31" t="s">
        <v>7199</v>
      </c>
      <c r="I1534" s="31" t="s">
        <v>7200</v>
      </c>
      <c r="J1534" s="31" t="s">
        <v>7201</v>
      </c>
      <c r="K1534" s="31" t="s">
        <v>7202</v>
      </c>
      <c r="L1534" s="31" t="s">
        <v>5150</v>
      </c>
      <c r="M1534" s="31" t="s">
        <v>5176</v>
      </c>
    </row>
    <row r="1535" customFormat="false" ht="43.5" hidden="false" customHeight="true" outlineLevel="0" collapsed="false">
      <c r="A1535" s="30" t="s">
        <v>7203</v>
      </c>
      <c r="B1535" s="31" t="s">
        <v>7204</v>
      </c>
      <c r="C1535" s="31" t="s">
        <v>132</v>
      </c>
      <c r="D1535" s="31" t="s">
        <v>6773</v>
      </c>
      <c r="E1535" s="31" t="str">
        <f aca="false">IF(D1535="","",IFERROR(VLOOKUP(D1535,$A$2:$B$1656,2,FALSE()),""))</f>
        <v>Purity, Pollution &amp; Sacred Boundaries</v>
      </c>
      <c r="F1535" s="31" t="n">
        <v>3</v>
      </c>
      <c r="G1535" s="31" t="s">
        <v>7205</v>
      </c>
      <c r="H1535" s="31" t="s">
        <v>7206</v>
      </c>
      <c r="I1535" s="31" t="s">
        <v>7207</v>
      </c>
      <c r="J1535" s="31" t="s">
        <v>7208</v>
      </c>
      <c r="K1535" s="31" t="s">
        <v>7209</v>
      </c>
      <c r="L1535" s="31" t="s">
        <v>5150</v>
      </c>
      <c r="M1535" s="31" t="s">
        <v>5176</v>
      </c>
    </row>
    <row r="1536" customFormat="false" ht="43.5" hidden="false" customHeight="true" outlineLevel="0" collapsed="false">
      <c r="A1536" s="30" t="s">
        <v>7210</v>
      </c>
      <c r="B1536" s="31" t="s">
        <v>7211</v>
      </c>
      <c r="C1536" s="31" t="s">
        <v>132</v>
      </c>
      <c r="D1536" s="31" t="s">
        <v>6773</v>
      </c>
      <c r="E1536" s="31" t="str">
        <f aca="false">IF(D1536="","",IFERROR(VLOOKUP(D1536,$A$2:$B$1656,2,FALSE()),""))</f>
        <v>Purity, Pollution &amp; Sacred Boundaries</v>
      </c>
      <c r="F1536" s="31" t="n">
        <v>3</v>
      </c>
      <c r="G1536" s="31" t="s">
        <v>7212</v>
      </c>
      <c r="H1536" s="31" t="s">
        <v>7213</v>
      </c>
      <c r="I1536" s="31" t="s">
        <v>7214</v>
      </c>
      <c r="J1536" s="31" t="s">
        <v>7215</v>
      </c>
      <c r="K1536" s="31" t="s">
        <v>7216</v>
      </c>
      <c r="L1536" s="31" t="s">
        <v>5150</v>
      </c>
      <c r="M1536" s="31" t="s">
        <v>5176</v>
      </c>
    </row>
    <row r="1537" customFormat="false" ht="43.5" hidden="false" customHeight="true" outlineLevel="0" collapsed="false">
      <c r="A1537" s="30" t="s">
        <v>7217</v>
      </c>
      <c r="B1537" s="31" t="s">
        <v>7218</v>
      </c>
      <c r="C1537" s="31" t="s">
        <v>132</v>
      </c>
      <c r="D1537" s="31" t="s">
        <v>6773</v>
      </c>
      <c r="E1537" s="31" t="str">
        <f aca="false">IF(D1537="","",IFERROR(VLOOKUP(D1537,$A$2:$B$1656,2,FALSE()),""))</f>
        <v>Purity, Pollution &amp; Sacred Boundaries</v>
      </c>
      <c r="F1537" s="31" t="n">
        <v>3</v>
      </c>
      <c r="G1537" s="31" t="s">
        <v>7219</v>
      </c>
      <c r="H1537" s="31" t="s">
        <v>7220</v>
      </c>
      <c r="I1537" s="31" t="s">
        <v>7221</v>
      </c>
      <c r="J1537" s="31" t="s">
        <v>7222</v>
      </c>
      <c r="K1537" s="31" t="s">
        <v>7223</v>
      </c>
      <c r="L1537" s="31" t="s">
        <v>5150</v>
      </c>
      <c r="M1537" s="31" t="s">
        <v>5176</v>
      </c>
    </row>
    <row r="1538" customFormat="false" ht="43.5" hidden="false" customHeight="true" outlineLevel="0" collapsed="false">
      <c r="A1538" s="30" t="s">
        <v>7224</v>
      </c>
      <c r="B1538" s="31" t="s">
        <v>7225</v>
      </c>
      <c r="C1538" s="31" t="s">
        <v>132</v>
      </c>
      <c r="D1538" s="31" t="s">
        <v>6773</v>
      </c>
      <c r="E1538" s="31" t="str">
        <f aca="false">IF(D1538="","",IFERROR(VLOOKUP(D1538,$A$2:$B$1656,2,FALSE()),""))</f>
        <v>Purity, Pollution &amp; Sacred Boundaries</v>
      </c>
      <c r="F1538" s="31" t="n">
        <v>3</v>
      </c>
      <c r="G1538" s="31" t="s">
        <v>7226</v>
      </c>
      <c r="H1538" s="31" t="s">
        <v>7227</v>
      </c>
      <c r="I1538" s="31" t="s">
        <v>7228</v>
      </c>
      <c r="J1538" s="31" t="s">
        <v>7229</v>
      </c>
      <c r="K1538" s="31" t="s">
        <v>7230</v>
      </c>
      <c r="L1538" s="31" t="s">
        <v>5150</v>
      </c>
      <c r="M1538" s="31" t="s">
        <v>5176</v>
      </c>
    </row>
    <row r="1539" customFormat="false" ht="43.5" hidden="false" customHeight="true" outlineLevel="0" collapsed="false">
      <c r="A1539" s="30" t="s">
        <v>7231</v>
      </c>
      <c r="B1539" s="31" t="s">
        <v>7232</v>
      </c>
      <c r="C1539" s="31" t="s">
        <v>132</v>
      </c>
      <c r="D1539" s="31" t="s">
        <v>6776</v>
      </c>
      <c r="E1539" s="31" t="str">
        <f aca="false">IF(D1539="","",IFERROR(VLOOKUP(D1539,$A$2:$B$1656,2,FALSE()),""))</f>
        <v>Fate, Causation &amp; Cosmic Order</v>
      </c>
      <c r="F1539" s="31" t="n">
        <v>3</v>
      </c>
      <c r="G1539" s="31" t="s">
        <v>7233</v>
      </c>
      <c r="H1539" s="31" t="s">
        <v>7234</v>
      </c>
      <c r="I1539" s="31" t="s">
        <v>7235</v>
      </c>
      <c r="J1539" s="31" t="s">
        <v>7236</v>
      </c>
      <c r="K1539" s="31" t="s">
        <v>7237</v>
      </c>
      <c r="L1539" s="31" t="s">
        <v>5150</v>
      </c>
      <c r="M1539" s="31" t="s">
        <v>5176</v>
      </c>
    </row>
    <row r="1540" customFormat="false" ht="43.5" hidden="false" customHeight="true" outlineLevel="0" collapsed="false">
      <c r="A1540" s="30" t="s">
        <v>7238</v>
      </c>
      <c r="B1540" s="31" t="s">
        <v>7239</v>
      </c>
      <c r="C1540" s="31" t="s">
        <v>132</v>
      </c>
      <c r="D1540" s="31" t="s">
        <v>6776</v>
      </c>
      <c r="E1540" s="31" t="str">
        <f aca="false">IF(D1540="","",IFERROR(VLOOKUP(D1540,$A$2:$B$1656,2,FALSE()),""))</f>
        <v>Fate, Causation &amp; Cosmic Order</v>
      </c>
      <c r="F1540" s="31" t="n">
        <v>3</v>
      </c>
      <c r="G1540" s="31" t="s">
        <v>7240</v>
      </c>
      <c r="H1540" s="31" t="s">
        <v>7241</v>
      </c>
      <c r="I1540" s="31" t="s">
        <v>7242</v>
      </c>
      <c r="J1540" s="31" t="s">
        <v>7243</v>
      </c>
      <c r="K1540" s="31" t="s">
        <v>7244</v>
      </c>
      <c r="L1540" s="31" t="s">
        <v>5150</v>
      </c>
      <c r="M1540" s="31" t="s">
        <v>5176</v>
      </c>
    </row>
    <row r="1541" customFormat="false" ht="43.5" hidden="false" customHeight="true" outlineLevel="0" collapsed="false">
      <c r="A1541" s="30" t="s">
        <v>7245</v>
      </c>
      <c r="B1541" s="31" t="s">
        <v>7246</v>
      </c>
      <c r="C1541" s="31" t="s">
        <v>132</v>
      </c>
      <c r="D1541" s="31" t="s">
        <v>6776</v>
      </c>
      <c r="E1541" s="31" t="str">
        <f aca="false">IF(D1541="","",IFERROR(VLOOKUP(D1541,$A$2:$B$1656,2,FALSE()),""))</f>
        <v>Fate, Causation &amp; Cosmic Order</v>
      </c>
      <c r="F1541" s="31" t="n">
        <v>3</v>
      </c>
      <c r="G1541" s="31" t="s">
        <v>7247</v>
      </c>
      <c r="H1541" s="31" t="s">
        <v>7248</v>
      </c>
      <c r="I1541" s="31" t="s">
        <v>7249</v>
      </c>
      <c r="J1541" s="31" t="s">
        <v>7250</v>
      </c>
      <c r="K1541" s="31" t="s">
        <v>7251</v>
      </c>
      <c r="L1541" s="31" t="s">
        <v>5150</v>
      </c>
      <c r="M1541" s="31" t="s">
        <v>5176</v>
      </c>
    </row>
    <row r="1542" customFormat="false" ht="43.5" hidden="false" customHeight="true" outlineLevel="0" collapsed="false">
      <c r="A1542" s="30" t="s">
        <v>7252</v>
      </c>
      <c r="B1542" s="31" t="s">
        <v>7253</v>
      </c>
      <c r="C1542" s="31" t="s">
        <v>132</v>
      </c>
      <c r="D1542" s="31" t="s">
        <v>6776</v>
      </c>
      <c r="E1542" s="31" t="str">
        <f aca="false">IF(D1542="","",IFERROR(VLOOKUP(D1542,$A$2:$B$1656,2,FALSE()),""))</f>
        <v>Fate, Causation &amp; Cosmic Order</v>
      </c>
      <c r="F1542" s="31" t="n">
        <v>3</v>
      </c>
      <c r="G1542" s="31" t="s">
        <v>7254</v>
      </c>
      <c r="H1542" s="31" t="s">
        <v>7255</v>
      </c>
      <c r="I1542" s="31" t="s">
        <v>7256</v>
      </c>
      <c r="J1542" s="31" t="s">
        <v>7257</v>
      </c>
      <c r="K1542" s="31" t="s">
        <v>7258</v>
      </c>
      <c r="L1542" s="31" t="s">
        <v>5150</v>
      </c>
      <c r="M1542" s="31" t="s">
        <v>5176</v>
      </c>
    </row>
    <row r="1543" customFormat="false" ht="43.5" hidden="false" customHeight="true" outlineLevel="0" collapsed="false">
      <c r="A1543" s="30" t="s">
        <v>7259</v>
      </c>
      <c r="B1543" s="31" t="s">
        <v>7260</v>
      </c>
      <c r="C1543" s="31" t="s">
        <v>132</v>
      </c>
      <c r="D1543" s="31" t="s">
        <v>6776</v>
      </c>
      <c r="E1543" s="31" t="str">
        <f aca="false">IF(D1543="","",IFERROR(VLOOKUP(D1543,$A$2:$B$1656,2,FALSE()),""))</f>
        <v>Fate, Causation &amp; Cosmic Order</v>
      </c>
      <c r="F1543" s="31" t="n">
        <v>3</v>
      </c>
      <c r="G1543" s="31" t="s">
        <v>7261</v>
      </c>
      <c r="H1543" s="31" t="s">
        <v>7262</v>
      </c>
      <c r="I1543" s="31" t="s">
        <v>7263</v>
      </c>
      <c r="J1543" s="31" t="s">
        <v>7264</v>
      </c>
      <c r="K1543" s="31" t="s">
        <v>7265</v>
      </c>
      <c r="L1543" s="31" t="s">
        <v>7266</v>
      </c>
      <c r="M1543" s="31" t="s">
        <v>5176</v>
      </c>
    </row>
    <row r="1544" customFormat="false" ht="43.5" hidden="false" customHeight="true" outlineLevel="0" collapsed="false">
      <c r="A1544" s="30" t="s">
        <v>7267</v>
      </c>
      <c r="B1544" s="31" t="s">
        <v>7268</v>
      </c>
      <c r="C1544" s="31" t="s">
        <v>132</v>
      </c>
      <c r="D1544" s="31" t="s">
        <v>6776</v>
      </c>
      <c r="E1544" s="31" t="str">
        <f aca="false">IF(D1544="","",IFERROR(VLOOKUP(D1544,$A$2:$B$1656,2,FALSE()),""))</f>
        <v>Fate, Causation &amp; Cosmic Order</v>
      </c>
      <c r="F1544" s="31" t="n">
        <v>3</v>
      </c>
      <c r="G1544" s="31" t="s">
        <v>7269</v>
      </c>
      <c r="H1544" s="31" t="s">
        <v>7270</v>
      </c>
      <c r="I1544" s="31" t="s">
        <v>7271</v>
      </c>
      <c r="J1544" s="31" t="s">
        <v>7272</v>
      </c>
      <c r="K1544" s="31" t="s">
        <v>7273</v>
      </c>
      <c r="L1544" s="31" t="s">
        <v>7274</v>
      </c>
      <c r="M1544" s="31" t="s">
        <v>5176</v>
      </c>
    </row>
    <row r="1545" customFormat="false" ht="43.5" hidden="false" customHeight="true" outlineLevel="0" collapsed="false">
      <c r="A1545" s="30" t="s">
        <v>7275</v>
      </c>
      <c r="B1545" s="31" t="s">
        <v>7276</v>
      </c>
      <c r="C1545" s="31" t="s">
        <v>132</v>
      </c>
      <c r="D1545" s="31" t="s">
        <v>6776</v>
      </c>
      <c r="E1545" s="31" t="str">
        <f aca="false">IF(D1545="","",IFERROR(VLOOKUP(D1545,$A$2:$B$1656,2,FALSE()),""))</f>
        <v>Fate, Causation &amp; Cosmic Order</v>
      </c>
      <c r="F1545" s="31" t="n">
        <v>3</v>
      </c>
      <c r="G1545" s="31" t="s">
        <v>7277</v>
      </c>
      <c r="H1545" s="31" t="s">
        <v>7278</v>
      </c>
      <c r="I1545" s="31" t="s">
        <v>7279</v>
      </c>
      <c r="J1545" s="31" t="s">
        <v>7280</v>
      </c>
      <c r="K1545" s="31" t="s">
        <v>7281</v>
      </c>
      <c r="L1545" s="31" t="s">
        <v>5150</v>
      </c>
      <c r="M1545" s="31" t="s">
        <v>5176</v>
      </c>
    </row>
    <row r="1546" customFormat="false" ht="43.5" hidden="false" customHeight="true" outlineLevel="0" collapsed="false">
      <c r="A1546" s="30" t="s">
        <v>7282</v>
      </c>
      <c r="B1546" s="31" t="s">
        <v>7283</v>
      </c>
      <c r="C1546" s="31" t="s">
        <v>132</v>
      </c>
      <c r="D1546" s="31" t="s">
        <v>6776</v>
      </c>
      <c r="E1546" s="31" t="str">
        <f aca="false">IF(D1546="","",IFERROR(VLOOKUP(D1546,$A$2:$B$1656,2,FALSE()),""))</f>
        <v>Fate, Causation &amp; Cosmic Order</v>
      </c>
      <c r="F1546" s="31" t="n">
        <v>3</v>
      </c>
      <c r="G1546" s="31" t="s">
        <v>7284</v>
      </c>
      <c r="H1546" s="31" t="s">
        <v>7285</v>
      </c>
      <c r="I1546" s="31" t="s">
        <v>7286</v>
      </c>
      <c r="J1546" s="31" t="s">
        <v>7287</v>
      </c>
      <c r="K1546" s="31" t="s">
        <v>7288</v>
      </c>
      <c r="L1546" s="31" t="s">
        <v>5150</v>
      </c>
      <c r="M1546" s="31" t="s">
        <v>5176</v>
      </c>
    </row>
    <row r="1547" customFormat="false" ht="43.5" hidden="false" customHeight="true" outlineLevel="0" collapsed="false">
      <c r="A1547" s="30" t="s">
        <v>7289</v>
      </c>
      <c r="B1547" s="31" t="s">
        <v>7290</v>
      </c>
      <c r="C1547" s="31" t="s">
        <v>132</v>
      </c>
      <c r="D1547" s="31" t="s">
        <v>6776</v>
      </c>
      <c r="E1547" s="31" t="str">
        <f aca="false">IF(D1547="","",IFERROR(VLOOKUP(D1547,$A$2:$B$1656,2,FALSE()),""))</f>
        <v>Fate, Causation &amp; Cosmic Order</v>
      </c>
      <c r="F1547" s="31" t="n">
        <v>3</v>
      </c>
      <c r="G1547" s="31" t="s">
        <v>7291</v>
      </c>
      <c r="H1547" s="31" t="s">
        <v>7292</v>
      </c>
      <c r="I1547" s="31" t="s">
        <v>7293</v>
      </c>
      <c r="J1547" s="31" t="s">
        <v>7294</v>
      </c>
      <c r="K1547" s="31" t="s">
        <v>7295</v>
      </c>
      <c r="L1547" s="31" t="s">
        <v>5150</v>
      </c>
      <c r="M1547" s="31" t="s">
        <v>5176</v>
      </c>
    </row>
    <row r="1548" customFormat="false" ht="43.5" hidden="false" customHeight="true" outlineLevel="0" collapsed="false">
      <c r="A1548" s="30" t="s">
        <v>7296</v>
      </c>
      <c r="B1548" s="31" t="s">
        <v>7297</v>
      </c>
      <c r="C1548" s="31" t="s">
        <v>132</v>
      </c>
      <c r="D1548" s="31" t="s">
        <v>6776</v>
      </c>
      <c r="E1548" s="31" t="str">
        <f aca="false">IF(D1548="","",IFERROR(VLOOKUP(D1548,$A$2:$B$1656,2,FALSE()),""))</f>
        <v>Fate, Causation &amp; Cosmic Order</v>
      </c>
      <c r="F1548" s="31" t="n">
        <v>3</v>
      </c>
      <c r="G1548" s="31" t="s">
        <v>7298</v>
      </c>
      <c r="H1548" s="31" t="s">
        <v>7299</v>
      </c>
      <c r="I1548" s="31" t="s">
        <v>7300</v>
      </c>
      <c r="J1548" s="31" t="s">
        <v>7301</v>
      </c>
      <c r="K1548" s="31" t="s">
        <v>7302</v>
      </c>
      <c r="L1548" s="31" t="s">
        <v>5150</v>
      </c>
      <c r="M1548" s="31" t="s">
        <v>5176</v>
      </c>
    </row>
    <row r="1549" customFormat="false" ht="43.5" hidden="false" customHeight="true" outlineLevel="0" collapsed="false">
      <c r="A1549" s="30" t="s">
        <v>7303</v>
      </c>
      <c r="B1549" s="31" t="s">
        <v>7304</v>
      </c>
      <c r="C1549" s="31" t="s">
        <v>132</v>
      </c>
      <c r="D1549" s="31" t="s">
        <v>6776</v>
      </c>
      <c r="E1549" s="31" t="str">
        <f aca="false">IF(D1549="","",IFERROR(VLOOKUP(D1549,$A$2:$B$1656,2,FALSE()),""))</f>
        <v>Fate, Causation &amp; Cosmic Order</v>
      </c>
      <c r="F1549" s="31" t="n">
        <v>3</v>
      </c>
      <c r="G1549" s="31" t="s">
        <v>7305</v>
      </c>
      <c r="H1549" s="31" t="s">
        <v>7306</v>
      </c>
      <c r="I1549" s="31" t="s">
        <v>7307</v>
      </c>
      <c r="J1549" s="31" t="s">
        <v>7308</v>
      </c>
      <c r="K1549" s="31" t="s">
        <v>7309</v>
      </c>
      <c r="L1549" s="31" t="s">
        <v>5150</v>
      </c>
      <c r="M1549" s="31" t="s">
        <v>5176</v>
      </c>
    </row>
    <row r="1550" customFormat="false" ht="43.5" hidden="false" customHeight="true" outlineLevel="0" collapsed="false">
      <c r="A1550" s="30" t="s">
        <v>7310</v>
      </c>
      <c r="B1550" s="31" t="s">
        <v>7311</v>
      </c>
      <c r="C1550" s="31" t="s">
        <v>132</v>
      </c>
      <c r="D1550" s="31" t="s">
        <v>6776</v>
      </c>
      <c r="E1550" s="31" t="str">
        <f aca="false">IF(D1550="","",IFERROR(VLOOKUP(D1550,$A$2:$B$1656,2,FALSE()),""))</f>
        <v>Fate, Causation &amp; Cosmic Order</v>
      </c>
      <c r="F1550" s="31" t="n">
        <v>3</v>
      </c>
      <c r="G1550" s="31" t="s">
        <v>7312</v>
      </c>
      <c r="H1550" s="31" t="s">
        <v>7313</v>
      </c>
      <c r="I1550" s="31" t="s">
        <v>7314</v>
      </c>
      <c r="J1550" s="31" t="s">
        <v>7315</v>
      </c>
      <c r="K1550" s="31" t="s">
        <v>7316</v>
      </c>
      <c r="L1550" s="31" t="s">
        <v>5150</v>
      </c>
      <c r="M1550" s="31" t="s">
        <v>5176</v>
      </c>
    </row>
    <row r="1551" customFormat="false" ht="43.5" hidden="false" customHeight="true" outlineLevel="0" collapsed="false">
      <c r="A1551" s="30" t="s">
        <v>7317</v>
      </c>
      <c r="B1551" s="31" t="s">
        <v>7318</v>
      </c>
      <c r="C1551" s="31" t="s">
        <v>132</v>
      </c>
      <c r="D1551" s="31" t="s">
        <v>6776</v>
      </c>
      <c r="E1551" s="31" t="str">
        <f aca="false">IF(D1551="","",IFERROR(VLOOKUP(D1551,$A$2:$B$1656,2,FALSE()),""))</f>
        <v>Fate, Causation &amp; Cosmic Order</v>
      </c>
      <c r="F1551" s="31" t="n">
        <v>3</v>
      </c>
      <c r="G1551" s="31" t="s">
        <v>7319</v>
      </c>
      <c r="H1551" s="31" t="s">
        <v>7320</v>
      </c>
      <c r="I1551" s="31" t="s">
        <v>7321</v>
      </c>
      <c r="J1551" s="31" t="s">
        <v>7322</v>
      </c>
      <c r="K1551" s="31" t="s">
        <v>7323</v>
      </c>
      <c r="L1551" s="31" t="s">
        <v>5150</v>
      </c>
      <c r="M1551" s="31" t="s">
        <v>5176</v>
      </c>
    </row>
    <row r="1552" customFormat="false" ht="43.5" hidden="false" customHeight="true" outlineLevel="0" collapsed="false">
      <c r="A1552" s="30" t="s">
        <v>7324</v>
      </c>
      <c r="B1552" s="31" t="s">
        <v>7325</v>
      </c>
      <c r="C1552" s="31" t="s">
        <v>132</v>
      </c>
      <c r="D1552" s="31" t="s">
        <v>6776</v>
      </c>
      <c r="E1552" s="31" t="str">
        <f aca="false">IF(D1552="","",IFERROR(VLOOKUP(D1552,$A$2:$B$1656,2,FALSE()),""))</f>
        <v>Fate, Causation &amp; Cosmic Order</v>
      </c>
      <c r="F1552" s="31" t="n">
        <v>3</v>
      </c>
      <c r="G1552" s="31" t="s">
        <v>7326</v>
      </c>
      <c r="H1552" s="31" t="s">
        <v>7327</v>
      </c>
      <c r="I1552" s="31" t="s">
        <v>7328</v>
      </c>
      <c r="J1552" s="31" t="s">
        <v>7329</v>
      </c>
      <c r="K1552" s="31" t="s">
        <v>7330</v>
      </c>
      <c r="L1552" s="31" t="s">
        <v>5150</v>
      </c>
      <c r="M1552" s="31" t="s">
        <v>5176</v>
      </c>
    </row>
    <row r="1553" customFormat="false" ht="43.5" hidden="false" customHeight="true" outlineLevel="0" collapsed="false">
      <c r="A1553" s="30" t="s">
        <v>7331</v>
      </c>
      <c r="B1553" s="31" t="s">
        <v>7332</v>
      </c>
      <c r="C1553" s="31" t="s">
        <v>132</v>
      </c>
      <c r="D1553" s="31" t="s">
        <v>6776</v>
      </c>
      <c r="E1553" s="31" t="str">
        <f aca="false">IF(D1553="","",IFERROR(VLOOKUP(D1553,$A$2:$B$1656,2,FALSE()),""))</f>
        <v>Fate, Causation &amp; Cosmic Order</v>
      </c>
      <c r="F1553" s="31" t="n">
        <v>3</v>
      </c>
      <c r="G1553" s="31" t="s">
        <v>7333</v>
      </c>
      <c r="H1553" s="31" t="s">
        <v>7334</v>
      </c>
      <c r="I1553" s="31" t="s">
        <v>7335</v>
      </c>
      <c r="J1553" s="31" t="s">
        <v>7336</v>
      </c>
      <c r="K1553" s="31" t="s">
        <v>7337</v>
      </c>
      <c r="L1553" s="31" t="s">
        <v>5150</v>
      </c>
      <c r="M1553" s="31" t="s">
        <v>5176</v>
      </c>
    </row>
    <row r="1554" customFormat="false" ht="43.5" hidden="false" customHeight="true" outlineLevel="0" collapsed="false">
      <c r="A1554" s="30" t="s">
        <v>7338</v>
      </c>
      <c r="B1554" s="31" t="s">
        <v>7339</v>
      </c>
      <c r="C1554" s="31" t="s">
        <v>132</v>
      </c>
      <c r="D1554" s="31" t="s">
        <v>6776</v>
      </c>
      <c r="E1554" s="31" t="str">
        <f aca="false">IF(D1554="","",IFERROR(VLOOKUP(D1554,$A$2:$B$1656,2,FALSE()),""))</f>
        <v>Fate, Causation &amp; Cosmic Order</v>
      </c>
      <c r="F1554" s="31" t="n">
        <v>3</v>
      </c>
      <c r="G1554" s="31" t="s">
        <v>7340</v>
      </c>
      <c r="H1554" s="31" t="s">
        <v>7341</v>
      </c>
      <c r="I1554" s="31" t="s">
        <v>7342</v>
      </c>
      <c r="J1554" s="31" t="s">
        <v>7343</v>
      </c>
      <c r="K1554" s="31" t="s">
        <v>7344</v>
      </c>
      <c r="L1554" s="31" t="s">
        <v>5150</v>
      </c>
      <c r="M1554" s="31" t="s">
        <v>5176</v>
      </c>
    </row>
    <row r="1555" customFormat="false" ht="43.5" hidden="false" customHeight="true" outlineLevel="0" collapsed="false">
      <c r="A1555" s="30" t="s">
        <v>7345</v>
      </c>
      <c r="B1555" s="31" t="s">
        <v>7346</v>
      </c>
      <c r="C1555" s="31" t="s">
        <v>132</v>
      </c>
      <c r="D1555" s="31" t="s">
        <v>6776</v>
      </c>
      <c r="E1555" s="31" t="str">
        <f aca="false">IF(D1555="","",IFERROR(VLOOKUP(D1555,$A$2:$B$1656,2,FALSE()),""))</f>
        <v>Fate, Causation &amp; Cosmic Order</v>
      </c>
      <c r="F1555" s="31" t="n">
        <v>3</v>
      </c>
      <c r="G1555" s="31" t="s">
        <v>7347</v>
      </c>
      <c r="H1555" s="31" t="s">
        <v>7348</v>
      </c>
      <c r="I1555" s="31" t="s">
        <v>7349</v>
      </c>
      <c r="J1555" s="31" t="s">
        <v>7350</v>
      </c>
      <c r="K1555" s="31" t="s">
        <v>7351</v>
      </c>
      <c r="L1555" s="31" t="s">
        <v>5150</v>
      </c>
      <c r="M1555" s="31" t="s">
        <v>5176</v>
      </c>
    </row>
    <row r="1556" customFormat="false" ht="43.5" hidden="false" customHeight="true" outlineLevel="0" collapsed="false">
      <c r="A1556" s="30" t="s">
        <v>7352</v>
      </c>
      <c r="B1556" s="31" t="s">
        <v>7353</v>
      </c>
      <c r="C1556" s="31" t="s">
        <v>132</v>
      </c>
      <c r="D1556" s="31" t="s">
        <v>6776</v>
      </c>
      <c r="E1556" s="31" t="str">
        <f aca="false">IF(D1556="","",IFERROR(VLOOKUP(D1556,$A$2:$B$1656,2,FALSE()),""))</f>
        <v>Fate, Causation &amp; Cosmic Order</v>
      </c>
      <c r="F1556" s="31" t="n">
        <v>3</v>
      </c>
      <c r="G1556" s="31" t="s">
        <v>7354</v>
      </c>
      <c r="H1556" s="31" t="s">
        <v>7355</v>
      </c>
      <c r="I1556" s="31" t="s">
        <v>7356</v>
      </c>
      <c r="J1556" s="31" t="s">
        <v>7357</v>
      </c>
      <c r="K1556" s="31" t="s">
        <v>7358</v>
      </c>
      <c r="L1556" s="31" t="s">
        <v>5150</v>
      </c>
      <c r="M1556" s="31" t="s">
        <v>5176</v>
      </c>
    </row>
    <row r="1557" customFormat="false" ht="43.5" hidden="false" customHeight="true" outlineLevel="0" collapsed="false">
      <c r="A1557" s="30" t="s">
        <v>7359</v>
      </c>
      <c r="B1557" s="31" t="s">
        <v>7360</v>
      </c>
      <c r="C1557" s="31" t="s">
        <v>132</v>
      </c>
      <c r="D1557" s="31" t="s">
        <v>6776</v>
      </c>
      <c r="E1557" s="31" t="str">
        <f aca="false">IF(D1557="","",IFERROR(VLOOKUP(D1557,$A$2:$B$1656,2,FALSE()),""))</f>
        <v>Fate, Causation &amp; Cosmic Order</v>
      </c>
      <c r="F1557" s="31" t="n">
        <v>3</v>
      </c>
      <c r="G1557" s="31" t="s">
        <v>7361</v>
      </c>
      <c r="H1557" s="31" t="s">
        <v>7362</v>
      </c>
      <c r="I1557" s="31" t="s">
        <v>7363</v>
      </c>
      <c r="J1557" s="31" t="s">
        <v>7364</v>
      </c>
      <c r="K1557" s="31" t="s">
        <v>7365</v>
      </c>
      <c r="L1557" s="31" t="s">
        <v>5150</v>
      </c>
      <c r="M1557" s="31" t="s">
        <v>5176</v>
      </c>
    </row>
    <row r="1558" customFormat="false" ht="43.5" hidden="false" customHeight="true" outlineLevel="0" collapsed="false">
      <c r="A1558" s="30" t="s">
        <v>7366</v>
      </c>
      <c r="B1558" s="31" t="s">
        <v>7367</v>
      </c>
      <c r="C1558" s="31" t="s">
        <v>132</v>
      </c>
      <c r="D1558" s="31" t="s">
        <v>6776</v>
      </c>
      <c r="E1558" s="31" t="str">
        <f aca="false">IF(D1558="","",IFERROR(VLOOKUP(D1558,$A$2:$B$1656,2,FALSE()),""))</f>
        <v>Fate, Causation &amp; Cosmic Order</v>
      </c>
      <c r="F1558" s="31" t="n">
        <v>3</v>
      </c>
      <c r="G1558" s="31" t="s">
        <v>7368</v>
      </c>
      <c r="H1558" s="31" t="s">
        <v>7369</v>
      </c>
      <c r="I1558" s="31" t="s">
        <v>7370</v>
      </c>
      <c r="J1558" s="31" t="s">
        <v>7371</v>
      </c>
      <c r="K1558" s="31" t="s">
        <v>7372</v>
      </c>
      <c r="L1558" s="31" t="s">
        <v>5150</v>
      </c>
      <c r="M1558" s="31" t="s">
        <v>5176</v>
      </c>
    </row>
    <row r="1559" customFormat="false" ht="43.5" hidden="false" customHeight="true" outlineLevel="0" collapsed="false">
      <c r="A1559" s="30" t="s">
        <v>7373</v>
      </c>
      <c r="B1559" s="31" t="s">
        <v>7374</v>
      </c>
      <c r="C1559" s="31" t="s">
        <v>132</v>
      </c>
      <c r="D1559" s="31" t="s">
        <v>6776</v>
      </c>
      <c r="E1559" s="31" t="str">
        <f aca="false">IF(D1559="","",IFERROR(VLOOKUP(D1559,$A$2:$B$1656,2,FALSE()),""))</f>
        <v>Fate, Causation &amp; Cosmic Order</v>
      </c>
      <c r="F1559" s="31" t="n">
        <v>3</v>
      </c>
      <c r="G1559" s="31" t="s">
        <v>7375</v>
      </c>
      <c r="H1559" s="31" t="s">
        <v>7376</v>
      </c>
      <c r="I1559" s="31" t="s">
        <v>7377</v>
      </c>
      <c r="J1559" s="31" t="s">
        <v>7378</v>
      </c>
      <c r="K1559" s="31" t="s">
        <v>7379</v>
      </c>
      <c r="L1559" s="31" t="s">
        <v>5150</v>
      </c>
      <c r="M1559" s="31" t="s">
        <v>5176</v>
      </c>
    </row>
    <row r="1560" customFormat="false" ht="43.5" hidden="false" customHeight="true" outlineLevel="0" collapsed="false">
      <c r="A1560" s="30" t="s">
        <v>7380</v>
      </c>
      <c r="B1560" s="31" t="s">
        <v>7381</v>
      </c>
      <c r="C1560" s="31" t="s">
        <v>132</v>
      </c>
      <c r="D1560" s="31" t="s">
        <v>6776</v>
      </c>
      <c r="E1560" s="31" t="str">
        <f aca="false">IF(D1560="","",IFERROR(VLOOKUP(D1560,$A$2:$B$1656,2,FALSE()),""))</f>
        <v>Fate, Causation &amp; Cosmic Order</v>
      </c>
      <c r="F1560" s="31" t="n">
        <v>3</v>
      </c>
      <c r="G1560" s="31" t="s">
        <v>7382</v>
      </c>
      <c r="H1560" s="31" t="s">
        <v>7383</v>
      </c>
      <c r="I1560" s="31" t="s">
        <v>7384</v>
      </c>
      <c r="J1560" s="31" t="s">
        <v>7385</v>
      </c>
      <c r="K1560" s="31" t="s">
        <v>7386</v>
      </c>
      <c r="L1560" s="31" t="s">
        <v>5150</v>
      </c>
      <c r="M1560" s="31" t="s">
        <v>5176</v>
      </c>
    </row>
    <row r="1561" customFormat="false" ht="43.5" hidden="false" customHeight="true" outlineLevel="0" collapsed="false">
      <c r="A1561" s="30" t="s">
        <v>7387</v>
      </c>
      <c r="B1561" s="31" t="s">
        <v>7388</v>
      </c>
      <c r="C1561" s="31" t="s">
        <v>132</v>
      </c>
      <c r="D1561" s="31" t="s">
        <v>6776</v>
      </c>
      <c r="E1561" s="31" t="str">
        <f aca="false">IF(D1561="","",IFERROR(VLOOKUP(D1561,$A$2:$B$1656,2,FALSE()),""))</f>
        <v>Fate, Causation &amp; Cosmic Order</v>
      </c>
      <c r="F1561" s="31" t="n">
        <v>3</v>
      </c>
      <c r="G1561" s="31" t="s">
        <v>7389</v>
      </c>
      <c r="H1561" s="31" t="s">
        <v>7390</v>
      </c>
      <c r="I1561" s="31" t="s">
        <v>7391</v>
      </c>
      <c r="J1561" s="31" t="s">
        <v>7392</v>
      </c>
      <c r="K1561" s="31" t="s">
        <v>7393</v>
      </c>
      <c r="L1561" s="31" t="s">
        <v>5150</v>
      </c>
      <c r="M1561" s="31" t="s">
        <v>5176</v>
      </c>
    </row>
    <row r="1562" customFormat="false" ht="43.5" hidden="false" customHeight="true" outlineLevel="0" collapsed="false">
      <c r="A1562" s="30" t="s">
        <v>7394</v>
      </c>
      <c r="B1562" s="31" t="s">
        <v>7395</v>
      </c>
      <c r="C1562" s="31" t="s">
        <v>132</v>
      </c>
      <c r="D1562" s="31" t="s">
        <v>6779</v>
      </c>
      <c r="E1562" s="31" t="str">
        <f aca="false">IF(D1562="","",IFERROR(VLOOKUP(D1562,$A$2:$B$1656,2,FALSE()),""))</f>
        <v>Names, Words, Symbols &amp; Recognition</v>
      </c>
      <c r="F1562" s="31" t="n">
        <v>3</v>
      </c>
      <c r="G1562" s="31" t="s">
        <v>7396</v>
      </c>
      <c r="H1562" s="31" t="s">
        <v>7397</v>
      </c>
      <c r="I1562" s="31" t="s">
        <v>7398</v>
      </c>
      <c r="J1562" s="31" t="s">
        <v>7399</v>
      </c>
      <c r="K1562" s="31" t="s">
        <v>7400</v>
      </c>
      <c r="L1562" s="31" t="s">
        <v>5150</v>
      </c>
      <c r="M1562" s="31" t="s">
        <v>5176</v>
      </c>
    </row>
    <row r="1563" customFormat="false" ht="43.5" hidden="false" customHeight="true" outlineLevel="0" collapsed="false">
      <c r="A1563" s="30" t="s">
        <v>7401</v>
      </c>
      <c r="B1563" s="31" t="s">
        <v>7402</v>
      </c>
      <c r="C1563" s="31" t="s">
        <v>132</v>
      </c>
      <c r="D1563" s="31" t="s">
        <v>6779</v>
      </c>
      <c r="E1563" s="31" t="str">
        <f aca="false">IF(D1563="","",IFERROR(VLOOKUP(D1563,$A$2:$B$1656,2,FALSE()),""))</f>
        <v>Names, Words, Symbols &amp; Recognition</v>
      </c>
      <c r="F1563" s="31" t="n">
        <v>3</v>
      </c>
      <c r="G1563" s="31" t="s">
        <v>7403</v>
      </c>
      <c r="H1563" s="31" t="s">
        <v>7404</v>
      </c>
      <c r="I1563" s="31" t="s">
        <v>7405</v>
      </c>
      <c r="J1563" s="31" t="s">
        <v>7406</v>
      </c>
      <c r="K1563" s="31" t="s">
        <v>7407</v>
      </c>
      <c r="L1563" s="31" t="s">
        <v>5150</v>
      </c>
      <c r="M1563" s="31" t="s">
        <v>5176</v>
      </c>
    </row>
    <row r="1564" customFormat="false" ht="43.5" hidden="false" customHeight="true" outlineLevel="0" collapsed="false">
      <c r="A1564" s="30" t="s">
        <v>7408</v>
      </c>
      <c r="B1564" s="31" t="s">
        <v>7409</v>
      </c>
      <c r="C1564" s="31" t="s">
        <v>132</v>
      </c>
      <c r="D1564" s="31" t="s">
        <v>6779</v>
      </c>
      <c r="E1564" s="31" t="str">
        <f aca="false">IF(D1564="","",IFERROR(VLOOKUP(D1564,$A$2:$B$1656,2,FALSE()),""))</f>
        <v>Names, Words, Symbols &amp; Recognition</v>
      </c>
      <c r="F1564" s="31" t="n">
        <v>3</v>
      </c>
      <c r="G1564" s="31" t="s">
        <v>7410</v>
      </c>
      <c r="H1564" s="31" t="s">
        <v>7411</v>
      </c>
      <c r="I1564" s="31" t="s">
        <v>7412</v>
      </c>
      <c r="J1564" s="31" t="s">
        <v>7413</v>
      </c>
      <c r="K1564" s="31" t="s">
        <v>7414</v>
      </c>
      <c r="L1564" s="31" t="s">
        <v>5150</v>
      </c>
      <c r="M1564" s="31" t="s">
        <v>5176</v>
      </c>
    </row>
    <row r="1565" customFormat="false" ht="43.5" hidden="false" customHeight="true" outlineLevel="0" collapsed="false">
      <c r="A1565" s="30" t="s">
        <v>7415</v>
      </c>
      <c r="B1565" s="31" t="s">
        <v>7416</v>
      </c>
      <c r="C1565" s="31" t="s">
        <v>132</v>
      </c>
      <c r="D1565" s="31" t="s">
        <v>6779</v>
      </c>
      <c r="E1565" s="31" t="str">
        <f aca="false">IF(D1565="","",IFERROR(VLOOKUP(D1565,$A$2:$B$1656,2,FALSE()),""))</f>
        <v>Names, Words, Symbols &amp; Recognition</v>
      </c>
      <c r="F1565" s="31" t="n">
        <v>3</v>
      </c>
      <c r="G1565" s="31" t="s">
        <v>7417</v>
      </c>
      <c r="H1565" s="31" t="s">
        <v>7418</v>
      </c>
      <c r="I1565" s="31" t="s">
        <v>7419</v>
      </c>
      <c r="J1565" s="31" t="s">
        <v>7420</v>
      </c>
      <c r="K1565" s="31" t="s">
        <v>7421</v>
      </c>
      <c r="L1565" s="31" t="s">
        <v>7422</v>
      </c>
      <c r="M1565" s="31" t="s">
        <v>5176</v>
      </c>
    </row>
    <row r="1566" customFormat="false" ht="43.5" hidden="false" customHeight="true" outlineLevel="0" collapsed="false">
      <c r="A1566" s="30" t="s">
        <v>7423</v>
      </c>
      <c r="B1566" s="31" t="s">
        <v>7424</v>
      </c>
      <c r="C1566" s="31" t="s">
        <v>132</v>
      </c>
      <c r="D1566" s="31" t="s">
        <v>6779</v>
      </c>
      <c r="E1566" s="31" t="str">
        <f aca="false">IF(D1566="","",IFERROR(VLOOKUP(D1566,$A$2:$B$1656,2,FALSE()),""))</f>
        <v>Names, Words, Symbols &amp; Recognition</v>
      </c>
      <c r="F1566" s="31" t="n">
        <v>3</v>
      </c>
      <c r="G1566" s="31" t="s">
        <v>7425</v>
      </c>
      <c r="H1566" s="31" t="s">
        <v>7426</v>
      </c>
      <c r="I1566" s="31" t="s">
        <v>7427</v>
      </c>
      <c r="J1566" s="31" t="s">
        <v>7428</v>
      </c>
      <c r="K1566" s="31" t="s">
        <v>7429</v>
      </c>
      <c r="L1566" s="31" t="s">
        <v>5150</v>
      </c>
      <c r="M1566" s="31" t="s">
        <v>5176</v>
      </c>
    </row>
    <row r="1567" customFormat="false" ht="43.5" hidden="false" customHeight="true" outlineLevel="0" collapsed="false">
      <c r="A1567" s="30" t="s">
        <v>7430</v>
      </c>
      <c r="B1567" s="31" t="s">
        <v>7431</v>
      </c>
      <c r="C1567" s="31" t="s">
        <v>132</v>
      </c>
      <c r="D1567" s="31" t="s">
        <v>6779</v>
      </c>
      <c r="E1567" s="31" t="str">
        <f aca="false">IF(D1567="","",IFERROR(VLOOKUP(D1567,$A$2:$B$1656,2,FALSE()),""))</f>
        <v>Names, Words, Symbols &amp; Recognition</v>
      </c>
      <c r="F1567" s="31" t="n">
        <v>3</v>
      </c>
      <c r="G1567" s="31" t="s">
        <v>7432</v>
      </c>
      <c r="H1567" s="31" t="s">
        <v>7433</v>
      </c>
      <c r="I1567" s="31" t="s">
        <v>7434</v>
      </c>
      <c r="J1567" s="31" t="s">
        <v>7435</v>
      </c>
      <c r="K1567" s="31" t="s">
        <v>7436</v>
      </c>
      <c r="L1567" s="31" t="s">
        <v>5150</v>
      </c>
      <c r="M1567" s="31" t="s">
        <v>5176</v>
      </c>
    </row>
    <row r="1568" customFormat="false" ht="43.5" hidden="false" customHeight="true" outlineLevel="0" collapsed="false">
      <c r="A1568" s="30" t="s">
        <v>7437</v>
      </c>
      <c r="B1568" s="31" t="s">
        <v>7438</v>
      </c>
      <c r="C1568" s="31" t="s">
        <v>132</v>
      </c>
      <c r="D1568" s="31" t="s">
        <v>6779</v>
      </c>
      <c r="E1568" s="31" t="str">
        <f aca="false">IF(D1568="","",IFERROR(VLOOKUP(D1568,$A$2:$B$1656,2,FALSE()),""))</f>
        <v>Names, Words, Symbols &amp; Recognition</v>
      </c>
      <c r="F1568" s="31" t="n">
        <v>3</v>
      </c>
      <c r="G1568" s="31" t="s">
        <v>7439</v>
      </c>
      <c r="H1568" s="31" t="s">
        <v>7440</v>
      </c>
      <c r="I1568" s="31" t="s">
        <v>7441</v>
      </c>
      <c r="J1568" s="31" t="s">
        <v>7442</v>
      </c>
      <c r="K1568" s="31" t="s">
        <v>7443</v>
      </c>
      <c r="L1568" s="31" t="s">
        <v>5150</v>
      </c>
      <c r="M1568" s="31" t="s">
        <v>5176</v>
      </c>
    </row>
    <row r="1569" customFormat="false" ht="43.5" hidden="false" customHeight="true" outlineLevel="0" collapsed="false">
      <c r="A1569" s="30" t="s">
        <v>7444</v>
      </c>
      <c r="B1569" s="31" t="s">
        <v>7445</v>
      </c>
      <c r="C1569" s="31" t="s">
        <v>132</v>
      </c>
      <c r="D1569" s="31" t="s">
        <v>6779</v>
      </c>
      <c r="E1569" s="31" t="str">
        <f aca="false">IF(D1569="","",IFERROR(VLOOKUP(D1569,$A$2:$B$1656,2,FALSE()),""))</f>
        <v>Names, Words, Symbols &amp; Recognition</v>
      </c>
      <c r="F1569" s="31" t="n">
        <v>3</v>
      </c>
      <c r="G1569" s="31" t="s">
        <v>7446</v>
      </c>
      <c r="H1569" s="31" t="s">
        <v>7447</v>
      </c>
      <c r="I1569" s="31" t="s">
        <v>7448</v>
      </c>
      <c r="J1569" s="31" t="s">
        <v>7449</v>
      </c>
      <c r="K1569" s="31" t="s">
        <v>7450</v>
      </c>
      <c r="L1569" s="31" t="s">
        <v>5150</v>
      </c>
      <c r="M1569" s="31" t="s">
        <v>5176</v>
      </c>
    </row>
    <row r="1570" customFormat="false" ht="43.5" hidden="false" customHeight="true" outlineLevel="0" collapsed="false">
      <c r="A1570" s="30" t="s">
        <v>7451</v>
      </c>
      <c r="B1570" s="31" t="s">
        <v>7452</v>
      </c>
      <c r="C1570" s="31" t="s">
        <v>132</v>
      </c>
      <c r="D1570" s="31" t="s">
        <v>6779</v>
      </c>
      <c r="E1570" s="31" t="str">
        <f aca="false">IF(D1570="","",IFERROR(VLOOKUP(D1570,$A$2:$B$1656,2,FALSE()),""))</f>
        <v>Names, Words, Symbols &amp; Recognition</v>
      </c>
      <c r="F1570" s="31" t="n">
        <v>3</v>
      </c>
      <c r="G1570" s="31" t="s">
        <v>7453</v>
      </c>
      <c r="H1570" s="31" t="s">
        <v>7454</v>
      </c>
      <c r="I1570" s="31" t="s">
        <v>7455</v>
      </c>
      <c r="J1570" s="31" t="s">
        <v>7456</v>
      </c>
      <c r="K1570" s="31" t="s">
        <v>7457</v>
      </c>
      <c r="L1570" s="31" t="s">
        <v>5150</v>
      </c>
      <c r="M1570" s="31" t="s">
        <v>5176</v>
      </c>
    </row>
    <row r="1571" customFormat="false" ht="43.5" hidden="false" customHeight="true" outlineLevel="0" collapsed="false">
      <c r="A1571" s="30" t="s">
        <v>7458</v>
      </c>
      <c r="B1571" s="31" t="s">
        <v>7459</v>
      </c>
      <c r="C1571" s="31" t="s">
        <v>132</v>
      </c>
      <c r="D1571" s="31" t="s">
        <v>6779</v>
      </c>
      <c r="E1571" s="31" t="str">
        <f aca="false">IF(D1571="","",IFERROR(VLOOKUP(D1571,$A$2:$B$1656,2,FALSE()),""))</f>
        <v>Names, Words, Symbols &amp; Recognition</v>
      </c>
      <c r="F1571" s="31" t="n">
        <v>3</v>
      </c>
      <c r="G1571" s="31" t="s">
        <v>7460</v>
      </c>
      <c r="H1571" s="31" t="s">
        <v>7461</v>
      </c>
      <c r="I1571" s="31" t="s">
        <v>7462</v>
      </c>
      <c r="J1571" s="31" t="s">
        <v>7463</v>
      </c>
      <c r="K1571" s="31" t="s">
        <v>7464</v>
      </c>
      <c r="L1571" s="31" t="s">
        <v>5150</v>
      </c>
      <c r="M1571" s="31" t="s">
        <v>5176</v>
      </c>
    </row>
    <row r="1572" customFormat="false" ht="43.5" hidden="false" customHeight="true" outlineLevel="0" collapsed="false">
      <c r="A1572" s="30" t="s">
        <v>7465</v>
      </c>
      <c r="B1572" s="31" t="s">
        <v>7466</v>
      </c>
      <c r="C1572" s="31" t="s">
        <v>132</v>
      </c>
      <c r="D1572" s="31" t="s">
        <v>6779</v>
      </c>
      <c r="E1572" s="31" t="str">
        <f aca="false">IF(D1572="","",IFERROR(VLOOKUP(D1572,$A$2:$B$1656,2,FALSE()),""))</f>
        <v>Names, Words, Symbols &amp; Recognition</v>
      </c>
      <c r="F1572" s="31" t="n">
        <v>3</v>
      </c>
      <c r="G1572" s="31" t="s">
        <v>7467</v>
      </c>
      <c r="H1572" s="31" t="s">
        <v>7468</v>
      </c>
      <c r="I1572" s="31" t="s">
        <v>7469</v>
      </c>
      <c r="J1572" s="31" t="s">
        <v>7470</v>
      </c>
      <c r="K1572" s="31" t="s">
        <v>7471</v>
      </c>
      <c r="L1572" s="31" t="s">
        <v>5150</v>
      </c>
      <c r="M1572" s="31" t="s">
        <v>5176</v>
      </c>
    </row>
    <row r="1573" customFormat="false" ht="43.5" hidden="false" customHeight="true" outlineLevel="0" collapsed="false">
      <c r="A1573" s="30" t="s">
        <v>7472</v>
      </c>
      <c r="B1573" s="31" t="s">
        <v>7473</v>
      </c>
      <c r="C1573" s="31" t="s">
        <v>132</v>
      </c>
      <c r="D1573" s="31" t="s">
        <v>6779</v>
      </c>
      <c r="E1573" s="31" t="str">
        <f aca="false">IF(D1573="","",IFERROR(VLOOKUP(D1573,$A$2:$B$1656,2,FALSE()),""))</f>
        <v>Names, Words, Symbols &amp; Recognition</v>
      </c>
      <c r="F1573" s="31" t="n">
        <v>3</v>
      </c>
      <c r="G1573" s="31" t="s">
        <v>7474</v>
      </c>
      <c r="H1573" s="31" t="s">
        <v>7475</v>
      </c>
      <c r="I1573" s="31" t="s">
        <v>7476</v>
      </c>
      <c r="J1573" s="31" t="s">
        <v>7477</v>
      </c>
      <c r="K1573" s="31" t="s">
        <v>7478</v>
      </c>
      <c r="L1573" s="31" t="s">
        <v>5150</v>
      </c>
      <c r="M1573" s="31" t="s">
        <v>5176</v>
      </c>
    </row>
    <row r="1574" customFormat="false" ht="43.5" hidden="false" customHeight="true" outlineLevel="0" collapsed="false">
      <c r="A1574" s="30" t="s">
        <v>7479</v>
      </c>
      <c r="B1574" s="31" t="s">
        <v>7480</v>
      </c>
      <c r="C1574" s="31" t="s">
        <v>132</v>
      </c>
      <c r="D1574" s="31" t="s">
        <v>6779</v>
      </c>
      <c r="E1574" s="31" t="str">
        <f aca="false">IF(D1574="","",IFERROR(VLOOKUP(D1574,$A$2:$B$1656,2,FALSE()),""))</f>
        <v>Names, Words, Symbols &amp; Recognition</v>
      </c>
      <c r="F1574" s="31" t="n">
        <v>3</v>
      </c>
      <c r="G1574" s="31" t="s">
        <v>7481</v>
      </c>
      <c r="H1574" s="31" t="s">
        <v>7482</v>
      </c>
      <c r="I1574" s="31" t="s">
        <v>7483</v>
      </c>
      <c r="J1574" s="31" t="s">
        <v>7484</v>
      </c>
      <c r="K1574" s="31" t="s">
        <v>7485</v>
      </c>
      <c r="L1574" s="31" t="s">
        <v>5150</v>
      </c>
      <c r="M1574" s="31" t="s">
        <v>5176</v>
      </c>
    </row>
    <row r="1575" customFormat="false" ht="43.5" hidden="false" customHeight="true" outlineLevel="0" collapsed="false">
      <c r="A1575" s="30" t="s">
        <v>7486</v>
      </c>
      <c r="B1575" s="31" t="s">
        <v>7487</v>
      </c>
      <c r="C1575" s="31" t="s">
        <v>132</v>
      </c>
      <c r="D1575" s="31" t="s">
        <v>6779</v>
      </c>
      <c r="E1575" s="31" t="str">
        <f aca="false">IF(D1575="","",IFERROR(VLOOKUP(D1575,$A$2:$B$1656,2,FALSE()),""))</f>
        <v>Names, Words, Symbols &amp; Recognition</v>
      </c>
      <c r="F1575" s="31" t="n">
        <v>3</v>
      </c>
      <c r="G1575" s="31" t="s">
        <v>7488</v>
      </c>
      <c r="H1575" s="31" t="s">
        <v>7489</v>
      </c>
      <c r="I1575" s="31" t="s">
        <v>7490</v>
      </c>
      <c r="J1575" s="31" t="s">
        <v>7491</v>
      </c>
      <c r="K1575" s="31" t="s">
        <v>7492</v>
      </c>
      <c r="L1575" s="31" t="s">
        <v>5150</v>
      </c>
      <c r="M1575" s="31" t="s">
        <v>5176</v>
      </c>
    </row>
    <row r="1576" customFormat="false" ht="43.5" hidden="false" customHeight="true" outlineLevel="0" collapsed="false">
      <c r="A1576" s="30" t="s">
        <v>7493</v>
      </c>
      <c r="B1576" s="31" t="s">
        <v>7494</v>
      </c>
      <c r="C1576" s="31" t="s">
        <v>132</v>
      </c>
      <c r="D1576" s="31" t="s">
        <v>6779</v>
      </c>
      <c r="E1576" s="31" t="str">
        <f aca="false">IF(D1576="","",IFERROR(VLOOKUP(D1576,$A$2:$B$1656,2,FALSE()),""))</f>
        <v>Names, Words, Symbols &amp; Recognition</v>
      </c>
      <c r="F1576" s="31" t="n">
        <v>3</v>
      </c>
      <c r="G1576" s="31" t="s">
        <v>7495</v>
      </c>
      <c r="H1576" s="31" t="s">
        <v>7496</v>
      </c>
      <c r="I1576" s="31" t="s">
        <v>7497</v>
      </c>
      <c r="J1576" s="31" t="s">
        <v>7498</v>
      </c>
      <c r="K1576" s="31" t="s">
        <v>7499</v>
      </c>
      <c r="L1576" s="31" t="s">
        <v>5150</v>
      </c>
      <c r="M1576" s="31" t="s">
        <v>5176</v>
      </c>
    </row>
    <row r="1577" customFormat="false" ht="43.5" hidden="false" customHeight="true" outlineLevel="0" collapsed="false">
      <c r="A1577" s="30" t="s">
        <v>7500</v>
      </c>
      <c r="B1577" s="31" t="s">
        <v>7501</v>
      </c>
      <c r="C1577" s="31" t="s">
        <v>132</v>
      </c>
      <c r="D1577" s="31" t="s">
        <v>6779</v>
      </c>
      <c r="E1577" s="31" t="str">
        <f aca="false">IF(D1577="","",IFERROR(VLOOKUP(D1577,$A$2:$B$1656,2,FALSE()),""))</f>
        <v>Names, Words, Symbols &amp; Recognition</v>
      </c>
      <c r="F1577" s="31" t="n">
        <v>3</v>
      </c>
      <c r="G1577" s="31" t="s">
        <v>7502</v>
      </c>
      <c r="H1577" s="31" t="s">
        <v>7503</v>
      </c>
      <c r="I1577" s="31" t="s">
        <v>7504</v>
      </c>
      <c r="J1577" s="31" t="s">
        <v>7505</v>
      </c>
      <c r="K1577" s="31" t="s">
        <v>7506</v>
      </c>
      <c r="L1577" s="31" t="s">
        <v>5150</v>
      </c>
      <c r="M1577" s="31" t="s">
        <v>5176</v>
      </c>
    </row>
    <row r="1578" customFormat="false" ht="43.5" hidden="false" customHeight="true" outlineLevel="0" collapsed="false">
      <c r="A1578" s="30" t="s">
        <v>7507</v>
      </c>
      <c r="B1578" s="31" t="s">
        <v>7508</v>
      </c>
      <c r="C1578" s="31" t="s">
        <v>132</v>
      </c>
      <c r="D1578" s="31" t="s">
        <v>6782</v>
      </c>
      <c r="E1578" s="31" t="str">
        <f aca="false">IF(D1578="","",IFERROR(VLOOKUP(D1578,$A$2:$B$1656,2,FALSE()),""))</f>
        <v>Death, Rebirth &amp; Immortality Rules</v>
      </c>
      <c r="F1578" s="31" t="n">
        <v>3</v>
      </c>
      <c r="G1578" s="31" t="s">
        <v>7509</v>
      </c>
      <c r="H1578" s="31" t="s">
        <v>7510</v>
      </c>
      <c r="I1578" s="31" t="s">
        <v>7511</v>
      </c>
      <c r="J1578" s="31" t="s">
        <v>7512</v>
      </c>
      <c r="K1578" s="31" t="s">
        <v>7513</v>
      </c>
      <c r="L1578" s="31" t="s">
        <v>5150</v>
      </c>
      <c r="M1578" s="31" t="s">
        <v>5176</v>
      </c>
    </row>
    <row r="1579" customFormat="false" ht="43.5" hidden="false" customHeight="true" outlineLevel="0" collapsed="false">
      <c r="A1579" s="30" t="s">
        <v>7514</v>
      </c>
      <c r="B1579" s="31" t="s">
        <v>7515</v>
      </c>
      <c r="C1579" s="31" t="s">
        <v>132</v>
      </c>
      <c r="D1579" s="31" t="s">
        <v>6782</v>
      </c>
      <c r="E1579" s="31" t="str">
        <f aca="false">IF(D1579="","",IFERROR(VLOOKUP(D1579,$A$2:$B$1656,2,FALSE()),""))</f>
        <v>Death, Rebirth &amp; Immortality Rules</v>
      </c>
      <c r="F1579" s="31" t="n">
        <v>3</v>
      </c>
      <c r="G1579" s="31" t="s">
        <v>7516</v>
      </c>
      <c r="H1579" s="31" t="s">
        <v>7517</v>
      </c>
      <c r="I1579" s="31" t="s">
        <v>7518</v>
      </c>
      <c r="J1579" s="31" t="s">
        <v>7519</v>
      </c>
      <c r="K1579" s="31" t="s">
        <v>7520</v>
      </c>
      <c r="L1579" s="31" t="s">
        <v>5150</v>
      </c>
      <c r="M1579" s="31" t="s">
        <v>5176</v>
      </c>
    </row>
    <row r="1580" customFormat="false" ht="43.5" hidden="false" customHeight="true" outlineLevel="0" collapsed="false">
      <c r="A1580" s="30" t="s">
        <v>7521</v>
      </c>
      <c r="B1580" s="31" t="s">
        <v>7522</v>
      </c>
      <c r="C1580" s="31" t="s">
        <v>132</v>
      </c>
      <c r="D1580" s="31" t="s">
        <v>6782</v>
      </c>
      <c r="E1580" s="31" t="str">
        <f aca="false">IF(D1580="","",IFERROR(VLOOKUP(D1580,$A$2:$B$1656,2,FALSE()),""))</f>
        <v>Death, Rebirth &amp; Immortality Rules</v>
      </c>
      <c r="F1580" s="31" t="n">
        <v>3</v>
      </c>
      <c r="G1580" s="31" t="s">
        <v>7523</v>
      </c>
      <c r="H1580" s="31" t="s">
        <v>7524</v>
      </c>
      <c r="I1580" s="31" t="s">
        <v>7525</v>
      </c>
      <c r="J1580" s="31" t="s">
        <v>7526</v>
      </c>
      <c r="K1580" s="31" t="s">
        <v>7527</v>
      </c>
      <c r="L1580" s="31" t="s">
        <v>5150</v>
      </c>
      <c r="M1580" s="31" t="s">
        <v>5176</v>
      </c>
    </row>
    <row r="1581" customFormat="false" ht="43.5" hidden="false" customHeight="true" outlineLevel="0" collapsed="false">
      <c r="A1581" s="30" t="s">
        <v>7528</v>
      </c>
      <c r="B1581" s="31" t="s">
        <v>7529</v>
      </c>
      <c r="C1581" s="31" t="s">
        <v>132</v>
      </c>
      <c r="D1581" s="31" t="s">
        <v>6782</v>
      </c>
      <c r="E1581" s="31" t="str">
        <f aca="false">IF(D1581="","",IFERROR(VLOOKUP(D1581,$A$2:$B$1656,2,FALSE()),""))</f>
        <v>Death, Rebirth &amp; Immortality Rules</v>
      </c>
      <c r="F1581" s="31" t="n">
        <v>3</v>
      </c>
      <c r="G1581" s="31" t="s">
        <v>7530</v>
      </c>
      <c r="H1581" s="31" t="s">
        <v>7531</v>
      </c>
      <c r="I1581" s="31" t="s">
        <v>7532</v>
      </c>
      <c r="J1581" s="31" t="s">
        <v>7533</v>
      </c>
      <c r="K1581" s="31" t="s">
        <v>7534</v>
      </c>
      <c r="L1581" s="31" t="s">
        <v>5150</v>
      </c>
      <c r="M1581" s="31" t="s">
        <v>5176</v>
      </c>
    </row>
    <row r="1582" customFormat="false" ht="43.5" hidden="false" customHeight="true" outlineLevel="0" collapsed="false">
      <c r="A1582" s="30" t="s">
        <v>7535</v>
      </c>
      <c r="B1582" s="31" t="s">
        <v>7536</v>
      </c>
      <c r="C1582" s="31" t="s">
        <v>132</v>
      </c>
      <c r="D1582" s="31" t="s">
        <v>6782</v>
      </c>
      <c r="E1582" s="31" t="str">
        <f aca="false">IF(D1582="","",IFERROR(VLOOKUP(D1582,$A$2:$B$1656,2,FALSE()),""))</f>
        <v>Death, Rebirth &amp; Immortality Rules</v>
      </c>
      <c r="F1582" s="31" t="n">
        <v>3</v>
      </c>
      <c r="G1582" s="31" t="s">
        <v>7537</v>
      </c>
      <c r="H1582" s="31" t="s">
        <v>7538</v>
      </c>
      <c r="I1582" s="31" t="s">
        <v>7539</v>
      </c>
      <c r="J1582" s="31" t="s">
        <v>7540</v>
      </c>
      <c r="K1582" s="31" t="s">
        <v>7541</v>
      </c>
      <c r="L1582" s="31" t="s">
        <v>5150</v>
      </c>
      <c r="M1582" s="31" t="s">
        <v>5176</v>
      </c>
    </row>
    <row r="1583" customFormat="false" ht="43.5" hidden="false" customHeight="true" outlineLevel="0" collapsed="false">
      <c r="A1583" s="30" t="s">
        <v>7542</v>
      </c>
      <c r="B1583" s="31" t="s">
        <v>7543</v>
      </c>
      <c r="C1583" s="31" t="s">
        <v>132</v>
      </c>
      <c r="D1583" s="31" t="s">
        <v>6782</v>
      </c>
      <c r="E1583" s="31" t="str">
        <f aca="false">IF(D1583="","",IFERROR(VLOOKUP(D1583,$A$2:$B$1656,2,FALSE()),""))</f>
        <v>Death, Rebirth &amp; Immortality Rules</v>
      </c>
      <c r="F1583" s="31" t="n">
        <v>3</v>
      </c>
      <c r="G1583" s="31" t="s">
        <v>7544</v>
      </c>
      <c r="H1583" s="31" t="s">
        <v>7545</v>
      </c>
      <c r="I1583" s="31" t="s">
        <v>7546</v>
      </c>
      <c r="J1583" s="31" t="s">
        <v>7547</v>
      </c>
      <c r="K1583" s="31" t="s">
        <v>7548</v>
      </c>
      <c r="L1583" s="31" t="s">
        <v>5150</v>
      </c>
      <c r="M1583" s="31" t="s">
        <v>5176</v>
      </c>
    </row>
    <row r="1584" customFormat="false" ht="43.5" hidden="false" customHeight="true" outlineLevel="0" collapsed="false">
      <c r="A1584" s="30" t="s">
        <v>7549</v>
      </c>
      <c r="B1584" s="31" t="s">
        <v>7550</v>
      </c>
      <c r="C1584" s="31" t="s">
        <v>132</v>
      </c>
      <c r="D1584" s="31" t="s">
        <v>6782</v>
      </c>
      <c r="E1584" s="31" t="str">
        <f aca="false">IF(D1584="","",IFERROR(VLOOKUP(D1584,$A$2:$B$1656,2,FALSE()),""))</f>
        <v>Death, Rebirth &amp; Immortality Rules</v>
      </c>
      <c r="F1584" s="31" t="n">
        <v>3</v>
      </c>
      <c r="G1584" s="31" t="s">
        <v>7551</v>
      </c>
      <c r="H1584" s="31" t="s">
        <v>7552</v>
      </c>
      <c r="I1584" s="31" t="s">
        <v>7553</v>
      </c>
      <c r="J1584" s="31" t="s">
        <v>7554</v>
      </c>
      <c r="K1584" s="31" t="s">
        <v>7555</v>
      </c>
      <c r="L1584" s="31" t="s">
        <v>5150</v>
      </c>
      <c r="M1584" s="31" t="s">
        <v>5176</v>
      </c>
    </row>
    <row r="1585" customFormat="false" ht="43.5" hidden="false" customHeight="true" outlineLevel="0" collapsed="false">
      <c r="A1585" s="30" t="s">
        <v>7556</v>
      </c>
      <c r="B1585" s="31" t="s">
        <v>7557</v>
      </c>
      <c r="C1585" s="31" t="s">
        <v>132</v>
      </c>
      <c r="D1585" s="31" t="s">
        <v>6782</v>
      </c>
      <c r="E1585" s="31" t="str">
        <f aca="false">IF(D1585="","",IFERROR(VLOOKUP(D1585,$A$2:$B$1656,2,FALSE()),""))</f>
        <v>Death, Rebirth &amp; Immortality Rules</v>
      </c>
      <c r="F1585" s="31" t="n">
        <v>3</v>
      </c>
      <c r="G1585" s="31" t="s">
        <v>7558</v>
      </c>
      <c r="H1585" s="31" t="s">
        <v>7559</v>
      </c>
      <c r="I1585" s="31" t="s">
        <v>7560</v>
      </c>
      <c r="J1585" s="31" t="s">
        <v>7561</v>
      </c>
      <c r="K1585" s="31" t="s">
        <v>7562</v>
      </c>
      <c r="L1585" s="31" t="s">
        <v>5150</v>
      </c>
      <c r="M1585" s="31" t="s">
        <v>5176</v>
      </c>
    </row>
    <row r="1586" customFormat="false" ht="43.5" hidden="false" customHeight="true" outlineLevel="0" collapsed="false">
      <c r="A1586" s="30" t="s">
        <v>7563</v>
      </c>
      <c r="B1586" s="31" t="s">
        <v>7564</v>
      </c>
      <c r="C1586" s="31" t="s">
        <v>132</v>
      </c>
      <c r="D1586" s="31" t="s">
        <v>6782</v>
      </c>
      <c r="E1586" s="31" t="str">
        <f aca="false">IF(D1586="","",IFERROR(VLOOKUP(D1586,$A$2:$B$1656,2,FALSE()),""))</f>
        <v>Death, Rebirth &amp; Immortality Rules</v>
      </c>
      <c r="F1586" s="31" t="n">
        <v>3</v>
      </c>
      <c r="G1586" s="31" t="s">
        <v>7565</v>
      </c>
      <c r="H1586" s="31" t="s">
        <v>7566</v>
      </c>
      <c r="I1586" s="31" t="s">
        <v>7567</v>
      </c>
      <c r="J1586" s="31" t="s">
        <v>7568</v>
      </c>
      <c r="K1586" s="31" t="s">
        <v>7569</v>
      </c>
      <c r="L1586" s="31" t="s">
        <v>5150</v>
      </c>
      <c r="M1586" s="31" t="s">
        <v>5176</v>
      </c>
    </row>
    <row r="1587" customFormat="false" ht="43.5" hidden="false" customHeight="true" outlineLevel="0" collapsed="false">
      <c r="A1587" s="30" t="s">
        <v>7570</v>
      </c>
      <c r="B1587" s="31" t="s">
        <v>7571</v>
      </c>
      <c r="C1587" s="31" t="s">
        <v>132</v>
      </c>
      <c r="D1587" s="31" t="s">
        <v>6782</v>
      </c>
      <c r="E1587" s="31" t="str">
        <f aca="false">IF(D1587="","",IFERROR(VLOOKUP(D1587,$A$2:$B$1656,2,FALSE()),""))</f>
        <v>Death, Rebirth &amp; Immortality Rules</v>
      </c>
      <c r="F1587" s="31" t="n">
        <v>3</v>
      </c>
      <c r="G1587" s="31" t="s">
        <v>7572</v>
      </c>
      <c r="H1587" s="31" t="s">
        <v>7573</v>
      </c>
      <c r="I1587" s="31" t="s">
        <v>7574</v>
      </c>
      <c r="J1587" s="31" t="s">
        <v>7575</v>
      </c>
      <c r="K1587" s="31" t="s">
        <v>7576</v>
      </c>
      <c r="L1587" s="31" t="s">
        <v>5150</v>
      </c>
      <c r="M1587" s="31" t="s">
        <v>5176</v>
      </c>
    </row>
    <row r="1588" customFormat="false" ht="43.5" hidden="false" customHeight="true" outlineLevel="0" collapsed="false">
      <c r="A1588" s="30" t="s">
        <v>7577</v>
      </c>
      <c r="B1588" s="31" t="s">
        <v>7578</v>
      </c>
      <c r="C1588" s="31" t="s">
        <v>132</v>
      </c>
      <c r="D1588" s="31" t="s">
        <v>6782</v>
      </c>
      <c r="E1588" s="31" t="str">
        <f aca="false">IF(D1588="","",IFERROR(VLOOKUP(D1588,$A$2:$B$1656,2,FALSE()),""))</f>
        <v>Death, Rebirth &amp; Immortality Rules</v>
      </c>
      <c r="F1588" s="31" t="n">
        <v>3</v>
      </c>
      <c r="G1588" s="31" t="s">
        <v>7579</v>
      </c>
      <c r="H1588" s="31" t="s">
        <v>7580</v>
      </c>
      <c r="I1588" s="31" t="s">
        <v>7581</v>
      </c>
      <c r="J1588" s="31" t="s">
        <v>7582</v>
      </c>
      <c r="K1588" s="31" t="s">
        <v>7583</v>
      </c>
      <c r="L1588" s="31" t="s">
        <v>5150</v>
      </c>
      <c r="M1588" s="31" t="s">
        <v>5176</v>
      </c>
    </row>
    <row r="1589" customFormat="false" ht="43.5" hidden="false" customHeight="true" outlineLevel="0" collapsed="false">
      <c r="A1589" s="30" t="s">
        <v>7584</v>
      </c>
      <c r="B1589" s="31" t="s">
        <v>7585</v>
      </c>
      <c r="C1589" s="31" t="s">
        <v>132</v>
      </c>
      <c r="D1589" s="31" t="s">
        <v>6782</v>
      </c>
      <c r="E1589" s="31" t="str">
        <f aca="false">IF(D1589="","",IFERROR(VLOOKUP(D1589,$A$2:$B$1656,2,FALSE()),""))</f>
        <v>Death, Rebirth &amp; Immortality Rules</v>
      </c>
      <c r="F1589" s="31" t="n">
        <v>3</v>
      </c>
      <c r="G1589" s="31" t="s">
        <v>7586</v>
      </c>
      <c r="H1589" s="31" t="s">
        <v>7587</v>
      </c>
      <c r="I1589" s="31" t="s">
        <v>7588</v>
      </c>
      <c r="J1589" s="31" t="s">
        <v>7589</v>
      </c>
      <c r="K1589" s="31" t="s">
        <v>7590</v>
      </c>
      <c r="L1589" s="31" t="s">
        <v>5150</v>
      </c>
      <c r="M1589" s="31" t="s">
        <v>5176</v>
      </c>
    </row>
    <row r="1590" customFormat="false" ht="43.5" hidden="false" customHeight="true" outlineLevel="0" collapsed="false">
      <c r="A1590" s="30" t="s">
        <v>7591</v>
      </c>
      <c r="B1590" s="31" t="s">
        <v>7592</v>
      </c>
      <c r="C1590" s="31" t="s">
        <v>132</v>
      </c>
      <c r="D1590" s="31" t="s">
        <v>6782</v>
      </c>
      <c r="E1590" s="31" t="str">
        <f aca="false">IF(D1590="","",IFERROR(VLOOKUP(D1590,$A$2:$B$1656,2,FALSE()),""))</f>
        <v>Death, Rebirth &amp; Immortality Rules</v>
      </c>
      <c r="F1590" s="31" t="n">
        <v>3</v>
      </c>
      <c r="G1590" s="31" t="s">
        <v>7593</v>
      </c>
      <c r="H1590" s="31" t="s">
        <v>7594</v>
      </c>
      <c r="I1590" s="31" t="s">
        <v>7595</v>
      </c>
      <c r="J1590" s="31" t="s">
        <v>7596</v>
      </c>
      <c r="K1590" s="31" t="s">
        <v>7597</v>
      </c>
      <c r="L1590" s="31" t="s">
        <v>5150</v>
      </c>
      <c r="M1590" s="31" t="s">
        <v>5176</v>
      </c>
    </row>
    <row r="1591" customFormat="false" ht="43.5" hidden="false" customHeight="true" outlineLevel="0" collapsed="false">
      <c r="A1591" s="30" t="s">
        <v>7598</v>
      </c>
      <c r="B1591" s="31" t="s">
        <v>7599</v>
      </c>
      <c r="C1591" s="31" t="s">
        <v>132</v>
      </c>
      <c r="D1591" s="31" t="s">
        <v>6782</v>
      </c>
      <c r="E1591" s="31" t="str">
        <f aca="false">IF(D1591="","",IFERROR(VLOOKUP(D1591,$A$2:$B$1656,2,FALSE()),""))</f>
        <v>Death, Rebirth &amp; Immortality Rules</v>
      </c>
      <c r="F1591" s="31" t="n">
        <v>3</v>
      </c>
      <c r="G1591" s="31" t="s">
        <v>7600</v>
      </c>
      <c r="H1591" s="31" t="s">
        <v>7601</v>
      </c>
      <c r="I1591" s="31" t="s">
        <v>7602</v>
      </c>
      <c r="J1591" s="31" t="s">
        <v>7603</v>
      </c>
      <c r="K1591" s="31" t="s">
        <v>7604</v>
      </c>
      <c r="L1591" s="31" t="s">
        <v>5150</v>
      </c>
      <c r="M1591" s="31" t="s">
        <v>5176</v>
      </c>
    </row>
    <row r="1592" customFormat="false" ht="43.5" hidden="false" customHeight="true" outlineLevel="0" collapsed="false">
      <c r="A1592" s="30" t="s">
        <v>7605</v>
      </c>
      <c r="B1592" s="31" t="s">
        <v>7606</v>
      </c>
      <c r="C1592" s="31" t="s">
        <v>132</v>
      </c>
      <c r="D1592" s="31" t="s">
        <v>6782</v>
      </c>
      <c r="E1592" s="31" t="str">
        <f aca="false">IF(D1592="","",IFERROR(VLOOKUP(D1592,$A$2:$B$1656,2,FALSE()),""))</f>
        <v>Death, Rebirth &amp; Immortality Rules</v>
      </c>
      <c r="F1592" s="31" t="n">
        <v>3</v>
      </c>
      <c r="G1592" s="31" t="s">
        <v>7607</v>
      </c>
      <c r="H1592" s="31" t="s">
        <v>7608</v>
      </c>
      <c r="I1592" s="31" t="s">
        <v>7609</v>
      </c>
      <c r="J1592" s="31" t="s">
        <v>7610</v>
      </c>
      <c r="K1592" s="31" t="s">
        <v>7611</v>
      </c>
      <c r="L1592" s="31" t="s">
        <v>7612</v>
      </c>
      <c r="M1592" s="31" t="s">
        <v>5176</v>
      </c>
    </row>
    <row r="1593" customFormat="false" ht="43.5" hidden="false" customHeight="true" outlineLevel="0" collapsed="false">
      <c r="A1593" s="30" t="s">
        <v>7613</v>
      </c>
      <c r="B1593" s="31" t="s">
        <v>7614</v>
      </c>
      <c r="C1593" s="31" t="s">
        <v>132</v>
      </c>
      <c r="D1593" s="31" t="s">
        <v>6782</v>
      </c>
      <c r="E1593" s="31" t="str">
        <f aca="false">IF(D1593="","",IFERROR(VLOOKUP(D1593,$A$2:$B$1656,2,FALSE()),""))</f>
        <v>Death, Rebirth &amp; Immortality Rules</v>
      </c>
      <c r="F1593" s="31" t="n">
        <v>3</v>
      </c>
      <c r="G1593" s="31" t="s">
        <v>7615</v>
      </c>
      <c r="H1593" s="31" t="s">
        <v>7616</v>
      </c>
      <c r="I1593" s="31" t="s">
        <v>7617</v>
      </c>
      <c r="J1593" s="31" t="s">
        <v>7618</v>
      </c>
      <c r="K1593" s="31" t="s">
        <v>7619</v>
      </c>
      <c r="L1593" s="31" t="s">
        <v>5150</v>
      </c>
      <c r="M1593" s="31" t="s">
        <v>5176</v>
      </c>
    </row>
    <row r="1594" customFormat="false" ht="43.5" hidden="false" customHeight="true" outlineLevel="0" collapsed="false">
      <c r="A1594" s="30" t="s">
        <v>7620</v>
      </c>
      <c r="B1594" s="31" t="s">
        <v>7621</v>
      </c>
      <c r="C1594" s="31" t="s">
        <v>132</v>
      </c>
      <c r="D1594" s="31" t="s">
        <v>6782</v>
      </c>
      <c r="E1594" s="31" t="str">
        <f aca="false">IF(D1594="","",IFERROR(VLOOKUP(D1594,$A$2:$B$1656,2,FALSE()),""))</f>
        <v>Death, Rebirth &amp; Immortality Rules</v>
      </c>
      <c r="F1594" s="31" t="n">
        <v>3</v>
      </c>
      <c r="G1594" s="31" t="s">
        <v>7622</v>
      </c>
      <c r="H1594" s="31" t="s">
        <v>7623</v>
      </c>
      <c r="I1594" s="31" t="s">
        <v>7624</v>
      </c>
      <c r="J1594" s="31" t="s">
        <v>7625</v>
      </c>
      <c r="K1594" s="31" t="s">
        <v>7626</v>
      </c>
      <c r="L1594" s="31" t="s">
        <v>5150</v>
      </c>
      <c r="M1594" s="31" t="s">
        <v>5176</v>
      </c>
    </row>
    <row r="1595" customFormat="false" ht="43.5" hidden="false" customHeight="true" outlineLevel="0" collapsed="false">
      <c r="A1595" s="30" t="s">
        <v>7627</v>
      </c>
      <c r="B1595" s="31" t="s">
        <v>7628</v>
      </c>
      <c r="C1595" s="31" t="s">
        <v>132</v>
      </c>
      <c r="D1595" s="31" t="s">
        <v>6782</v>
      </c>
      <c r="E1595" s="31" t="str">
        <f aca="false">IF(D1595="","",IFERROR(VLOOKUP(D1595,$A$2:$B$1656,2,FALSE()),""))</f>
        <v>Death, Rebirth &amp; Immortality Rules</v>
      </c>
      <c r="F1595" s="31" t="n">
        <v>3</v>
      </c>
      <c r="G1595" s="31" t="s">
        <v>7629</v>
      </c>
      <c r="H1595" s="31" t="s">
        <v>7630</v>
      </c>
      <c r="I1595" s="31" t="s">
        <v>7631</v>
      </c>
      <c r="J1595" s="31" t="s">
        <v>7632</v>
      </c>
      <c r="K1595" s="31" t="s">
        <v>7633</v>
      </c>
      <c r="L1595" s="31" t="s">
        <v>5150</v>
      </c>
      <c r="M1595" s="31" t="s">
        <v>5176</v>
      </c>
    </row>
    <row r="1596" customFormat="false" ht="43.5" hidden="false" customHeight="true" outlineLevel="0" collapsed="false">
      <c r="A1596" s="30" t="s">
        <v>7634</v>
      </c>
      <c r="B1596" s="31" t="s">
        <v>7635</v>
      </c>
      <c r="C1596" s="31" t="s">
        <v>132</v>
      </c>
      <c r="D1596" s="31" t="s">
        <v>6785</v>
      </c>
      <c r="E1596" s="31" t="str">
        <f aca="false">IF(D1596="","",IFERROR(VLOOKUP(D1596,$A$2:$B$1656,2,FALSE()),""))</f>
        <v>Hospitality, Kinship &amp; Social Metaphysics</v>
      </c>
      <c r="F1596" s="31" t="n">
        <v>3</v>
      </c>
      <c r="G1596" s="31" t="s">
        <v>7636</v>
      </c>
      <c r="H1596" s="31" t="s">
        <v>7637</v>
      </c>
      <c r="I1596" s="31" t="s">
        <v>7638</v>
      </c>
      <c r="J1596" s="31" t="s">
        <v>7639</v>
      </c>
      <c r="K1596" s="31" t="s">
        <v>7640</v>
      </c>
      <c r="L1596" s="31" t="s">
        <v>7641</v>
      </c>
      <c r="M1596" s="31" t="s">
        <v>5176</v>
      </c>
    </row>
    <row r="1597" customFormat="false" ht="43.5" hidden="false" customHeight="true" outlineLevel="0" collapsed="false">
      <c r="A1597" s="30" t="s">
        <v>7642</v>
      </c>
      <c r="B1597" s="31" t="s">
        <v>7643</v>
      </c>
      <c r="C1597" s="31" t="s">
        <v>132</v>
      </c>
      <c r="D1597" s="31" t="s">
        <v>6785</v>
      </c>
      <c r="E1597" s="31" t="str">
        <f aca="false">IF(D1597="","",IFERROR(VLOOKUP(D1597,$A$2:$B$1656,2,FALSE()),""))</f>
        <v>Hospitality, Kinship &amp; Social Metaphysics</v>
      </c>
      <c r="F1597" s="31" t="n">
        <v>3</v>
      </c>
      <c r="G1597" s="31" t="s">
        <v>7644</v>
      </c>
      <c r="H1597" s="31" t="s">
        <v>7645</v>
      </c>
      <c r="I1597" s="31" t="s">
        <v>7646</v>
      </c>
      <c r="J1597" s="31" t="s">
        <v>7647</v>
      </c>
      <c r="K1597" s="31" t="s">
        <v>7648</v>
      </c>
      <c r="L1597" s="31" t="s">
        <v>5150</v>
      </c>
      <c r="M1597" s="31" t="s">
        <v>5176</v>
      </c>
    </row>
    <row r="1598" customFormat="false" ht="43.5" hidden="false" customHeight="true" outlineLevel="0" collapsed="false">
      <c r="A1598" s="30" t="s">
        <v>7649</v>
      </c>
      <c r="B1598" s="31" t="s">
        <v>7650</v>
      </c>
      <c r="C1598" s="31" t="s">
        <v>132</v>
      </c>
      <c r="D1598" s="31" t="s">
        <v>6785</v>
      </c>
      <c r="E1598" s="31" t="str">
        <f aca="false">IF(D1598="","",IFERROR(VLOOKUP(D1598,$A$2:$B$1656,2,FALSE()),""))</f>
        <v>Hospitality, Kinship &amp; Social Metaphysics</v>
      </c>
      <c r="F1598" s="31" t="n">
        <v>3</v>
      </c>
      <c r="G1598" s="31" t="s">
        <v>7651</v>
      </c>
      <c r="H1598" s="31" t="s">
        <v>7652</v>
      </c>
      <c r="I1598" s="31" t="s">
        <v>7653</v>
      </c>
      <c r="J1598" s="31" t="s">
        <v>7654</v>
      </c>
      <c r="K1598" s="31" t="s">
        <v>7655</v>
      </c>
      <c r="L1598" s="31" t="s">
        <v>5150</v>
      </c>
      <c r="M1598" s="31" t="s">
        <v>5176</v>
      </c>
    </row>
    <row r="1599" customFormat="false" ht="43.5" hidden="false" customHeight="true" outlineLevel="0" collapsed="false">
      <c r="A1599" s="30" t="s">
        <v>7656</v>
      </c>
      <c r="B1599" s="31" t="s">
        <v>7657</v>
      </c>
      <c r="C1599" s="31" t="s">
        <v>132</v>
      </c>
      <c r="D1599" s="31" t="s">
        <v>6785</v>
      </c>
      <c r="E1599" s="31" t="str">
        <f aca="false">IF(D1599="","",IFERROR(VLOOKUP(D1599,$A$2:$B$1656,2,FALSE()),""))</f>
        <v>Hospitality, Kinship &amp; Social Metaphysics</v>
      </c>
      <c r="F1599" s="31" t="n">
        <v>3</v>
      </c>
      <c r="G1599" s="31" t="s">
        <v>7658</v>
      </c>
      <c r="H1599" s="31" t="s">
        <v>7659</v>
      </c>
      <c r="I1599" s="31" t="s">
        <v>7660</v>
      </c>
      <c r="J1599" s="31" t="s">
        <v>7661</v>
      </c>
      <c r="K1599" s="31" t="s">
        <v>7662</v>
      </c>
      <c r="L1599" s="31" t="s">
        <v>5150</v>
      </c>
      <c r="M1599" s="31" t="s">
        <v>5176</v>
      </c>
    </row>
    <row r="1600" customFormat="false" ht="43.5" hidden="false" customHeight="true" outlineLevel="0" collapsed="false">
      <c r="A1600" s="30" t="s">
        <v>7663</v>
      </c>
      <c r="B1600" s="31" t="s">
        <v>7664</v>
      </c>
      <c r="C1600" s="31" t="s">
        <v>132</v>
      </c>
      <c r="D1600" s="31" t="s">
        <v>6785</v>
      </c>
      <c r="E1600" s="31" t="str">
        <f aca="false">IF(D1600="","",IFERROR(VLOOKUP(D1600,$A$2:$B$1656,2,FALSE()),""))</f>
        <v>Hospitality, Kinship &amp; Social Metaphysics</v>
      </c>
      <c r="F1600" s="31" t="n">
        <v>3</v>
      </c>
      <c r="G1600" s="31" t="s">
        <v>7665</v>
      </c>
      <c r="H1600" s="31" t="s">
        <v>7666</v>
      </c>
      <c r="I1600" s="31" t="s">
        <v>7667</v>
      </c>
      <c r="J1600" s="31" t="s">
        <v>7668</v>
      </c>
      <c r="K1600" s="31" t="s">
        <v>7669</v>
      </c>
      <c r="L1600" s="31" t="s">
        <v>5150</v>
      </c>
      <c r="M1600" s="31" t="s">
        <v>5176</v>
      </c>
    </row>
    <row r="1601" customFormat="false" ht="43.5" hidden="false" customHeight="true" outlineLevel="0" collapsed="false">
      <c r="A1601" s="30" t="s">
        <v>7670</v>
      </c>
      <c r="B1601" s="31" t="s">
        <v>7671</v>
      </c>
      <c r="C1601" s="31" t="s">
        <v>132</v>
      </c>
      <c r="D1601" s="31" t="s">
        <v>6785</v>
      </c>
      <c r="E1601" s="31" t="str">
        <f aca="false">IF(D1601="","",IFERROR(VLOOKUP(D1601,$A$2:$B$1656,2,FALSE()),""))</f>
        <v>Hospitality, Kinship &amp; Social Metaphysics</v>
      </c>
      <c r="F1601" s="31" t="n">
        <v>3</v>
      </c>
      <c r="G1601" s="31" t="s">
        <v>7672</v>
      </c>
      <c r="H1601" s="31" t="s">
        <v>7673</v>
      </c>
      <c r="I1601" s="31" t="s">
        <v>7674</v>
      </c>
      <c r="J1601" s="31" t="s">
        <v>7675</v>
      </c>
      <c r="K1601" s="31" t="s">
        <v>7676</v>
      </c>
      <c r="L1601" s="31" t="s">
        <v>5150</v>
      </c>
      <c r="M1601" s="31" t="s">
        <v>5176</v>
      </c>
    </row>
    <row r="1602" customFormat="false" ht="43.5" hidden="false" customHeight="true" outlineLevel="0" collapsed="false">
      <c r="A1602" s="30" t="s">
        <v>7677</v>
      </c>
      <c r="B1602" s="31" t="s">
        <v>7678</v>
      </c>
      <c r="C1602" s="31" t="s">
        <v>132</v>
      </c>
      <c r="D1602" s="31" t="s">
        <v>6785</v>
      </c>
      <c r="E1602" s="31" t="str">
        <f aca="false">IF(D1602="","",IFERROR(VLOOKUP(D1602,$A$2:$B$1656,2,FALSE()),""))</f>
        <v>Hospitality, Kinship &amp; Social Metaphysics</v>
      </c>
      <c r="F1602" s="31" t="n">
        <v>3</v>
      </c>
      <c r="G1602" s="31" t="s">
        <v>7679</v>
      </c>
      <c r="H1602" s="31" t="s">
        <v>7680</v>
      </c>
      <c r="I1602" s="31" t="s">
        <v>7681</v>
      </c>
      <c r="J1602" s="31" t="s">
        <v>7682</v>
      </c>
      <c r="K1602" s="31" t="s">
        <v>7683</v>
      </c>
      <c r="L1602" s="31" t="s">
        <v>5150</v>
      </c>
      <c r="M1602" s="31" t="s">
        <v>5176</v>
      </c>
    </row>
    <row r="1603" customFormat="false" ht="43.5" hidden="false" customHeight="true" outlineLevel="0" collapsed="false">
      <c r="A1603" s="30" t="s">
        <v>7684</v>
      </c>
      <c r="B1603" s="31" t="s">
        <v>7685</v>
      </c>
      <c r="C1603" s="31" t="s">
        <v>132</v>
      </c>
      <c r="D1603" s="31" t="s">
        <v>6785</v>
      </c>
      <c r="E1603" s="31" t="str">
        <f aca="false">IF(D1603="","",IFERROR(VLOOKUP(D1603,$A$2:$B$1656,2,FALSE()),""))</f>
        <v>Hospitality, Kinship &amp; Social Metaphysics</v>
      </c>
      <c r="F1603" s="31" t="n">
        <v>3</v>
      </c>
      <c r="G1603" s="31" t="s">
        <v>7686</v>
      </c>
      <c r="H1603" s="31" t="s">
        <v>7687</v>
      </c>
      <c r="I1603" s="31" t="s">
        <v>7688</v>
      </c>
      <c r="J1603" s="31" t="s">
        <v>7689</v>
      </c>
      <c r="K1603" s="31" t="s">
        <v>7690</v>
      </c>
      <c r="L1603" s="31" t="s">
        <v>5150</v>
      </c>
      <c r="M1603" s="31" t="s">
        <v>5176</v>
      </c>
    </row>
    <row r="1604" customFormat="false" ht="43.5" hidden="false" customHeight="true" outlineLevel="0" collapsed="false">
      <c r="A1604" s="30" t="s">
        <v>7691</v>
      </c>
      <c r="B1604" s="31" t="s">
        <v>7692</v>
      </c>
      <c r="C1604" s="31" t="s">
        <v>132</v>
      </c>
      <c r="D1604" s="31" t="s">
        <v>6785</v>
      </c>
      <c r="E1604" s="31" t="str">
        <f aca="false">IF(D1604="","",IFERROR(VLOOKUP(D1604,$A$2:$B$1656,2,FALSE()),""))</f>
        <v>Hospitality, Kinship &amp; Social Metaphysics</v>
      </c>
      <c r="F1604" s="31" t="n">
        <v>3</v>
      </c>
      <c r="G1604" s="31" t="s">
        <v>7693</v>
      </c>
      <c r="H1604" s="31" t="s">
        <v>7694</v>
      </c>
      <c r="I1604" s="31" t="s">
        <v>7695</v>
      </c>
      <c r="J1604" s="31" t="s">
        <v>7696</v>
      </c>
      <c r="K1604" s="31" t="s">
        <v>7697</v>
      </c>
      <c r="L1604" s="31" t="s">
        <v>5150</v>
      </c>
      <c r="M1604" s="31" t="s">
        <v>5176</v>
      </c>
    </row>
    <row r="1605" customFormat="false" ht="43.5" hidden="false" customHeight="true" outlineLevel="0" collapsed="false">
      <c r="A1605" s="30" t="s">
        <v>7698</v>
      </c>
      <c r="B1605" s="31" t="s">
        <v>7699</v>
      </c>
      <c r="C1605" s="31" t="s">
        <v>132</v>
      </c>
      <c r="D1605" s="31" t="s">
        <v>6785</v>
      </c>
      <c r="E1605" s="31" t="str">
        <f aca="false">IF(D1605="","",IFERROR(VLOOKUP(D1605,$A$2:$B$1656,2,FALSE()),""))</f>
        <v>Hospitality, Kinship &amp; Social Metaphysics</v>
      </c>
      <c r="F1605" s="31" t="n">
        <v>3</v>
      </c>
      <c r="G1605" s="31" t="s">
        <v>7700</v>
      </c>
      <c r="H1605" s="31" t="s">
        <v>7701</v>
      </c>
      <c r="I1605" s="31" t="s">
        <v>7702</v>
      </c>
      <c r="J1605" s="31" t="s">
        <v>7703</v>
      </c>
      <c r="K1605" s="31" t="s">
        <v>7704</v>
      </c>
      <c r="L1605" s="31" t="s">
        <v>5150</v>
      </c>
      <c r="M1605" s="31" t="s">
        <v>5176</v>
      </c>
    </row>
    <row r="1606" customFormat="false" ht="43.5" hidden="false" customHeight="true" outlineLevel="0" collapsed="false">
      <c r="A1606" s="30" t="s">
        <v>7705</v>
      </c>
      <c r="B1606" s="31" t="s">
        <v>7706</v>
      </c>
      <c r="C1606" s="31" t="s">
        <v>132</v>
      </c>
      <c r="D1606" s="31" t="s">
        <v>6785</v>
      </c>
      <c r="E1606" s="31" t="str">
        <f aca="false">IF(D1606="","",IFERROR(VLOOKUP(D1606,$A$2:$B$1656,2,FALSE()),""))</f>
        <v>Hospitality, Kinship &amp; Social Metaphysics</v>
      </c>
      <c r="F1606" s="31" t="n">
        <v>3</v>
      </c>
      <c r="G1606" s="31" t="s">
        <v>7707</v>
      </c>
      <c r="H1606" s="31" t="s">
        <v>7708</v>
      </c>
      <c r="I1606" s="31" t="s">
        <v>7709</v>
      </c>
      <c r="J1606" s="31" t="s">
        <v>7710</v>
      </c>
      <c r="K1606" s="31" t="s">
        <v>7711</v>
      </c>
      <c r="L1606" s="31" t="s">
        <v>5150</v>
      </c>
      <c r="M1606" s="31" t="s">
        <v>5176</v>
      </c>
    </row>
    <row r="1607" customFormat="false" ht="43.5" hidden="false" customHeight="true" outlineLevel="0" collapsed="false">
      <c r="A1607" s="30" t="s">
        <v>7712</v>
      </c>
      <c r="B1607" s="31" t="s">
        <v>7713</v>
      </c>
      <c r="C1607" s="31" t="s">
        <v>132</v>
      </c>
      <c r="D1607" s="31" t="s">
        <v>6785</v>
      </c>
      <c r="E1607" s="31" t="str">
        <f aca="false">IF(D1607="","",IFERROR(VLOOKUP(D1607,$A$2:$B$1656,2,FALSE()),""))</f>
        <v>Hospitality, Kinship &amp; Social Metaphysics</v>
      </c>
      <c r="F1607" s="31" t="n">
        <v>3</v>
      </c>
      <c r="G1607" s="31" t="s">
        <v>7714</v>
      </c>
      <c r="H1607" s="31" t="s">
        <v>7715</v>
      </c>
      <c r="I1607" s="31" t="s">
        <v>7716</v>
      </c>
      <c r="J1607" s="31" t="s">
        <v>7717</v>
      </c>
      <c r="K1607" s="31" t="s">
        <v>7718</v>
      </c>
      <c r="L1607" s="31" t="s">
        <v>5150</v>
      </c>
      <c r="M1607" s="31" t="s">
        <v>5176</v>
      </c>
    </row>
    <row r="1608" customFormat="false" ht="43.5" hidden="false" customHeight="true" outlineLevel="0" collapsed="false">
      <c r="A1608" s="30" t="s">
        <v>7719</v>
      </c>
      <c r="B1608" s="31" t="s">
        <v>7720</v>
      </c>
      <c r="C1608" s="31" t="s">
        <v>132</v>
      </c>
      <c r="D1608" s="31" t="s">
        <v>6785</v>
      </c>
      <c r="E1608" s="31" t="str">
        <f aca="false">IF(D1608="","",IFERROR(VLOOKUP(D1608,$A$2:$B$1656,2,FALSE()),""))</f>
        <v>Hospitality, Kinship &amp; Social Metaphysics</v>
      </c>
      <c r="F1608" s="31" t="n">
        <v>3</v>
      </c>
      <c r="G1608" s="31" t="s">
        <v>7721</v>
      </c>
      <c r="H1608" s="31" t="s">
        <v>7722</v>
      </c>
      <c r="I1608" s="31" t="s">
        <v>7723</v>
      </c>
      <c r="J1608" s="31" t="s">
        <v>7724</v>
      </c>
      <c r="K1608" s="31" t="s">
        <v>7725</v>
      </c>
      <c r="L1608" s="31" t="s">
        <v>5150</v>
      </c>
      <c r="M1608" s="31" t="s">
        <v>5176</v>
      </c>
    </row>
    <row r="1609" customFormat="false" ht="43.5" hidden="false" customHeight="true" outlineLevel="0" collapsed="false">
      <c r="A1609" s="30" t="s">
        <v>7726</v>
      </c>
      <c r="B1609" s="31" t="s">
        <v>7727</v>
      </c>
      <c r="C1609" s="31" t="s">
        <v>132</v>
      </c>
      <c r="D1609" s="31" t="s">
        <v>6785</v>
      </c>
      <c r="E1609" s="31" t="str">
        <f aca="false">IF(D1609="","",IFERROR(VLOOKUP(D1609,$A$2:$B$1656,2,FALSE()),""))</f>
        <v>Hospitality, Kinship &amp; Social Metaphysics</v>
      </c>
      <c r="F1609" s="31" t="n">
        <v>3</v>
      </c>
      <c r="G1609" s="31" t="s">
        <v>7728</v>
      </c>
      <c r="H1609" s="31" t="s">
        <v>7729</v>
      </c>
      <c r="I1609" s="31" t="s">
        <v>7730</v>
      </c>
      <c r="J1609" s="31" t="s">
        <v>7731</v>
      </c>
      <c r="K1609" s="31" t="s">
        <v>7732</v>
      </c>
      <c r="L1609" s="31" t="s">
        <v>5150</v>
      </c>
      <c r="M1609" s="31" t="s">
        <v>5176</v>
      </c>
    </row>
    <row r="1610" customFormat="false" ht="43.5" hidden="false" customHeight="true" outlineLevel="0" collapsed="false">
      <c r="A1610" s="30" t="s">
        <v>7733</v>
      </c>
      <c r="B1610" s="31" t="s">
        <v>7734</v>
      </c>
      <c r="C1610" s="31" t="s">
        <v>132</v>
      </c>
      <c r="D1610" s="31" t="s">
        <v>6785</v>
      </c>
      <c r="E1610" s="31" t="str">
        <f aca="false">IF(D1610="","",IFERROR(VLOOKUP(D1610,$A$2:$B$1656,2,FALSE()),""))</f>
        <v>Hospitality, Kinship &amp; Social Metaphysics</v>
      </c>
      <c r="F1610" s="31" t="n">
        <v>3</v>
      </c>
      <c r="G1610" s="31" t="s">
        <v>7735</v>
      </c>
      <c r="H1610" s="31" t="s">
        <v>7736</v>
      </c>
      <c r="I1610" s="31" t="s">
        <v>7737</v>
      </c>
      <c r="J1610" s="31" t="s">
        <v>7738</v>
      </c>
      <c r="K1610" s="31" t="s">
        <v>7739</v>
      </c>
      <c r="L1610" s="31" t="s">
        <v>5150</v>
      </c>
      <c r="M1610" s="31" t="s">
        <v>5176</v>
      </c>
    </row>
    <row r="1611" customFormat="false" ht="43.5" hidden="false" customHeight="true" outlineLevel="0" collapsed="false">
      <c r="A1611" s="30" t="s">
        <v>7740</v>
      </c>
      <c r="B1611" s="31" t="s">
        <v>7741</v>
      </c>
      <c r="C1611" s="31" t="s">
        <v>132</v>
      </c>
      <c r="D1611" s="31" t="s">
        <v>6785</v>
      </c>
      <c r="E1611" s="31" t="str">
        <f aca="false">IF(D1611="","",IFERROR(VLOOKUP(D1611,$A$2:$B$1656,2,FALSE()),""))</f>
        <v>Hospitality, Kinship &amp; Social Metaphysics</v>
      </c>
      <c r="F1611" s="31" t="n">
        <v>3</v>
      </c>
      <c r="G1611" s="31" t="s">
        <v>7742</v>
      </c>
      <c r="H1611" s="31" t="s">
        <v>7743</v>
      </c>
      <c r="I1611" s="31" t="s">
        <v>7744</v>
      </c>
      <c r="J1611" s="31" t="s">
        <v>7745</v>
      </c>
      <c r="K1611" s="31" t="s">
        <v>7746</v>
      </c>
      <c r="L1611" s="31" t="s">
        <v>5150</v>
      </c>
      <c r="M1611" s="31" t="s">
        <v>5176</v>
      </c>
    </row>
    <row r="1612" customFormat="false" ht="43.5" hidden="false" customHeight="true" outlineLevel="0" collapsed="false">
      <c r="A1612" s="30" t="s">
        <v>7747</v>
      </c>
      <c r="B1612" s="31" t="s">
        <v>7748</v>
      </c>
      <c r="C1612" s="31" t="s">
        <v>132</v>
      </c>
      <c r="D1612" s="31" t="s">
        <v>6785</v>
      </c>
      <c r="E1612" s="31" t="str">
        <f aca="false">IF(D1612="","",IFERROR(VLOOKUP(D1612,$A$2:$B$1656,2,FALSE()),""))</f>
        <v>Hospitality, Kinship &amp; Social Metaphysics</v>
      </c>
      <c r="F1612" s="31" t="n">
        <v>3</v>
      </c>
      <c r="G1612" s="31" t="s">
        <v>7749</v>
      </c>
      <c r="H1612" s="31" t="s">
        <v>7750</v>
      </c>
      <c r="I1612" s="31" t="s">
        <v>7751</v>
      </c>
      <c r="J1612" s="31" t="s">
        <v>7752</v>
      </c>
      <c r="K1612" s="31" t="s">
        <v>7753</v>
      </c>
      <c r="L1612" s="31" t="s">
        <v>5150</v>
      </c>
      <c r="M1612" s="31" t="s">
        <v>5176</v>
      </c>
    </row>
    <row r="1613" customFormat="false" ht="43.5" hidden="false" customHeight="true" outlineLevel="0" collapsed="false">
      <c r="A1613" s="30" t="s">
        <v>7754</v>
      </c>
      <c r="B1613" s="31" t="s">
        <v>7755</v>
      </c>
      <c r="C1613" s="31" t="s">
        <v>132</v>
      </c>
      <c r="D1613" s="31" t="s">
        <v>6785</v>
      </c>
      <c r="E1613" s="31" t="str">
        <f aca="false">IF(D1613="","",IFERROR(VLOOKUP(D1613,$A$2:$B$1656,2,FALSE()),""))</f>
        <v>Hospitality, Kinship &amp; Social Metaphysics</v>
      </c>
      <c r="F1613" s="31" t="n">
        <v>3</v>
      </c>
      <c r="G1613" s="31" t="s">
        <v>7756</v>
      </c>
      <c r="H1613" s="31" t="s">
        <v>7757</v>
      </c>
      <c r="I1613" s="31" t="s">
        <v>7758</v>
      </c>
      <c r="J1613" s="31" t="s">
        <v>7759</v>
      </c>
      <c r="K1613" s="31" t="s">
        <v>7760</v>
      </c>
      <c r="L1613" s="31" t="s">
        <v>5150</v>
      </c>
      <c r="M1613" s="31" t="s">
        <v>5176</v>
      </c>
    </row>
    <row r="1614" customFormat="false" ht="43.5" hidden="false" customHeight="true" outlineLevel="0" collapsed="false">
      <c r="A1614" s="30" t="s">
        <v>7761</v>
      </c>
      <c r="B1614" s="31" t="s">
        <v>7762</v>
      </c>
      <c r="C1614" s="31" t="s">
        <v>132</v>
      </c>
      <c r="D1614" s="31" t="s">
        <v>6785</v>
      </c>
      <c r="E1614" s="31" t="str">
        <f aca="false">IF(D1614="","",IFERROR(VLOOKUP(D1614,$A$2:$B$1656,2,FALSE()),""))</f>
        <v>Hospitality, Kinship &amp; Social Metaphysics</v>
      </c>
      <c r="F1614" s="31" t="n">
        <v>3</v>
      </c>
      <c r="G1614" s="31" t="s">
        <v>7763</v>
      </c>
      <c r="H1614" s="31" t="s">
        <v>7764</v>
      </c>
      <c r="I1614" s="31" t="s">
        <v>7765</v>
      </c>
      <c r="J1614" s="31" t="s">
        <v>7766</v>
      </c>
      <c r="K1614" s="31" t="s">
        <v>7767</v>
      </c>
      <c r="L1614" s="31" t="s">
        <v>5150</v>
      </c>
      <c r="M1614" s="31" t="s">
        <v>5176</v>
      </c>
    </row>
    <row r="1615" customFormat="false" ht="43.5" hidden="false" customHeight="true" outlineLevel="0" collapsed="false">
      <c r="A1615" s="30" t="s">
        <v>7768</v>
      </c>
      <c r="B1615" s="31" t="s">
        <v>7769</v>
      </c>
      <c r="C1615" s="31" t="s">
        <v>61</v>
      </c>
      <c r="D1615" s="31" t="s">
        <v>4630</v>
      </c>
      <c r="E1615" s="31" t="str">
        <f aca="false">IF(D1615="","",IFERROR(VLOOKUP(D1615,$A$2:$B$1656,2,FALSE()),""))</f>
        <v>Resource and Casting Models</v>
      </c>
      <c r="F1615" s="31" t="n">
        <v>3</v>
      </c>
      <c r="G1615" s="31" t="s">
        <v>7770</v>
      </c>
      <c r="H1615" s="31" t="s">
        <v>7771</v>
      </c>
      <c r="I1615" s="31" t="s">
        <v>7772</v>
      </c>
      <c r="J1615" s="31" t="s">
        <v>7773</v>
      </c>
      <c r="K1615" s="31" t="s">
        <v>7774</v>
      </c>
      <c r="L1615" s="31" t="s">
        <v>5150</v>
      </c>
      <c r="M1615" s="31" t="s">
        <v>5176</v>
      </c>
    </row>
    <row r="1616" customFormat="false" ht="43.5" hidden="false" customHeight="true" outlineLevel="0" collapsed="false">
      <c r="A1616" s="30" t="s">
        <v>7775</v>
      </c>
      <c r="B1616" s="31" t="s">
        <v>7776</v>
      </c>
      <c r="C1616" s="31" t="s">
        <v>61</v>
      </c>
      <c r="D1616" s="31" t="s">
        <v>4630</v>
      </c>
      <c r="E1616" s="31" t="str">
        <f aca="false">IF(D1616="","",IFERROR(VLOOKUP(D1616,$A$2:$B$1656,2,FALSE()),""))</f>
        <v>Resource and Casting Models</v>
      </c>
      <c r="F1616" s="31" t="n">
        <v>3</v>
      </c>
      <c r="G1616" s="31" t="s">
        <v>7777</v>
      </c>
      <c r="H1616" s="31" t="s">
        <v>7778</v>
      </c>
      <c r="I1616" s="31" t="s">
        <v>7779</v>
      </c>
      <c r="J1616" s="31" t="s">
        <v>7780</v>
      </c>
      <c r="K1616" s="31" t="s">
        <v>7781</v>
      </c>
      <c r="L1616" s="31" t="s">
        <v>5150</v>
      </c>
      <c r="M1616" s="31" t="s">
        <v>5176</v>
      </c>
    </row>
    <row r="1617" customFormat="false" ht="43.5" hidden="false" customHeight="true" outlineLevel="0" collapsed="false">
      <c r="A1617" s="30" t="s">
        <v>7782</v>
      </c>
      <c r="B1617" s="31" t="s">
        <v>7783</v>
      </c>
      <c r="C1617" s="31" t="s">
        <v>61</v>
      </c>
      <c r="D1617" s="31" t="s">
        <v>4633</v>
      </c>
      <c r="E1617" s="31" t="str">
        <f aca="false">IF(D1617="","",IFERROR(VLOOKUP(D1617,$A$2:$B$1656,2,FALSE()),""))</f>
        <v>Progression and Build Models</v>
      </c>
      <c r="F1617" s="31" t="n">
        <v>3</v>
      </c>
      <c r="G1617" s="31" t="s">
        <v>7784</v>
      </c>
      <c r="H1617" s="31" t="s">
        <v>7785</v>
      </c>
      <c r="I1617" s="31" t="s">
        <v>7786</v>
      </c>
      <c r="J1617" s="31" t="s">
        <v>7787</v>
      </c>
      <c r="K1617" s="31" t="s">
        <v>7788</v>
      </c>
      <c r="L1617" s="31" t="s">
        <v>5150</v>
      </c>
      <c r="M1617" s="31" t="s">
        <v>5176</v>
      </c>
    </row>
    <row r="1618" customFormat="false" ht="43.5" hidden="false" customHeight="true" outlineLevel="0" collapsed="false">
      <c r="A1618" s="30" t="s">
        <v>7789</v>
      </c>
      <c r="B1618" s="31" t="s">
        <v>7790</v>
      </c>
      <c r="C1618" s="31" t="s">
        <v>61</v>
      </c>
      <c r="D1618" s="31" t="s">
        <v>4633</v>
      </c>
      <c r="E1618" s="31" t="str">
        <f aca="false">IF(D1618="","",IFERROR(VLOOKUP(D1618,$A$2:$B$1656,2,FALSE()),""))</f>
        <v>Progression and Build Models</v>
      </c>
      <c r="F1618" s="31" t="n">
        <v>3</v>
      </c>
      <c r="G1618" s="31" t="s">
        <v>7791</v>
      </c>
      <c r="H1618" s="31" t="s">
        <v>7792</v>
      </c>
      <c r="I1618" s="31" t="s">
        <v>7793</v>
      </c>
      <c r="J1618" s="31" t="s">
        <v>7794</v>
      </c>
      <c r="K1618" s="31" t="s">
        <v>7795</v>
      </c>
      <c r="L1618" s="31" t="s">
        <v>5150</v>
      </c>
      <c r="M1618" s="31" t="s">
        <v>5176</v>
      </c>
    </row>
    <row r="1619" customFormat="false" ht="43.5" hidden="false" customHeight="true" outlineLevel="0" collapsed="false">
      <c r="A1619" s="30" t="s">
        <v>7796</v>
      </c>
      <c r="B1619" s="31" t="s">
        <v>7797</v>
      </c>
      <c r="C1619" s="31" t="s">
        <v>61</v>
      </c>
      <c r="D1619" s="31" t="s">
        <v>4630</v>
      </c>
      <c r="E1619" s="31" t="str">
        <f aca="false">IF(D1619="","",IFERROR(VLOOKUP(D1619,$A$2:$B$1656,2,FALSE()),""))</f>
        <v>Resource and Casting Models</v>
      </c>
      <c r="F1619" s="31" t="n">
        <v>3</v>
      </c>
      <c r="G1619" s="31" t="s">
        <v>7798</v>
      </c>
      <c r="H1619" s="31" t="s">
        <v>7799</v>
      </c>
      <c r="I1619" s="31" t="s">
        <v>7800</v>
      </c>
      <c r="J1619" s="31" t="s">
        <v>7801</v>
      </c>
      <c r="K1619" s="31" t="s">
        <v>7802</v>
      </c>
      <c r="L1619" s="31" t="s">
        <v>5150</v>
      </c>
      <c r="M1619" s="31" t="s">
        <v>5176</v>
      </c>
    </row>
    <row r="1620" customFormat="false" ht="43.5" hidden="false" customHeight="true" outlineLevel="0" collapsed="false">
      <c r="A1620" s="30" t="s">
        <v>7803</v>
      </c>
      <c r="B1620" s="31" t="s">
        <v>7804</v>
      </c>
      <c r="C1620" s="31" t="s">
        <v>61</v>
      </c>
      <c r="D1620" s="31" t="s">
        <v>4636</v>
      </c>
      <c r="E1620" s="31" t="str">
        <f aca="false">IF(D1620="","",IFERROR(VLOOKUP(D1620,$A$2:$B$1656,2,FALSE()),""))</f>
        <v>Unit and Encounter Models</v>
      </c>
      <c r="F1620" s="31" t="n">
        <v>3</v>
      </c>
      <c r="G1620" s="31" t="s">
        <v>7805</v>
      </c>
      <c r="H1620" s="31" t="s">
        <v>7806</v>
      </c>
      <c r="I1620" s="31" t="s">
        <v>7807</v>
      </c>
      <c r="J1620" s="31" t="s">
        <v>7808</v>
      </c>
      <c r="K1620" s="31" t="s">
        <v>7809</v>
      </c>
      <c r="L1620" s="31" t="s">
        <v>5150</v>
      </c>
      <c r="M1620" s="31" t="s">
        <v>5176</v>
      </c>
    </row>
    <row r="1621" customFormat="false" ht="43.5" hidden="false" customHeight="true" outlineLevel="0" collapsed="false">
      <c r="A1621" s="30" t="s">
        <v>7810</v>
      </c>
      <c r="B1621" s="31" t="s">
        <v>7811</v>
      </c>
      <c r="C1621" s="31" t="s">
        <v>61</v>
      </c>
      <c r="D1621" s="31" t="s">
        <v>4633</v>
      </c>
      <c r="E1621" s="31" t="str">
        <f aca="false">IF(D1621="","",IFERROR(VLOOKUP(D1621,$A$2:$B$1656,2,FALSE()),""))</f>
        <v>Progression and Build Models</v>
      </c>
      <c r="F1621" s="31" t="n">
        <v>3</v>
      </c>
      <c r="G1621" s="31" t="s">
        <v>7812</v>
      </c>
      <c r="H1621" s="31" t="s">
        <v>7813</v>
      </c>
      <c r="I1621" s="31" t="s">
        <v>7814</v>
      </c>
      <c r="J1621" s="31" t="s">
        <v>7815</v>
      </c>
      <c r="K1621" s="31" t="s">
        <v>7816</v>
      </c>
      <c r="L1621" s="31" t="s">
        <v>5150</v>
      </c>
      <c r="M1621" s="31" t="s">
        <v>5176</v>
      </c>
    </row>
    <row r="1622" customFormat="false" ht="43.5" hidden="false" customHeight="true" outlineLevel="0" collapsed="false">
      <c r="A1622" s="30" t="s">
        <v>7817</v>
      </c>
      <c r="B1622" s="31" t="s">
        <v>7818</v>
      </c>
      <c r="C1622" s="31" t="s">
        <v>61</v>
      </c>
      <c r="D1622" s="31" t="s">
        <v>4633</v>
      </c>
      <c r="E1622" s="31" t="str">
        <f aca="false">IF(D1622="","",IFERROR(VLOOKUP(D1622,$A$2:$B$1656,2,FALSE()),""))</f>
        <v>Progression and Build Models</v>
      </c>
      <c r="F1622" s="31" t="n">
        <v>3</v>
      </c>
      <c r="G1622" s="31" t="s">
        <v>7819</v>
      </c>
      <c r="H1622" s="31" t="s">
        <v>7820</v>
      </c>
      <c r="I1622" s="31" t="s">
        <v>7821</v>
      </c>
      <c r="J1622" s="31" t="s">
        <v>7822</v>
      </c>
      <c r="K1622" s="31" t="s">
        <v>7823</v>
      </c>
      <c r="L1622" s="31" t="s">
        <v>5150</v>
      </c>
      <c r="M1622" s="31" t="s">
        <v>5176</v>
      </c>
    </row>
    <row r="1623" customFormat="false" ht="43.5" hidden="false" customHeight="true" outlineLevel="0" collapsed="false">
      <c r="A1623" s="30" t="s">
        <v>7824</v>
      </c>
      <c r="B1623" s="31" t="s">
        <v>7825</v>
      </c>
      <c r="C1623" s="31" t="s">
        <v>61</v>
      </c>
      <c r="D1623" s="31" t="s">
        <v>4625</v>
      </c>
      <c r="E1623" s="31" t="str">
        <f aca="false">IF(D1623="","",IFERROR(VLOOKUP(D1623,$A$2:$B$1656,2,FALSE()),""))</f>
        <v>Combat Function Archetypes</v>
      </c>
      <c r="F1623" s="31" t="n">
        <v>3</v>
      </c>
      <c r="G1623" s="31" t="s">
        <v>7826</v>
      </c>
      <c r="H1623" s="31" t="s">
        <v>7827</v>
      </c>
      <c r="I1623" s="31" t="s">
        <v>7828</v>
      </c>
      <c r="J1623" s="31" t="s">
        <v>7829</v>
      </c>
      <c r="K1623" s="31" t="s">
        <v>7830</v>
      </c>
      <c r="L1623" s="31" t="s">
        <v>5150</v>
      </c>
      <c r="M1623" s="31" t="s">
        <v>5176</v>
      </c>
    </row>
    <row r="1624" customFormat="false" ht="43.5" hidden="false" customHeight="true" outlineLevel="0" collapsed="false">
      <c r="A1624" s="30" t="s">
        <v>7831</v>
      </c>
      <c r="B1624" s="31" t="s">
        <v>7832</v>
      </c>
      <c r="C1624" s="31" t="s">
        <v>61</v>
      </c>
      <c r="D1624" s="31" t="s">
        <v>4633</v>
      </c>
      <c r="E1624" s="31" t="str">
        <f aca="false">IF(D1624="","",IFERROR(VLOOKUP(D1624,$A$2:$B$1656,2,FALSE()),""))</f>
        <v>Progression and Build Models</v>
      </c>
      <c r="F1624" s="31" t="n">
        <v>3</v>
      </c>
      <c r="G1624" s="31" t="s">
        <v>7833</v>
      </c>
      <c r="H1624" s="31" t="s">
        <v>7834</v>
      </c>
      <c r="I1624" s="31" t="s">
        <v>7835</v>
      </c>
      <c r="J1624" s="31" t="s">
        <v>7836</v>
      </c>
      <c r="K1624" s="31" t="s">
        <v>7837</v>
      </c>
      <c r="L1624" s="31" t="s">
        <v>5150</v>
      </c>
      <c r="M1624" s="31" t="s">
        <v>5176</v>
      </c>
    </row>
    <row r="1625" customFormat="false" ht="43.5" hidden="false" customHeight="true" outlineLevel="0" collapsed="false">
      <c r="A1625" s="30" t="s">
        <v>7838</v>
      </c>
      <c r="B1625" s="31" t="s">
        <v>7839</v>
      </c>
      <c r="C1625" s="31" t="s">
        <v>61</v>
      </c>
      <c r="D1625" s="31" t="s">
        <v>4633</v>
      </c>
      <c r="E1625" s="31" t="str">
        <f aca="false">IF(D1625="","",IFERROR(VLOOKUP(D1625,$A$2:$B$1656,2,FALSE()),""))</f>
        <v>Progression and Build Models</v>
      </c>
      <c r="F1625" s="31" t="n">
        <v>3</v>
      </c>
      <c r="G1625" s="31" t="s">
        <v>7840</v>
      </c>
      <c r="H1625" s="31" t="s">
        <v>7841</v>
      </c>
      <c r="I1625" s="31" t="s">
        <v>7842</v>
      </c>
      <c r="J1625" s="31" t="s">
        <v>7843</v>
      </c>
      <c r="K1625" s="31" t="s">
        <v>7844</v>
      </c>
      <c r="L1625" s="31" t="s">
        <v>5150</v>
      </c>
      <c r="M1625" s="31" t="s">
        <v>5176</v>
      </c>
    </row>
    <row r="1626" customFormat="false" ht="43.5" hidden="false" customHeight="true" outlineLevel="0" collapsed="false">
      <c r="A1626" s="30" t="s">
        <v>7845</v>
      </c>
      <c r="B1626" s="31" t="s">
        <v>7846</v>
      </c>
      <c r="C1626" s="31" t="s">
        <v>61</v>
      </c>
      <c r="D1626" s="31" t="s">
        <v>4630</v>
      </c>
      <c r="E1626" s="31" t="str">
        <f aca="false">IF(D1626="","",IFERROR(VLOOKUP(D1626,$A$2:$B$1656,2,FALSE()),""))</f>
        <v>Resource and Casting Models</v>
      </c>
      <c r="F1626" s="31" t="n">
        <v>3</v>
      </c>
      <c r="G1626" s="31" t="s">
        <v>7847</v>
      </c>
      <c r="H1626" s="31" t="s">
        <v>7848</v>
      </c>
      <c r="I1626" s="31" t="s">
        <v>7849</v>
      </c>
      <c r="J1626" s="31" t="s">
        <v>7850</v>
      </c>
      <c r="K1626" s="31" t="s">
        <v>7851</v>
      </c>
      <c r="L1626" s="31" t="s">
        <v>5150</v>
      </c>
      <c r="M1626" s="31" t="s">
        <v>5176</v>
      </c>
    </row>
    <row r="1627" customFormat="false" ht="43.5" hidden="false" customHeight="true" outlineLevel="0" collapsed="false">
      <c r="A1627" s="30" t="s">
        <v>7852</v>
      </c>
      <c r="B1627" s="31" t="s">
        <v>7853</v>
      </c>
      <c r="C1627" s="31" t="s">
        <v>61</v>
      </c>
      <c r="D1627" s="31" t="s">
        <v>4625</v>
      </c>
      <c r="E1627" s="31" t="str">
        <f aca="false">IF(D1627="","",IFERROR(VLOOKUP(D1627,$A$2:$B$1656,2,FALSE()),""))</f>
        <v>Combat Function Archetypes</v>
      </c>
      <c r="F1627" s="31" t="n">
        <v>3</v>
      </c>
      <c r="G1627" s="31" t="s">
        <v>7854</v>
      </c>
      <c r="H1627" s="31" t="s">
        <v>7855</v>
      </c>
      <c r="I1627" s="31" t="s">
        <v>7856</v>
      </c>
      <c r="J1627" s="31" t="s">
        <v>7857</v>
      </c>
      <c r="K1627" s="31" t="s">
        <v>7858</v>
      </c>
      <c r="L1627" s="31" t="s">
        <v>5150</v>
      </c>
      <c r="M1627" s="31" t="s">
        <v>5176</v>
      </c>
    </row>
    <row r="1628" customFormat="false" ht="43.5" hidden="false" customHeight="true" outlineLevel="0" collapsed="false">
      <c r="A1628" s="30" t="s">
        <v>7859</v>
      </c>
      <c r="B1628" s="31" t="s">
        <v>7860</v>
      </c>
      <c r="C1628" s="31" t="s">
        <v>61</v>
      </c>
      <c r="D1628" s="31" t="s">
        <v>4630</v>
      </c>
      <c r="E1628" s="31" t="str">
        <f aca="false">IF(D1628="","",IFERROR(VLOOKUP(D1628,$A$2:$B$1656,2,FALSE()),""))</f>
        <v>Resource and Casting Models</v>
      </c>
      <c r="F1628" s="31" t="n">
        <v>3</v>
      </c>
      <c r="G1628" s="31" t="s">
        <v>7861</v>
      </c>
      <c r="H1628" s="31" t="s">
        <v>7862</v>
      </c>
      <c r="I1628" s="31" t="s">
        <v>7863</v>
      </c>
      <c r="J1628" s="31" t="s">
        <v>7864</v>
      </c>
      <c r="K1628" s="31" t="s">
        <v>7865</v>
      </c>
      <c r="L1628" s="31" t="s">
        <v>5150</v>
      </c>
      <c r="M1628" s="31" t="s">
        <v>5176</v>
      </c>
    </row>
    <row r="1629" customFormat="false" ht="43.5" hidden="false" customHeight="true" outlineLevel="0" collapsed="false">
      <c r="A1629" s="30" t="s">
        <v>7866</v>
      </c>
      <c r="B1629" s="31" t="s">
        <v>7867</v>
      </c>
      <c r="C1629" s="31" t="s">
        <v>61</v>
      </c>
      <c r="D1629" s="31" t="s">
        <v>4633</v>
      </c>
      <c r="E1629" s="31" t="str">
        <f aca="false">IF(D1629="","",IFERROR(VLOOKUP(D1629,$A$2:$B$1656,2,FALSE()),""))</f>
        <v>Progression and Build Models</v>
      </c>
      <c r="F1629" s="31" t="n">
        <v>3</v>
      </c>
      <c r="G1629" s="31" t="s">
        <v>7868</v>
      </c>
      <c r="H1629" s="31" t="s">
        <v>7869</v>
      </c>
      <c r="I1629" s="31" t="s">
        <v>7870</v>
      </c>
      <c r="J1629" s="31" t="s">
        <v>7871</v>
      </c>
      <c r="K1629" s="31" t="s">
        <v>7872</v>
      </c>
      <c r="L1629" s="31" t="s">
        <v>5150</v>
      </c>
      <c r="M1629" s="31" t="s">
        <v>5176</v>
      </c>
    </row>
    <row r="1630" customFormat="false" ht="43.5" hidden="false" customHeight="true" outlineLevel="0" collapsed="false">
      <c r="A1630" s="30" t="s">
        <v>7873</v>
      </c>
      <c r="B1630" s="31" t="s">
        <v>7874</v>
      </c>
      <c r="C1630" s="31" t="s">
        <v>61</v>
      </c>
      <c r="D1630" s="31" t="s">
        <v>4636</v>
      </c>
      <c r="E1630" s="31" t="str">
        <f aca="false">IF(D1630="","",IFERROR(VLOOKUP(D1630,$A$2:$B$1656,2,FALSE()),""))</f>
        <v>Unit and Encounter Models</v>
      </c>
      <c r="F1630" s="31" t="n">
        <v>3</v>
      </c>
      <c r="G1630" s="31" t="s">
        <v>7875</v>
      </c>
      <c r="H1630" s="31" t="s">
        <v>7876</v>
      </c>
      <c r="I1630" s="31" t="s">
        <v>7877</v>
      </c>
      <c r="J1630" s="31" t="s">
        <v>7878</v>
      </c>
      <c r="K1630" s="31" t="s">
        <v>7879</v>
      </c>
      <c r="L1630" s="31" t="s">
        <v>5150</v>
      </c>
      <c r="M1630" s="31" t="s">
        <v>5176</v>
      </c>
    </row>
    <row r="1631" customFormat="false" ht="43.5" hidden="false" customHeight="true" outlineLevel="0" collapsed="false">
      <c r="A1631" s="30" t="s">
        <v>7880</v>
      </c>
      <c r="B1631" s="31" t="s">
        <v>7881</v>
      </c>
      <c r="C1631" s="31" t="s">
        <v>61</v>
      </c>
      <c r="D1631" s="31" t="s">
        <v>4636</v>
      </c>
      <c r="E1631" s="31" t="str">
        <f aca="false">IF(D1631="","",IFERROR(VLOOKUP(D1631,$A$2:$B$1656,2,FALSE()),""))</f>
        <v>Unit and Encounter Models</v>
      </c>
      <c r="F1631" s="31" t="n">
        <v>3</v>
      </c>
      <c r="G1631" s="31" t="s">
        <v>7882</v>
      </c>
      <c r="H1631" s="31" t="s">
        <v>7883</v>
      </c>
      <c r="I1631" s="31" t="s">
        <v>7884</v>
      </c>
      <c r="J1631" s="31" t="s">
        <v>7885</v>
      </c>
      <c r="K1631" s="31" t="s">
        <v>7886</v>
      </c>
      <c r="L1631" s="31" t="s">
        <v>5150</v>
      </c>
      <c r="M1631" s="31" t="s">
        <v>5176</v>
      </c>
    </row>
    <row r="1632" customFormat="false" ht="43.5" hidden="false" customHeight="true" outlineLevel="0" collapsed="false">
      <c r="A1632" s="30" t="s">
        <v>7887</v>
      </c>
      <c r="B1632" s="31" t="s">
        <v>7888</v>
      </c>
      <c r="C1632" s="31" t="s">
        <v>61</v>
      </c>
      <c r="D1632" s="31" t="s">
        <v>4636</v>
      </c>
      <c r="E1632" s="31" t="str">
        <f aca="false">IF(D1632="","",IFERROR(VLOOKUP(D1632,$A$2:$B$1656,2,FALSE()),""))</f>
        <v>Unit and Encounter Models</v>
      </c>
      <c r="F1632" s="31" t="n">
        <v>3</v>
      </c>
      <c r="G1632" s="31" t="s">
        <v>7889</v>
      </c>
      <c r="H1632" s="31" t="s">
        <v>7890</v>
      </c>
      <c r="I1632" s="31" t="s">
        <v>7891</v>
      </c>
      <c r="J1632" s="31" t="s">
        <v>7892</v>
      </c>
      <c r="K1632" s="31" t="s">
        <v>7893</v>
      </c>
      <c r="L1632" s="31" t="s">
        <v>5150</v>
      </c>
      <c r="M1632" s="31" t="s">
        <v>5176</v>
      </c>
    </row>
    <row r="1633" customFormat="false" ht="43.5" hidden="false" customHeight="true" outlineLevel="0" collapsed="false">
      <c r="A1633" s="30" t="s">
        <v>7894</v>
      </c>
      <c r="B1633" s="31" t="s">
        <v>7895</v>
      </c>
      <c r="C1633" s="31" t="s">
        <v>53</v>
      </c>
      <c r="D1633" s="31" t="s">
        <v>2764</v>
      </c>
      <c r="E1633" s="31" t="str">
        <f aca="false">IF(D1633="","",IFERROR(VLOOKUP(D1633,$A$2:$B$1656,2,FALSE()),""))</f>
        <v>Spiritual and Identity States</v>
      </c>
      <c r="F1633" s="31" t="n">
        <v>3</v>
      </c>
      <c r="G1633" s="31" t="s">
        <v>7896</v>
      </c>
      <c r="H1633" s="31" t="s">
        <v>7897</v>
      </c>
      <c r="I1633" s="31" t="s">
        <v>7898</v>
      </c>
      <c r="J1633" s="31" t="s">
        <v>7899</v>
      </c>
      <c r="K1633" s="31" t="s">
        <v>7900</v>
      </c>
      <c r="L1633" s="31" t="s">
        <v>5150</v>
      </c>
      <c r="M1633" s="31" t="s">
        <v>5176</v>
      </c>
    </row>
    <row r="1634" customFormat="false" ht="43.5" hidden="false" customHeight="true" outlineLevel="0" collapsed="false">
      <c r="A1634" s="30" t="s">
        <v>7901</v>
      </c>
      <c r="B1634" s="31" t="s">
        <v>7902</v>
      </c>
      <c r="C1634" s="31" t="s">
        <v>53</v>
      </c>
      <c r="D1634" s="31" t="s">
        <v>2767</v>
      </c>
      <c r="E1634" s="31" t="str">
        <f aca="false">IF(D1634="","",IFERROR(VLOOKUP(D1634,$A$2:$B$1656,2,FALSE()),""))</f>
        <v>Empowerment, Bond, and Alignment States</v>
      </c>
      <c r="F1634" s="31" t="n">
        <v>3</v>
      </c>
      <c r="G1634" s="31" t="s">
        <v>7903</v>
      </c>
      <c r="H1634" s="31" t="s">
        <v>7904</v>
      </c>
      <c r="I1634" s="31" t="s">
        <v>7905</v>
      </c>
      <c r="J1634" s="31" t="s">
        <v>7906</v>
      </c>
      <c r="K1634" s="31" t="s">
        <v>7907</v>
      </c>
      <c r="L1634" s="31" t="s">
        <v>5150</v>
      </c>
      <c r="M1634" s="31" t="s">
        <v>5176</v>
      </c>
    </row>
    <row r="1635" customFormat="false" ht="43.5" hidden="false" customHeight="true" outlineLevel="0" collapsed="false">
      <c r="A1635" s="30" t="s">
        <v>7908</v>
      </c>
      <c r="B1635" s="31" t="s">
        <v>7909</v>
      </c>
      <c r="C1635" s="31" t="s">
        <v>53</v>
      </c>
      <c r="D1635" s="31" t="s">
        <v>2764</v>
      </c>
      <c r="E1635" s="31" t="str">
        <f aca="false">IF(D1635="","",IFERROR(VLOOKUP(D1635,$A$2:$B$1656,2,FALSE()),""))</f>
        <v>Spiritual and Identity States</v>
      </c>
      <c r="F1635" s="31" t="n">
        <v>3</v>
      </c>
      <c r="G1635" s="31" t="s">
        <v>7910</v>
      </c>
      <c r="H1635" s="31" t="s">
        <v>7911</v>
      </c>
      <c r="I1635" s="31" t="s">
        <v>7912</v>
      </c>
      <c r="J1635" s="31" t="s">
        <v>7913</v>
      </c>
      <c r="K1635" s="31" t="s">
        <v>7914</v>
      </c>
      <c r="L1635" s="31" t="s">
        <v>5150</v>
      </c>
      <c r="M1635" s="31" t="s">
        <v>5176</v>
      </c>
    </row>
    <row r="1636" customFormat="false" ht="43.5" hidden="false" customHeight="true" outlineLevel="0" collapsed="false">
      <c r="A1636" s="30" t="s">
        <v>7915</v>
      </c>
      <c r="B1636" s="31" t="s">
        <v>7916</v>
      </c>
      <c r="C1636" s="31" t="s">
        <v>53</v>
      </c>
      <c r="D1636" s="31" t="s">
        <v>2764</v>
      </c>
      <c r="E1636" s="31" t="str">
        <f aca="false">IF(D1636="","",IFERROR(VLOOKUP(D1636,$A$2:$B$1656,2,FALSE()),""))</f>
        <v>Spiritual and Identity States</v>
      </c>
      <c r="F1636" s="31" t="n">
        <v>3</v>
      </c>
      <c r="G1636" s="31" t="s">
        <v>7917</v>
      </c>
      <c r="H1636" s="31" t="s">
        <v>7918</v>
      </c>
      <c r="I1636" s="31" t="s">
        <v>7919</v>
      </c>
      <c r="J1636" s="31" t="s">
        <v>7920</v>
      </c>
      <c r="K1636" s="31" t="s">
        <v>7921</v>
      </c>
      <c r="L1636" s="31" t="s">
        <v>5150</v>
      </c>
      <c r="M1636" s="31" t="s">
        <v>5176</v>
      </c>
    </row>
    <row r="1637" customFormat="false" ht="43.5" hidden="false" customHeight="true" outlineLevel="0" collapsed="false">
      <c r="A1637" s="30" t="s">
        <v>7922</v>
      </c>
      <c r="B1637" s="31" t="s">
        <v>7923</v>
      </c>
      <c r="C1637" s="31" t="s">
        <v>57</v>
      </c>
      <c r="D1637" s="31" t="s">
        <v>3589</v>
      </c>
      <c r="E1637" s="31" t="str">
        <f aca="false">IF(D1637="","",IFERROR(VLOOKUP(D1637,$A$2:$B$1656,2,FALSE()),""))</f>
        <v>Plot and Journey Archetypes</v>
      </c>
      <c r="F1637" s="31" t="n">
        <v>3</v>
      </c>
      <c r="G1637" s="31" t="s">
        <v>7924</v>
      </c>
      <c r="H1637" s="31" t="s">
        <v>7925</v>
      </c>
      <c r="I1637" s="31" t="s">
        <v>7926</v>
      </c>
      <c r="J1637" s="31" t="s">
        <v>7927</v>
      </c>
      <c r="K1637" s="31" t="s">
        <v>7928</v>
      </c>
      <c r="L1637" s="31" t="s">
        <v>5150</v>
      </c>
      <c r="M1637" s="31" t="s">
        <v>5176</v>
      </c>
    </row>
    <row r="1638" customFormat="false" ht="43.5" hidden="false" customHeight="true" outlineLevel="0" collapsed="false">
      <c r="A1638" s="30" t="s">
        <v>7929</v>
      </c>
      <c r="B1638" s="31" t="s">
        <v>7930</v>
      </c>
      <c r="C1638" s="31" t="s">
        <v>57</v>
      </c>
      <c r="D1638" s="31" t="s">
        <v>3583</v>
      </c>
      <c r="E1638" s="31" t="str">
        <f aca="false">IF(D1638="","",IFERROR(VLOOKUP(D1638,$A$2:$B$1656,2,FALSE()),""))</f>
        <v>Companion, Mentor, and Party Archetypes</v>
      </c>
      <c r="F1638" s="31" t="n">
        <v>3</v>
      </c>
      <c r="G1638" s="31" t="s">
        <v>7931</v>
      </c>
      <c r="H1638" s="31" t="s">
        <v>7932</v>
      </c>
      <c r="I1638" s="31" t="s">
        <v>7933</v>
      </c>
      <c r="J1638" s="31" t="s">
        <v>7934</v>
      </c>
      <c r="K1638" s="31" t="s">
        <v>7935</v>
      </c>
      <c r="L1638" s="31" t="s">
        <v>5150</v>
      </c>
      <c r="M1638" s="31" t="s">
        <v>5176</v>
      </c>
    </row>
    <row r="1639" customFormat="false" ht="43.5" hidden="false" customHeight="true" outlineLevel="0" collapsed="false">
      <c r="A1639" s="30" t="s">
        <v>7936</v>
      </c>
      <c r="B1639" s="31" t="s">
        <v>7937</v>
      </c>
      <c r="C1639" s="31" t="s">
        <v>57</v>
      </c>
      <c r="D1639" s="31" t="s">
        <v>3589</v>
      </c>
      <c r="E1639" s="31" t="str">
        <f aca="false">IF(D1639="","",IFERROR(VLOOKUP(D1639,$A$2:$B$1656,2,FALSE()),""))</f>
        <v>Plot and Journey Archetypes</v>
      </c>
      <c r="F1639" s="31" t="n">
        <v>3</v>
      </c>
      <c r="G1639" s="31" t="s">
        <v>7938</v>
      </c>
      <c r="H1639" s="31" t="s">
        <v>7939</v>
      </c>
      <c r="I1639" s="31" t="s">
        <v>7940</v>
      </c>
      <c r="J1639" s="31" t="s">
        <v>7941</v>
      </c>
      <c r="K1639" s="31" t="s">
        <v>7942</v>
      </c>
      <c r="L1639" s="31" t="s">
        <v>5150</v>
      </c>
      <c r="M1639" s="31" t="s">
        <v>5176</v>
      </c>
    </row>
    <row r="1640" customFormat="false" ht="43.5" hidden="false" customHeight="true" outlineLevel="0" collapsed="false">
      <c r="A1640" s="30" t="s">
        <v>7943</v>
      </c>
      <c r="B1640" s="31" t="s">
        <v>7944</v>
      </c>
      <c r="C1640" s="31" t="s">
        <v>55</v>
      </c>
      <c r="D1640" s="31" t="s">
        <v>3246</v>
      </c>
      <c r="E1640" s="31" t="str">
        <f aca="false">IF(D1640="","",IFERROR(VLOOKUP(D1640,$A$2:$B$1656,2,FALSE()),""))</f>
        <v>Professional and Economic Organizations</v>
      </c>
      <c r="F1640" s="31" t="n">
        <v>3</v>
      </c>
      <c r="G1640" s="31" t="s">
        <v>7945</v>
      </c>
      <c r="H1640" s="31" t="s">
        <v>7946</v>
      </c>
      <c r="I1640" s="31" t="s">
        <v>7947</v>
      </c>
      <c r="J1640" s="31" t="s">
        <v>7948</v>
      </c>
      <c r="K1640" s="31" t="s">
        <v>7949</v>
      </c>
      <c r="L1640" s="31" t="s">
        <v>5150</v>
      </c>
      <c r="M1640" s="31" t="s">
        <v>5176</v>
      </c>
    </row>
    <row r="1641" customFormat="false" ht="43.5" hidden="false" customHeight="true" outlineLevel="0" collapsed="false">
      <c r="A1641" s="30" t="s">
        <v>7950</v>
      </c>
      <c r="B1641" s="31" t="s">
        <v>7951</v>
      </c>
      <c r="C1641" s="31" t="s">
        <v>49</v>
      </c>
      <c r="D1641" s="31" t="s">
        <v>916</v>
      </c>
      <c r="E1641" s="31" t="str">
        <f aca="false">IF(D1641="","",IFERROR(VLOOKUP(D1641,$A$2:$B$1656,2,FALSE()),""))</f>
        <v>Divine and Religious Roles</v>
      </c>
      <c r="F1641" s="31" t="n">
        <v>3</v>
      </c>
      <c r="G1641" s="31" t="s">
        <v>7952</v>
      </c>
      <c r="H1641" s="31" t="s">
        <v>7953</v>
      </c>
      <c r="I1641" s="31" t="s">
        <v>7954</v>
      </c>
      <c r="J1641" s="31" t="s">
        <v>7955</v>
      </c>
      <c r="K1641" s="31" t="s">
        <v>7956</v>
      </c>
      <c r="L1641" s="31" t="s">
        <v>5150</v>
      </c>
      <c r="M1641" s="31" t="s">
        <v>5176</v>
      </c>
    </row>
    <row r="1642" customFormat="false" ht="43.5" hidden="false" customHeight="true" outlineLevel="0" collapsed="false">
      <c r="A1642" s="30" t="s">
        <v>7957</v>
      </c>
      <c r="B1642" s="31" t="s">
        <v>7958</v>
      </c>
      <c r="C1642" s="31" t="s">
        <v>49</v>
      </c>
      <c r="D1642" s="31" t="s">
        <v>925</v>
      </c>
      <c r="E1642" s="31" t="str">
        <f aca="false">IF(D1642="","",IFERROR(VLOOKUP(D1642,$A$2:$B$1656,2,FALSE()),""))</f>
        <v>Leadership and Social Office Roles</v>
      </c>
      <c r="F1642" s="31" t="n">
        <v>3</v>
      </c>
      <c r="G1642" s="31" t="s">
        <v>7959</v>
      </c>
      <c r="H1642" s="31" t="s">
        <v>7960</v>
      </c>
      <c r="I1642" s="31" t="s">
        <v>7961</v>
      </c>
      <c r="J1642" s="31" t="s">
        <v>7962</v>
      </c>
      <c r="K1642" s="31" t="s">
        <v>7963</v>
      </c>
      <c r="L1642" s="31" t="s">
        <v>5150</v>
      </c>
      <c r="M1642" s="31" t="s">
        <v>5176</v>
      </c>
    </row>
    <row r="1643" customFormat="false" ht="43.5" hidden="false" customHeight="true" outlineLevel="0" collapsed="false">
      <c r="A1643" s="30" t="s">
        <v>7964</v>
      </c>
      <c r="B1643" s="31" t="s">
        <v>7965</v>
      </c>
      <c r="C1643" s="31" t="s">
        <v>49</v>
      </c>
      <c r="D1643" s="31" t="s">
        <v>922</v>
      </c>
      <c r="E1643" s="31" t="str">
        <f aca="false">IF(D1643="","",IFERROR(VLOOKUP(D1643,$A$2:$B$1656,2,FALSE()),""))</f>
        <v>Healing, Craft, and Knowledge Roles</v>
      </c>
      <c r="F1643" s="31" t="n">
        <v>3</v>
      </c>
      <c r="G1643" s="31" t="s">
        <v>7966</v>
      </c>
      <c r="H1643" s="31" t="s">
        <v>7967</v>
      </c>
      <c r="I1643" s="31" t="s">
        <v>7968</v>
      </c>
      <c r="J1643" s="31" t="s">
        <v>7969</v>
      </c>
      <c r="K1643" s="31" t="s">
        <v>7970</v>
      </c>
      <c r="L1643" s="31" t="s">
        <v>5150</v>
      </c>
      <c r="M1643" s="31" t="s">
        <v>5176</v>
      </c>
    </row>
    <row r="1644" customFormat="false" ht="43.5" hidden="false" customHeight="true" outlineLevel="0" collapsed="false">
      <c r="A1644" s="30" t="s">
        <v>7971</v>
      </c>
      <c r="B1644" s="31" t="s">
        <v>7972</v>
      </c>
      <c r="C1644" s="31" t="s">
        <v>55</v>
      </c>
      <c r="D1644" s="31" t="s">
        <v>3254</v>
      </c>
      <c r="E1644" s="31" t="str">
        <f aca="false">IF(D1644="","",IFERROR(VLOOKUP(D1644,$A$2:$B$1656,2,FALSE()),""))</f>
        <v>Religious and Magical Organizations</v>
      </c>
      <c r="F1644" s="31" t="n">
        <v>3</v>
      </c>
      <c r="G1644" s="31" t="s">
        <v>7973</v>
      </c>
      <c r="H1644" s="31" t="s">
        <v>7974</v>
      </c>
      <c r="I1644" s="31" t="s">
        <v>7975</v>
      </c>
      <c r="J1644" s="31" t="s">
        <v>7976</v>
      </c>
      <c r="K1644" s="31" t="s">
        <v>7977</v>
      </c>
      <c r="L1644" s="31" t="s">
        <v>5150</v>
      </c>
      <c r="M1644" s="31" t="s">
        <v>5176</v>
      </c>
    </row>
    <row r="1645" customFormat="false" ht="43.5" hidden="false" customHeight="true" outlineLevel="0" collapsed="false">
      <c r="A1645" s="30" t="s">
        <v>7978</v>
      </c>
      <c r="B1645" s="31" t="s">
        <v>7979</v>
      </c>
      <c r="C1645" s="31" t="s">
        <v>55</v>
      </c>
      <c r="D1645" s="31" t="s">
        <v>3254</v>
      </c>
      <c r="E1645" s="31" t="str">
        <f aca="false">IF(D1645="","",IFERROR(VLOOKUP(D1645,$A$2:$B$1656,2,FALSE()),""))</f>
        <v>Religious and Magical Organizations</v>
      </c>
      <c r="F1645" s="31" t="n">
        <v>3</v>
      </c>
      <c r="G1645" s="31" t="s">
        <v>7980</v>
      </c>
      <c r="H1645" s="31" t="s">
        <v>7981</v>
      </c>
      <c r="I1645" s="31" t="s">
        <v>7982</v>
      </c>
      <c r="J1645" s="31" t="s">
        <v>7983</v>
      </c>
      <c r="K1645" s="31" t="s">
        <v>7984</v>
      </c>
      <c r="L1645" s="31" t="s">
        <v>5150</v>
      </c>
      <c r="M1645" s="31" t="s">
        <v>5176</v>
      </c>
    </row>
    <row r="1646" customFormat="false" ht="43.5" hidden="false" customHeight="true" outlineLevel="0" collapsed="false">
      <c r="A1646" s="30" t="s">
        <v>7985</v>
      </c>
      <c r="B1646" s="31" t="s">
        <v>7986</v>
      </c>
      <c r="C1646" s="31" t="s">
        <v>55</v>
      </c>
      <c r="D1646" s="31" t="s">
        <v>3257</v>
      </c>
      <c r="E1646" s="31" t="str">
        <f aca="false">IF(D1646="","",IFERROR(VLOOKUP(D1646,$A$2:$B$1656,2,FALSE()),""))</f>
        <v>Kinship, Political, and Secret Organizations</v>
      </c>
      <c r="F1646" s="31" t="n">
        <v>3</v>
      </c>
      <c r="G1646" s="31" t="s">
        <v>7987</v>
      </c>
      <c r="H1646" s="31" t="s">
        <v>7988</v>
      </c>
      <c r="I1646" s="31" t="s">
        <v>7989</v>
      </c>
      <c r="J1646" s="31" t="s">
        <v>7990</v>
      </c>
      <c r="K1646" s="31" t="s">
        <v>7991</v>
      </c>
      <c r="L1646" s="31" t="s">
        <v>5150</v>
      </c>
      <c r="M1646" s="31" t="s">
        <v>5176</v>
      </c>
    </row>
    <row r="1647" customFormat="false" ht="43.5" hidden="false" customHeight="true" outlineLevel="0" collapsed="false">
      <c r="A1647" s="30" t="s">
        <v>7992</v>
      </c>
      <c r="B1647" s="31" t="s">
        <v>7993</v>
      </c>
      <c r="C1647" s="31" t="s">
        <v>55</v>
      </c>
      <c r="D1647" s="31" t="s">
        <v>3257</v>
      </c>
      <c r="E1647" s="31" t="str">
        <f aca="false">IF(D1647="","",IFERROR(VLOOKUP(D1647,$A$2:$B$1656,2,FALSE()),""))</f>
        <v>Kinship, Political, and Secret Organizations</v>
      </c>
      <c r="F1647" s="31" t="n">
        <v>3</v>
      </c>
      <c r="G1647" s="31" t="s">
        <v>7994</v>
      </c>
      <c r="H1647" s="31" t="s">
        <v>7995</v>
      </c>
      <c r="I1647" s="31" t="s">
        <v>7996</v>
      </c>
      <c r="J1647" s="31" t="s">
        <v>7997</v>
      </c>
      <c r="K1647" s="31" t="s">
        <v>7998</v>
      </c>
      <c r="L1647" s="31" t="s">
        <v>5150</v>
      </c>
      <c r="M1647" s="31" t="s">
        <v>5176</v>
      </c>
    </row>
    <row r="1648" customFormat="false" ht="43.5" hidden="false" customHeight="true" outlineLevel="0" collapsed="false">
      <c r="A1648" s="30" t="s">
        <v>7999</v>
      </c>
      <c r="B1648" s="31" t="s">
        <v>8000</v>
      </c>
      <c r="C1648" s="31" t="s">
        <v>57</v>
      </c>
      <c r="D1648" s="31" t="s">
        <v>3583</v>
      </c>
      <c r="E1648" s="31" t="str">
        <f aca="false">IF(D1648="","",IFERROR(VLOOKUP(D1648,$A$2:$B$1656,2,FALSE()),""))</f>
        <v>Companion, Mentor, and Party Archetypes</v>
      </c>
      <c r="F1648" s="31" t="n">
        <v>3</v>
      </c>
      <c r="G1648" s="31" t="s">
        <v>8001</v>
      </c>
      <c r="H1648" s="31" t="s">
        <v>8002</v>
      </c>
      <c r="I1648" s="31" t="s">
        <v>8003</v>
      </c>
      <c r="J1648" s="31" t="s">
        <v>8004</v>
      </c>
      <c r="K1648" s="31" t="s">
        <v>8005</v>
      </c>
      <c r="L1648" s="31" t="s">
        <v>5150</v>
      </c>
      <c r="M1648" s="31" t="s">
        <v>5176</v>
      </c>
    </row>
    <row r="1649" customFormat="false" ht="43.5" hidden="false" customHeight="true" outlineLevel="0" collapsed="false">
      <c r="A1649" s="30" t="s">
        <v>8006</v>
      </c>
      <c r="B1649" s="31" t="s">
        <v>8007</v>
      </c>
      <c r="C1649" s="31" t="s">
        <v>57</v>
      </c>
      <c r="D1649" s="31" t="s">
        <v>3583</v>
      </c>
      <c r="E1649" s="31" t="str">
        <f aca="false">IF(D1649="","",IFERROR(VLOOKUP(D1649,$A$2:$B$1656,2,FALSE()),""))</f>
        <v>Companion, Mentor, and Party Archetypes</v>
      </c>
      <c r="F1649" s="31" t="n">
        <v>3</v>
      </c>
      <c r="G1649" s="31" t="s">
        <v>8008</v>
      </c>
      <c r="H1649" s="31" t="s">
        <v>8009</v>
      </c>
      <c r="I1649" s="31" t="s">
        <v>8010</v>
      </c>
      <c r="J1649" s="31" t="s">
        <v>8011</v>
      </c>
      <c r="K1649" s="31" t="s">
        <v>8012</v>
      </c>
      <c r="L1649" s="31" t="s">
        <v>5150</v>
      </c>
      <c r="M1649" s="31" t="s">
        <v>5176</v>
      </c>
    </row>
    <row r="1650" customFormat="false" ht="43.5" hidden="false" customHeight="true" outlineLevel="0" collapsed="false">
      <c r="A1650" s="30" t="s">
        <v>8013</v>
      </c>
      <c r="B1650" s="31" t="s">
        <v>8014</v>
      </c>
      <c r="C1650" s="31" t="s">
        <v>57</v>
      </c>
      <c r="D1650" s="31" t="s">
        <v>3583</v>
      </c>
      <c r="E1650" s="31" t="str">
        <f aca="false">IF(D1650="","",IFERROR(VLOOKUP(D1650,$A$2:$B$1656,2,FALSE()),""))</f>
        <v>Companion, Mentor, and Party Archetypes</v>
      </c>
      <c r="F1650" s="31" t="n">
        <v>3</v>
      </c>
      <c r="G1650" s="31" t="s">
        <v>8015</v>
      </c>
      <c r="H1650" s="31" t="s">
        <v>8016</v>
      </c>
      <c r="I1650" s="31" t="s">
        <v>8017</v>
      </c>
      <c r="J1650" s="31" t="s">
        <v>8018</v>
      </c>
      <c r="K1650" s="31" t="s">
        <v>8019</v>
      </c>
      <c r="L1650" s="31" t="s">
        <v>5150</v>
      </c>
      <c r="M1650" s="31" t="s">
        <v>5176</v>
      </c>
    </row>
    <row r="1651" customFormat="false" ht="43.5" hidden="false" customHeight="true" outlineLevel="0" collapsed="false">
      <c r="A1651" s="30" t="s">
        <v>8020</v>
      </c>
      <c r="B1651" s="31" t="s">
        <v>8021</v>
      </c>
      <c r="C1651" s="31" t="s">
        <v>57</v>
      </c>
      <c r="D1651" s="31" t="s">
        <v>3589</v>
      </c>
      <c r="E1651" s="31" t="str">
        <f aca="false">IF(D1651="","",IFERROR(VLOOKUP(D1651,$A$2:$B$1656,2,FALSE()),""))</f>
        <v>Plot and Journey Archetypes</v>
      </c>
      <c r="F1651" s="31" t="n">
        <v>3</v>
      </c>
      <c r="G1651" s="31" t="s">
        <v>8022</v>
      </c>
      <c r="H1651" s="31" t="s">
        <v>8023</v>
      </c>
      <c r="I1651" s="31" t="s">
        <v>8024</v>
      </c>
      <c r="J1651" s="31" t="s">
        <v>8025</v>
      </c>
      <c r="K1651" s="31" t="s">
        <v>8026</v>
      </c>
      <c r="L1651" s="31" t="s">
        <v>5150</v>
      </c>
      <c r="M1651" s="31" t="s">
        <v>5176</v>
      </c>
    </row>
    <row r="1652" customFormat="false" ht="43.5" hidden="false" customHeight="true" outlineLevel="0" collapsed="false">
      <c r="A1652" s="30" t="s">
        <v>8027</v>
      </c>
      <c r="B1652" s="31" t="s">
        <v>8028</v>
      </c>
      <c r="C1652" s="31" t="s">
        <v>57</v>
      </c>
      <c r="D1652" s="31" t="s">
        <v>3589</v>
      </c>
      <c r="E1652" s="31" t="str">
        <f aca="false">IF(D1652="","",IFERROR(VLOOKUP(D1652,$A$2:$B$1656,2,FALSE()),""))</f>
        <v>Plot and Journey Archetypes</v>
      </c>
      <c r="F1652" s="31" t="n">
        <v>3</v>
      </c>
      <c r="G1652" s="31" t="s">
        <v>8029</v>
      </c>
      <c r="H1652" s="31" t="s">
        <v>8030</v>
      </c>
      <c r="I1652" s="31" t="s">
        <v>8031</v>
      </c>
      <c r="J1652" s="31" t="s">
        <v>8032</v>
      </c>
      <c r="K1652" s="31" t="s">
        <v>8033</v>
      </c>
      <c r="L1652" s="31" t="s">
        <v>5150</v>
      </c>
      <c r="M1652" s="31" t="s">
        <v>5176</v>
      </c>
    </row>
    <row r="1653" customFormat="false" ht="43.5" hidden="false" customHeight="true" outlineLevel="0" collapsed="false">
      <c r="A1653" s="30" t="s">
        <v>8034</v>
      </c>
      <c r="B1653" s="31" t="s">
        <v>8035</v>
      </c>
      <c r="C1653" s="31" t="s">
        <v>57</v>
      </c>
      <c r="D1653" s="31" t="s">
        <v>3589</v>
      </c>
      <c r="E1653" s="31" t="str">
        <f aca="false">IF(D1653="","",IFERROR(VLOOKUP(D1653,$A$2:$B$1656,2,FALSE()),""))</f>
        <v>Plot and Journey Archetypes</v>
      </c>
      <c r="F1653" s="31" t="n">
        <v>3</v>
      </c>
      <c r="G1653" s="31" t="s">
        <v>8036</v>
      </c>
      <c r="H1653" s="31" t="s">
        <v>8037</v>
      </c>
      <c r="I1653" s="31" t="s">
        <v>8038</v>
      </c>
      <c r="J1653" s="31" t="s">
        <v>8039</v>
      </c>
      <c r="K1653" s="31" t="s">
        <v>8040</v>
      </c>
      <c r="L1653" s="31" t="s">
        <v>5150</v>
      </c>
      <c r="M1653" s="31" t="s">
        <v>5176</v>
      </c>
    </row>
    <row r="1654" customFormat="false" ht="43.5" hidden="false" customHeight="true" outlineLevel="0" collapsed="false">
      <c r="A1654" s="30" t="s">
        <v>8041</v>
      </c>
      <c r="B1654" s="31" t="s">
        <v>8042</v>
      </c>
      <c r="C1654" s="31" t="s">
        <v>57</v>
      </c>
      <c r="D1654" s="31" t="s">
        <v>3589</v>
      </c>
      <c r="E1654" s="31" t="str">
        <f aca="false">IF(D1654="","",IFERROR(VLOOKUP(D1654,$A$2:$B$1656,2,FALSE()),""))</f>
        <v>Plot and Journey Archetypes</v>
      </c>
      <c r="F1654" s="31" t="n">
        <v>3</v>
      </c>
      <c r="G1654" s="31" t="s">
        <v>8043</v>
      </c>
      <c r="H1654" s="31" t="s">
        <v>8044</v>
      </c>
      <c r="I1654" s="31" t="s">
        <v>8045</v>
      </c>
      <c r="J1654" s="31" t="s">
        <v>8046</v>
      </c>
      <c r="K1654" s="31" t="s">
        <v>8047</v>
      </c>
      <c r="L1654" s="31" t="s">
        <v>5150</v>
      </c>
      <c r="M1654" s="31" t="s">
        <v>5176</v>
      </c>
    </row>
    <row r="1655" customFormat="false" ht="43.5" hidden="false" customHeight="true" outlineLevel="0" collapsed="false">
      <c r="A1655" s="30" t="s">
        <v>8048</v>
      </c>
      <c r="B1655" s="31" t="s">
        <v>8049</v>
      </c>
      <c r="C1655" s="31" t="s">
        <v>57</v>
      </c>
      <c r="D1655" s="31" t="s">
        <v>3589</v>
      </c>
      <c r="E1655" s="31" t="str">
        <f aca="false">IF(D1655="","",IFERROR(VLOOKUP(D1655,$A$2:$B$1656,2,FALSE()),""))</f>
        <v>Plot and Journey Archetypes</v>
      </c>
      <c r="F1655" s="31" t="n">
        <v>3</v>
      </c>
      <c r="G1655" s="31" t="s">
        <v>8050</v>
      </c>
      <c r="H1655" s="31" t="s">
        <v>8051</v>
      </c>
      <c r="I1655" s="31" t="s">
        <v>8052</v>
      </c>
      <c r="J1655" s="31" t="s">
        <v>8053</v>
      </c>
      <c r="K1655" s="31" t="s">
        <v>8054</v>
      </c>
      <c r="L1655" s="31" t="s">
        <v>5150</v>
      </c>
      <c r="M1655" s="31" t="s">
        <v>5176</v>
      </c>
    </row>
    <row r="1656" customFormat="false" ht="43.5" hidden="false" customHeight="true" outlineLevel="0" collapsed="false">
      <c r="A1656" s="30" t="s">
        <v>8055</v>
      </c>
      <c r="B1656" s="31" t="s">
        <v>8056</v>
      </c>
      <c r="C1656" s="31" t="s">
        <v>57</v>
      </c>
      <c r="D1656" s="31" t="s">
        <v>3578</v>
      </c>
      <c r="E1656" s="31" t="str">
        <f aca="false">IF(D1656="","",IFERROR(VLOOKUP(D1656,$A$2:$B$1656,2,FALSE()),""))</f>
        <v>Hero and Protagonist Archetypes</v>
      </c>
      <c r="F1656" s="31" t="n">
        <v>3</v>
      </c>
      <c r="G1656" s="31" t="s">
        <v>8057</v>
      </c>
      <c r="H1656" s="31" t="s">
        <v>8058</v>
      </c>
      <c r="I1656" s="31" t="s">
        <v>8059</v>
      </c>
      <c r="J1656" s="31" t="s">
        <v>8060</v>
      </c>
      <c r="K1656" s="31" t="s">
        <v>8061</v>
      </c>
      <c r="L1656" s="31" t="s">
        <v>5150</v>
      </c>
      <c r="M1656" s="31" t="s">
        <v>5176</v>
      </c>
    </row>
  </sheetData>
  <conditionalFormatting sqref="C2:C1226">
    <cfRule type="expression" priority="2" aboveAverage="0" equalAverage="0" bottom="0" percent="0" rank="0" text="" dxfId="12">
      <formula>$C2="People &amp; Beings"</formula>
    </cfRule>
    <cfRule type="expression" priority="3" aboveAverage="0" equalAverage="0" bottom="0" percent="0" rank="0" text="" dxfId="13">
      <formula>$C2="Roles &amp; Vocations"</formula>
    </cfRule>
    <cfRule type="expression" priority="4" aboveAverage="0" equalAverage="0" bottom="0" percent="0" rank="0" text="" dxfId="14">
      <formula>$C2="Power Traditions"</formula>
    </cfRule>
    <cfRule type="expression" priority="5" aboveAverage="0" equalAverage="0" bottom="0" percent="0" rank="0" text="" dxfId="15">
      <formula>$C2="States &amp; Transformations"</formula>
    </cfRule>
    <cfRule type="expression" priority="6" aboveAverage="0" equalAverage="0" bottom="0" percent="0" rank="0" text="" dxfId="16">
      <formula>$C2="Institutions &amp; Affiliations"</formula>
    </cfRule>
    <cfRule type="expression" priority="7" aboveAverage="0" equalAverage="0" bottom="0" percent="0" rank="0" text="" dxfId="17">
      <formula>$C2="Narrative Archetypes"</formula>
    </cfRule>
    <cfRule type="expression" priority="8" aboveAverage="0" equalAverage="0" bottom="0" percent="0" rank="0" text="" dxfId="18">
      <formula>$C2="Civilization &amp; Culture Archetypes"</formula>
    </cfRule>
    <cfRule type="expression" priority="9" aboveAverage="0" equalAverage="0" bottom="0" percent="0" rank="0" text="" dxfId="19">
      <formula>$C2="Game-Mechanical Archetypes"</formula>
    </cfRule>
  </conditionalFormatting>
  <dataValidations count="1">
    <dataValidation allowBlank="false" errorStyle="stop" operator="between" showDropDown="false" showErrorMessage="false" showInputMessage="false" sqref="M2:M1226" type="list">
      <formula1>"Domain Root,Category,Core Family,Deprecated / merged"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7.37"/>
    <col collapsed="false" customWidth="true" hidden="false" outlineLevel="0" max="3" min="3" style="1" width="35.17"/>
    <col collapsed="false" customWidth="true" hidden="false" outlineLevel="0" max="5" min="4" style="1" width="30.77"/>
    <col collapsed="false" customWidth="true" hidden="false" outlineLevel="0" max="6" min="6" style="1" width="19.79"/>
    <col collapsed="false" customWidth="true" hidden="false" outlineLevel="0" max="7" min="7" style="1" width="41.76"/>
    <col collapsed="false" customWidth="true" hidden="false" outlineLevel="0" max="8" min="8" style="1" width="13.19"/>
    <col collapsed="false" customWidth="true" hidden="false" outlineLevel="0" max="9" min="9" style="1" width="54.96"/>
    <col collapsed="false" customWidth="true" hidden="false" outlineLevel="0" max="10" min="10" style="1" width="46.16"/>
    <col collapsed="false" customWidth="true" hidden="false" outlineLevel="0" max="11" min="11" style="1" width="50.56"/>
    <col collapsed="false" customWidth="true" hidden="false" outlineLevel="0" max="12" min="12" style="1" width="15.39"/>
  </cols>
  <sheetData>
    <row r="1" customFormat="false" ht="33.75" hidden="false" customHeight="true" outlineLevel="0" collapsed="false">
      <c r="A1" s="29" t="s">
        <v>8062</v>
      </c>
      <c r="B1" s="29" t="s">
        <v>8063</v>
      </c>
      <c r="C1" s="29" t="s">
        <v>8064</v>
      </c>
      <c r="D1" s="29" t="s">
        <v>1575</v>
      </c>
      <c r="E1" s="29" t="s">
        <v>8065</v>
      </c>
      <c r="F1" s="29" t="s">
        <v>8066</v>
      </c>
      <c r="G1" s="29" t="s">
        <v>8067</v>
      </c>
      <c r="H1" s="29" t="s">
        <v>8068</v>
      </c>
      <c r="I1" s="29" t="s">
        <v>8069</v>
      </c>
      <c r="J1" s="29" t="s">
        <v>8070</v>
      </c>
      <c r="K1" s="29" t="s">
        <v>8071</v>
      </c>
      <c r="L1" s="29" t="s">
        <v>8072</v>
      </c>
    </row>
    <row r="2" customFormat="false" ht="42" hidden="false" customHeight="true" outlineLevel="0" collapsed="false">
      <c r="A2" s="22" t="s">
        <v>8073</v>
      </c>
      <c r="B2" s="22" t="s">
        <v>8074</v>
      </c>
      <c r="C2" s="22" t="s">
        <v>8075</v>
      </c>
      <c r="D2" s="22" t="s">
        <v>8076</v>
      </c>
      <c r="E2" s="22" t="s">
        <v>8077</v>
      </c>
      <c r="F2" s="22" t="s">
        <v>8078</v>
      </c>
      <c r="G2" s="22" t="s">
        <v>8079</v>
      </c>
      <c r="H2" s="22" t="s">
        <v>8080</v>
      </c>
      <c r="I2" s="22" t="s">
        <v>8081</v>
      </c>
      <c r="J2" s="22" t="s">
        <v>8082</v>
      </c>
      <c r="K2" s="32" t="s">
        <v>8083</v>
      </c>
      <c r="L2" s="22" t="s">
        <v>8084</v>
      </c>
    </row>
    <row r="3" customFormat="false" ht="42" hidden="false" customHeight="true" outlineLevel="0" collapsed="false">
      <c r="A3" s="22" t="s">
        <v>8085</v>
      </c>
      <c r="B3" s="22" t="s">
        <v>8086</v>
      </c>
      <c r="C3" s="22" t="s">
        <v>8087</v>
      </c>
      <c r="D3" s="22" t="s">
        <v>8076</v>
      </c>
      <c r="E3" s="22" t="s">
        <v>8088</v>
      </c>
      <c r="F3" s="22" t="s">
        <v>8089</v>
      </c>
      <c r="G3" s="22" t="s">
        <v>8090</v>
      </c>
      <c r="H3" s="22" t="s">
        <v>8080</v>
      </c>
      <c r="I3" s="22" t="s">
        <v>8091</v>
      </c>
      <c r="J3" s="22" t="s">
        <v>8082</v>
      </c>
      <c r="K3" s="32" t="s">
        <v>8092</v>
      </c>
      <c r="L3" s="22" t="s">
        <v>8084</v>
      </c>
    </row>
    <row r="4" customFormat="false" ht="42" hidden="false" customHeight="true" outlineLevel="0" collapsed="false">
      <c r="A4" s="22" t="s">
        <v>8093</v>
      </c>
      <c r="B4" s="22" t="s">
        <v>8094</v>
      </c>
      <c r="C4" s="22" t="s">
        <v>8095</v>
      </c>
      <c r="D4" s="22" t="s">
        <v>8076</v>
      </c>
      <c r="E4" s="22" t="s">
        <v>8096</v>
      </c>
      <c r="F4" s="22" t="s">
        <v>8089</v>
      </c>
      <c r="G4" s="22" t="s">
        <v>8097</v>
      </c>
      <c r="H4" s="22" t="s">
        <v>8080</v>
      </c>
      <c r="I4" s="22" t="s">
        <v>8098</v>
      </c>
      <c r="J4" s="22" t="s">
        <v>8082</v>
      </c>
      <c r="K4" s="32" t="s">
        <v>8099</v>
      </c>
      <c r="L4" s="22" t="s">
        <v>8084</v>
      </c>
    </row>
    <row r="5" customFormat="false" ht="42" hidden="false" customHeight="true" outlineLevel="0" collapsed="false">
      <c r="A5" s="22" t="s">
        <v>8100</v>
      </c>
      <c r="B5" s="22" t="s">
        <v>8101</v>
      </c>
      <c r="C5" s="22" t="s">
        <v>8102</v>
      </c>
      <c r="D5" s="22" t="s">
        <v>8103</v>
      </c>
      <c r="E5" s="22" t="s">
        <v>8104</v>
      </c>
      <c r="F5" s="22" t="s">
        <v>8105</v>
      </c>
      <c r="G5" s="22" t="s">
        <v>8106</v>
      </c>
      <c r="H5" s="22" t="s">
        <v>8080</v>
      </c>
      <c r="I5" s="22" t="s">
        <v>8107</v>
      </c>
      <c r="J5" s="22" t="s">
        <v>8082</v>
      </c>
      <c r="K5" s="32" t="s">
        <v>8108</v>
      </c>
      <c r="L5" s="22" t="s">
        <v>8084</v>
      </c>
    </row>
    <row r="6" customFormat="false" ht="42" hidden="false" customHeight="true" outlineLevel="0" collapsed="false">
      <c r="A6" s="22" t="s">
        <v>8109</v>
      </c>
      <c r="B6" s="22" t="s">
        <v>8110</v>
      </c>
      <c r="C6" s="22" t="s">
        <v>8111</v>
      </c>
      <c r="D6" s="22" t="s">
        <v>8103</v>
      </c>
      <c r="E6" s="22" t="s">
        <v>8112</v>
      </c>
      <c r="F6" s="22" t="s">
        <v>8113</v>
      </c>
      <c r="G6" s="22" t="s">
        <v>8114</v>
      </c>
      <c r="H6" s="22" t="s">
        <v>8080</v>
      </c>
      <c r="I6" s="22" t="s">
        <v>8115</v>
      </c>
      <c r="J6" s="22" t="s">
        <v>8082</v>
      </c>
      <c r="K6" s="32" t="s">
        <v>8116</v>
      </c>
      <c r="L6" s="22" t="s">
        <v>8084</v>
      </c>
    </row>
    <row r="7" customFormat="false" ht="42" hidden="false" customHeight="true" outlineLevel="0" collapsed="false">
      <c r="A7" s="22" t="s">
        <v>8117</v>
      </c>
      <c r="B7" s="22" t="s">
        <v>8118</v>
      </c>
      <c r="C7" s="22" t="s">
        <v>8119</v>
      </c>
      <c r="D7" s="22" t="s">
        <v>8120</v>
      </c>
      <c r="E7" s="22" t="s">
        <v>8121</v>
      </c>
      <c r="F7" s="22" t="s">
        <v>8122</v>
      </c>
      <c r="G7" s="22" t="s">
        <v>8123</v>
      </c>
      <c r="H7" s="22" t="s">
        <v>8080</v>
      </c>
      <c r="I7" s="22" t="s">
        <v>8124</v>
      </c>
      <c r="J7" s="22" t="s">
        <v>8082</v>
      </c>
      <c r="K7" s="32" t="s">
        <v>8125</v>
      </c>
      <c r="L7" s="22" t="s">
        <v>8084</v>
      </c>
    </row>
    <row r="8" customFormat="false" ht="42" hidden="false" customHeight="true" outlineLevel="0" collapsed="false">
      <c r="A8" s="22" t="s">
        <v>8126</v>
      </c>
      <c r="B8" s="22" t="s">
        <v>8127</v>
      </c>
      <c r="C8" s="22" t="s">
        <v>8128</v>
      </c>
      <c r="D8" s="22" t="s">
        <v>8076</v>
      </c>
      <c r="E8" s="22" t="s">
        <v>8129</v>
      </c>
      <c r="F8" s="22" t="s">
        <v>8130</v>
      </c>
      <c r="G8" s="22" t="s">
        <v>8079</v>
      </c>
      <c r="H8" s="22" t="s">
        <v>8080</v>
      </c>
      <c r="I8" s="22" t="s">
        <v>8131</v>
      </c>
      <c r="J8" s="22" t="s">
        <v>8082</v>
      </c>
      <c r="K8" s="32" t="s">
        <v>8132</v>
      </c>
      <c r="L8" s="22" t="s">
        <v>8084</v>
      </c>
    </row>
    <row r="9" customFormat="false" ht="42" hidden="false" customHeight="true" outlineLevel="0" collapsed="false">
      <c r="A9" s="22" t="s">
        <v>8133</v>
      </c>
      <c r="B9" s="22" t="s">
        <v>8134</v>
      </c>
      <c r="C9" s="22" t="s">
        <v>8135</v>
      </c>
      <c r="D9" s="22" t="s">
        <v>8136</v>
      </c>
      <c r="E9" s="22" t="s">
        <v>8137</v>
      </c>
      <c r="F9" s="22" t="s">
        <v>8138</v>
      </c>
      <c r="G9" s="22" t="s">
        <v>8139</v>
      </c>
      <c r="H9" s="22" t="s">
        <v>8080</v>
      </c>
      <c r="I9" s="22" t="s">
        <v>8140</v>
      </c>
      <c r="J9" s="22" t="s">
        <v>8082</v>
      </c>
      <c r="K9" s="32" t="s">
        <v>8141</v>
      </c>
      <c r="L9" s="22" t="s">
        <v>8084</v>
      </c>
    </row>
    <row r="10" customFormat="false" ht="42" hidden="false" customHeight="true" outlineLevel="0" collapsed="false">
      <c r="A10" s="22" t="s">
        <v>8142</v>
      </c>
      <c r="B10" s="22" t="s">
        <v>8143</v>
      </c>
      <c r="C10" s="22" t="s">
        <v>8144</v>
      </c>
      <c r="D10" s="22" t="s">
        <v>8145</v>
      </c>
      <c r="E10" s="22" t="s">
        <v>8146</v>
      </c>
      <c r="F10" s="22" t="s">
        <v>8147</v>
      </c>
      <c r="G10" s="22" t="s">
        <v>8148</v>
      </c>
      <c r="H10" s="22" t="s">
        <v>8080</v>
      </c>
      <c r="I10" s="22" t="s">
        <v>8149</v>
      </c>
      <c r="J10" s="22" t="s">
        <v>8082</v>
      </c>
      <c r="K10" s="32" t="s">
        <v>8150</v>
      </c>
      <c r="L10" s="22" t="s">
        <v>8084</v>
      </c>
    </row>
    <row r="11" customFormat="false" ht="42" hidden="false" customHeight="true" outlineLevel="0" collapsed="false">
      <c r="A11" s="22" t="s">
        <v>8151</v>
      </c>
      <c r="B11" s="22" t="s">
        <v>8152</v>
      </c>
      <c r="C11" s="22" t="s">
        <v>8153</v>
      </c>
      <c r="D11" s="22" t="s">
        <v>8076</v>
      </c>
      <c r="E11" s="22" t="s">
        <v>8154</v>
      </c>
      <c r="F11" s="22" t="s">
        <v>8155</v>
      </c>
      <c r="G11" s="22" t="s">
        <v>8079</v>
      </c>
      <c r="H11" s="22" t="s">
        <v>8080</v>
      </c>
      <c r="I11" s="22" t="s">
        <v>8156</v>
      </c>
      <c r="J11" s="22" t="s">
        <v>8082</v>
      </c>
      <c r="K11" s="32" t="s">
        <v>8157</v>
      </c>
      <c r="L11" s="22" t="s">
        <v>8084</v>
      </c>
    </row>
    <row r="12" customFormat="false" ht="42" hidden="false" customHeight="true" outlineLevel="0" collapsed="false">
      <c r="A12" s="22" t="s">
        <v>8158</v>
      </c>
      <c r="B12" s="22" t="s">
        <v>8159</v>
      </c>
      <c r="C12" s="22" t="s">
        <v>8160</v>
      </c>
      <c r="D12" s="22" t="s">
        <v>8161</v>
      </c>
      <c r="E12" s="22" t="s">
        <v>8162</v>
      </c>
      <c r="F12" s="22" t="s">
        <v>8163</v>
      </c>
      <c r="G12" s="22" t="s">
        <v>8164</v>
      </c>
      <c r="H12" s="22" t="s">
        <v>8080</v>
      </c>
      <c r="I12" s="22" t="s">
        <v>8165</v>
      </c>
      <c r="J12" s="22" t="s">
        <v>8082</v>
      </c>
      <c r="K12" s="32" t="s">
        <v>8166</v>
      </c>
      <c r="L12" s="22" t="s">
        <v>8084</v>
      </c>
    </row>
    <row r="13" customFormat="false" ht="42" hidden="false" customHeight="true" outlineLevel="0" collapsed="false">
      <c r="A13" s="22" t="s">
        <v>8167</v>
      </c>
      <c r="B13" s="22" t="s">
        <v>8168</v>
      </c>
      <c r="C13" s="22" t="s">
        <v>8169</v>
      </c>
      <c r="D13" s="22" t="s">
        <v>8161</v>
      </c>
      <c r="E13" s="22" t="s">
        <v>8170</v>
      </c>
      <c r="F13" s="22" t="s">
        <v>8171</v>
      </c>
      <c r="G13" s="22" t="s">
        <v>8172</v>
      </c>
      <c r="H13" s="22" t="s">
        <v>8080</v>
      </c>
      <c r="I13" s="22" t="s">
        <v>8173</v>
      </c>
      <c r="J13" s="22" t="s">
        <v>8082</v>
      </c>
      <c r="K13" s="32" t="s">
        <v>8174</v>
      </c>
      <c r="L13" s="22" t="s">
        <v>8084</v>
      </c>
    </row>
    <row r="14" customFormat="false" ht="42" hidden="false" customHeight="true" outlineLevel="0" collapsed="false">
      <c r="A14" s="22" t="s">
        <v>8175</v>
      </c>
      <c r="B14" s="22" t="s">
        <v>8176</v>
      </c>
      <c r="C14" s="22" t="s">
        <v>8177</v>
      </c>
      <c r="D14" s="22" t="s">
        <v>8076</v>
      </c>
      <c r="E14" s="22" t="s">
        <v>8178</v>
      </c>
      <c r="F14" s="22" t="s">
        <v>8179</v>
      </c>
      <c r="G14" s="22" t="s">
        <v>8079</v>
      </c>
      <c r="H14" s="22" t="s">
        <v>8180</v>
      </c>
      <c r="I14" s="22" t="s">
        <v>8181</v>
      </c>
      <c r="J14" s="22" t="s">
        <v>8082</v>
      </c>
      <c r="K14" s="32" t="s">
        <v>8182</v>
      </c>
      <c r="L14" s="22" t="s">
        <v>8084</v>
      </c>
    </row>
    <row r="15" customFormat="false" ht="42" hidden="false" customHeight="true" outlineLevel="0" collapsed="false">
      <c r="A15" s="22" t="s">
        <v>8183</v>
      </c>
      <c r="B15" s="22" t="s">
        <v>8184</v>
      </c>
      <c r="C15" s="22" t="s">
        <v>8185</v>
      </c>
      <c r="D15" s="22" t="s">
        <v>8186</v>
      </c>
      <c r="E15" s="22" t="s">
        <v>8187</v>
      </c>
      <c r="F15" s="22" t="s">
        <v>8188</v>
      </c>
      <c r="G15" s="22" t="s">
        <v>8189</v>
      </c>
      <c r="H15" s="22" t="s">
        <v>8080</v>
      </c>
      <c r="I15" s="22" t="s">
        <v>8190</v>
      </c>
      <c r="J15" s="22" t="s">
        <v>8191</v>
      </c>
      <c r="K15" s="32" t="s">
        <v>8192</v>
      </c>
      <c r="L15" s="22" t="s">
        <v>8084</v>
      </c>
    </row>
    <row r="16" customFormat="false" ht="42" hidden="false" customHeight="true" outlineLevel="0" collapsed="false">
      <c r="A16" s="22" t="s">
        <v>8193</v>
      </c>
      <c r="B16" s="22" t="s">
        <v>8194</v>
      </c>
      <c r="C16" s="22" t="s">
        <v>8195</v>
      </c>
      <c r="D16" s="22" t="s">
        <v>8161</v>
      </c>
      <c r="E16" s="22" t="s">
        <v>8196</v>
      </c>
      <c r="F16" s="22" t="s">
        <v>8197</v>
      </c>
      <c r="G16" s="22" t="s">
        <v>8198</v>
      </c>
      <c r="H16" s="22" t="s">
        <v>8080</v>
      </c>
      <c r="I16" s="22" t="s">
        <v>8199</v>
      </c>
      <c r="J16" s="22" t="s">
        <v>8082</v>
      </c>
      <c r="K16" s="32" t="s">
        <v>8200</v>
      </c>
      <c r="L16" s="22" t="s">
        <v>8084</v>
      </c>
    </row>
    <row r="17" customFormat="false" ht="42" hidden="false" customHeight="true" outlineLevel="0" collapsed="false">
      <c r="A17" s="22" t="s">
        <v>8201</v>
      </c>
      <c r="B17" s="22" t="s">
        <v>8202</v>
      </c>
      <c r="C17" s="22" t="s">
        <v>8203</v>
      </c>
      <c r="D17" s="22" t="s">
        <v>8204</v>
      </c>
      <c r="E17" s="22" t="s">
        <v>8205</v>
      </c>
      <c r="F17" s="22" t="s">
        <v>8206</v>
      </c>
      <c r="G17" s="22" t="s">
        <v>8207</v>
      </c>
      <c r="H17" s="22" t="s">
        <v>8080</v>
      </c>
      <c r="I17" s="22" t="s">
        <v>8208</v>
      </c>
      <c r="J17" s="22" t="s">
        <v>8082</v>
      </c>
      <c r="K17" s="32" t="s">
        <v>8209</v>
      </c>
      <c r="L17" s="22" t="s">
        <v>8084</v>
      </c>
    </row>
    <row r="18" customFormat="false" ht="42" hidden="false" customHeight="true" outlineLevel="0" collapsed="false">
      <c r="A18" s="22" t="s">
        <v>8210</v>
      </c>
      <c r="B18" s="22" t="s">
        <v>8211</v>
      </c>
      <c r="C18" s="22" t="s">
        <v>8212</v>
      </c>
      <c r="D18" s="22" t="s">
        <v>8204</v>
      </c>
      <c r="E18" s="22" t="s">
        <v>8205</v>
      </c>
      <c r="F18" s="22" t="s">
        <v>8206</v>
      </c>
      <c r="G18" s="22" t="s">
        <v>8207</v>
      </c>
      <c r="H18" s="22" t="s">
        <v>8080</v>
      </c>
      <c r="I18" s="22" t="s">
        <v>8213</v>
      </c>
      <c r="J18" s="22" t="s">
        <v>8082</v>
      </c>
      <c r="K18" s="32" t="s">
        <v>8214</v>
      </c>
      <c r="L18" s="22" t="s">
        <v>8084</v>
      </c>
    </row>
    <row r="19" customFormat="false" ht="42" hidden="false" customHeight="true" outlineLevel="0" collapsed="false">
      <c r="A19" s="22" t="s">
        <v>8215</v>
      </c>
      <c r="B19" s="22" t="s">
        <v>8216</v>
      </c>
      <c r="C19" s="22" t="s">
        <v>8217</v>
      </c>
      <c r="D19" s="22" t="s">
        <v>8218</v>
      </c>
      <c r="E19" s="22" t="s">
        <v>8205</v>
      </c>
      <c r="F19" s="22" t="s">
        <v>8219</v>
      </c>
      <c r="G19" s="22" t="s">
        <v>8220</v>
      </c>
      <c r="H19" s="22" t="s">
        <v>8080</v>
      </c>
      <c r="I19" s="22" t="s">
        <v>8221</v>
      </c>
      <c r="J19" s="22" t="s">
        <v>8082</v>
      </c>
      <c r="K19" s="32" t="s">
        <v>8222</v>
      </c>
      <c r="L19" s="22" t="s">
        <v>8084</v>
      </c>
    </row>
    <row r="20" customFormat="false" ht="42" hidden="false" customHeight="true" outlineLevel="0" collapsed="false">
      <c r="A20" s="22" t="s">
        <v>8223</v>
      </c>
      <c r="B20" s="22" t="s">
        <v>8224</v>
      </c>
      <c r="C20" s="22" t="s">
        <v>8225</v>
      </c>
      <c r="D20" s="22" t="s">
        <v>8076</v>
      </c>
      <c r="E20" s="22" t="s">
        <v>8226</v>
      </c>
      <c r="F20" s="22" t="s">
        <v>8227</v>
      </c>
      <c r="G20" s="22" t="s">
        <v>8079</v>
      </c>
      <c r="H20" s="22" t="s">
        <v>8080</v>
      </c>
      <c r="I20" s="22" t="s">
        <v>8228</v>
      </c>
      <c r="J20" s="22" t="s">
        <v>8082</v>
      </c>
      <c r="K20" s="32" t="s">
        <v>8229</v>
      </c>
      <c r="L20" s="22" t="s">
        <v>8084</v>
      </c>
    </row>
    <row r="21" customFormat="false" ht="42" hidden="false" customHeight="true" outlineLevel="0" collapsed="false">
      <c r="A21" s="22" t="s">
        <v>8230</v>
      </c>
      <c r="B21" s="22" t="s">
        <v>8231</v>
      </c>
      <c r="C21" s="22" t="s">
        <v>8128</v>
      </c>
      <c r="D21" s="22" t="s">
        <v>8076</v>
      </c>
      <c r="E21" s="22" t="s">
        <v>8232</v>
      </c>
      <c r="F21" s="22" t="s">
        <v>8227</v>
      </c>
      <c r="G21" s="22" t="s">
        <v>8079</v>
      </c>
      <c r="H21" s="22" t="s">
        <v>8180</v>
      </c>
      <c r="I21" s="22" t="s">
        <v>8233</v>
      </c>
      <c r="J21" s="22" t="s">
        <v>8082</v>
      </c>
      <c r="K21" s="32" t="s">
        <v>8234</v>
      </c>
      <c r="L21" s="22" t="s">
        <v>8084</v>
      </c>
    </row>
    <row r="22" customFormat="false" ht="42" hidden="false" customHeight="true" outlineLevel="0" collapsed="false">
      <c r="A22" s="22" t="s">
        <v>8235</v>
      </c>
      <c r="B22" s="22" t="s">
        <v>8236</v>
      </c>
      <c r="C22" s="22" t="s">
        <v>8237</v>
      </c>
      <c r="D22" s="22" t="s">
        <v>8238</v>
      </c>
      <c r="E22" s="22" t="s">
        <v>8239</v>
      </c>
      <c r="F22" s="22" t="s">
        <v>8240</v>
      </c>
      <c r="G22" s="22" t="s">
        <v>8241</v>
      </c>
      <c r="H22" s="22" t="s">
        <v>8080</v>
      </c>
      <c r="I22" s="22" t="s">
        <v>8242</v>
      </c>
      <c r="J22" s="22" t="s">
        <v>8082</v>
      </c>
      <c r="K22" s="32" t="s">
        <v>8243</v>
      </c>
      <c r="L22" s="22" t="s">
        <v>8084</v>
      </c>
    </row>
    <row r="23" customFormat="false" ht="42" hidden="false" customHeight="true" outlineLevel="0" collapsed="false">
      <c r="A23" s="22" t="s">
        <v>8244</v>
      </c>
      <c r="B23" s="22" t="s">
        <v>8245</v>
      </c>
      <c r="C23" s="22" t="s">
        <v>8246</v>
      </c>
      <c r="D23" s="22" t="s">
        <v>8247</v>
      </c>
      <c r="E23" s="22" t="s">
        <v>8248</v>
      </c>
      <c r="F23" s="22" t="s">
        <v>8227</v>
      </c>
      <c r="G23" s="22" t="s">
        <v>8079</v>
      </c>
      <c r="H23" s="22" t="s">
        <v>8080</v>
      </c>
      <c r="I23" s="22" t="s">
        <v>8249</v>
      </c>
      <c r="J23" s="22" t="s">
        <v>8082</v>
      </c>
      <c r="K23" s="32" t="s">
        <v>8250</v>
      </c>
      <c r="L23" s="22" t="s">
        <v>8084</v>
      </c>
    </row>
    <row r="24" customFormat="false" ht="42" hidden="false" customHeight="true" outlineLevel="0" collapsed="false">
      <c r="A24" s="22" t="s">
        <v>8251</v>
      </c>
      <c r="B24" s="22" t="s">
        <v>8252</v>
      </c>
      <c r="C24" s="22" t="s">
        <v>8253</v>
      </c>
      <c r="D24" s="22" t="s">
        <v>8254</v>
      </c>
      <c r="E24" s="22" t="s">
        <v>8255</v>
      </c>
      <c r="F24" s="22" t="s">
        <v>8256</v>
      </c>
      <c r="G24" s="22" t="s">
        <v>8257</v>
      </c>
      <c r="H24" s="22" t="s">
        <v>8180</v>
      </c>
      <c r="I24" s="22" t="s">
        <v>8258</v>
      </c>
      <c r="J24" s="22" t="s">
        <v>8082</v>
      </c>
      <c r="K24" s="32" t="s">
        <v>8259</v>
      </c>
      <c r="L24" s="22" t="s">
        <v>8084</v>
      </c>
    </row>
    <row r="25" customFormat="false" ht="42" hidden="false" customHeight="true" outlineLevel="0" collapsed="false">
      <c r="A25" s="22" t="s">
        <v>8260</v>
      </c>
      <c r="B25" s="22" t="s">
        <v>8261</v>
      </c>
      <c r="C25" s="22" t="s">
        <v>8262</v>
      </c>
      <c r="D25" s="22" t="s">
        <v>8076</v>
      </c>
      <c r="E25" s="22" t="s">
        <v>8263</v>
      </c>
      <c r="F25" s="22" t="s">
        <v>8227</v>
      </c>
      <c r="G25" s="22" t="s">
        <v>8079</v>
      </c>
      <c r="H25" s="22" t="s">
        <v>8180</v>
      </c>
      <c r="I25" s="22" t="s">
        <v>8264</v>
      </c>
      <c r="J25" s="22" t="s">
        <v>8082</v>
      </c>
      <c r="K25" s="32" t="s">
        <v>8265</v>
      </c>
      <c r="L25" s="22" t="s">
        <v>8084</v>
      </c>
    </row>
    <row r="26" customFormat="false" ht="42" hidden="false" customHeight="true" outlineLevel="0" collapsed="false">
      <c r="A26" s="22" t="s">
        <v>8266</v>
      </c>
      <c r="B26" s="22" t="s">
        <v>8267</v>
      </c>
      <c r="C26" s="22" t="s">
        <v>8268</v>
      </c>
      <c r="D26" s="22" t="s">
        <v>8076</v>
      </c>
      <c r="E26" s="22" t="s">
        <v>8269</v>
      </c>
      <c r="F26" s="22" t="s">
        <v>8227</v>
      </c>
      <c r="G26" s="22" t="s">
        <v>8079</v>
      </c>
      <c r="H26" s="22" t="s">
        <v>8180</v>
      </c>
      <c r="I26" s="22" t="s">
        <v>8270</v>
      </c>
      <c r="J26" s="22" t="s">
        <v>8082</v>
      </c>
      <c r="K26" s="32" t="s">
        <v>8271</v>
      </c>
      <c r="L26" s="22" t="s">
        <v>8084</v>
      </c>
    </row>
    <row r="27" customFormat="false" ht="42" hidden="false" customHeight="true" outlineLevel="0" collapsed="false">
      <c r="A27" s="22" t="s">
        <v>8272</v>
      </c>
      <c r="B27" s="22" t="s">
        <v>8273</v>
      </c>
      <c r="C27" s="22" t="s">
        <v>8274</v>
      </c>
      <c r="D27" s="22" t="s">
        <v>8275</v>
      </c>
      <c r="E27" s="22" t="s">
        <v>8276</v>
      </c>
      <c r="F27" s="22" t="s">
        <v>8277</v>
      </c>
      <c r="G27" s="22" t="s">
        <v>8278</v>
      </c>
      <c r="H27" s="22" t="s">
        <v>8080</v>
      </c>
      <c r="I27" s="22" t="s">
        <v>8279</v>
      </c>
      <c r="J27" s="22" t="s">
        <v>8082</v>
      </c>
      <c r="K27" s="32" t="s">
        <v>8280</v>
      </c>
      <c r="L27" s="22" t="s">
        <v>8084</v>
      </c>
    </row>
    <row r="28" customFormat="false" ht="42" hidden="false" customHeight="true" outlineLevel="0" collapsed="false">
      <c r="A28" s="22" t="s">
        <v>8281</v>
      </c>
      <c r="B28" s="22" t="s">
        <v>8282</v>
      </c>
      <c r="C28" s="22" t="s">
        <v>8283</v>
      </c>
      <c r="D28" s="22" t="s">
        <v>8275</v>
      </c>
      <c r="E28" s="22" t="s">
        <v>8284</v>
      </c>
      <c r="F28" s="22" t="s">
        <v>8285</v>
      </c>
      <c r="G28" s="22" t="s">
        <v>8286</v>
      </c>
      <c r="H28" s="22" t="s">
        <v>8080</v>
      </c>
      <c r="I28" s="22" t="s">
        <v>8287</v>
      </c>
      <c r="J28" s="22" t="s">
        <v>8082</v>
      </c>
      <c r="K28" s="32" t="s">
        <v>8288</v>
      </c>
      <c r="L28" s="22" t="s">
        <v>8084</v>
      </c>
    </row>
    <row r="29" customFormat="false" ht="42" hidden="false" customHeight="true" outlineLevel="0" collapsed="false">
      <c r="A29" s="22" t="s">
        <v>8289</v>
      </c>
      <c r="B29" s="22" t="s">
        <v>8290</v>
      </c>
      <c r="C29" s="22" t="s">
        <v>8291</v>
      </c>
      <c r="D29" s="22" t="s">
        <v>8275</v>
      </c>
      <c r="E29" s="22" t="s">
        <v>8284</v>
      </c>
      <c r="F29" s="22" t="s">
        <v>8292</v>
      </c>
      <c r="G29" s="22" t="s">
        <v>8293</v>
      </c>
      <c r="H29" s="22" t="s">
        <v>8080</v>
      </c>
      <c r="I29" s="22" t="s">
        <v>8294</v>
      </c>
      <c r="J29" s="22" t="s">
        <v>8082</v>
      </c>
      <c r="K29" s="32" t="s">
        <v>8295</v>
      </c>
      <c r="L29" s="22" t="s">
        <v>8084</v>
      </c>
    </row>
    <row r="30" customFormat="false" ht="42" hidden="false" customHeight="true" outlineLevel="0" collapsed="false">
      <c r="A30" s="22" t="s">
        <v>8296</v>
      </c>
      <c r="B30" s="22" t="s">
        <v>8297</v>
      </c>
      <c r="C30" s="22" t="s">
        <v>8298</v>
      </c>
      <c r="D30" s="22" t="s">
        <v>8275</v>
      </c>
      <c r="E30" s="22" t="s">
        <v>8299</v>
      </c>
      <c r="F30" s="22" t="s">
        <v>8300</v>
      </c>
      <c r="G30" s="22" t="s">
        <v>8301</v>
      </c>
      <c r="H30" s="22" t="s">
        <v>8080</v>
      </c>
      <c r="I30" s="22" t="s">
        <v>8302</v>
      </c>
      <c r="J30" s="22" t="s">
        <v>8082</v>
      </c>
      <c r="K30" s="32" t="s">
        <v>8303</v>
      </c>
      <c r="L30" s="22" t="s">
        <v>8084</v>
      </c>
    </row>
    <row r="31" customFormat="false" ht="42" hidden="false" customHeight="true" outlineLevel="0" collapsed="false">
      <c r="A31" s="22" t="s">
        <v>8304</v>
      </c>
      <c r="B31" s="22" t="s">
        <v>8305</v>
      </c>
      <c r="C31" s="22" t="s">
        <v>8306</v>
      </c>
      <c r="D31" s="22" t="s">
        <v>8275</v>
      </c>
      <c r="E31" s="22" t="s">
        <v>8307</v>
      </c>
      <c r="F31" s="22" t="s">
        <v>8300</v>
      </c>
      <c r="G31" s="22" t="s">
        <v>8308</v>
      </c>
      <c r="H31" s="22" t="s">
        <v>8080</v>
      </c>
      <c r="I31" s="22" t="s">
        <v>8309</v>
      </c>
      <c r="J31" s="22" t="s">
        <v>8082</v>
      </c>
      <c r="K31" s="32" t="s">
        <v>8310</v>
      </c>
      <c r="L31" s="22" t="s">
        <v>8084</v>
      </c>
    </row>
    <row r="32" customFormat="false" ht="42" hidden="false" customHeight="true" outlineLevel="0" collapsed="false">
      <c r="A32" s="22" t="s">
        <v>8311</v>
      </c>
      <c r="B32" s="22" t="s">
        <v>8312</v>
      </c>
      <c r="C32" s="22" t="s">
        <v>8313</v>
      </c>
      <c r="D32" s="22" t="s">
        <v>8275</v>
      </c>
      <c r="E32" s="22" t="s">
        <v>8307</v>
      </c>
      <c r="F32" s="22" t="s">
        <v>8314</v>
      </c>
      <c r="G32" s="22" t="s">
        <v>8315</v>
      </c>
      <c r="H32" s="22" t="s">
        <v>8080</v>
      </c>
      <c r="I32" s="22" t="s">
        <v>8316</v>
      </c>
      <c r="J32" s="22" t="s">
        <v>8082</v>
      </c>
      <c r="K32" s="32" t="s">
        <v>8317</v>
      </c>
      <c r="L32" s="22" t="s">
        <v>8084</v>
      </c>
    </row>
    <row r="33" customFormat="false" ht="42" hidden="false" customHeight="true" outlineLevel="0" collapsed="false">
      <c r="A33" s="22" t="s">
        <v>8318</v>
      </c>
      <c r="B33" s="22" t="s">
        <v>8319</v>
      </c>
      <c r="C33" s="22" t="s">
        <v>8320</v>
      </c>
      <c r="D33" s="22" t="s">
        <v>8275</v>
      </c>
      <c r="E33" s="22" t="s">
        <v>8307</v>
      </c>
      <c r="F33" s="22" t="s">
        <v>8321</v>
      </c>
      <c r="G33" s="22" t="s">
        <v>8322</v>
      </c>
      <c r="H33" s="22" t="s">
        <v>8180</v>
      </c>
      <c r="I33" s="22" t="s">
        <v>8323</v>
      </c>
      <c r="J33" s="22" t="s">
        <v>8082</v>
      </c>
      <c r="K33" s="32" t="s">
        <v>8324</v>
      </c>
      <c r="L33" s="22" t="s">
        <v>8084</v>
      </c>
    </row>
    <row r="34" customFormat="false" ht="42" hidden="false" customHeight="true" outlineLevel="0" collapsed="false">
      <c r="A34" s="22" t="s">
        <v>8325</v>
      </c>
      <c r="B34" s="22" t="s">
        <v>8326</v>
      </c>
      <c r="C34" s="22" t="s">
        <v>8327</v>
      </c>
      <c r="D34" s="22" t="s">
        <v>8275</v>
      </c>
      <c r="E34" s="22" t="s">
        <v>8307</v>
      </c>
      <c r="F34" s="22" t="s">
        <v>8328</v>
      </c>
      <c r="G34" s="22" t="s">
        <v>8329</v>
      </c>
      <c r="H34" s="22" t="s">
        <v>8080</v>
      </c>
      <c r="I34" s="22" t="s">
        <v>8330</v>
      </c>
      <c r="J34" s="22" t="s">
        <v>8082</v>
      </c>
      <c r="K34" s="32" t="s">
        <v>8331</v>
      </c>
      <c r="L34" s="22" t="s">
        <v>8084</v>
      </c>
    </row>
    <row r="35" customFormat="false" ht="42" hidden="false" customHeight="true" outlineLevel="0" collapsed="false">
      <c r="A35" s="22" t="s">
        <v>8332</v>
      </c>
      <c r="B35" s="22" t="s">
        <v>8333</v>
      </c>
      <c r="C35" s="22" t="s">
        <v>8334</v>
      </c>
      <c r="D35" s="22" t="s">
        <v>8275</v>
      </c>
      <c r="E35" s="22" t="s">
        <v>8335</v>
      </c>
      <c r="F35" s="22" t="s">
        <v>8336</v>
      </c>
      <c r="G35" s="22" t="s">
        <v>8337</v>
      </c>
      <c r="H35" s="22" t="s">
        <v>8180</v>
      </c>
      <c r="I35" s="22" t="s">
        <v>8338</v>
      </c>
      <c r="J35" s="22" t="s">
        <v>8082</v>
      </c>
      <c r="K35" s="32" t="s">
        <v>8339</v>
      </c>
      <c r="L35" s="22" t="s">
        <v>8084</v>
      </c>
    </row>
    <row r="36" customFormat="false" ht="42" hidden="false" customHeight="true" outlineLevel="0" collapsed="false">
      <c r="A36" s="22" t="s">
        <v>8340</v>
      </c>
      <c r="B36" s="22" t="s">
        <v>8341</v>
      </c>
      <c r="C36" s="22" t="s">
        <v>8342</v>
      </c>
      <c r="D36" s="22" t="s">
        <v>8275</v>
      </c>
      <c r="E36" s="22" t="s">
        <v>8343</v>
      </c>
      <c r="F36" s="22" t="s">
        <v>8344</v>
      </c>
      <c r="G36" s="22" t="s">
        <v>8345</v>
      </c>
      <c r="H36" s="22" t="s">
        <v>8080</v>
      </c>
      <c r="I36" s="22" t="s">
        <v>8346</v>
      </c>
      <c r="J36" s="22" t="s">
        <v>8082</v>
      </c>
      <c r="K36" s="32" t="s">
        <v>8347</v>
      </c>
      <c r="L36" s="22" t="s">
        <v>8084</v>
      </c>
    </row>
    <row r="37" customFormat="false" ht="42" hidden="false" customHeight="true" outlineLevel="0" collapsed="false">
      <c r="A37" s="22" t="s">
        <v>8348</v>
      </c>
      <c r="B37" s="22" t="s">
        <v>8349</v>
      </c>
      <c r="C37" s="22" t="s">
        <v>8350</v>
      </c>
      <c r="D37" s="22" t="s">
        <v>8275</v>
      </c>
      <c r="E37" s="22" t="s">
        <v>8351</v>
      </c>
      <c r="F37" s="22" t="s">
        <v>8352</v>
      </c>
      <c r="G37" s="22" t="s">
        <v>8353</v>
      </c>
      <c r="H37" s="22" t="s">
        <v>8080</v>
      </c>
      <c r="I37" s="22" t="s">
        <v>8354</v>
      </c>
      <c r="J37" s="22" t="s">
        <v>8082</v>
      </c>
      <c r="K37" s="32" t="s">
        <v>8355</v>
      </c>
      <c r="L37" s="22" t="s">
        <v>8084</v>
      </c>
    </row>
    <row r="38" customFormat="false" ht="42" hidden="false" customHeight="true" outlineLevel="0" collapsed="false">
      <c r="A38" s="22" t="s">
        <v>8356</v>
      </c>
      <c r="B38" s="22" t="s">
        <v>8357</v>
      </c>
      <c r="C38" s="22" t="s">
        <v>8358</v>
      </c>
      <c r="D38" s="22" t="s">
        <v>8275</v>
      </c>
      <c r="E38" s="22" t="s">
        <v>8343</v>
      </c>
      <c r="F38" s="22" t="s">
        <v>8344</v>
      </c>
      <c r="G38" s="22" t="s">
        <v>8359</v>
      </c>
      <c r="H38" s="22" t="s">
        <v>8180</v>
      </c>
      <c r="I38" s="22" t="s">
        <v>8360</v>
      </c>
      <c r="J38" s="22" t="s">
        <v>8082</v>
      </c>
      <c r="K38" s="32" t="s">
        <v>8361</v>
      </c>
      <c r="L38" s="22" t="s">
        <v>8084</v>
      </c>
    </row>
    <row r="39" customFormat="false" ht="42" hidden="false" customHeight="true" outlineLevel="0" collapsed="false">
      <c r="A39" s="22" t="s">
        <v>8362</v>
      </c>
      <c r="B39" s="22" t="s">
        <v>8363</v>
      </c>
      <c r="C39" s="22" t="s">
        <v>8364</v>
      </c>
      <c r="D39" s="22" t="s">
        <v>8275</v>
      </c>
      <c r="E39" s="22" t="s">
        <v>8365</v>
      </c>
      <c r="F39" s="22" t="s">
        <v>8366</v>
      </c>
      <c r="G39" s="22" t="s">
        <v>8367</v>
      </c>
      <c r="H39" s="22" t="s">
        <v>8180</v>
      </c>
      <c r="I39" s="22" t="s">
        <v>8368</v>
      </c>
      <c r="J39" s="22" t="s">
        <v>8082</v>
      </c>
      <c r="K39" s="32" t="s">
        <v>8369</v>
      </c>
      <c r="L39" s="22" t="s">
        <v>8084</v>
      </c>
    </row>
    <row r="40" customFormat="false" ht="42" hidden="false" customHeight="true" outlineLevel="0" collapsed="false">
      <c r="A40" s="22" t="s">
        <v>8370</v>
      </c>
      <c r="B40" s="22" t="s">
        <v>8371</v>
      </c>
      <c r="C40" s="22" t="s">
        <v>8372</v>
      </c>
      <c r="D40" s="22" t="s">
        <v>8275</v>
      </c>
      <c r="E40" s="22" t="s">
        <v>8343</v>
      </c>
      <c r="F40" s="22" t="s">
        <v>8373</v>
      </c>
      <c r="G40" s="22" t="s">
        <v>8374</v>
      </c>
      <c r="H40" s="22" t="s">
        <v>8180</v>
      </c>
      <c r="I40" s="22" t="s">
        <v>8375</v>
      </c>
      <c r="J40" s="22" t="s">
        <v>8082</v>
      </c>
      <c r="K40" s="32" t="s">
        <v>8376</v>
      </c>
      <c r="L40" s="22" t="s">
        <v>8084</v>
      </c>
    </row>
    <row r="41" customFormat="false" ht="42" hidden="false" customHeight="true" outlineLevel="0" collapsed="false">
      <c r="A41" s="22" t="s">
        <v>8377</v>
      </c>
      <c r="B41" s="22" t="s">
        <v>8378</v>
      </c>
      <c r="C41" s="22" t="s">
        <v>8379</v>
      </c>
      <c r="D41" s="22" t="s">
        <v>8275</v>
      </c>
      <c r="E41" s="22" t="s">
        <v>8380</v>
      </c>
      <c r="F41" s="22" t="s">
        <v>8381</v>
      </c>
      <c r="G41" s="22" t="s">
        <v>8382</v>
      </c>
      <c r="H41" s="22" t="s">
        <v>8080</v>
      </c>
      <c r="I41" s="22" t="s">
        <v>8383</v>
      </c>
      <c r="J41" s="22" t="s">
        <v>8082</v>
      </c>
      <c r="K41" s="32" t="s">
        <v>8384</v>
      </c>
      <c r="L41" s="22" t="s">
        <v>8084</v>
      </c>
    </row>
    <row r="42" customFormat="false" ht="42" hidden="false" customHeight="true" outlineLevel="0" collapsed="false">
      <c r="A42" s="22" t="s">
        <v>8385</v>
      </c>
      <c r="B42" s="22" t="s">
        <v>8386</v>
      </c>
      <c r="C42" s="22" t="s">
        <v>8387</v>
      </c>
      <c r="D42" s="22" t="s">
        <v>8275</v>
      </c>
      <c r="E42" s="22" t="s">
        <v>8343</v>
      </c>
      <c r="F42" s="22" t="s">
        <v>8388</v>
      </c>
      <c r="G42" s="22" t="s">
        <v>8389</v>
      </c>
      <c r="H42" s="22" t="s">
        <v>8180</v>
      </c>
      <c r="I42" s="22" t="s">
        <v>8390</v>
      </c>
      <c r="J42" s="22" t="s">
        <v>8082</v>
      </c>
      <c r="K42" s="32" t="s">
        <v>8391</v>
      </c>
      <c r="L42" s="22" t="s">
        <v>8084</v>
      </c>
    </row>
    <row r="43" customFormat="false" ht="42" hidden="false" customHeight="true" outlineLevel="0" collapsed="false">
      <c r="A43" s="22" t="s">
        <v>8392</v>
      </c>
      <c r="B43" s="22" t="s">
        <v>8393</v>
      </c>
      <c r="C43" s="22" t="s">
        <v>8394</v>
      </c>
      <c r="D43" s="22" t="s">
        <v>8275</v>
      </c>
      <c r="E43" s="22" t="s">
        <v>8307</v>
      </c>
      <c r="F43" s="22" t="s">
        <v>8395</v>
      </c>
      <c r="G43" s="22" t="s">
        <v>8396</v>
      </c>
      <c r="H43" s="22" t="s">
        <v>8080</v>
      </c>
      <c r="I43" s="22" t="s">
        <v>8397</v>
      </c>
      <c r="J43" s="22" t="s">
        <v>8082</v>
      </c>
      <c r="K43" s="32" t="s">
        <v>8398</v>
      </c>
      <c r="L43" s="22" t="s">
        <v>8084</v>
      </c>
    </row>
    <row r="44" customFormat="false" ht="42" hidden="false" customHeight="true" outlineLevel="0" collapsed="false">
      <c r="A44" s="22" t="s">
        <v>8399</v>
      </c>
      <c r="B44" s="22" t="s">
        <v>8400</v>
      </c>
      <c r="C44" s="22" t="s">
        <v>8401</v>
      </c>
      <c r="D44" s="22" t="s">
        <v>8275</v>
      </c>
      <c r="E44" s="22" t="s">
        <v>8343</v>
      </c>
      <c r="F44" s="22" t="s">
        <v>8402</v>
      </c>
      <c r="G44" s="22" t="s">
        <v>8403</v>
      </c>
      <c r="H44" s="22" t="s">
        <v>8080</v>
      </c>
      <c r="I44" s="22" t="s">
        <v>8404</v>
      </c>
      <c r="J44" s="22" t="s">
        <v>8082</v>
      </c>
      <c r="K44" s="32" t="s">
        <v>8405</v>
      </c>
      <c r="L44" s="22" t="s">
        <v>8084</v>
      </c>
    </row>
    <row r="45" customFormat="false" ht="42" hidden="false" customHeight="true" outlineLevel="0" collapsed="false">
      <c r="A45" s="22" t="s">
        <v>8406</v>
      </c>
      <c r="B45" s="22" t="s">
        <v>8407</v>
      </c>
      <c r="C45" s="22" t="s">
        <v>8408</v>
      </c>
      <c r="D45" s="22" t="s">
        <v>8275</v>
      </c>
      <c r="E45" s="22" t="s">
        <v>8343</v>
      </c>
      <c r="F45" s="22" t="s">
        <v>8409</v>
      </c>
      <c r="G45" s="22" t="s">
        <v>8410</v>
      </c>
      <c r="H45" s="22" t="s">
        <v>8080</v>
      </c>
      <c r="I45" s="22" t="s">
        <v>8411</v>
      </c>
      <c r="J45" s="22" t="s">
        <v>8082</v>
      </c>
      <c r="K45" s="32" t="s">
        <v>8412</v>
      </c>
      <c r="L45" s="22" t="s">
        <v>8084</v>
      </c>
    </row>
    <row r="46" customFormat="false" ht="42" hidden="false" customHeight="true" outlineLevel="0" collapsed="false">
      <c r="A46" s="22" t="s">
        <v>8413</v>
      </c>
      <c r="B46" s="22" t="s">
        <v>8414</v>
      </c>
      <c r="C46" s="22" t="s">
        <v>8415</v>
      </c>
      <c r="D46" s="22" t="s">
        <v>8275</v>
      </c>
      <c r="E46" s="22" t="s">
        <v>8343</v>
      </c>
      <c r="F46" s="22" t="s">
        <v>8416</v>
      </c>
      <c r="G46" s="22" t="s">
        <v>8417</v>
      </c>
      <c r="H46" s="22" t="s">
        <v>8080</v>
      </c>
      <c r="I46" s="22" t="s">
        <v>8418</v>
      </c>
      <c r="J46" s="22" t="s">
        <v>8082</v>
      </c>
      <c r="K46" s="32" t="s">
        <v>8419</v>
      </c>
      <c r="L46" s="22" t="s">
        <v>8084</v>
      </c>
    </row>
    <row r="47" customFormat="false" ht="42" hidden="false" customHeight="true" outlineLevel="0" collapsed="false">
      <c r="A47" s="22" t="s">
        <v>8420</v>
      </c>
      <c r="B47" s="22" t="s">
        <v>8421</v>
      </c>
      <c r="C47" s="22" t="s">
        <v>8422</v>
      </c>
      <c r="D47" s="22" t="s">
        <v>8275</v>
      </c>
      <c r="E47" s="22" t="s">
        <v>8343</v>
      </c>
      <c r="F47" s="22" t="s">
        <v>8423</v>
      </c>
      <c r="G47" s="22" t="s">
        <v>8424</v>
      </c>
      <c r="H47" s="22" t="s">
        <v>8080</v>
      </c>
      <c r="I47" s="22" t="s">
        <v>8425</v>
      </c>
      <c r="J47" s="22" t="s">
        <v>8082</v>
      </c>
      <c r="K47" s="32" t="s">
        <v>8426</v>
      </c>
      <c r="L47" s="22" t="s">
        <v>8084</v>
      </c>
    </row>
    <row r="48" customFormat="false" ht="42" hidden="false" customHeight="true" outlineLevel="0" collapsed="false">
      <c r="A48" s="22" t="s">
        <v>8427</v>
      </c>
      <c r="B48" s="22" t="s">
        <v>8428</v>
      </c>
      <c r="C48" s="22" t="s">
        <v>8429</v>
      </c>
      <c r="D48" s="22" t="s">
        <v>8275</v>
      </c>
      <c r="E48" s="22" t="s">
        <v>8430</v>
      </c>
      <c r="F48" s="22" t="s">
        <v>8431</v>
      </c>
      <c r="G48" s="22" t="s">
        <v>8432</v>
      </c>
      <c r="H48" s="22" t="s">
        <v>8080</v>
      </c>
      <c r="I48" s="22" t="s">
        <v>8433</v>
      </c>
      <c r="J48" s="22" t="s">
        <v>8082</v>
      </c>
      <c r="K48" s="32" t="s">
        <v>8434</v>
      </c>
      <c r="L48" s="22" t="s">
        <v>8084</v>
      </c>
    </row>
    <row r="49" customFormat="false" ht="42" hidden="false" customHeight="true" outlineLevel="0" collapsed="false">
      <c r="A49" s="22" t="s">
        <v>8435</v>
      </c>
      <c r="B49" s="22" t="s">
        <v>8436</v>
      </c>
      <c r="C49" s="22" t="s">
        <v>8437</v>
      </c>
      <c r="D49" s="22" t="s">
        <v>8275</v>
      </c>
      <c r="E49" s="22" t="s">
        <v>8438</v>
      </c>
      <c r="F49" s="22" t="s">
        <v>8439</v>
      </c>
      <c r="G49" s="22" t="s">
        <v>8440</v>
      </c>
      <c r="H49" s="22" t="s">
        <v>8080</v>
      </c>
      <c r="I49" s="22" t="s">
        <v>8441</v>
      </c>
      <c r="J49" s="22" t="s">
        <v>8082</v>
      </c>
      <c r="K49" s="32" t="s">
        <v>8442</v>
      </c>
      <c r="L49" s="22" t="s">
        <v>8084</v>
      </c>
    </row>
    <row r="50" customFormat="false" ht="42" hidden="false" customHeight="true" outlineLevel="0" collapsed="false">
      <c r="A50" s="22" t="s">
        <v>8443</v>
      </c>
      <c r="B50" s="22" t="s">
        <v>8444</v>
      </c>
      <c r="C50" s="22" t="s">
        <v>8445</v>
      </c>
      <c r="D50" s="22" t="s">
        <v>8275</v>
      </c>
      <c r="E50" s="22" t="s">
        <v>8307</v>
      </c>
      <c r="F50" s="22" t="s">
        <v>8416</v>
      </c>
      <c r="G50" s="22" t="s">
        <v>8446</v>
      </c>
      <c r="H50" s="22" t="s">
        <v>8180</v>
      </c>
      <c r="I50" s="22" t="s">
        <v>8447</v>
      </c>
      <c r="J50" s="22" t="s">
        <v>8082</v>
      </c>
      <c r="K50" s="32" t="s">
        <v>8448</v>
      </c>
      <c r="L50" s="22" t="s">
        <v>8084</v>
      </c>
    </row>
    <row r="51" customFormat="false" ht="42" hidden="false" customHeight="true" outlineLevel="0" collapsed="false">
      <c r="A51" s="22" t="s">
        <v>8449</v>
      </c>
      <c r="B51" s="22" t="s">
        <v>8450</v>
      </c>
      <c r="C51" s="22" t="s">
        <v>8451</v>
      </c>
      <c r="D51" s="22" t="s">
        <v>8275</v>
      </c>
      <c r="E51" s="22" t="s">
        <v>8452</v>
      </c>
      <c r="F51" s="22" t="s">
        <v>8453</v>
      </c>
      <c r="G51" s="22" t="s">
        <v>8454</v>
      </c>
      <c r="H51" s="22" t="s">
        <v>8080</v>
      </c>
      <c r="I51" s="22" t="s">
        <v>8455</v>
      </c>
      <c r="J51" s="22" t="s">
        <v>8082</v>
      </c>
      <c r="K51" s="32" t="s">
        <v>8456</v>
      </c>
      <c r="L51" s="22" t="s">
        <v>8084</v>
      </c>
    </row>
    <row r="52" customFormat="false" ht="42" hidden="false" customHeight="true" outlineLevel="0" collapsed="false">
      <c r="A52" s="22" t="s">
        <v>8457</v>
      </c>
      <c r="B52" s="22" t="s">
        <v>8458</v>
      </c>
      <c r="C52" s="22" t="s">
        <v>8459</v>
      </c>
      <c r="D52" s="22" t="s">
        <v>8275</v>
      </c>
      <c r="E52" s="22" t="s">
        <v>8307</v>
      </c>
      <c r="F52" s="22" t="s">
        <v>8460</v>
      </c>
      <c r="G52" s="22" t="s">
        <v>8461</v>
      </c>
      <c r="H52" s="22" t="s">
        <v>8080</v>
      </c>
      <c r="I52" s="22" t="s">
        <v>8462</v>
      </c>
      <c r="J52" s="22" t="s">
        <v>8082</v>
      </c>
      <c r="K52" s="32" t="s">
        <v>8463</v>
      </c>
      <c r="L52" s="22" t="s">
        <v>8084</v>
      </c>
    </row>
    <row r="53" customFormat="false" ht="42" hidden="false" customHeight="true" outlineLevel="0" collapsed="false">
      <c r="A53" s="22" t="s">
        <v>8464</v>
      </c>
      <c r="B53" s="22" t="s">
        <v>8465</v>
      </c>
      <c r="C53" s="22" t="s">
        <v>8466</v>
      </c>
      <c r="D53" s="22" t="s">
        <v>8275</v>
      </c>
      <c r="E53" s="22" t="s">
        <v>8343</v>
      </c>
      <c r="F53" s="22" t="s">
        <v>8460</v>
      </c>
      <c r="G53" s="22" t="s">
        <v>8467</v>
      </c>
      <c r="H53" s="22" t="s">
        <v>8080</v>
      </c>
      <c r="I53" s="22" t="s">
        <v>8468</v>
      </c>
      <c r="J53" s="22" t="s">
        <v>8082</v>
      </c>
      <c r="K53" s="32" t="s">
        <v>8469</v>
      </c>
      <c r="L53" s="22" t="s">
        <v>8084</v>
      </c>
    </row>
    <row r="54" customFormat="false" ht="42" hidden="false" customHeight="true" outlineLevel="0" collapsed="false">
      <c r="A54" s="22" t="s">
        <v>8470</v>
      </c>
      <c r="B54" s="22" t="s">
        <v>8471</v>
      </c>
      <c r="C54" s="22" t="s">
        <v>8466</v>
      </c>
      <c r="D54" s="22" t="s">
        <v>8275</v>
      </c>
      <c r="E54" s="22" t="s">
        <v>8343</v>
      </c>
      <c r="F54" s="22" t="s">
        <v>8472</v>
      </c>
      <c r="G54" s="22" t="s">
        <v>8467</v>
      </c>
      <c r="H54" s="22" t="s">
        <v>8080</v>
      </c>
      <c r="I54" s="22" t="s">
        <v>8473</v>
      </c>
      <c r="J54" s="22" t="s">
        <v>8082</v>
      </c>
      <c r="K54" s="32" t="s">
        <v>8474</v>
      </c>
      <c r="L54" s="22" t="s">
        <v>8084</v>
      </c>
    </row>
    <row r="55" customFormat="false" ht="42" hidden="false" customHeight="true" outlineLevel="0" collapsed="false">
      <c r="A55" s="22" t="s">
        <v>8475</v>
      </c>
      <c r="B55" s="22" t="s">
        <v>8476</v>
      </c>
      <c r="C55" s="22" t="s">
        <v>8477</v>
      </c>
      <c r="D55" s="22" t="s">
        <v>8275</v>
      </c>
      <c r="E55" s="22" t="s">
        <v>8343</v>
      </c>
      <c r="F55" s="22" t="s">
        <v>8478</v>
      </c>
      <c r="G55" s="22" t="s">
        <v>8479</v>
      </c>
      <c r="H55" s="22" t="s">
        <v>8180</v>
      </c>
      <c r="I55" s="22" t="s">
        <v>8480</v>
      </c>
      <c r="J55" s="22" t="s">
        <v>8082</v>
      </c>
      <c r="K55" s="32" t="s">
        <v>8481</v>
      </c>
      <c r="L55" s="22" t="s">
        <v>8084</v>
      </c>
    </row>
    <row r="56" customFormat="false" ht="42" hidden="false" customHeight="true" outlineLevel="0" collapsed="false">
      <c r="A56" s="22" t="s">
        <v>8482</v>
      </c>
      <c r="B56" s="22" t="s">
        <v>8483</v>
      </c>
      <c r="C56" s="22" t="s">
        <v>8484</v>
      </c>
      <c r="D56" s="22" t="s">
        <v>8275</v>
      </c>
      <c r="E56" s="22" t="s">
        <v>8343</v>
      </c>
      <c r="F56" s="22" t="s">
        <v>8460</v>
      </c>
      <c r="G56" s="22" t="s">
        <v>8479</v>
      </c>
      <c r="H56" s="22" t="s">
        <v>8180</v>
      </c>
      <c r="I56" s="22" t="s">
        <v>8485</v>
      </c>
      <c r="J56" s="22" t="s">
        <v>8082</v>
      </c>
      <c r="K56" s="32" t="s">
        <v>8486</v>
      </c>
      <c r="L56" s="22" t="s">
        <v>8084</v>
      </c>
    </row>
    <row r="57" customFormat="false" ht="42" hidden="false" customHeight="true" outlineLevel="0" collapsed="false">
      <c r="A57" s="22" t="s">
        <v>8487</v>
      </c>
      <c r="B57" s="22" t="s">
        <v>8488</v>
      </c>
      <c r="C57" s="22" t="s">
        <v>8489</v>
      </c>
      <c r="D57" s="22" t="s">
        <v>8275</v>
      </c>
      <c r="E57" s="22" t="s">
        <v>8343</v>
      </c>
      <c r="F57" s="22" t="s">
        <v>8490</v>
      </c>
      <c r="G57" s="22" t="s">
        <v>8491</v>
      </c>
      <c r="H57" s="22" t="s">
        <v>8080</v>
      </c>
      <c r="I57" s="22" t="s">
        <v>8492</v>
      </c>
      <c r="J57" s="22" t="s">
        <v>8082</v>
      </c>
      <c r="K57" s="32" t="s">
        <v>8493</v>
      </c>
      <c r="L57" s="22" t="s">
        <v>8084</v>
      </c>
    </row>
    <row r="58" customFormat="false" ht="42" hidden="false" customHeight="true" outlineLevel="0" collapsed="false">
      <c r="A58" s="22" t="s">
        <v>8494</v>
      </c>
      <c r="B58" s="22" t="s">
        <v>8495</v>
      </c>
      <c r="C58" s="22" t="s">
        <v>8496</v>
      </c>
      <c r="D58" s="22" t="s">
        <v>8275</v>
      </c>
      <c r="E58" s="22" t="s">
        <v>8497</v>
      </c>
      <c r="F58" s="22" t="s">
        <v>8498</v>
      </c>
      <c r="G58" s="22" t="s">
        <v>8491</v>
      </c>
      <c r="H58" s="22" t="s">
        <v>8180</v>
      </c>
      <c r="I58" s="22" t="s">
        <v>8499</v>
      </c>
      <c r="J58" s="22" t="s">
        <v>8082</v>
      </c>
      <c r="K58" s="32" t="s">
        <v>8500</v>
      </c>
      <c r="L58" s="22" t="s">
        <v>8084</v>
      </c>
    </row>
    <row r="59" customFormat="false" ht="42" hidden="false" customHeight="true" outlineLevel="0" collapsed="false">
      <c r="A59" s="22" t="s">
        <v>8501</v>
      </c>
      <c r="B59" s="22" t="s">
        <v>8502</v>
      </c>
      <c r="C59" s="22" t="s">
        <v>8503</v>
      </c>
      <c r="D59" s="22" t="s">
        <v>8275</v>
      </c>
      <c r="E59" s="22" t="s">
        <v>8504</v>
      </c>
      <c r="F59" s="22" t="s">
        <v>8505</v>
      </c>
      <c r="G59" s="22" t="s">
        <v>8491</v>
      </c>
      <c r="H59" s="22" t="s">
        <v>8080</v>
      </c>
      <c r="I59" s="22" t="s">
        <v>8506</v>
      </c>
      <c r="J59" s="22" t="s">
        <v>8082</v>
      </c>
      <c r="K59" s="32" t="s">
        <v>8507</v>
      </c>
      <c r="L59" s="22" t="s">
        <v>8084</v>
      </c>
    </row>
    <row r="60" customFormat="false" ht="42" hidden="false" customHeight="true" outlineLevel="0" collapsed="false">
      <c r="A60" s="22" t="s">
        <v>8508</v>
      </c>
      <c r="B60" s="22" t="s">
        <v>8509</v>
      </c>
      <c r="C60" s="22" t="s">
        <v>8510</v>
      </c>
      <c r="D60" s="22" t="s">
        <v>8275</v>
      </c>
      <c r="E60" s="22" t="s">
        <v>8511</v>
      </c>
      <c r="F60" s="22" t="s">
        <v>8505</v>
      </c>
      <c r="G60" s="22" t="s">
        <v>8491</v>
      </c>
      <c r="H60" s="22" t="s">
        <v>8180</v>
      </c>
      <c r="I60" s="22" t="s">
        <v>8512</v>
      </c>
      <c r="J60" s="22" t="s">
        <v>8082</v>
      </c>
      <c r="K60" s="32" t="s">
        <v>8513</v>
      </c>
      <c r="L60" s="22" t="s">
        <v>8084</v>
      </c>
    </row>
    <row r="61" customFormat="false" ht="42" hidden="false" customHeight="true" outlineLevel="0" collapsed="false">
      <c r="A61" s="22" t="s">
        <v>8514</v>
      </c>
      <c r="B61" s="22" t="s">
        <v>8515</v>
      </c>
      <c r="C61" s="22" t="s">
        <v>8516</v>
      </c>
      <c r="D61" s="22" t="s">
        <v>8275</v>
      </c>
      <c r="E61" s="22" t="s">
        <v>8307</v>
      </c>
      <c r="F61" s="22" t="s">
        <v>8517</v>
      </c>
      <c r="G61" s="22" t="s">
        <v>8518</v>
      </c>
      <c r="H61" s="22" t="s">
        <v>8180</v>
      </c>
      <c r="I61" s="22" t="s">
        <v>8519</v>
      </c>
      <c r="J61" s="22" t="s">
        <v>8082</v>
      </c>
      <c r="K61" s="32" t="s">
        <v>8520</v>
      </c>
      <c r="L61" s="22" t="s">
        <v>8084</v>
      </c>
    </row>
    <row r="62" customFormat="false" ht="42" hidden="false" customHeight="true" outlineLevel="0" collapsed="false">
      <c r="A62" s="22" t="s">
        <v>8521</v>
      </c>
      <c r="B62" s="22" t="s">
        <v>8522</v>
      </c>
      <c r="C62" s="22" t="s">
        <v>8523</v>
      </c>
      <c r="D62" s="22" t="s">
        <v>8275</v>
      </c>
      <c r="E62" s="22" t="s">
        <v>8524</v>
      </c>
      <c r="F62" s="22" t="s">
        <v>8517</v>
      </c>
      <c r="G62" s="22" t="s">
        <v>8479</v>
      </c>
      <c r="H62" s="22" t="s">
        <v>8180</v>
      </c>
      <c r="I62" s="22" t="s">
        <v>8525</v>
      </c>
      <c r="J62" s="22" t="s">
        <v>8082</v>
      </c>
      <c r="K62" s="32" t="s">
        <v>8526</v>
      </c>
      <c r="L62" s="22" t="s">
        <v>8084</v>
      </c>
    </row>
    <row r="63" customFormat="false" ht="42" hidden="false" customHeight="true" outlineLevel="0" collapsed="false">
      <c r="A63" s="22" t="s">
        <v>8527</v>
      </c>
      <c r="B63" s="22" t="s">
        <v>8528</v>
      </c>
      <c r="C63" s="22" t="s">
        <v>8529</v>
      </c>
      <c r="D63" s="22" t="s">
        <v>8275</v>
      </c>
      <c r="E63" s="22" t="s">
        <v>8299</v>
      </c>
      <c r="F63" s="22" t="s">
        <v>8530</v>
      </c>
      <c r="G63" s="22" t="s">
        <v>8531</v>
      </c>
      <c r="H63" s="22" t="s">
        <v>8180</v>
      </c>
      <c r="I63" s="22" t="s">
        <v>8532</v>
      </c>
      <c r="J63" s="22" t="s">
        <v>8082</v>
      </c>
      <c r="K63" s="32" t="s">
        <v>8533</v>
      </c>
      <c r="L63" s="22" t="s">
        <v>8084</v>
      </c>
    </row>
    <row r="64" customFormat="false" ht="42" hidden="false" customHeight="true" outlineLevel="0" collapsed="false">
      <c r="A64" s="22" t="s">
        <v>8534</v>
      </c>
      <c r="B64" s="22" t="s">
        <v>8535</v>
      </c>
      <c r="C64" s="22" t="s">
        <v>8536</v>
      </c>
      <c r="D64" s="22" t="s">
        <v>8275</v>
      </c>
      <c r="E64" s="22" t="s">
        <v>8537</v>
      </c>
      <c r="F64" s="22" t="s">
        <v>8538</v>
      </c>
      <c r="G64" s="22" t="s">
        <v>8491</v>
      </c>
      <c r="H64" s="22" t="s">
        <v>8539</v>
      </c>
      <c r="I64" s="22" t="s">
        <v>8540</v>
      </c>
      <c r="J64" s="22" t="s">
        <v>8082</v>
      </c>
      <c r="K64" s="32" t="s">
        <v>8541</v>
      </c>
      <c r="L64" s="22" t="s">
        <v>8084</v>
      </c>
    </row>
    <row r="65" customFormat="false" ht="42" hidden="false" customHeight="true" outlineLevel="0" collapsed="false">
      <c r="A65" s="22" t="s">
        <v>8542</v>
      </c>
      <c r="B65" s="22" t="s">
        <v>8543</v>
      </c>
      <c r="C65" s="22" t="s">
        <v>8544</v>
      </c>
      <c r="D65" s="22" t="s">
        <v>8275</v>
      </c>
      <c r="E65" s="22" t="s">
        <v>8545</v>
      </c>
      <c r="F65" s="22" t="s">
        <v>8546</v>
      </c>
      <c r="G65" s="22" t="s">
        <v>8479</v>
      </c>
      <c r="H65" s="22" t="s">
        <v>8180</v>
      </c>
      <c r="I65" s="22" t="s">
        <v>8547</v>
      </c>
      <c r="J65" s="22" t="s">
        <v>8082</v>
      </c>
      <c r="K65" s="32" t="s">
        <v>8548</v>
      </c>
      <c r="L65" s="22" t="s">
        <v>8084</v>
      </c>
    </row>
    <row r="66" customFormat="false" ht="42" hidden="false" customHeight="true" outlineLevel="0" collapsed="false">
      <c r="A66" s="22" t="s">
        <v>8549</v>
      </c>
      <c r="B66" s="22" t="s">
        <v>8550</v>
      </c>
      <c r="C66" s="22" t="s">
        <v>8551</v>
      </c>
      <c r="D66" s="22" t="s">
        <v>8275</v>
      </c>
      <c r="E66" s="22" t="s">
        <v>8307</v>
      </c>
      <c r="F66" s="22" t="s">
        <v>8552</v>
      </c>
      <c r="G66" s="22" t="s">
        <v>8553</v>
      </c>
      <c r="H66" s="22" t="s">
        <v>8080</v>
      </c>
      <c r="I66" s="22" t="s">
        <v>8554</v>
      </c>
      <c r="J66" s="22" t="s">
        <v>8082</v>
      </c>
      <c r="K66" s="32" t="s">
        <v>8555</v>
      </c>
      <c r="L66" s="22" t="s">
        <v>8084</v>
      </c>
    </row>
    <row r="67" customFormat="false" ht="42" hidden="false" customHeight="true" outlineLevel="0" collapsed="false">
      <c r="A67" s="22" t="s">
        <v>8556</v>
      </c>
      <c r="B67" s="22" t="s">
        <v>8557</v>
      </c>
      <c r="C67" s="22" t="s">
        <v>8558</v>
      </c>
      <c r="D67" s="22" t="s">
        <v>8275</v>
      </c>
      <c r="E67" s="22" t="s">
        <v>8343</v>
      </c>
      <c r="F67" s="22" t="s">
        <v>8559</v>
      </c>
      <c r="G67" s="22" t="s">
        <v>8560</v>
      </c>
      <c r="H67" s="22" t="s">
        <v>8180</v>
      </c>
      <c r="I67" s="22" t="s">
        <v>8561</v>
      </c>
      <c r="J67" s="22" t="s">
        <v>8082</v>
      </c>
      <c r="K67" s="32" t="s">
        <v>8562</v>
      </c>
      <c r="L67" s="22" t="s">
        <v>8084</v>
      </c>
    </row>
    <row r="68" customFormat="false" ht="42" hidden="false" customHeight="true" outlineLevel="0" collapsed="false">
      <c r="A68" s="22" t="s">
        <v>8563</v>
      </c>
      <c r="B68" s="22" t="s">
        <v>8564</v>
      </c>
      <c r="C68" s="22" t="s">
        <v>8565</v>
      </c>
      <c r="D68" s="22" t="s">
        <v>8275</v>
      </c>
      <c r="E68" s="22" t="s">
        <v>8566</v>
      </c>
      <c r="F68" s="22" t="s">
        <v>8517</v>
      </c>
      <c r="G68" s="22" t="s">
        <v>8567</v>
      </c>
      <c r="H68" s="22" t="s">
        <v>8080</v>
      </c>
      <c r="I68" s="22" t="s">
        <v>8568</v>
      </c>
      <c r="J68" s="22" t="s">
        <v>8082</v>
      </c>
      <c r="K68" s="32" t="s">
        <v>8569</v>
      </c>
      <c r="L68" s="22" t="s">
        <v>8084</v>
      </c>
    </row>
    <row r="69" customFormat="false" ht="42" hidden="false" customHeight="true" outlineLevel="0" collapsed="false">
      <c r="A69" s="22" t="s">
        <v>8570</v>
      </c>
      <c r="B69" s="22" t="s">
        <v>8571</v>
      </c>
      <c r="C69" s="22" t="s">
        <v>8572</v>
      </c>
      <c r="D69" s="22" t="s">
        <v>8275</v>
      </c>
      <c r="E69" s="22" t="s">
        <v>8573</v>
      </c>
      <c r="F69" s="22" t="s">
        <v>8472</v>
      </c>
      <c r="G69" s="22" t="s">
        <v>8574</v>
      </c>
      <c r="H69" s="22" t="s">
        <v>8180</v>
      </c>
      <c r="I69" s="22" t="s">
        <v>8575</v>
      </c>
      <c r="J69" s="22" t="s">
        <v>8082</v>
      </c>
      <c r="K69" s="32" t="s">
        <v>8576</v>
      </c>
      <c r="L69" s="22" t="s">
        <v>8084</v>
      </c>
    </row>
    <row r="70" customFormat="false" ht="42" hidden="false" customHeight="true" outlineLevel="0" collapsed="false">
      <c r="A70" s="22" t="s">
        <v>8577</v>
      </c>
      <c r="B70" s="22" t="s">
        <v>8578</v>
      </c>
      <c r="C70" s="22" t="s">
        <v>8572</v>
      </c>
      <c r="D70" s="22" t="s">
        <v>8275</v>
      </c>
      <c r="E70" s="22" t="s">
        <v>8573</v>
      </c>
      <c r="F70" s="22" t="s">
        <v>8538</v>
      </c>
      <c r="G70" s="22" t="s">
        <v>8579</v>
      </c>
      <c r="H70" s="22" t="s">
        <v>8180</v>
      </c>
      <c r="I70" s="22" t="s">
        <v>8580</v>
      </c>
      <c r="J70" s="22" t="s">
        <v>8082</v>
      </c>
      <c r="K70" s="32" t="s">
        <v>8581</v>
      </c>
      <c r="L70" s="22" t="s">
        <v>8084</v>
      </c>
    </row>
    <row r="71" customFormat="false" ht="42" hidden="false" customHeight="true" outlineLevel="0" collapsed="false">
      <c r="A71" s="22" t="s">
        <v>8582</v>
      </c>
      <c r="B71" s="22" t="s">
        <v>8583</v>
      </c>
      <c r="C71" s="22" t="s">
        <v>8584</v>
      </c>
      <c r="D71" s="22" t="s">
        <v>8275</v>
      </c>
      <c r="E71" s="22" t="s">
        <v>8585</v>
      </c>
      <c r="F71" s="22" t="s">
        <v>8498</v>
      </c>
      <c r="G71" s="22" t="s">
        <v>8586</v>
      </c>
      <c r="H71" s="22" t="s">
        <v>8180</v>
      </c>
      <c r="I71" s="22" t="s">
        <v>8587</v>
      </c>
      <c r="J71" s="22" t="s">
        <v>8082</v>
      </c>
      <c r="K71" s="32" t="s">
        <v>8588</v>
      </c>
      <c r="L71" s="22" t="s">
        <v>8084</v>
      </c>
    </row>
    <row r="72" customFormat="false" ht="42" hidden="false" customHeight="true" outlineLevel="0" collapsed="false">
      <c r="A72" s="22" t="s">
        <v>8589</v>
      </c>
      <c r="B72" s="22" t="s">
        <v>8590</v>
      </c>
      <c r="C72" s="22" t="s">
        <v>8591</v>
      </c>
      <c r="D72" s="22" t="s">
        <v>8275</v>
      </c>
      <c r="E72" s="22" t="s">
        <v>8592</v>
      </c>
      <c r="F72" s="22" t="s">
        <v>8593</v>
      </c>
      <c r="G72" s="22" t="s">
        <v>8594</v>
      </c>
      <c r="H72" s="22" t="s">
        <v>8080</v>
      </c>
      <c r="I72" s="22" t="s">
        <v>8595</v>
      </c>
      <c r="J72" s="22" t="s">
        <v>8082</v>
      </c>
      <c r="K72" s="32" t="s">
        <v>8596</v>
      </c>
      <c r="L72" s="22" t="s">
        <v>8084</v>
      </c>
    </row>
    <row r="73" customFormat="false" ht="42" hidden="false" customHeight="true" outlineLevel="0" collapsed="false">
      <c r="A73" s="22" t="s">
        <v>8597</v>
      </c>
      <c r="B73" s="22" t="s">
        <v>8598</v>
      </c>
      <c r="C73" s="22" t="s">
        <v>8599</v>
      </c>
      <c r="D73" s="22" t="s">
        <v>8600</v>
      </c>
      <c r="E73" s="22" t="s">
        <v>8226</v>
      </c>
      <c r="F73" s="22" t="s">
        <v>8601</v>
      </c>
      <c r="G73" s="22" t="s">
        <v>8602</v>
      </c>
      <c r="H73" s="22" t="s">
        <v>8080</v>
      </c>
      <c r="I73" s="22" t="s">
        <v>8603</v>
      </c>
      <c r="J73" s="22" t="s">
        <v>8082</v>
      </c>
      <c r="K73" s="32" t="s">
        <v>8604</v>
      </c>
      <c r="L73" s="22" t="s">
        <v>8084</v>
      </c>
    </row>
    <row r="74" customFormat="false" ht="42" hidden="false" customHeight="true" outlineLevel="0" collapsed="false">
      <c r="A74" s="22" t="s">
        <v>8605</v>
      </c>
      <c r="B74" s="22" t="s">
        <v>8606</v>
      </c>
      <c r="C74" s="22" t="s">
        <v>8607</v>
      </c>
      <c r="D74" s="22" t="s">
        <v>8608</v>
      </c>
      <c r="E74" s="22" t="s">
        <v>8226</v>
      </c>
      <c r="F74" s="22" t="s">
        <v>8609</v>
      </c>
      <c r="G74" s="22" t="s">
        <v>8610</v>
      </c>
      <c r="H74" s="22" t="s">
        <v>8180</v>
      </c>
      <c r="I74" s="22" t="s">
        <v>8611</v>
      </c>
      <c r="J74" s="22" t="s">
        <v>8082</v>
      </c>
      <c r="K74" s="32" t="s">
        <v>8612</v>
      </c>
      <c r="L74" s="22" t="s">
        <v>8084</v>
      </c>
    </row>
    <row r="75" customFormat="false" ht="42" hidden="false" customHeight="true" outlineLevel="0" collapsed="false">
      <c r="A75" s="22" t="s">
        <v>8613</v>
      </c>
      <c r="B75" s="22" t="s">
        <v>8614</v>
      </c>
      <c r="C75" s="22" t="s">
        <v>8615</v>
      </c>
      <c r="D75" s="22" t="s">
        <v>8275</v>
      </c>
      <c r="E75" s="22" t="s">
        <v>8226</v>
      </c>
      <c r="F75" s="22" t="s">
        <v>8423</v>
      </c>
      <c r="G75" s="22" t="s">
        <v>8602</v>
      </c>
      <c r="H75" s="22" t="s">
        <v>8080</v>
      </c>
      <c r="I75" s="22" t="s">
        <v>8616</v>
      </c>
      <c r="J75" s="22" t="s">
        <v>8082</v>
      </c>
      <c r="K75" s="32" t="s">
        <v>8617</v>
      </c>
      <c r="L75" s="22" t="s">
        <v>8084</v>
      </c>
    </row>
    <row r="76" customFormat="false" ht="42" hidden="false" customHeight="true" outlineLevel="0" collapsed="false">
      <c r="A76" s="22" t="s">
        <v>8618</v>
      </c>
      <c r="B76" s="22" t="s">
        <v>8619</v>
      </c>
      <c r="C76" s="22" t="s">
        <v>8620</v>
      </c>
      <c r="D76" s="22" t="s">
        <v>8621</v>
      </c>
      <c r="E76" s="22" t="s">
        <v>8226</v>
      </c>
      <c r="F76" s="22" t="s">
        <v>8622</v>
      </c>
      <c r="G76" s="22" t="s">
        <v>8623</v>
      </c>
      <c r="H76" s="22" t="s">
        <v>8080</v>
      </c>
      <c r="I76" s="22" t="s">
        <v>8624</v>
      </c>
      <c r="J76" s="22" t="s">
        <v>8082</v>
      </c>
      <c r="K76" s="32" t="s">
        <v>8625</v>
      </c>
      <c r="L76" s="22" t="s">
        <v>8084</v>
      </c>
    </row>
    <row r="77" customFormat="false" ht="42" hidden="false" customHeight="true" outlineLevel="0" collapsed="false">
      <c r="A77" s="22" t="s">
        <v>8626</v>
      </c>
      <c r="B77" s="22" t="s">
        <v>8627</v>
      </c>
      <c r="C77" s="22" t="s">
        <v>8628</v>
      </c>
      <c r="D77" s="22" t="s">
        <v>8629</v>
      </c>
      <c r="E77" s="22" t="s">
        <v>8226</v>
      </c>
      <c r="F77" s="22" t="s">
        <v>8630</v>
      </c>
      <c r="G77" s="22" t="s">
        <v>8631</v>
      </c>
      <c r="H77" s="22" t="s">
        <v>8180</v>
      </c>
      <c r="I77" s="22" t="s">
        <v>8632</v>
      </c>
      <c r="J77" s="22" t="s">
        <v>8082</v>
      </c>
      <c r="K77" s="32" t="s">
        <v>8633</v>
      </c>
      <c r="L77" s="22" t="s">
        <v>8084</v>
      </c>
    </row>
    <row r="78" customFormat="false" ht="42" hidden="false" customHeight="true" outlineLevel="0" collapsed="false">
      <c r="A78" s="22" t="s">
        <v>8634</v>
      </c>
      <c r="B78" s="22" t="s">
        <v>8635</v>
      </c>
      <c r="C78" s="22" t="s">
        <v>8636</v>
      </c>
      <c r="D78" s="22" t="s">
        <v>8637</v>
      </c>
      <c r="E78" s="22" t="s">
        <v>8638</v>
      </c>
      <c r="F78" s="22" t="s">
        <v>8639</v>
      </c>
      <c r="G78" s="22" t="s">
        <v>8359</v>
      </c>
      <c r="H78" s="22" t="s">
        <v>8080</v>
      </c>
      <c r="I78" s="22" t="s">
        <v>8640</v>
      </c>
      <c r="J78" s="22" t="s">
        <v>8082</v>
      </c>
      <c r="K78" s="32" t="s">
        <v>8641</v>
      </c>
      <c r="L78" s="22" t="s">
        <v>8084</v>
      </c>
    </row>
    <row r="79" customFormat="false" ht="42" hidden="false" customHeight="true" outlineLevel="0" collapsed="false">
      <c r="A79" s="22" t="s">
        <v>8642</v>
      </c>
      <c r="B79" s="22" t="s">
        <v>8643</v>
      </c>
      <c r="C79" s="22" t="s">
        <v>8644</v>
      </c>
      <c r="D79" s="22" t="s">
        <v>8645</v>
      </c>
      <c r="E79" s="22" t="s">
        <v>8205</v>
      </c>
      <c r="F79" s="22" t="s">
        <v>8490</v>
      </c>
      <c r="G79" s="22" t="s">
        <v>8359</v>
      </c>
      <c r="H79" s="22" t="s">
        <v>8080</v>
      </c>
      <c r="I79" s="22" t="s">
        <v>8646</v>
      </c>
      <c r="J79" s="22" t="s">
        <v>8082</v>
      </c>
      <c r="K79" s="32" t="s">
        <v>8647</v>
      </c>
      <c r="L79" s="22" t="s">
        <v>8084</v>
      </c>
    </row>
    <row r="80" customFormat="false" ht="42" hidden="false" customHeight="true" outlineLevel="0" collapsed="false">
      <c r="A80" s="22" t="s">
        <v>8648</v>
      </c>
      <c r="B80" s="22" t="s">
        <v>8649</v>
      </c>
      <c r="C80" s="22" t="s">
        <v>8650</v>
      </c>
      <c r="D80" s="22" t="s">
        <v>8651</v>
      </c>
      <c r="E80" s="22" t="s">
        <v>8652</v>
      </c>
      <c r="F80" s="22" t="s">
        <v>8653</v>
      </c>
      <c r="G80" s="22" t="s">
        <v>8359</v>
      </c>
      <c r="H80" s="22" t="s">
        <v>8080</v>
      </c>
      <c r="I80" s="22" t="s">
        <v>8654</v>
      </c>
      <c r="J80" s="22" t="s">
        <v>8082</v>
      </c>
      <c r="K80" s="32" t="s">
        <v>8655</v>
      </c>
      <c r="L80" s="22" t="s">
        <v>8084</v>
      </c>
    </row>
    <row r="81" customFormat="false" ht="42" hidden="false" customHeight="true" outlineLevel="0" collapsed="false">
      <c r="A81" s="22" t="s">
        <v>8656</v>
      </c>
      <c r="B81" s="22" t="s">
        <v>8657</v>
      </c>
      <c r="C81" s="22" t="s">
        <v>8658</v>
      </c>
      <c r="D81" s="22" t="s">
        <v>8275</v>
      </c>
      <c r="E81" s="22" t="s">
        <v>8659</v>
      </c>
      <c r="F81" s="22" t="s">
        <v>8660</v>
      </c>
      <c r="G81" s="22" t="s">
        <v>8661</v>
      </c>
      <c r="H81" s="22" t="s">
        <v>8180</v>
      </c>
      <c r="I81" s="22" t="s">
        <v>8662</v>
      </c>
      <c r="J81" s="22" t="s">
        <v>8082</v>
      </c>
      <c r="K81" s="32" t="s">
        <v>8663</v>
      </c>
      <c r="L81" s="22" t="s">
        <v>8084</v>
      </c>
    </row>
    <row r="82" customFormat="false" ht="42" hidden="false" customHeight="true" outlineLevel="0" collapsed="false">
      <c r="A82" s="22" t="s">
        <v>8664</v>
      </c>
      <c r="B82" s="22" t="s">
        <v>8665</v>
      </c>
      <c r="C82" s="22" t="s">
        <v>8666</v>
      </c>
      <c r="D82" s="22" t="s">
        <v>8275</v>
      </c>
      <c r="E82" s="22" t="s">
        <v>8343</v>
      </c>
      <c r="F82" s="22" t="s">
        <v>8667</v>
      </c>
      <c r="G82" s="22" t="s">
        <v>8479</v>
      </c>
      <c r="H82" s="22" t="s">
        <v>8180</v>
      </c>
      <c r="I82" s="22" t="s">
        <v>8668</v>
      </c>
      <c r="J82" s="22" t="s">
        <v>8082</v>
      </c>
      <c r="K82" s="32" t="s">
        <v>8669</v>
      </c>
      <c r="L82" s="22" t="s">
        <v>8084</v>
      </c>
    </row>
    <row r="83" customFormat="false" ht="42" hidden="false" customHeight="true" outlineLevel="0" collapsed="false">
      <c r="A83" s="22" t="s">
        <v>8670</v>
      </c>
      <c r="B83" s="22" t="s">
        <v>8671</v>
      </c>
      <c r="C83" s="22" t="s">
        <v>8672</v>
      </c>
      <c r="D83" s="22" t="s">
        <v>8275</v>
      </c>
      <c r="E83" s="22" t="s">
        <v>8343</v>
      </c>
      <c r="F83" s="22" t="s">
        <v>8673</v>
      </c>
      <c r="G83" s="22" t="s">
        <v>8674</v>
      </c>
      <c r="H83" s="22" t="s">
        <v>8180</v>
      </c>
      <c r="I83" s="22" t="s">
        <v>8675</v>
      </c>
      <c r="J83" s="22" t="s">
        <v>8082</v>
      </c>
      <c r="K83" s="32" t="s">
        <v>8676</v>
      </c>
      <c r="L83" s="22" t="s">
        <v>8084</v>
      </c>
    </row>
    <row r="84" customFormat="false" ht="42" hidden="false" customHeight="true" outlineLevel="0" collapsed="false">
      <c r="A84" s="22" t="s">
        <v>8677</v>
      </c>
      <c r="B84" s="22" t="s">
        <v>8678</v>
      </c>
      <c r="C84" s="22" t="s">
        <v>8401</v>
      </c>
      <c r="D84" s="22" t="s">
        <v>8275</v>
      </c>
      <c r="E84" s="22" t="s">
        <v>8343</v>
      </c>
      <c r="F84" s="22" t="s">
        <v>8679</v>
      </c>
      <c r="G84" s="22" t="s">
        <v>8680</v>
      </c>
      <c r="H84" s="22" t="s">
        <v>8180</v>
      </c>
      <c r="I84" s="22" t="s">
        <v>8681</v>
      </c>
      <c r="J84" s="22" t="s">
        <v>8082</v>
      </c>
      <c r="K84" s="32" t="s">
        <v>8682</v>
      </c>
      <c r="L84" s="22" t="s">
        <v>8084</v>
      </c>
    </row>
    <row r="85" customFormat="false" ht="42" hidden="false" customHeight="true" outlineLevel="0" collapsed="false">
      <c r="A85" s="22" t="s">
        <v>8683</v>
      </c>
      <c r="B85" s="22" t="s">
        <v>8684</v>
      </c>
      <c r="C85" s="22" t="s">
        <v>8685</v>
      </c>
      <c r="D85" s="22" t="s">
        <v>8275</v>
      </c>
      <c r="E85" s="22" t="s">
        <v>8686</v>
      </c>
      <c r="F85" s="22" t="s">
        <v>8416</v>
      </c>
      <c r="G85" s="22" t="s">
        <v>8687</v>
      </c>
      <c r="H85" s="22" t="s">
        <v>8180</v>
      </c>
      <c r="I85" s="22" t="s">
        <v>8688</v>
      </c>
      <c r="J85" s="22" t="s">
        <v>8082</v>
      </c>
      <c r="K85" s="32" t="s">
        <v>8689</v>
      </c>
      <c r="L85" s="22" t="s">
        <v>8084</v>
      </c>
    </row>
    <row r="86" customFormat="false" ht="42" hidden="false" customHeight="true" outlineLevel="0" collapsed="false">
      <c r="A86" s="22" t="s">
        <v>8690</v>
      </c>
      <c r="B86" s="22" t="s">
        <v>8691</v>
      </c>
      <c r="C86" s="22" t="s">
        <v>8342</v>
      </c>
      <c r="D86" s="22" t="s">
        <v>8275</v>
      </c>
      <c r="E86" s="22" t="s">
        <v>8343</v>
      </c>
      <c r="F86" s="22" t="s">
        <v>8692</v>
      </c>
      <c r="G86" s="22" t="s">
        <v>8693</v>
      </c>
      <c r="H86" s="22" t="s">
        <v>8080</v>
      </c>
      <c r="I86" s="22" t="s">
        <v>8694</v>
      </c>
      <c r="J86" s="22" t="s">
        <v>8082</v>
      </c>
      <c r="K86" s="32" t="s">
        <v>8695</v>
      </c>
      <c r="L86" s="22" t="s">
        <v>8084</v>
      </c>
    </row>
    <row r="87" customFormat="false" ht="42" hidden="false" customHeight="true" outlineLevel="0" collapsed="false">
      <c r="A87" s="22" t="s">
        <v>8696</v>
      </c>
      <c r="B87" s="22" t="s">
        <v>8697</v>
      </c>
      <c r="C87" s="22" t="s">
        <v>8698</v>
      </c>
      <c r="D87" s="22" t="s">
        <v>8275</v>
      </c>
      <c r="E87" s="22" t="s">
        <v>8699</v>
      </c>
      <c r="F87" s="22" t="s">
        <v>8700</v>
      </c>
      <c r="G87" s="22" t="s">
        <v>8687</v>
      </c>
      <c r="H87" s="22" t="s">
        <v>8180</v>
      </c>
      <c r="I87" s="22" t="s">
        <v>8701</v>
      </c>
      <c r="J87" s="22" t="s">
        <v>8082</v>
      </c>
      <c r="K87" s="32" t="s">
        <v>8702</v>
      </c>
      <c r="L87" s="22" t="s">
        <v>8084</v>
      </c>
    </row>
    <row r="88" customFormat="false" ht="42" hidden="false" customHeight="true" outlineLevel="0" collapsed="false">
      <c r="A88" s="22" t="s">
        <v>8703</v>
      </c>
      <c r="B88" s="22" t="s">
        <v>8704</v>
      </c>
      <c r="C88" s="22" t="s">
        <v>8705</v>
      </c>
      <c r="D88" s="22" t="s">
        <v>8275</v>
      </c>
      <c r="E88" s="22" t="s">
        <v>8706</v>
      </c>
      <c r="F88" s="22" t="s">
        <v>8707</v>
      </c>
      <c r="G88" s="22" t="s">
        <v>8708</v>
      </c>
      <c r="H88" s="22" t="s">
        <v>8180</v>
      </c>
      <c r="I88" s="22" t="s">
        <v>8709</v>
      </c>
      <c r="J88" s="22" t="s">
        <v>8082</v>
      </c>
      <c r="K88" s="32" t="s">
        <v>8710</v>
      </c>
      <c r="L88" s="22" t="s">
        <v>8084</v>
      </c>
    </row>
    <row r="89" customFormat="false" ht="42" hidden="false" customHeight="true" outlineLevel="0" collapsed="false">
      <c r="A89" s="22" t="s">
        <v>8711</v>
      </c>
      <c r="B89" s="22" t="s">
        <v>8712</v>
      </c>
      <c r="C89" s="22" t="s">
        <v>8713</v>
      </c>
      <c r="D89" s="22" t="s">
        <v>8275</v>
      </c>
      <c r="E89" s="22" t="s">
        <v>8714</v>
      </c>
      <c r="F89" s="22" t="s">
        <v>8715</v>
      </c>
      <c r="G89" s="22" t="s">
        <v>8479</v>
      </c>
      <c r="H89" s="22" t="s">
        <v>8180</v>
      </c>
      <c r="I89" s="22" t="s">
        <v>8716</v>
      </c>
      <c r="J89" s="22" t="s">
        <v>8082</v>
      </c>
      <c r="K89" s="32" t="s">
        <v>8717</v>
      </c>
      <c r="L89" s="22" t="s">
        <v>8084</v>
      </c>
    </row>
    <row r="90" customFormat="false" ht="42" hidden="false" customHeight="true" outlineLevel="0" collapsed="false">
      <c r="A90" s="22" t="s">
        <v>8718</v>
      </c>
      <c r="B90" s="22" t="s">
        <v>8719</v>
      </c>
      <c r="C90" s="22" t="s">
        <v>8720</v>
      </c>
      <c r="D90" s="22" t="s">
        <v>8721</v>
      </c>
      <c r="E90" s="22" t="s">
        <v>8343</v>
      </c>
      <c r="F90" s="22" t="s">
        <v>8722</v>
      </c>
      <c r="G90" s="22" t="s">
        <v>8723</v>
      </c>
      <c r="H90" s="22" t="s">
        <v>8080</v>
      </c>
      <c r="I90" s="22" t="s">
        <v>8724</v>
      </c>
      <c r="J90" s="22" t="s">
        <v>8725</v>
      </c>
      <c r="K90" s="32" t="s">
        <v>8726</v>
      </c>
      <c r="L90" s="22" t="s">
        <v>8084</v>
      </c>
    </row>
    <row r="91" customFormat="false" ht="42" hidden="false" customHeight="true" outlineLevel="0" collapsed="false">
      <c r="A91" s="22" t="s">
        <v>8727</v>
      </c>
      <c r="B91" s="22" t="s">
        <v>8728</v>
      </c>
      <c r="C91" s="22" t="s">
        <v>8729</v>
      </c>
      <c r="D91" s="22" t="s">
        <v>8730</v>
      </c>
      <c r="E91" s="22" t="s">
        <v>8343</v>
      </c>
      <c r="F91" s="22" t="s">
        <v>8731</v>
      </c>
      <c r="G91" s="22" t="s">
        <v>8732</v>
      </c>
      <c r="H91" s="22" t="s">
        <v>8080</v>
      </c>
      <c r="I91" s="22" t="s">
        <v>8733</v>
      </c>
      <c r="J91" s="22" t="s">
        <v>8082</v>
      </c>
      <c r="K91" s="32" t="s">
        <v>8734</v>
      </c>
      <c r="L91" s="22" t="s">
        <v>8084</v>
      </c>
    </row>
    <row r="92" customFormat="false" ht="42" hidden="false" customHeight="true" outlineLevel="0" collapsed="false">
      <c r="A92" s="22" t="s">
        <v>8735</v>
      </c>
      <c r="B92" s="22" t="s">
        <v>8736</v>
      </c>
      <c r="C92" s="22" t="s">
        <v>8737</v>
      </c>
      <c r="D92" s="22" t="s">
        <v>8730</v>
      </c>
      <c r="E92" s="22" t="s">
        <v>8343</v>
      </c>
      <c r="F92" s="22" t="s">
        <v>8738</v>
      </c>
      <c r="G92" s="22" t="s">
        <v>8739</v>
      </c>
      <c r="H92" s="22" t="s">
        <v>8180</v>
      </c>
      <c r="I92" s="22" t="s">
        <v>8740</v>
      </c>
      <c r="J92" s="22" t="s">
        <v>8082</v>
      </c>
      <c r="K92" s="32" t="s">
        <v>8741</v>
      </c>
      <c r="L92" s="22" t="s">
        <v>8084</v>
      </c>
    </row>
    <row r="93" customFormat="false" ht="42" hidden="false" customHeight="true" outlineLevel="0" collapsed="false">
      <c r="A93" s="22" t="s">
        <v>8742</v>
      </c>
      <c r="B93" s="22" t="s">
        <v>8743</v>
      </c>
      <c r="C93" s="22" t="s">
        <v>8744</v>
      </c>
      <c r="D93" s="22" t="s">
        <v>8745</v>
      </c>
      <c r="E93" s="22" t="s">
        <v>8343</v>
      </c>
      <c r="F93" s="22" t="s">
        <v>8381</v>
      </c>
      <c r="G93" s="22" t="s">
        <v>8746</v>
      </c>
      <c r="H93" s="22" t="s">
        <v>8080</v>
      </c>
      <c r="I93" s="22" t="s">
        <v>8747</v>
      </c>
      <c r="J93" s="22" t="s">
        <v>8082</v>
      </c>
      <c r="K93" s="32" t="s">
        <v>8748</v>
      </c>
      <c r="L93" s="22" t="s">
        <v>8084</v>
      </c>
    </row>
    <row r="94" customFormat="false" ht="42" hidden="false" customHeight="true" outlineLevel="0" collapsed="false">
      <c r="A94" s="22" t="s">
        <v>8749</v>
      </c>
      <c r="B94" s="22" t="s">
        <v>8750</v>
      </c>
      <c r="C94" s="22" t="s">
        <v>8751</v>
      </c>
      <c r="D94" s="22" t="s">
        <v>8730</v>
      </c>
      <c r="E94" s="22" t="s">
        <v>8343</v>
      </c>
      <c r="F94" s="22" t="s">
        <v>8552</v>
      </c>
      <c r="G94" s="22" t="s">
        <v>8739</v>
      </c>
      <c r="H94" s="22" t="s">
        <v>8080</v>
      </c>
      <c r="I94" s="22" t="s">
        <v>8752</v>
      </c>
      <c r="J94" s="22" t="s">
        <v>8082</v>
      </c>
      <c r="K94" s="32" t="s">
        <v>8753</v>
      </c>
      <c r="L94" s="22" t="s">
        <v>8084</v>
      </c>
    </row>
    <row r="95" customFormat="false" ht="42" hidden="false" customHeight="true" outlineLevel="0" collapsed="false">
      <c r="A95" s="22" t="s">
        <v>8754</v>
      </c>
      <c r="B95" s="22" t="s">
        <v>8755</v>
      </c>
      <c r="C95" s="22" t="s">
        <v>8756</v>
      </c>
      <c r="D95" s="22" t="s">
        <v>8730</v>
      </c>
      <c r="E95" s="22" t="s">
        <v>8343</v>
      </c>
      <c r="F95" s="22" t="s">
        <v>8757</v>
      </c>
      <c r="G95" s="22" t="s">
        <v>8739</v>
      </c>
      <c r="H95" s="22" t="s">
        <v>8080</v>
      </c>
      <c r="I95" s="22" t="s">
        <v>8758</v>
      </c>
      <c r="J95" s="22" t="s">
        <v>8082</v>
      </c>
      <c r="K95" s="32" t="s">
        <v>8759</v>
      </c>
      <c r="L95" s="22" t="s">
        <v>8084</v>
      </c>
    </row>
    <row r="96" customFormat="false" ht="42" hidden="false" customHeight="true" outlineLevel="0" collapsed="false">
      <c r="A96" s="22" t="s">
        <v>8760</v>
      </c>
      <c r="B96" s="22" t="s">
        <v>8761</v>
      </c>
      <c r="C96" s="22" t="s">
        <v>8762</v>
      </c>
      <c r="D96" s="22" t="s">
        <v>8730</v>
      </c>
      <c r="E96" s="22" t="s">
        <v>8343</v>
      </c>
      <c r="F96" s="22" t="s">
        <v>8763</v>
      </c>
      <c r="G96" s="22" t="s">
        <v>8764</v>
      </c>
      <c r="H96" s="22" t="s">
        <v>8080</v>
      </c>
      <c r="I96" s="22" t="s">
        <v>8765</v>
      </c>
      <c r="J96" s="22" t="s">
        <v>8082</v>
      </c>
      <c r="K96" s="32" t="s">
        <v>8766</v>
      </c>
      <c r="L96" s="22" t="s">
        <v>8084</v>
      </c>
    </row>
    <row r="97" customFormat="false" ht="42" hidden="false" customHeight="true" outlineLevel="0" collapsed="false">
      <c r="A97" s="22" t="s">
        <v>8767</v>
      </c>
      <c r="B97" s="22" t="s">
        <v>8768</v>
      </c>
      <c r="C97" s="22" t="s">
        <v>8769</v>
      </c>
      <c r="D97" s="22" t="s">
        <v>8730</v>
      </c>
      <c r="E97" s="22" t="s">
        <v>8343</v>
      </c>
      <c r="F97" s="22" t="s">
        <v>8770</v>
      </c>
      <c r="G97" s="22" t="s">
        <v>8739</v>
      </c>
      <c r="H97" s="22" t="s">
        <v>8080</v>
      </c>
      <c r="I97" s="22" t="s">
        <v>8771</v>
      </c>
      <c r="J97" s="22" t="s">
        <v>8082</v>
      </c>
      <c r="K97" s="32" t="s">
        <v>8772</v>
      </c>
      <c r="L97" s="22" t="s">
        <v>8084</v>
      </c>
    </row>
    <row r="98" customFormat="false" ht="42" hidden="false" customHeight="true" outlineLevel="0" collapsed="false">
      <c r="A98" s="22" t="s">
        <v>8773</v>
      </c>
      <c r="B98" s="22" t="s">
        <v>8774</v>
      </c>
      <c r="C98" s="22" t="s">
        <v>8775</v>
      </c>
      <c r="D98" s="22" t="s">
        <v>8730</v>
      </c>
      <c r="E98" s="22" t="s">
        <v>8343</v>
      </c>
      <c r="F98" s="22" t="s">
        <v>8630</v>
      </c>
      <c r="G98" s="22" t="s">
        <v>8776</v>
      </c>
      <c r="H98" s="22" t="s">
        <v>8180</v>
      </c>
      <c r="I98" s="22" t="s">
        <v>8777</v>
      </c>
      <c r="J98" s="22" t="s">
        <v>8082</v>
      </c>
      <c r="K98" s="32" t="s">
        <v>8778</v>
      </c>
      <c r="L98" s="22" t="s">
        <v>8084</v>
      </c>
    </row>
    <row r="99" customFormat="false" ht="42" hidden="false" customHeight="true" outlineLevel="0" collapsed="false">
      <c r="A99" s="22" t="s">
        <v>8779</v>
      </c>
      <c r="B99" s="22" t="s">
        <v>8780</v>
      </c>
      <c r="C99" s="22" t="s">
        <v>8781</v>
      </c>
      <c r="D99" s="22" t="s">
        <v>8782</v>
      </c>
      <c r="E99" s="22" t="s">
        <v>8343</v>
      </c>
      <c r="F99" s="22" t="s">
        <v>8783</v>
      </c>
      <c r="G99" s="22" t="s">
        <v>8784</v>
      </c>
      <c r="H99" s="22" t="s">
        <v>8080</v>
      </c>
      <c r="I99" s="22" t="s">
        <v>8785</v>
      </c>
      <c r="J99" s="22" t="s">
        <v>8082</v>
      </c>
      <c r="K99" s="32" t="s">
        <v>8786</v>
      </c>
      <c r="L99" s="22" t="s">
        <v>8084</v>
      </c>
    </row>
    <row r="100" customFormat="false" ht="42" hidden="false" customHeight="true" outlineLevel="0" collapsed="false">
      <c r="A100" s="22" t="s">
        <v>8787</v>
      </c>
      <c r="B100" s="22" t="s">
        <v>8788</v>
      </c>
      <c r="C100" s="22" t="s">
        <v>8789</v>
      </c>
      <c r="D100" s="22" t="s">
        <v>8782</v>
      </c>
      <c r="E100" s="22" t="s">
        <v>8343</v>
      </c>
      <c r="F100" s="22" t="s">
        <v>8790</v>
      </c>
      <c r="G100" s="22" t="s">
        <v>8791</v>
      </c>
      <c r="H100" s="22" t="s">
        <v>8080</v>
      </c>
      <c r="I100" s="22" t="s">
        <v>8792</v>
      </c>
      <c r="J100" s="22" t="s">
        <v>8082</v>
      </c>
      <c r="K100" s="32" t="s">
        <v>8793</v>
      </c>
      <c r="L100" s="22" t="s">
        <v>8084</v>
      </c>
    </row>
    <row r="101" customFormat="false" ht="42" hidden="false" customHeight="true" outlineLevel="0" collapsed="false">
      <c r="A101" s="22" t="s">
        <v>8794</v>
      </c>
      <c r="B101" s="22" t="s">
        <v>8795</v>
      </c>
      <c r="C101" s="22" t="s">
        <v>8796</v>
      </c>
      <c r="D101" s="22" t="s">
        <v>8721</v>
      </c>
      <c r="E101" s="22" t="s">
        <v>8307</v>
      </c>
      <c r="F101" s="22" t="s">
        <v>8431</v>
      </c>
      <c r="G101" s="22" t="s">
        <v>8797</v>
      </c>
      <c r="H101" s="22" t="s">
        <v>8080</v>
      </c>
      <c r="I101" s="22" t="s">
        <v>8798</v>
      </c>
      <c r="J101" s="22" t="s">
        <v>8082</v>
      </c>
      <c r="K101" s="32" t="s">
        <v>8799</v>
      </c>
      <c r="L101" s="22" t="s">
        <v>8084</v>
      </c>
    </row>
    <row r="102" customFormat="false" ht="42" hidden="false" customHeight="true" outlineLevel="0" collapsed="false">
      <c r="A102" s="22" t="s">
        <v>8800</v>
      </c>
      <c r="B102" s="22" t="s">
        <v>8801</v>
      </c>
      <c r="C102" s="22" t="s">
        <v>8802</v>
      </c>
      <c r="D102" s="22" t="s">
        <v>8803</v>
      </c>
      <c r="E102" s="22" t="s">
        <v>8307</v>
      </c>
      <c r="F102" s="22" t="s">
        <v>8804</v>
      </c>
      <c r="G102" s="22" t="s">
        <v>8805</v>
      </c>
      <c r="H102" s="22" t="s">
        <v>8080</v>
      </c>
      <c r="I102" s="22" t="s">
        <v>8806</v>
      </c>
      <c r="J102" s="22" t="s">
        <v>8807</v>
      </c>
      <c r="K102" s="32" t="s">
        <v>8808</v>
      </c>
      <c r="L102" s="22" t="s">
        <v>8084</v>
      </c>
    </row>
    <row r="103" customFormat="false" ht="42" hidden="false" customHeight="true" outlineLevel="0" collapsed="false">
      <c r="A103" s="22" t="s">
        <v>8809</v>
      </c>
      <c r="B103" s="22" t="s">
        <v>8810</v>
      </c>
      <c r="C103" s="22" t="s">
        <v>8802</v>
      </c>
      <c r="D103" s="22" t="s">
        <v>8803</v>
      </c>
      <c r="E103" s="22" t="s">
        <v>8307</v>
      </c>
      <c r="F103" s="22" t="s">
        <v>8490</v>
      </c>
      <c r="G103" s="22" t="s">
        <v>8811</v>
      </c>
      <c r="H103" s="22" t="s">
        <v>8080</v>
      </c>
      <c r="I103" s="22" t="s">
        <v>8812</v>
      </c>
      <c r="J103" s="22" t="s">
        <v>8813</v>
      </c>
      <c r="K103" s="32" t="s">
        <v>8814</v>
      </c>
      <c r="L103" s="22" t="s">
        <v>8084</v>
      </c>
    </row>
    <row r="104" customFormat="false" ht="42" hidden="false" customHeight="true" outlineLevel="0" collapsed="false">
      <c r="A104" s="22" t="s">
        <v>8815</v>
      </c>
      <c r="B104" s="22" t="s">
        <v>8816</v>
      </c>
      <c r="C104" s="22" t="s">
        <v>8817</v>
      </c>
      <c r="D104" s="22" t="s">
        <v>8721</v>
      </c>
      <c r="E104" s="22" t="s">
        <v>8818</v>
      </c>
      <c r="F104" s="22" t="s">
        <v>8538</v>
      </c>
      <c r="G104" s="22" t="s">
        <v>8819</v>
      </c>
      <c r="H104" s="22" t="s">
        <v>8180</v>
      </c>
      <c r="I104" s="22" t="s">
        <v>8820</v>
      </c>
      <c r="J104" s="22" t="s">
        <v>8082</v>
      </c>
      <c r="K104" s="32" t="s">
        <v>8821</v>
      </c>
      <c r="L104" s="22" t="s">
        <v>8084</v>
      </c>
    </row>
    <row r="105" customFormat="false" ht="42" hidden="false" customHeight="true" outlineLevel="0" collapsed="false">
      <c r="A105" s="22" t="s">
        <v>8822</v>
      </c>
      <c r="B105" s="22" t="s">
        <v>8823</v>
      </c>
      <c r="C105" s="22" t="s">
        <v>8824</v>
      </c>
      <c r="D105" s="22" t="s">
        <v>8721</v>
      </c>
      <c r="E105" s="22" t="s">
        <v>8343</v>
      </c>
      <c r="F105" s="22" t="s">
        <v>8825</v>
      </c>
      <c r="G105" s="22" t="s">
        <v>8826</v>
      </c>
      <c r="H105" s="22" t="s">
        <v>8080</v>
      </c>
      <c r="I105" s="22" t="s">
        <v>8827</v>
      </c>
      <c r="J105" s="22" t="s">
        <v>8082</v>
      </c>
      <c r="K105" s="32" t="s">
        <v>8828</v>
      </c>
      <c r="L105" s="22" t="s">
        <v>8084</v>
      </c>
    </row>
    <row r="106" customFormat="false" ht="42" hidden="false" customHeight="true" outlineLevel="0" collapsed="false">
      <c r="A106" s="22" t="s">
        <v>8829</v>
      </c>
      <c r="B106" s="22" t="s">
        <v>8830</v>
      </c>
      <c r="C106" s="22" t="s">
        <v>8831</v>
      </c>
      <c r="D106" s="22" t="s">
        <v>8721</v>
      </c>
      <c r="E106" s="22" t="s">
        <v>8343</v>
      </c>
      <c r="F106" s="22" t="s">
        <v>8559</v>
      </c>
      <c r="G106" s="22" t="s">
        <v>8832</v>
      </c>
      <c r="H106" s="22" t="s">
        <v>8080</v>
      </c>
      <c r="I106" s="22" t="s">
        <v>8833</v>
      </c>
      <c r="J106" s="22" t="s">
        <v>8082</v>
      </c>
      <c r="K106" s="32" t="s">
        <v>8834</v>
      </c>
      <c r="L106" s="22" t="s">
        <v>8084</v>
      </c>
    </row>
    <row r="107" customFormat="false" ht="42" hidden="false" customHeight="true" outlineLevel="0" collapsed="false">
      <c r="A107" s="22" t="s">
        <v>8835</v>
      </c>
      <c r="B107" s="22" t="s">
        <v>8836</v>
      </c>
      <c r="C107" s="22" t="s">
        <v>8837</v>
      </c>
      <c r="D107" s="22" t="s">
        <v>8721</v>
      </c>
      <c r="E107" s="22" t="s">
        <v>8343</v>
      </c>
      <c r="F107" s="22" t="s">
        <v>8838</v>
      </c>
      <c r="G107" s="22" t="s">
        <v>8839</v>
      </c>
      <c r="H107" s="22" t="s">
        <v>8180</v>
      </c>
      <c r="I107" s="22" t="s">
        <v>8840</v>
      </c>
      <c r="J107" s="22" t="s">
        <v>8082</v>
      </c>
      <c r="K107" s="32" t="s">
        <v>8841</v>
      </c>
      <c r="L107" s="22" t="s">
        <v>8084</v>
      </c>
    </row>
    <row r="108" customFormat="false" ht="42" hidden="false" customHeight="true" outlineLevel="0" collapsed="false">
      <c r="A108" s="22" t="s">
        <v>8842</v>
      </c>
      <c r="B108" s="22" t="s">
        <v>8843</v>
      </c>
      <c r="C108" s="22" t="s">
        <v>8844</v>
      </c>
      <c r="D108" s="22" t="s">
        <v>8845</v>
      </c>
      <c r="E108" s="22" t="s">
        <v>8343</v>
      </c>
      <c r="F108" s="22" t="s">
        <v>8630</v>
      </c>
      <c r="G108" s="22" t="s">
        <v>8846</v>
      </c>
      <c r="H108" s="22" t="s">
        <v>8180</v>
      </c>
      <c r="I108" s="22" t="s">
        <v>8847</v>
      </c>
      <c r="J108" s="22" t="s">
        <v>8082</v>
      </c>
      <c r="K108" s="32" t="s">
        <v>8848</v>
      </c>
      <c r="L108" s="22" t="s">
        <v>8084</v>
      </c>
    </row>
    <row r="109" customFormat="false" ht="42" hidden="false" customHeight="true" outlineLevel="0" collapsed="false">
      <c r="A109" s="22" t="s">
        <v>8849</v>
      </c>
      <c r="B109" s="22" t="s">
        <v>8850</v>
      </c>
      <c r="C109" s="22" t="s">
        <v>8851</v>
      </c>
      <c r="D109" s="22" t="s">
        <v>8852</v>
      </c>
      <c r="E109" s="22" t="s">
        <v>8343</v>
      </c>
      <c r="F109" s="22" t="s">
        <v>8853</v>
      </c>
      <c r="G109" s="22" t="s">
        <v>8854</v>
      </c>
      <c r="H109" s="22" t="s">
        <v>8180</v>
      </c>
      <c r="I109" s="22" t="s">
        <v>8855</v>
      </c>
      <c r="J109" s="22" t="s">
        <v>8082</v>
      </c>
      <c r="K109" s="32" t="s">
        <v>8856</v>
      </c>
      <c r="L109" s="22" t="s">
        <v>8084</v>
      </c>
    </row>
    <row r="110" customFormat="false" ht="42" hidden="false" customHeight="true" outlineLevel="0" collapsed="false">
      <c r="A110" s="22" t="s">
        <v>8857</v>
      </c>
      <c r="B110" s="22" t="s">
        <v>8858</v>
      </c>
      <c r="C110" s="22" t="s">
        <v>8859</v>
      </c>
      <c r="D110" s="22" t="s">
        <v>8721</v>
      </c>
      <c r="E110" s="22" t="s">
        <v>8860</v>
      </c>
      <c r="F110" s="22" t="s">
        <v>8381</v>
      </c>
      <c r="G110" s="22" t="s">
        <v>8861</v>
      </c>
      <c r="H110" s="22" t="s">
        <v>8180</v>
      </c>
      <c r="I110" s="22" t="s">
        <v>8862</v>
      </c>
      <c r="J110" s="22" t="s">
        <v>8082</v>
      </c>
      <c r="K110" s="32" t="s">
        <v>8863</v>
      </c>
      <c r="L110" s="22" t="s">
        <v>8084</v>
      </c>
    </row>
    <row r="111" customFormat="false" ht="42" hidden="false" customHeight="true" outlineLevel="0" collapsed="false">
      <c r="A111" s="22" t="s">
        <v>8864</v>
      </c>
      <c r="B111" s="22" t="s">
        <v>8865</v>
      </c>
      <c r="C111" s="22" t="s">
        <v>8866</v>
      </c>
      <c r="D111" s="22" t="s">
        <v>8867</v>
      </c>
      <c r="E111" s="22" t="s">
        <v>8868</v>
      </c>
      <c r="F111" s="22" t="s">
        <v>8416</v>
      </c>
      <c r="G111" s="22" t="s">
        <v>8869</v>
      </c>
      <c r="H111" s="22" t="s">
        <v>8080</v>
      </c>
      <c r="I111" s="22" t="s">
        <v>8870</v>
      </c>
      <c r="J111" s="22" t="s">
        <v>8082</v>
      </c>
      <c r="K111" s="32" t="s">
        <v>8871</v>
      </c>
      <c r="L111" s="22" t="s">
        <v>8084</v>
      </c>
    </row>
    <row r="112" customFormat="false" ht="42" hidden="false" customHeight="true" outlineLevel="0" collapsed="false">
      <c r="A112" s="22" t="s">
        <v>8872</v>
      </c>
      <c r="B112" s="22" t="s">
        <v>8873</v>
      </c>
      <c r="C112" s="22" t="s">
        <v>8874</v>
      </c>
      <c r="D112" s="22" t="s">
        <v>8721</v>
      </c>
      <c r="E112" s="22" t="s">
        <v>8343</v>
      </c>
      <c r="F112" s="22" t="s">
        <v>8546</v>
      </c>
      <c r="G112" s="22" t="s">
        <v>8875</v>
      </c>
      <c r="H112" s="22" t="s">
        <v>8180</v>
      </c>
      <c r="I112" s="22" t="s">
        <v>8876</v>
      </c>
      <c r="J112" s="22" t="s">
        <v>8082</v>
      </c>
      <c r="K112" s="32" t="s">
        <v>8877</v>
      </c>
      <c r="L112" s="22" t="s">
        <v>8084</v>
      </c>
    </row>
    <row r="113" customFormat="false" ht="42" hidden="false" customHeight="true" outlineLevel="0" collapsed="false">
      <c r="A113" s="22" t="s">
        <v>8878</v>
      </c>
      <c r="B113" s="22" t="s">
        <v>8879</v>
      </c>
      <c r="C113" s="22" t="s">
        <v>8880</v>
      </c>
      <c r="D113" s="22" t="s">
        <v>8721</v>
      </c>
      <c r="E113" s="22" t="s">
        <v>8343</v>
      </c>
      <c r="F113" s="22" t="s">
        <v>8881</v>
      </c>
      <c r="G113" s="22" t="s">
        <v>8882</v>
      </c>
      <c r="H113" s="22" t="s">
        <v>8180</v>
      </c>
      <c r="I113" s="22" t="s">
        <v>8883</v>
      </c>
      <c r="J113" s="22" t="s">
        <v>8082</v>
      </c>
      <c r="K113" s="32" t="s">
        <v>8884</v>
      </c>
      <c r="L113" s="22" t="s">
        <v>8084</v>
      </c>
    </row>
    <row r="114" customFormat="false" ht="42" hidden="false" customHeight="true" outlineLevel="0" collapsed="false">
      <c r="A114" s="22" t="s">
        <v>8885</v>
      </c>
      <c r="B114" s="22" t="s">
        <v>8886</v>
      </c>
      <c r="C114" s="22" t="s">
        <v>8887</v>
      </c>
      <c r="D114" s="22" t="s">
        <v>8721</v>
      </c>
      <c r="E114" s="22" t="s">
        <v>8343</v>
      </c>
      <c r="F114" s="22" t="s">
        <v>8505</v>
      </c>
      <c r="G114" s="22" t="s">
        <v>8888</v>
      </c>
      <c r="H114" s="22" t="s">
        <v>8180</v>
      </c>
      <c r="I114" s="22" t="s">
        <v>8889</v>
      </c>
      <c r="J114" s="22" t="s">
        <v>8082</v>
      </c>
      <c r="K114" s="32" t="s">
        <v>8890</v>
      </c>
      <c r="L114" s="22" t="s">
        <v>8084</v>
      </c>
    </row>
    <row r="115" customFormat="false" ht="42" hidden="false" customHeight="true" outlineLevel="0" collapsed="false">
      <c r="A115" s="22" t="s">
        <v>8891</v>
      </c>
      <c r="B115" s="22" t="s">
        <v>8892</v>
      </c>
      <c r="C115" s="22" t="s">
        <v>8893</v>
      </c>
      <c r="D115" s="22" t="s">
        <v>8721</v>
      </c>
      <c r="E115" s="22" t="s">
        <v>8343</v>
      </c>
      <c r="F115" s="22" t="s">
        <v>8667</v>
      </c>
      <c r="G115" s="22" t="s">
        <v>8894</v>
      </c>
      <c r="H115" s="22" t="s">
        <v>8180</v>
      </c>
      <c r="I115" s="22" t="s">
        <v>8895</v>
      </c>
      <c r="J115" s="22" t="s">
        <v>8082</v>
      </c>
      <c r="K115" s="32" t="s">
        <v>8896</v>
      </c>
      <c r="L115" s="22" t="s">
        <v>8084</v>
      </c>
    </row>
    <row r="116" customFormat="false" ht="42" hidden="false" customHeight="true" outlineLevel="0" collapsed="false">
      <c r="A116" s="22" t="s">
        <v>8897</v>
      </c>
      <c r="B116" s="22" t="s">
        <v>8898</v>
      </c>
      <c r="C116" s="22" t="s">
        <v>8899</v>
      </c>
      <c r="D116" s="22" t="s">
        <v>8721</v>
      </c>
      <c r="E116" s="22" t="s">
        <v>8900</v>
      </c>
      <c r="F116" s="22" t="s">
        <v>8901</v>
      </c>
      <c r="G116" s="22" t="s">
        <v>8902</v>
      </c>
      <c r="H116" s="22" t="s">
        <v>8180</v>
      </c>
      <c r="I116" s="22" t="s">
        <v>8903</v>
      </c>
      <c r="J116" s="22" t="s">
        <v>8082</v>
      </c>
      <c r="K116" s="32" t="s">
        <v>8904</v>
      </c>
      <c r="L116" s="22" t="s">
        <v>8084</v>
      </c>
    </row>
    <row r="117" customFormat="false" ht="42" hidden="false" customHeight="true" outlineLevel="0" collapsed="false">
      <c r="A117" s="22" t="s">
        <v>8905</v>
      </c>
      <c r="B117" s="22" t="s">
        <v>8906</v>
      </c>
      <c r="C117" s="22" t="s">
        <v>8907</v>
      </c>
      <c r="D117" s="22" t="s">
        <v>8721</v>
      </c>
      <c r="E117" s="22" t="s">
        <v>8900</v>
      </c>
      <c r="F117" s="22" t="s">
        <v>8498</v>
      </c>
      <c r="G117" s="22" t="s">
        <v>8908</v>
      </c>
      <c r="H117" s="22" t="s">
        <v>8180</v>
      </c>
      <c r="I117" s="22" t="s">
        <v>8909</v>
      </c>
      <c r="J117" s="22" t="s">
        <v>8082</v>
      </c>
      <c r="K117" s="32" t="s">
        <v>8910</v>
      </c>
      <c r="L117" s="22" t="s">
        <v>8084</v>
      </c>
    </row>
    <row r="118" customFormat="false" ht="42" hidden="false" customHeight="true" outlineLevel="0" collapsed="false">
      <c r="A118" s="22" t="s">
        <v>8911</v>
      </c>
      <c r="B118" s="22" t="s">
        <v>8912</v>
      </c>
      <c r="C118" s="22" t="s">
        <v>8913</v>
      </c>
      <c r="D118" s="22" t="s">
        <v>8721</v>
      </c>
      <c r="E118" s="22" t="s">
        <v>8914</v>
      </c>
      <c r="F118" s="22" t="s">
        <v>8700</v>
      </c>
      <c r="G118" s="22" t="s">
        <v>8915</v>
      </c>
      <c r="H118" s="22" t="s">
        <v>8180</v>
      </c>
      <c r="I118" s="22" t="s">
        <v>8916</v>
      </c>
      <c r="J118" s="22" t="s">
        <v>8082</v>
      </c>
      <c r="K118" s="32" t="s">
        <v>8917</v>
      </c>
      <c r="L118" s="22" t="s">
        <v>8084</v>
      </c>
    </row>
    <row r="119" customFormat="false" ht="42" hidden="false" customHeight="true" outlineLevel="0" collapsed="false">
      <c r="A119" s="22" t="s">
        <v>8918</v>
      </c>
      <c r="B119" s="22" t="s">
        <v>8919</v>
      </c>
      <c r="C119" s="22" t="s">
        <v>8920</v>
      </c>
      <c r="D119" s="22" t="s">
        <v>8921</v>
      </c>
      <c r="E119" s="22" t="s">
        <v>8343</v>
      </c>
      <c r="F119" s="22" t="s">
        <v>8838</v>
      </c>
      <c r="G119" s="22" t="s">
        <v>8922</v>
      </c>
      <c r="H119" s="22" t="s">
        <v>8080</v>
      </c>
      <c r="I119" s="22" t="s">
        <v>8923</v>
      </c>
      <c r="J119" s="22" t="s">
        <v>8082</v>
      </c>
      <c r="K119" s="32" t="s">
        <v>8924</v>
      </c>
      <c r="L119" s="22" t="s">
        <v>8084</v>
      </c>
    </row>
    <row r="120" customFormat="false" ht="42" hidden="false" customHeight="true" outlineLevel="0" collapsed="false">
      <c r="A120" s="22" t="s">
        <v>8925</v>
      </c>
      <c r="B120" s="22" t="s">
        <v>8926</v>
      </c>
      <c r="C120" s="22" t="s">
        <v>8927</v>
      </c>
      <c r="D120" s="22" t="s">
        <v>8928</v>
      </c>
      <c r="E120" s="22" t="s">
        <v>8343</v>
      </c>
      <c r="F120" s="22" t="s">
        <v>8505</v>
      </c>
      <c r="G120" s="22" t="s">
        <v>8929</v>
      </c>
      <c r="H120" s="22" t="s">
        <v>8080</v>
      </c>
      <c r="I120" s="22" t="s">
        <v>8930</v>
      </c>
      <c r="J120" s="22" t="s">
        <v>8082</v>
      </c>
      <c r="K120" s="32" t="s">
        <v>8931</v>
      </c>
      <c r="L120" s="22" t="s">
        <v>8084</v>
      </c>
    </row>
    <row r="121" customFormat="false" ht="42" hidden="false" customHeight="true" outlineLevel="0" collapsed="false">
      <c r="A121" s="22" t="s">
        <v>8932</v>
      </c>
      <c r="B121" s="22" t="s">
        <v>8933</v>
      </c>
      <c r="C121" s="22" t="s">
        <v>8934</v>
      </c>
      <c r="D121" s="22" t="s">
        <v>8935</v>
      </c>
      <c r="E121" s="22" t="s">
        <v>8343</v>
      </c>
      <c r="F121" s="22" t="s">
        <v>8936</v>
      </c>
      <c r="G121" s="22" t="s">
        <v>8937</v>
      </c>
      <c r="H121" s="22" t="s">
        <v>8180</v>
      </c>
      <c r="I121" s="22" t="s">
        <v>8938</v>
      </c>
      <c r="J121" s="22" t="s">
        <v>8082</v>
      </c>
      <c r="K121" s="32" t="s">
        <v>8939</v>
      </c>
      <c r="L121" s="22" t="s">
        <v>8084</v>
      </c>
    </row>
    <row r="122" customFormat="false" ht="42" hidden="false" customHeight="true" outlineLevel="0" collapsed="false">
      <c r="A122" s="22" t="s">
        <v>8940</v>
      </c>
      <c r="B122" s="22" t="s">
        <v>8941</v>
      </c>
      <c r="C122" s="22" t="s">
        <v>8942</v>
      </c>
      <c r="D122" s="22" t="s">
        <v>8935</v>
      </c>
      <c r="E122" s="22" t="s">
        <v>8943</v>
      </c>
      <c r="F122" s="22" t="s">
        <v>8630</v>
      </c>
      <c r="G122" s="22" t="s">
        <v>8944</v>
      </c>
      <c r="H122" s="22" t="s">
        <v>8180</v>
      </c>
      <c r="I122" s="22" t="s">
        <v>8945</v>
      </c>
      <c r="J122" s="22" t="s">
        <v>8082</v>
      </c>
      <c r="K122" s="32" t="s">
        <v>8946</v>
      </c>
      <c r="L122" s="22" t="s">
        <v>8084</v>
      </c>
    </row>
    <row r="123" customFormat="false" ht="42" hidden="false" customHeight="true" outlineLevel="0" collapsed="false">
      <c r="A123" s="22" t="s">
        <v>8947</v>
      </c>
      <c r="B123" s="22" t="s">
        <v>8948</v>
      </c>
      <c r="C123" s="22" t="s">
        <v>8949</v>
      </c>
      <c r="D123" s="22" t="s">
        <v>8950</v>
      </c>
      <c r="E123" s="22" t="s">
        <v>8307</v>
      </c>
      <c r="F123" s="22" t="s">
        <v>8395</v>
      </c>
      <c r="G123" s="22" t="s">
        <v>8951</v>
      </c>
      <c r="H123" s="22" t="s">
        <v>8180</v>
      </c>
      <c r="I123" s="22" t="s">
        <v>8952</v>
      </c>
      <c r="J123" s="22" t="s">
        <v>8082</v>
      </c>
      <c r="K123" s="32" t="s">
        <v>8953</v>
      </c>
      <c r="L123" s="22" t="s">
        <v>8084</v>
      </c>
    </row>
    <row r="124" customFormat="false" ht="42" hidden="false" customHeight="true" outlineLevel="0" collapsed="false">
      <c r="A124" s="22" t="s">
        <v>8954</v>
      </c>
      <c r="B124" s="22" t="s">
        <v>8955</v>
      </c>
      <c r="C124" s="22" t="s">
        <v>8956</v>
      </c>
      <c r="D124" s="22" t="s">
        <v>8950</v>
      </c>
      <c r="E124" s="22" t="s">
        <v>8957</v>
      </c>
      <c r="F124" s="22" t="s">
        <v>8958</v>
      </c>
      <c r="G124" s="22" t="s">
        <v>8959</v>
      </c>
      <c r="H124" s="22" t="s">
        <v>8180</v>
      </c>
      <c r="I124" s="22" t="s">
        <v>8960</v>
      </c>
      <c r="J124" s="22" t="s">
        <v>8082</v>
      </c>
      <c r="K124" s="32" t="s">
        <v>8961</v>
      </c>
      <c r="L124" s="22" t="s">
        <v>8084</v>
      </c>
    </row>
    <row r="125" customFormat="false" ht="42" hidden="false" customHeight="true" outlineLevel="0" collapsed="false">
      <c r="A125" s="22" t="s">
        <v>8962</v>
      </c>
      <c r="B125" s="22" t="s">
        <v>8963</v>
      </c>
      <c r="C125" s="22" t="s">
        <v>8964</v>
      </c>
      <c r="D125" s="22" t="s">
        <v>8950</v>
      </c>
      <c r="E125" s="22" t="s">
        <v>8343</v>
      </c>
      <c r="F125" s="22" t="s">
        <v>8505</v>
      </c>
      <c r="G125" s="22" t="s">
        <v>8965</v>
      </c>
      <c r="H125" s="22" t="s">
        <v>8080</v>
      </c>
      <c r="I125" s="22" t="s">
        <v>8966</v>
      </c>
      <c r="J125" s="22" t="s">
        <v>8082</v>
      </c>
      <c r="K125" s="32" t="s">
        <v>8967</v>
      </c>
      <c r="L125" s="22" t="s">
        <v>8084</v>
      </c>
    </row>
    <row r="126" customFormat="false" ht="42" hidden="false" customHeight="true" outlineLevel="0" collapsed="false">
      <c r="A126" s="22" t="s">
        <v>8968</v>
      </c>
      <c r="B126" s="22" t="s">
        <v>8969</v>
      </c>
      <c r="C126" s="22" t="s">
        <v>8970</v>
      </c>
      <c r="D126" s="22" t="s">
        <v>8950</v>
      </c>
      <c r="E126" s="22" t="s">
        <v>8971</v>
      </c>
      <c r="F126" s="22" t="s">
        <v>8783</v>
      </c>
      <c r="G126" s="22" t="s">
        <v>8972</v>
      </c>
      <c r="H126" s="22" t="s">
        <v>8180</v>
      </c>
      <c r="I126" s="22" t="s">
        <v>8973</v>
      </c>
      <c r="J126" s="22" t="s">
        <v>8082</v>
      </c>
      <c r="K126" s="32" t="s">
        <v>8974</v>
      </c>
      <c r="L126" s="22" t="s">
        <v>8084</v>
      </c>
    </row>
    <row r="127" customFormat="false" ht="42" hidden="false" customHeight="true" outlineLevel="0" collapsed="false">
      <c r="A127" s="22" t="s">
        <v>8975</v>
      </c>
      <c r="B127" s="22" t="s">
        <v>8976</v>
      </c>
      <c r="C127" s="22" t="s">
        <v>8977</v>
      </c>
      <c r="D127" s="22" t="s">
        <v>8950</v>
      </c>
      <c r="E127" s="22" t="s">
        <v>8343</v>
      </c>
      <c r="F127" s="22" t="s">
        <v>8498</v>
      </c>
      <c r="G127" s="22" t="s">
        <v>8978</v>
      </c>
      <c r="H127" s="22" t="s">
        <v>8539</v>
      </c>
      <c r="I127" s="22" t="s">
        <v>8979</v>
      </c>
      <c r="J127" s="22" t="s">
        <v>8082</v>
      </c>
      <c r="K127" s="32" t="s">
        <v>8980</v>
      </c>
      <c r="L127" s="22" t="s">
        <v>8084</v>
      </c>
    </row>
    <row r="128" customFormat="false" ht="42" hidden="false" customHeight="true" outlineLevel="0" collapsed="false">
      <c r="A128" s="22" t="s">
        <v>8981</v>
      </c>
      <c r="B128" s="22" t="s">
        <v>8982</v>
      </c>
      <c r="C128" s="22" t="s">
        <v>8983</v>
      </c>
      <c r="D128" s="22" t="s">
        <v>8984</v>
      </c>
      <c r="E128" s="22" t="s">
        <v>8226</v>
      </c>
      <c r="F128" s="22" t="s">
        <v>8985</v>
      </c>
      <c r="G128" s="22" t="s">
        <v>8986</v>
      </c>
      <c r="H128" s="22" t="s">
        <v>8080</v>
      </c>
      <c r="I128" s="22" t="s">
        <v>8987</v>
      </c>
      <c r="J128" s="22" t="s">
        <v>8988</v>
      </c>
      <c r="K128" s="32" t="s">
        <v>8989</v>
      </c>
      <c r="L128" s="22" t="s">
        <v>8084</v>
      </c>
    </row>
    <row r="129" customFormat="false" ht="42" hidden="false" customHeight="true" outlineLevel="0" collapsed="false">
      <c r="A129" s="22" t="s">
        <v>8990</v>
      </c>
      <c r="B129" s="22" t="s">
        <v>8991</v>
      </c>
      <c r="C129" s="22" t="s">
        <v>8992</v>
      </c>
      <c r="D129" s="22" t="s">
        <v>8984</v>
      </c>
      <c r="E129" s="22" t="s">
        <v>8226</v>
      </c>
      <c r="F129" s="22" t="s">
        <v>8700</v>
      </c>
      <c r="G129" s="22" t="s">
        <v>8993</v>
      </c>
      <c r="H129" s="22" t="s">
        <v>8080</v>
      </c>
      <c r="I129" s="22" t="s">
        <v>8994</v>
      </c>
      <c r="J129" s="22" t="s">
        <v>8995</v>
      </c>
      <c r="K129" s="32" t="s">
        <v>8996</v>
      </c>
      <c r="L129" s="22" t="s">
        <v>8084</v>
      </c>
    </row>
    <row r="130" customFormat="false" ht="42" hidden="false" customHeight="true" outlineLevel="0" collapsed="false">
      <c r="A130" s="22" t="s">
        <v>8997</v>
      </c>
      <c r="B130" s="22" t="s">
        <v>8998</v>
      </c>
      <c r="C130" s="22" t="s">
        <v>8999</v>
      </c>
      <c r="D130" s="22" t="s">
        <v>9000</v>
      </c>
      <c r="E130" s="22" t="s">
        <v>8226</v>
      </c>
      <c r="F130" s="22" t="s">
        <v>8825</v>
      </c>
      <c r="G130" s="22" t="s">
        <v>9001</v>
      </c>
      <c r="H130" s="22" t="s">
        <v>8080</v>
      </c>
      <c r="I130" s="22" t="s">
        <v>9002</v>
      </c>
      <c r="J130" s="22" t="s">
        <v>8082</v>
      </c>
      <c r="K130" s="32" t="s">
        <v>9003</v>
      </c>
      <c r="L130" s="22" t="s">
        <v>8084</v>
      </c>
    </row>
    <row r="131" customFormat="false" ht="42" hidden="false" customHeight="true" outlineLevel="0" collapsed="false">
      <c r="A131" s="22" t="s">
        <v>9004</v>
      </c>
      <c r="B131" s="22" t="s">
        <v>9005</v>
      </c>
      <c r="C131" s="22" t="s">
        <v>9006</v>
      </c>
      <c r="D131" s="22" t="s">
        <v>8984</v>
      </c>
      <c r="E131" s="22" t="s">
        <v>8226</v>
      </c>
      <c r="F131" s="22" t="s">
        <v>9007</v>
      </c>
      <c r="G131" s="22" t="s">
        <v>9008</v>
      </c>
      <c r="H131" s="22" t="s">
        <v>8080</v>
      </c>
      <c r="I131" s="22" t="s">
        <v>9009</v>
      </c>
      <c r="J131" s="22" t="s">
        <v>8082</v>
      </c>
      <c r="K131" s="32" t="s">
        <v>9010</v>
      </c>
      <c r="L131" s="22" t="s">
        <v>8084</v>
      </c>
    </row>
    <row r="132" customFormat="false" ht="42" hidden="false" customHeight="true" outlineLevel="0" collapsed="false">
      <c r="A132" s="22" t="s">
        <v>9011</v>
      </c>
      <c r="B132" s="22" t="s">
        <v>9012</v>
      </c>
      <c r="C132" s="22" t="s">
        <v>8992</v>
      </c>
      <c r="D132" s="22" t="s">
        <v>9013</v>
      </c>
      <c r="E132" s="22" t="s">
        <v>8226</v>
      </c>
      <c r="F132" s="22" t="s">
        <v>9014</v>
      </c>
      <c r="G132" s="22" t="s">
        <v>9015</v>
      </c>
      <c r="H132" s="22" t="s">
        <v>8080</v>
      </c>
      <c r="I132" s="22" t="s">
        <v>9016</v>
      </c>
      <c r="J132" s="22" t="s">
        <v>9017</v>
      </c>
      <c r="K132" s="32" t="s">
        <v>9018</v>
      </c>
      <c r="L132" s="22" t="s">
        <v>8084</v>
      </c>
    </row>
    <row r="133" customFormat="false" ht="42" hidden="false" customHeight="true" outlineLevel="0" collapsed="false">
      <c r="A133" s="22" t="s">
        <v>9019</v>
      </c>
      <c r="B133" s="22" t="s">
        <v>9020</v>
      </c>
      <c r="C133" s="22" t="s">
        <v>9021</v>
      </c>
      <c r="D133" s="22" t="s">
        <v>9000</v>
      </c>
      <c r="E133" s="22" t="s">
        <v>8226</v>
      </c>
      <c r="F133" s="22" t="s">
        <v>8431</v>
      </c>
      <c r="G133" s="22" t="s">
        <v>9022</v>
      </c>
      <c r="H133" s="22" t="s">
        <v>8080</v>
      </c>
      <c r="I133" s="22" t="s">
        <v>9023</v>
      </c>
      <c r="J133" s="22" t="s">
        <v>8082</v>
      </c>
      <c r="K133" s="32" t="s">
        <v>9024</v>
      </c>
      <c r="L133" s="22" t="s">
        <v>8084</v>
      </c>
    </row>
    <row r="134" customFormat="false" ht="42" hidden="false" customHeight="true" outlineLevel="0" collapsed="false">
      <c r="A134" s="22" t="s">
        <v>9025</v>
      </c>
      <c r="B134" s="22" t="s">
        <v>9026</v>
      </c>
      <c r="C134" s="22" t="s">
        <v>9027</v>
      </c>
      <c r="D134" s="22" t="s">
        <v>9028</v>
      </c>
      <c r="E134" s="22" t="s">
        <v>8226</v>
      </c>
      <c r="F134" s="22" t="s">
        <v>8409</v>
      </c>
      <c r="G134" s="22" t="s">
        <v>9029</v>
      </c>
      <c r="H134" s="22" t="s">
        <v>8080</v>
      </c>
      <c r="I134" s="22" t="s">
        <v>9030</v>
      </c>
      <c r="J134" s="22" t="s">
        <v>8082</v>
      </c>
      <c r="K134" s="32" t="s">
        <v>9031</v>
      </c>
      <c r="L134" s="22" t="s">
        <v>8084</v>
      </c>
    </row>
    <row r="135" customFormat="false" ht="42" hidden="false" customHeight="true" outlineLevel="0" collapsed="false">
      <c r="A135" s="22" t="s">
        <v>9032</v>
      </c>
      <c r="B135" s="22" t="s">
        <v>9033</v>
      </c>
      <c r="C135" s="22" t="s">
        <v>9034</v>
      </c>
      <c r="D135" s="22" t="s">
        <v>9035</v>
      </c>
      <c r="E135" s="22" t="s">
        <v>8343</v>
      </c>
      <c r="F135" s="22" t="s">
        <v>8763</v>
      </c>
      <c r="G135" s="22" t="s">
        <v>9036</v>
      </c>
      <c r="H135" s="22" t="s">
        <v>8080</v>
      </c>
      <c r="I135" s="22" t="s">
        <v>9037</v>
      </c>
      <c r="J135" s="22" t="s">
        <v>8082</v>
      </c>
      <c r="K135" s="32" t="s">
        <v>9038</v>
      </c>
      <c r="L135" s="22" t="s">
        <v>8084</v>
      </c>
    </row>
    <row r="136" customFormat="false" ht="42" hidden="false" customHeight="true" outlineLevel="0" collapsed="false">
      <c r="A136" s="22" t="s">
        <v>9039</v>
      </c>
      <c r="B136" s="22" t="s">
        <v>9040</v>
      </c>
      <c r="C136" s="22" t="s">
        <v>9041</v>
      </c>
      <c r="D136" s="22" t="s">
        <v>9042</v>
      </c>
      <c r="E136" s="22" t="s">
        <v>8343</v>
      </c>
      <c r="F136" s="22" t="s">
        <v>8763</v>
      </c>
      <c r="G136" s="22" t="s">
        <v>9043</v>
      </c>
      <c r="H136" s="22" t="s">
        <v>8080</v>
      </c>
      <c r="I136" s="22" t="s">
        <v>9044</v>
      </c>
      <c r="J136" s="22" t="s">
        <v>9045</v>
      </c>
      <c r="K136" s="32" t="s">
        <v>9046</v>
      </c>
      <c r="L136" s="22" t="s">
        <v>8084</v>
      </c>
    </row>
    <row r="137" customFormat="false" ht="42" hidden="false" customHeight="true" outlineLevel="0" collapsed="false">
      <c r="A137" s="22" t="s">
        <v>9047</v>
      </c>
      <c r="B137" s="22" t="s">
        <v>9048</v>
      </c>
      <c r="C137" s="22" t="s">
        <v>9041</v>
      </c>
      <c r="D137" s="22" t="s">
        <v>9013</v>
      </c>
      <c r="E137" s="22" t="s">
        <v>8343</v>
      </c>
      <c r="F137" s="22" t="s">
        <v>8552</v>
      </c>
      <c r="G137" s="22" t="s">
        <v>9049</v>
      </c>
      <c r="H137" s="22" t="s">
        <v>8080</v>
      </c>
      <c r="I137" s="22" t="s">
        <v>9050</v>
      </c>
      <c r="J137" s="22" t="s">
        <v>9051</v>
      </c>
      <c r="K137" s="32" t="s">
        <v>9052</v>
      </c>
      <c r="L137" s="22" t="s">
        <v>8084</v>
      </c>
    </row>
    <row r="138" customFormat="false" ht="42" hidden="false" customHeight="true" outlineLevel="0" collapsed="false">
      <c r="A138" s="22" t="s">
        <v>9053</v>
      </c>
      <c r="B138" s="22" t="s">
        <v>9054</v>
      </c>
      <c r="C138" s="22" t="s">
        <v>9041</v>
      </c>
      <c r="D138" s="22" t="s">
        <v>9055</v>
      </c>
      <c r="E138" s="22" t="s">
        <v>8343</v>
      </c>
      <c r="F138" s="22" t="s">
        <v>8423</v>
      </c>
      <c r="G138" s="22" t="s">
        <v>9056</v>
      </c>
      <c r="H138" s="22" t="s">
        <v>8080</v>
      </c>
      <c r="I138" s="22" t="s">
        <v>9057</v>
      </c>
      <c r="J138" s="22" t="s">
        <v>8082</v>
      </c>
      <c r="K138" s="32" t="s">
        <v>9058</v>
      </c>
      <c r="L138" s="22" t="s">
        <v>8084</v>
      </c>
    </row>
    <row r="139" customFormat="false" ht="42" hidden="false" customHeight="true" outlineLevel="0" collapsed="false">
      <c r="A139" s="22" t="s">
        <v>9059</v>
      </c>
      <c r="B139" s="22" t="s">
        <v>9060</v>
      </c>
      <c r="C139" s="22" t="s">
        <v>9061</v>
      </c>
      <c r="D139" s="22" t="s">
        <v>9035</v>
      </c>
      <c r="E139" s="22" t="s">
        <v>8438</v>
      </c>
      <c r="F139" s="22" t="s">
        <v>8783</v>
      </c>
      <c r="G139" s="22" t="s">
        <v>9062</v>
      </c>
      <c r="H139" s="22" t="s">
        <v>8080</v>
      </c>
      <c r="I139" s="22" t="s">
        <v>9063</v>
      </c>
      <c r="J139" s="22" t="s">
        <v>8082</v>
      </c>
      <c r="K139" s="32" t="s">
        <v>9064</v>
      </c>
      <c r="L139" s="22" t="s">
        <v>8084</v>
      </c>
    </row>
    <row r="140" customFormat="false" ht="42" hidden="false" customHeight="true" outlineLevel="0" collapsed="false">
      <c r="A140" s="22" t="s">
        <v>9065</v>
      </c>
      <c r="B140" s="22" t="s">
        <v>9066</v>
      </c>
      <c r="C140" s="22" t="s">
        <v>9067</v>
      </c>
      <c r="D140" s="22" t="s">
        <v>9068</v>
      </c>
      <c r="E140" s="22" t="s">
        <v>9069</v>
      </c>
      <c r="F140" s="22" t="s">
        <v>9070</v>
      </c>
      <c r="G140" s="22" t="s">
        <v>9071</v>
      </c>
      <c r="H140" s="22" t="s">
        <v>8080</v>
      </c>
      <c r="I140" s="22" t="s">
        <v>9072</v>
      </c>
      <c r="J140" s="22" t="s">
        <v>8082</v>
      </c>
      <c r="K140" s="32" t="s">
        <v>9073</v>
      </c>
      <c r="L140" s="22" t="s">
        <v>8084</v>
      </c>
    </row>
    <row r="141" customFormat="false" ht="42" hidden="false" customHeight="true" outlineLevel="0" collapsed="false">
      <c r="A141" s="22" t="s">
        <v>9074</v>
      </c>
      <c r="B141" s="22" t="s">
        <v>9075</v>
      </c>
      <c r="C141" s="22" t="s">
        <v>9076</v>
      </c>
      <c r="D141" s="22" t="s">
        <v>9077</v>
      </c>
      <c r="E141" s="22" t="s">
        <v>8343</v>
      </c>
      <c r="F141" s="22" t="s">
        <v>8453</v>
      </c>
      <c r="G141" s="22" t="s">
        <v>9078</v>
      </c>
      <c r="H141" s="22" t="s">
        <v>8180</v>
      </c>
      <c r="I141" s="22" t="s">
        <v>9079</v>
      </c>
      <c r="J141" s="22" t="s">
        <v>8082</v>
      </c>
      <c r="K141" s="32" t="s">
        <v>9080</v>
      </c>
      <c r="L141" s="22" t="s">
        <v>8084</v>
      </c>
    </row>
    <row r="142" customFormat="false" ht="42" hidden="false" customHeight="true" outlineLevel="0" collapsed="false">
      <c r="A142" s="22" t="s">
        <v>9081</v>
      </c>
      <c r="B142" s="22" t="s">
        <v>9082</v>
      </c>
      <c r="C142" s="22" t="s">
        <v>9076</v>
      </c>
      <c r="D142" s="22" t="s">
        <v>9077</v>
      </c>
      <c r="E142" s="22" t="s">
        <v>8343</v>
      </c>
      <c r="F142" s="22" t="s">
        <v>8439</v>
      </c>
      <c r="G142" s="22" t="s">
        <v>9083</v>
      </c>
      <c r="H142" s="22" t="s">
        <v>8080</v>
      </c>
      <c r="I142" s="22" t="s">
        <v>9084</v>
      </c>
      <c r="J142" s="22" t="s">
        <v>8082</v>
      </c>
      <c r="K142" s="32" t="s">
        <v>9085</v>
      </c>
      <c r="L142" s="22" t="s">
        <v>8084</v>
      </c>
    </row>
    <row r="143" customFormat="false" ht="42" hidden="false" customHeight="true" outlineLevel="0" collapsed="false">
      <c r="A143" s="22" t="s">
        <v>9086</v>
      </c>
      <c r="B143" s="22" t="s">
        <v>9087</v>
      </c>
      <c r="C143" s="22" t="s">
        <v>9088</v>
      </c>
      <c r="D143" s="22" t="s">
        <v>9077</v>
      </c>
      <c r="E143" s="22" t="s">
        <v>8438</v>
      </c>
      <c r="F143" s="22" t="s">
        <v>8667</v>
      </c>
      <c r="G143" s="22" t="s">
        <v>9089</v>
      </c>
      <c r="H143" s="22" t="s">
        <v>8180</v>
      </c>
      <c r="I143" s="22" t="s">
        <v>9090</v>
      </c>
      <c r="J143" s="22" t="s">
        <v>8082</v>
      </c>
      <c r="K143" s="32" t="s">
        <v>9091</v>
      </c>
      <c r="L143" s="22" t="s">
        <v>8084</v>
      </c>
    </row>
    <row r="144" customFormat="false" ht="42" hidden="false" customHeight="true" outlineLevel="0" collapsed="false">
      <c r="A144" s="22" t="s">
        <v>9092</v>
      </c>
      <c r="B144" s="22" t="s">
        <v>9093</v>
      </c>
      <c r="C144" s="22" t="s">
        <v>9094</v>
      </c>
      <c r="D144" s="22" t="s">
        <v>9035</v>
      </c>
      <c r="E144" s="22" t="s">
        <v>9095</v>
      </c>
      <c r="F144" s="22" t="s">
        <v>8667</v>
      </c>
      <c r="G144" s="22" t="s">
        <v>9096</v>
      </c>
      <c r="H144" s="22" t="s">
        <v>8080</v>
      </c>
      <c r="I144" s="22" t="s">
        <v>9097</v>
      </c>
      <c r="J144" s="22" t="s">
        <v>8082</v>
      </c>
      <c r="K144" s="32" t="s">
        <v>9098</v>
      </c>
      <c r="L144" s="22" t="s">
        <v>8084</v>
      </c>
    </row>
    <row r="145" customFormat="false" ht="42" hidden="false" customHeight="true" outlineLevel="0" collapsed="false">
      <c r="A145" s="22" t="s">
        <v>9099</v>
      </c>
      <c r="B145" s="22" t="s">
        <v>9100</v>
      </c>
      <c r="C145" s="22" t="s">
        <v>9101</v>
      </c>
      <c r="D145" s="22" t="s">
        <v>9077</v>
      </c>
      <c r="E145" s="22" t="s">
        <v>8343</v>
      </c>
      <c r="F145" s="22" t="s">
        <v>8490</v>
      </c>
      <c r="G145" s="22" t="s">
        <v>9102</v>
      </c>
      <c r="H145" s="22" t="s">
        <v>8080</v>
      </c>
      <c r="I145" s="22" t="s">
        <v>9103</v>
      </c>
      <c r="J145" s="22" t="s">
        <v>8082</v>
      </c>
      <c r="K145" s="32" t="s">
        <v>9104</v>
      </c>
      <c r="L145" s="22" t="s">
        <v>8084</v>
      </c>
    </row>
    <row r="146" customFormat="false" ht="42" hidden="false" customHeight="true" outlineLevel="0" collapsed="false">
      <c r="A146" s="22" t="s">
        <v>9105</v>
      </c>
      <c r="B146" s="22" t="s">
        <v>9106</v>
      </c>
      <c r="C146" s="22" t="s">
        <v>9101</v>
      </c>
      <c r="D146" s="22" t="s">
        <v>9077</v>
      </c>
      <c r="E146" s="22" t="s">
        <v>8343</v>
      </c>
      <c r="F146" s="22" t="s">
        <v>9107</v>
      </c>
      <c r="G146" s="22" t="s">
        <v>9108</v>
      </c>
      <c r="H146" s="22" t="s">
        <v>8180</v>
      </c>
      <c r="I146" s="22" t="s">
        <v>9109</v>
      </c>
      <c r="J146" s="22" t="s">
        <v>8082</v>
      </c>
      <c r="K146" s="32" t="s">
        <v>9110</v>
      </c>
      <c r="L146" s="22" t="s">
        <v>8084</v>
      </c>
    </row>
    <row r="147" customFormat="false" ht="42" hidden="false" customHeight="true" outlineLevel="0" collapsed="false">
      <c r="A147" s="22" t="s">
        <v>9111</v>
      </c>
      <c r="B147" s="22" t="s">
        <v>9112</v>
      </c>
      <c r="C147" s="22" t="s">
        <v>9113</v>
      </c>
      <c r="D147" s="22" t="s">
        <v>9077</v>
      </c>
      <c r="E147" s="22" t="s">
        <v>9114</v>
      </c>
      <c r="F147" s="22" t="s">
        <v>8498</v>
      </c>
      <c r="G147" s="22" t="s">
        <v>9115</v>
      </c>
      <c r="H147" s="22" t="s">
        <v>8180</v>
      </c>
      <c r="I147" s="22" t="s">
        <v>9116</v>
      </c>
      <c r="J147" s="22" t="s">
        <v>8082</v>
      </c>
      <c r="K147" s="32" t="s">
        <v>9117</v>
      </c>
      <c r="L147" s="22" t="s">
        <v>8084</v>
      </c>
    </row>
    <row r="148" customFormat="false" ht="42" hidden="false" customHeight="true" outlineLevel="0" collapsed="false">
      <c r="A148" s="22" t="s">
        <v>9118</v>
      </c>
      <c r="B148" s="22" t="s">
        <v>9119</v>
      </c>
      <c r="C148" s="22" t="s">
        <v>9113</v>
      </c>
      <c r="D148" s="22" t="s">
        <v>9077</v>
      </c>
      <c r="E148" s="22" t="s">
        <v>9114</v>
      </c>
      <c r="F148" s="22" t="s">
        <v>8707</v>
      </c>
      <c r="G148" s="22" t="s">
        <v>9115</v>
      </c>
      <c r="H148" s="22" t="s">
        <v>8080</v>
      </c>
      <c r="I148" s="22" t="s">
        <v>9120</v>
      </c>
      <c r="J148" s="22" t="s">
        <v>8082</v>
      </c>
      <c r="K148" s="32" t="s">
        <v>9121</v>
      </c>
      <c r="L148" s="22" t="s">
        <v>8084</v>
      </c>
    </row>
    <row r="149" customFormat="false" ht="42" hidden="false" customHeight="true" outlineLevel="0" collapsed="false">
      <c r="A149" s="22" t="s">
        <v>9122</v>
      </c>
      <c r="B149" s="22" t="s">
        <v>9123</v>
      </c>
      <c r="C149" s="22" t="s">
        <v>9124</v>
      </c>
      <c r="D149" s="22" t="s">
        <v>9055</v>
      </c>
      <c r="E149" s="22" t="s">
        <v>8226</v>
      </c>
      <c r="F149" s="22" t="s">
        <v>8538</v>
      </c>
      <c r="G149" s="22" t="s">
        <v>9125</v>
      </c>
      <c r="H149" s="22" t="s">
        <v>8080</v>
      </c>
      <c r="I149" s="22" t="s">
        <v>9126</v>
      </c>
      <c r="J149" s="22" t="s">
        <v>8082</v>
      </c>
      <c r="K149" s="32" t="s">
        <v>9127</v>
      </c>
      <c r="L149" s="22" t="s">
        <v>8084</v>
      </c>
    </row>
    <row r="150" customFormat="false" ht="42" hidden="false" customHeight="true" outlineLevel="0" collapsed="false">
      <c r="A150" s="22" t="s">
        <v>9128</v>
      </c>
      <c r="B150" s="22" t="s">
        <v>9129</v>
      </c>
      <c r="C150" s="22" t="s">
        <v>9124</v>
      </c>
      <c r="D150" s="22" t="s">
        <v>9130</v>
      </c>
      <c r="E150" s="22" t="s">
        <v>8226</v>
      </c>
      <c r="F150" s="22" t="s">
        <v>8783</v>
      </c>
      <c r="G150" s="22" t="s">
        <v>9131</v>
      </c>
      <c r="H150" s="22" t="s">
        <v>8180</v>
      </c>
      <c r="I150" s="22" t="s">
        <v>9132</v>
      </c>
      <c r="J150" s="22" t="s">
        <v>8082</v>
      </c>
      <c r="K150" s="32" t="s">
        <v>9133</v>
      </c>
      <c r="L150" s="22" t="s">
        <v>8084</v>
      </c>
    </row>
    <row r="151" customFormat="false" ht="42" hidden="false" customHeight="true" outlineLevel="0" collapsed="false">
      <c r="A151" s="22" t="s">
        <v>9134</v>
      </c>
      <c r="B151" s="22" t="s">
        <v>9135</v>
      </c>
      <c r="C151" s="22" t="s">
        <v>9124</v>
      </c>
      <c r="D151" s="22" t="s">
        <v>9130</v>
      </c>
      <c r="E151" s="22" t="s">
        <v>8226</v>
      </c>
      <c r="F151" s="22" t="s">
        <v>8490</v>
      </c>
      <c r="G151" s="22" t="s">
        <v>9136</v>
      </c>
      <c r="H151" s="22" t="s">
        <v>8180</v>
      </c>
      <c r="I151" s="22" t="s">
        <v>9137</v>
      </c>
      <c r="J151" s="22" t="s">
        <v>8082</v>
      </c>
      <c r="K151" s="32" t="s">
        <v>9138</v>
      </c>
      <c r="L151" s="22" t="s">
        <v>8084</v>
      </c>
    </row>
    <row r="152" customFormat="false" ht="42" hidden="false" customHeight="true" outlineLevel="0" collapsed="false">
      <c r="A152" s="22" t="s">
        <v>9139</v>
      </c>
      <c r="B152" s="22" t="s">
        <v>9140</v>
      </c>
      <c r="C152" s="22" t="s">
        <v>9141</v>
      </c>
      <c r="D152" s="22" t="s">
        <v>9130</v>
      </c>
      <c r="E152" s="22" t="s">
        <v>8226</v>
      </c>
      <c r="F152" s="22" t="s">
        <v>8700</v>
      </c>
      <c r="G152" s="22" t="s">
        <v>9142</v>
      </c>
      <c r="H152" s="22" t="s">
        <v>8080</v>
      </c>
      <c r="I152" s="22" t="s">
        <v>9143</v>
      </c>
      <c r="J152" s="22" t="s">
        <v>8082</v>
      </c>
      <c r="K152" s="32" t="s">
        <v>9144</v>
      </c>
      <c r="L152" s="22" t="s">
        <v>8084</v>
      </c>
    </row>
    <row r="153" customFormat="false" ht="42" hidden="false" customHeight="true" outlineLevel="0" collapsed="false">
      <c r="A153" s="22" t="s">
        <v>9145</v>
      </c>
      <c r="B153" s="22" t="s">
        <v>9146</v>
      </c>
      <c r="C153" s="22" t="s">
        <v>9147</v>
      </c>
      <c r="D153" s="22" t="s">
        <v>9148</v>
      </c>
      <c r="E153" s="22" t="s">
        <v>8226</v>
      </c>
      <c r="F153" s="22" t="s">
        <v>8431</v>
      </c>
      <c r="G153" s="22" t="s">
        <v>9149</v>
      </c>
      <c r="H153" s="22" t="s">
        <v>8080</v>
      </c>
      <c r="I153" s="22" t="s">
        <v>9150</v>
      </c>
      <c r="J153" s="22" t="s">
        <v>8082</v>
      </c>
      <c r="K153" s="32" t="s">
        <v>9151</v>
      </c>
      <c r="L153" s="22" t="s">
        <v>8084</v>
      </c>
    </row>
    <row r="154" customFormat="false" ht="42" hidden="false" customHeight="true" outlineLevel="0" collapsed="false">
      <c r="A154" s="22" t="s">
        <v>9152</v>
      </c>
      <c r="B154" s="22" t="s">
        <v>9153</v>
      </c>
      <c r="C154" s="22" t="s">
        <v>9154</v>
      </c>
      <c r="D154" s="22" t="s">
        <v>9035</v>
      </c>
      <c r="E154" s="22" t="s">
        <v>8343</v>
      </c>
      <c r="F154" s="22" t="s">
        <v>9155</v>
      </c>
      <c r="G154" s="22" t="s">
        <v>9156</v>
      </c>
      <c r="H154" s="22" t="s">
        <v>8080</v>
      </c>
      <c r="I154" s="22" t="s">
        <v>9157</v>
      </c>
      <c r="J154" s="22" t="s">
        <v>8082</v>
      </c>
      <c r="K154" s="32" t="s">
        <v>9158</v>
      </c>
      <c r="L154" s="22" t="s">
        <v>8084</v>
      </c>
    </row>
    <row r="155" customFormat="false" ht="42" hidden="false" customHeight="true" outlineLevel="0" collapsed="false">
      <c r="A155" s="22" t="s">
        <v>9159</v>
      </c>
      <c r="B155" s="22" t="s">
        <v>9160</v>
      </c>
      <c r="C155" s="22" t="s">
        <v>9161</v>
      </c>
      <c r="D155" s="22" t="s">
        <v>9068</v>
      </c>
      <c r="E155" s="22" t="s">
        <v>9162</v>
      </c>
      <c r="F155" s="22" t="s">
        <v>9155</v>
      </c>
      <c r="G155" s="22" t="s">
        <v>9163</v>
      </c>
      <c r="H155" s="22" t="s">
        <v>8080</v>
      </c>
      <c r="I155" s="22" t="s">
        <v>9164</v>
      </c>
      <c r="J155" s="22" t="s">
        <v>8082</v>
      </c>
      <c r="K155" s="32" t="s">
        <v>9165</v>
      </c>
      <c r="L155" s="22" t="s">
        <v>8084</v>
      </c>
    </row>
    <row r="156" customFormat="false" ht="42" hidden="false" customHeight="true" outlineLevel="0" collapsed="false">
      <c r="A156" s="22" t="s">
        <v>9166</v>
      </c>
      <c r="B156" s="22" t="s">
        <v>9167</v>
      </c>
      <c r="C156" s="22" t="s">
        <v>9168</v>
      </c>
      <c r="D156" s="22" t="s">
        <v>9035</v>
      </c>
      <c r="E156" s="22" t="s">
        <v>8343</v>
      </c>
      <c r="F156" s="22" t="s">
        <v>8431</v>
      </c>
      <c r="G156" s="22" t="s">
        <v>9169</v>
      </c>
      <c r="H156" s="22" t="s">
        <v>8080</v>
      </c>
      <c r="I156" s="22" t="s">
        <v>9170</v>
      </c>
      <c r="J156" s="22" t="s">
        <v>8082</v>
      </c>
      <c r="K156" s="32" t="s">
        <v>9171</v>
      </c>
      <c r="L156" s="22" t="s">
        <v>8084</v>
      </c>
    </row>
    <row r="157" customFormat="false" ht="42" hidden="false" customHeight="true" outlineLevel="0" collapsed="false">
      <c r="A157" s="22" t="s">
        <v>9172</v>
      </c>
      <c r="B157" s="22" t="s">
        <v>9173</v>
      </c>
      <c r="C157" s="22" t="s">
        <v>9168</v>
      </c>
      <c r="D157" s="22" t="s">
        <v>9174</v>
      </c>
      <c r="E157" s="22" t="s">
        <v>8343</v>
      </c>
      <c r="F157" s="22" t="s">
        <v>8416</v>
      </c>
      <c r="G157" s="22" t="s">
        <v>9163</v>
      </c>
      <c r="H157" s="22" t="s">
        <v>8080</v>
      </c>
      <c r="I157" s="22" t="s">
        <v>9175</v>
      </c>
      <c r="J157" s="22" t="s">
        <v>8082</v>
      </c>
      <c r="K157" s="32" t="s">
        <v>9176</v>
      </c>
      <c r="L157" s="22" t="s">
        <v>8084</v>
      </c>
    </row>
    <row r="158" customFormat="false" ht="42" hidden="false" customHeight="true" outlineLevel="0" collapsed="false">
      <c r="A158" s="22" t="s">
        <v>9177</v>
      </c>
      <c r="B158" s="22" t="s">
        <v>9178</v>
      </c>
      <c r="C158" s="22" t="s">
        <v>9179</v>
      </c>
      <c r="D158" s="22" t="s">
        <v>9055</v>
      </c>
      <c r="E158" s="22" t="s">
        <v>8226</v>
      </c>
      <c r="F158" s="22" t="s">
        <v>8881</v>
      </c>
      <c r="G158" s="22" t="s">
        <v>9180</v>
      </c>
      <c r="H158" s="22" t="s">
        <v>8080</v>
      </c>
      <c r="I158" s="22" t="s">
        <v>9181</v>
      </c>
      <c r="J158" s="22" t="s">
        <v>8082</v>
      </c>
      <c r="K158" s="32" t="s">
        <v>9182</v>
      </c>
      <c r="L158" s="22" t="s">
        <v>8084</v>
      </c>
    </row>
    <row r="159" customFormat="false" ht="42" hidden="false" customHeight="true" outlineLevel="0" collapsed="false">
      <c r="A159" s="22" t="s">
        <v>9183</v>
      </c>
      <c r="B159" s="22" t="s">
        <v>9184</v>
      </c>
      <c r="C159" s="22" t="s">
        <v>9185</v>
      </c>
      <c r="D159" s="22" t="s">
        <v>9055</v>
      </c>
      <c r="E159" s="22" t="s">
        <v>8307</v>
      </c>
      <c r="F159" s="22" t="s">
        <v>8552</v>
      </c>
      <c r="G159" s="22" t="s">
        <v>9186</v>
      </c>
      <c r="H159" s="22" t="s">
        <v>8180</v>
      </c>
      <c r="I159" s="22" t="s">
        <v>9187</v>
      </c>
      <c r="J159" s="22" t="s">
        <v>8082</v>
      </c>
      <c r="K159" s="32" t="s">
        <v>9188</v>
      </c>
      <c r="L159" s="22" t="s">
        <v>8084</v>
      </c>
    </row>
    <row r="160" customFormat="false" ht="42" hidden="false" customHeight="true" outlineLevel="0" collapsed="false">
      <c r="A160" s="22" t="s">
        <v>9189</v>
      </c>
      <c r="B160" s="22" t="s">
        <v>9190</v>
      </c>
      <c r="C160" s="22" t="s">
        <v>9191</v>
      </c>
      <c r="D160" s="22" t="s">
        <v>9055</v>
      </c>
      <c r="E160" s="22" t="s">
        <v>8860</v>
      </c>
      <c r="F160" s="22" t="s">
        <v>8559</v>
      </c>
      <c r="G160" s="22" t="s">
        <v>9192</v>
      </c>
      <c r="H160" s="22" t="s">
        <v>8180</v>
      </c>
      <c r="I160" s="22" t="s">
        <v>9193</v>
      </c>
      <c r="J160" s="22" t="s">
        <v>8082</v>
      </c>
      <c r="K160" s="32" t="s">
        <v>9194</v>
      </c>
      <c r="L160" s="22" t="s">
        <v>8084</v>
      </c>
    </row>
    <row r="161" customFormat="false" ht="42" hidden="false" customHeight="true" outlineLevel="0" collapsed="false">
      <c r="A161" s="22" t="s">
        <v>9195</v>
      </c>
      <c r="B161" s="22" t="s">
        <v>9196</v>
      </c>
      <c r="C161" s="22" t="s">
        <v>9191</v>
      </c>
      <c r="D161" s="22" t="s">
        <v>9055</v>
      </c>
      <c r="E161" s="22" t="s">
        <v>8860</v>
      </c>
      <c r="F161" s="22" t="s">
        <v>8783</v>
      </c>
      <c r="G161" s="22" t="s">
        <v>9197</v>
      </c>
      <c r="H161" s="22" t="s">
        <v>8539</v>
      </c>
      <c r="I161" s="22" t="s">
        <v>9198</v>
      </c>
      <c r="J161" s="22" t="s">
        <v>8082</v>
      </c>
      <c r="K161" s="32" t="s">
        <v>9199</v>
      </c>
      <c r="L161" s="22" t="s">
        <v>8084</v>
      </c>
    </row>
    <row r="162" customFormat="false" ht="42" hidden="false" customHeight="true" outlineLevel="0" collapsed="false">
      <c r="A162" s="22" t="s">
        <v>9200</v>
      </c>
      <c r="B162" s="22" t="s">
        <v>9201</v>
      </c>
      <c r="C162" s="22" t="s">
        <v>9202</v>
      </c>
      <c r="D162" s="22" t="s">
        <v>9055</v>
      </c>
      <c r="E162" s="22" t="s">
        <v>9203</v>
      </c>
      <c r="F162" s="22" t="s">
        <v>8478</v>
      </c>
      <c r="G162" s="22" t="s">
        <v>9204</v>
      </c>
      <c r="H162" s="22" t="s">
        <v>8080</v>
      </c>
      <c r="I162" s="22" t="s">
        <v>9205</v>
      </c>
      <c r="J162" s="22" t="s">
        <v>9206</v>
      </c>
      <c r="K162" s="32" t="s">
        <v>9207</v>
      </c>
      <c r="L162" s="22" t="s">
        <v>8084</v>
      </c>
    </row>
    <row r="163" customFormat="false" ht="42" hidden="false" customHeight="true" outlineLevel="0" collapsed="false">
      <c r="A163" s="22" t="s">
        <v>9208</v>
      </c>
      <c r="B163" s="22" t="s">
        <v>9209</v>
      </c>
      <c r="C163" s="22" t="s">
        <v>9210</v>
      </c>
      <c r="D163" s="22" t="s">
        <v>9211</v>
      </c>
      <c r="E163" s="22" t="s">
        <v>8343</v>
      </c>
      <c r="F163" s="22" t="s">
        <v>8936</v>
      </c>
      <c r="G163" s="22" t="s">
        <v>9212</v>
      </c>
      <c r="H163" s="22" t="s">
        <v>8080</v>
      </c>
      <c r="I163" s="22" t="s">
        <v>9213</v>
      </c>
      <c r="J163" s="22" t="s">
        <v>8082</v>
      </c>
      <c r="K163" s="32" t="s">
        <v>9214</v>
      </c>
      <c r="L163" s="22" t="s">
        <v>8084</v>
      </c>
    </row>
    <row r="164" customFormat="false" ht="42" hidden="false" customHeight="true" outlineLevel="0" collapsed="false">
      <c r="A164" s="22" t="s">
        <v>9215</v>
      </c>
      <c r="B164" s="22" t="s">
        <v>9216</v>
      </c>
      <c r="C164" s="22" t="s">
        <v>9217</v>
      </c>
      <c r="D164" s="22" t="s">
        <v>9211</v>
      </c>
      <c r="E164" s="22" t="s">
        <v>8343</v>
      </c>
      <c r="F164" s="22" t="s">
        <v>8439</v>
      </c>
      <c r="G164" s="22" t="s">
        <v>9218</v>
      </c>
      <c r="H164" s="22" t="s">
        <v>8180</v>
      </c>
      <c r="I164" s="22" t="s">
        <v>9219</v>
      </c>
      <c r="J164" s="22" t="s">
        <v>8082</v>
      </c>
      <c r="K164" s="32" t="s">
        <v>9220</v>
      </c>
      <c r="L164" s="22" t="s">
        <v>8084</v>
      </c>
    </row>
    <row r="165" customFormat="false" ht="42" hidden="false" customHeight="true" outlineLevel="0" collapsed="false">
      <c r="A165" s="22" t="s">
        <v>9221</v>
      </c>
      <c r="B165" s="22" t="s">
        <v>9222</v>
      </c>
      <c r="C165" s="22" t="s">
        <v>9223</v>
      </c>
      <c r="D165" s="22" t="s">
        <v>9013</v>
      </c>
      <c r="E165" s="22" t="s">
        <v>8307</v>
      </c>
      <c r="F165" s="22" t="s">
        <v>8559</v>
      </c>
      <c r="G165" s="22" t="s">
        <v>9224</v>
      </c>
      <c r="H165" s="22" t="s">
        <v>8180</v>
      </c>
      <c r="I165" s="22" t="s">
        <v>9225</v>
      </c>
      <c r="J165" s="22" t="s">
        <v>8082</v>
      </c>
      <c r="K165" s="32" t="s">
        <v>9226</v>
      </c>
      <c r="L165" s="22" t="s">
        <v>8084</v>
      </c>
    </row>
    <row r="166" customFormat="false" ht="42" hidden="false" customHeight="true" outlineLevel="0" collapsed="false">
      <c r="A166" s="22" t="s">
        <v>9227</v>
      </c>
      <c r="B166" s="22" t="s">
        <v>9228</v>
      </c>
      <c r="C166" s="22" t="s">
        <v>9229</v>
      </c>
      <c r="D166" s="22" t="s">
        <v>9211</v>
      </c>
      <c r="E166" s="22" t="s">
        <v>8592</v>
      </c>
      <c r="F166" s="22" t="s">
        <v>9070</v>
      </c>
      <c r="G166" s="22" t="s">
        <v>9230</v>
      </c>
      <c r="H166" s="22" t="s">
        <v>8180</v>
      </c>
      <c r="I166" s="22" t="s">
        <v>9231</v>
      </c>
      <c r="J166" s="22" t="s">
        <v>8082</v>
      </c>
      <c r="K166" s="32" t="s">
        <v>9232</v>
      </c>
      <c r="L166" s="22" t="s">
        <v>8084</v>
      </c>
    </row>
    <row r="167" customFormat="false" ht="42" hidden="false" customHeight="true" outlineLevel="0" collapsed="false">
      <c r="A167" s="22" t="s">
        <v>9233</v>
      </c>
      <c r="B167" s="22" t="s">
        <v>9234</v>
      </c>
      <c r="C167" s="22" t="s">
        <v>9235</v>
      </c>
      <c r="D167" s="22" t="s">
        <v>9013</v>
      </c>
      <c r="E167" s="22" t="s">
        <v>8592</v>
      </c>
      <c r="F167" s="22" t="s">
        <v>8901</v>
      </c>
      <c r="G167" s="22" t="s">
        <v>9236</v>
      </c>
      <c r="H167" s="22" t="s">
        <v>8180</v>
      </c>
      <c r="I167" s="22" t="s">
        <v>9237</v>
      </c>
      <c r="J167" s="22" t="s">
        <v>8082</v>
      </c>
      <c r="K167" s="32" t="s">
        <v>9238</v>
      </c>
      <c r="L167" s="22" t="s">
        <v>8084</v>
      </c>
    </row>
    <row r="168" customFormat="false" ht="42" hidden="false" customHeight="true" outlineLevel="0" collapsed="false">
      <c r="A168" s="22" t="s">
        <v>9239</v>
      </c>
      <c r="B168" s="22" t="s">
        <v>9240</v>
      </c>
      <c r="C168" s="22" t="s">
        <v>9241</v>
      </c>
      <c r="D168" s="22" t="s">
        <v>9242</v>
      </c>
      <c r="E168" s="22" t="s">
        <v>8592</v>
      </c>
      <c r="F168" s="22" t="s">
        <v>8498</v>
      </c>
      <c r="G168" s="22" t="s">
        <v>9243</v>
      </c>
      <c r="H168" s="22" t="s">
        <v>8180</v>
      </c>
      <c r="I168" s="22" t="s">
        <v>9244</v>
      </c>
      <c r="J168" s="22" t="s">
        <v>8082</v>
      </c>
      <c r="K168" s="32" t="s">
        <v>9245</v>
      </c>
      <c r="L168" s="22" t="s">
        <v>8084</v>
      </c>
    </row>
    <row r="169" customFormat="false" ht="42" hidden="false" customHeight="true" outlineLevel="0" collapsed="false">
      <c r="A169" s="22" t="s">
        <v>9246</v>
      </c>
      <c r="B169" s="22" t="s">
        <v>9247</v>
      </c>
      <c r="C169" s="22" t="s">
        <v>9248</v>
      </c>
      <c r="D169" s="22" t="s">
        <v>9000</v>
      </c>
      <c r="E169" s="22" t="s">
        <v>8226</v>
      </c>
      <c r="F169" s="22" t="s">
        <v>8416</v>
      </c>
      <c r="G169" s="22" t="s">
        <v>9249</v>
      </c>
      <c r="H169" s="22" t="s">
        <v>8080</v>
      </c>
      <c r="I169" s="22" t="s">
        <v>9250</v>
      </c>
      <c r="J169" s="22" t="s">
        <v>8082</v>
      </c>
      <c r="K169" s="32" t="s">
        <v>9251</v>
      </c>
      <c r="L169" s="22" t="s">
        <v>8084</v>
      </c>
    </row>
    <row r="170" customFormat="false" ht="42" hidden="false" customHeight="true" outlineLevel="0" collapsed="false">
      <c r="A170" s="22" t="s">
        <v>9252</v>
      </c>
      <c r="B170" s="22" t="s">
        <v>9253</v>
      </c>
      <c r="C170" s="22" t="s">
        <v>9254</v>
      </c>
      <c r="D170" s="22" t="s">
        <v>9028</v>
      </c>
      <c r="E170" s="22" t="s">
        <v>8226</v>
      </c>
      <c r="F170" s="22" t="s">
        <v>8593</v>
      </c>
      <c r="G170" s="22" t="s">
        <v>9255</v>
      </c>
      <c r="H170" s="22" t="s">
        <v>8180</v>
      </c>
      <c r="I170" s="22" t="s">
        <v>9256</v>
      </c>
      <c r="J170" s="22" t="s">
        <v>8082</v>
      </c>
      <c r="K170" s="32" t="s">
        <v>9257</v>
      </c>
      <c r="L170" s="22" t="s">
        <v>8084</v>
      </c>
    </row>
    <row r="171" customFormat="false" ht="42" hidden="false" customHeight="true" outlineLevel="0" collapsed="false">
      <c r="A171" s="22" t="s">
        <v>9258</v>
      </c>
      <c r="B171" s="22" t="s">
        <v>9259</v>
      </c>
      <c r="C171" s="22" t="s">
        <v>9006</v>
      </c>
      <c r="D171" s="22" t="s">
        <v>9260</v>
      </c>
      <c r="E171" s="22" t="s">
        <v>8226</v>
      </c>
      <c r="F171" s="22" t="s">
        <v>8416</v>
      </c>
      <c r="G171" s="22" t="s">
        <v>9261</v>
      </c>
      <c r="H171" s="22" t="s">
        <v>8080</v>
      </c>
      <c r="I171" s="22" t="s">
        <v>9262</v>
      </c>
      <c r="J171" s="22" t="s">
        <v>8082</v>
      </c>
      <c r="K171" s="32" t="s">
        <v>9263</v>
      </c>
      <c r="L171" s="22" t="s">
        <v>8084</v>
      </c>
    </row>
    <row r="172" customFormat="false" ht="42" hidden="false" customHeight="true" outlineLevel="0" collapsed="false">
      <c r="A172" s="22" t="s">
        <v>9264</v>
      </c>
      <c r="B172" s="22" t="s">
        <v>9265</v>
      </c>
      <c r="C172" s="22" t="s">
        <v>9266</v>
      </c>
      <c r="D172" s="22" t="s">
        <v>9000</v>
      </c>
      <c r="E172" s="22" t="s">
        <v>8226</v>
      </c>
      <c r="F172" s="22" t="s">
        <v>8472</v>
      </c>
      <c r="G172" s="22" t="s">
        <v>9267</v>
      </c>
      <c r="H172" s="22" t="s">
        <v>8180</v>
      </c>
      <c r="I172" s="22" t="s">
        <v>9268</v>
      </c>
      <c r="J172" s="22" t="s">
        <v>8082</v>
      </c>
      <c r="K172" s="32" t="s">
        <v>9269</v>
      </c>
      <c r="L172" s="22" t="s">
        <v>8084</v>
      </c>
    </row>
    <row r="173" customFormat="false" ht="42" hidden="false" customHeight="true" outlineLevel="0" collapsed="false">
      <c r="A173" s="22" t="s">
        <v>9270</v>
      </c>
      <c r="B173" s="22" t="s">
        <v>9271</v>
      </c>
      <c r="C173" s="22" t="s">
        <v>9272</v>
      </c>
      <c r="D173" s="22" t="s">
        <v>9000</v>
      </c>
      <c r="E173" s="22" t="s">
        <v>8226</v>
      </c>
      <c r="F173" s="22" t="s">
        <v>8559</v>
      </c>
      <c r="G173" s="22" t="s">
        <v>9273</v>
      </c>
      <c r="H173" s="22" t="s">
        <v>8180</v>
      </c>
      <c r="I173" s="22" t="s">
        <v>9274</v>
      </c>
      <c r="J173" s="22" t="s">
        <v>8082</v>
      </c>
      <c r="K173" s="32" t="s">
        <v>9275</v>
      </c>
      <c r="L173" s="22" t="s">
        <v>8084</v>
      </c>
    </row>
    <row r="174" customFormat="false" ht="42" hidden="false" customHeight="true" outlineLevel="0" collapsed="false">
      <c r="A174" s="22" t="s">
        <v>9276</v>
      </c>
      <c r="B174" s="22" t="s">
        <v>9277</v>
      </c>
      <c r="C174" s="22" t="s">
        <v>9179</v>
      </c>
      <c r="D174" s="22" t="s">
        <v>9000</v>
      </c>
      <c r="E174" s="22" t="s">
        <v>8226</v>
      </c>
      <c r="F174" s="22" t="s">
        <v>8838</v>
      </c>
      <c r="G174" s="22" t="s">
        <v>9278</v>
      </c>
      <c r="H174" s="22" t="s">
        <v>8180</v>
      </c>
      <c r="I174" s="22" t="s">
        <v>9279</v>
      </c>
      <c r="J174" s="22" t="s">
        <v>8082</v>
      </c>
      <c r="K174" s="32" t="s">
        <v>9280</v>
      </c>
      <c r="L174" s="22" t="s">
        <v>8084</v>
      </c>
    </row>
    <row r="175" customFormat="false" ht="42" hidden="false" customHeight="true" outlineLevel="0" collapsed="false">
      <c r="A175" s="22" t="s">
        <v>9281</v>
      </c>
      <c r="B175" s="22" t="s">
        <v>9282</v>
      </c>
      <c r="C175" s="22" t="s">
        <v>9283</v>
      </c>
      <c r="D175" s="22" t="s">
        <v>9284</v>
      </c>
      <c r="E175" s="22" t="s">
        <v>8226</v>
      </c>
      <c r="F175" s="22" t="s">
        <v>8416</v>
      </c>
      <c r="G175" s="22" t="s">
        <v>9278</v>
      </c>
      <c r="H175" s="22" t="s">
        <v>8180</v>
      </c>
      <c r="I175" s="22" t="s">
        <v>9285</v>
      </c>
      <c r="J175" s="22" t="s">
        <v>8082</v>
      </c>
      <c r="K175" s="32" t="s">
        <v>9286</v>
      </c>
      <c r="L175" s="22" t="s">
        <v>8084</v>
      </c>
    </row>
    <row r="176" customFormat="false" ht="42" hidden="false" customHeight="true" outlineLevel="0" collapsed="false">
      <c r="A176" s="22" t="s">
        <v>9287</v>
      </c>
      <c r="B176" s="22" t="s">
        <v>9288</v>
      </c>
      <c r="C176" s="22" t="s">
        <v>9289</v>
      </c>
      <c r="D176" s="22" t="s">
        <v>9055</v>
      </c>
      <c r="E176" s="22" t="s">
        <v>8226</v>
      </c>
      <c r="F176" s="22" t="s">
        <v>8825</v>
      </c>
      <c r="G176" s="22" t="s">
        <v>9290</v>
      </c>
      <c r="H176" s="22" t="s">
        <v>8180</v>
      </c>
      <c r="I176" s="22" t="s">
        <v>9291</v>
      </c>
      <c r="J176" s="22" t="s">
        <v>8082</v>
      </c>
      <c r="K176" s="32" t="s">
        <v>9292</v>
      </c>
      <c r="L176" s="22" t="s">
        <v>8084</v>
      </c>
    </row>
    <row r="177" customFormat="false" ht="42" hidden="false" customHeight="true" outlineLevel="0" collapsed="false">
      <c r="A177" s="22" t="s">
        <v>9293</v>
      </c>
      <c r="B177" s="22" t="s">
        <v>9294</v>
      </c>
      <c r="C177" s="22" t="s">
        <v>9295</v>
      </c>
      <c r="D177" s="22" t="s">
        <v>9035</v>
      </c>
      <c r="E177" s="22" t="s">
        <v>8226</v>
      </c>
      <c r="F177" s="22" t="s">
        <v>8825</v>
      </c>
      <c r="G177" s="22" t="s">
        <v>9163</v>
      </c>
      <c r="H177" s="22" t="s">
        <v>8080</v>
      </c>
      <c r="I177" s="22" t="s">
        <v>9296</v>
      </c>
      <c r="J177" s="22" t="s">
        <v>8082</v>
      </c>
      <c r="K177" s="32" t="s">
        <v>9297</v>
      </c>
      <c r="L177" s="22" t="s">
        <v>8084</v>
      </c>
    </row>
    <row r="178" customFormat="false" ht="42" hidden="false" customHeight="true" outlineLevel="0" collapsed="false">
      <c r="A178" s="22" t="s">
        <v>9298</v>
      </c>
      <c r="B178" s="22" t="s">
        <v>9299</v>
      </c>
      <c r="C178" s="22" t="s">
        <v>9295</v>
      </c>
      <c r="D178" s="22" t="s">
        <v>9300</v>
      </c>
      <c r="E178" s="22" t="s">
        <v>8226</v>
      </c>
      <c r="F178" s="22" t="s">
        <v>8478</v>
      </c>
      <c r="G178" s="22" t="s">
        <v>9301</v>
      </c>
      <c r="H178" s="22" t="s">
        <v>8180</v>
      </c>
      <c r="I178" s="22" t="s">
        <v>9302</v>
      </c>
      <c r="J178" s="22" t="s">
        <v>8082</v>
      </c>
      <c r="K178" s="32" t="s">
        <v>9303</v>
      </c>
      <c r="L178" s="22" t="s">
        <v>8084</v>
      </c>
    </row>
    <row r="179" customFormat="false" ht="42" hidden="false" customHeight="true" outlineLevel="0" collapsed="false">
      <c r="A179" s="22" t="s">
        <v>9304</v>
      </c>
      <c r="B179" s="22" t="s">
        <v>9305</v>
      </c>
      <c r="C179" s="22" t="s">
        <v>8992</v>
      </c>
      <c r="D179" s="22" t="s">
        <v>9000</v>
      </c>
      <c r="E179" s="22" t="s">
        <v>8226</v>
      </c>
      <c r="F179" s="22" t="s">
        <v>8881</v>
      </c>
      <c r="G179" s="22" t="s">
        <v>9306</v>
      </c>
      <c r="H179" s="22" t="s">
        <v>8080</v>
      </c>
      <c r="I179" s="22" t="s">
        <v>9307</v>
      </c>
      <c r="J179" s="22" t="s">
        <v>8082</v>
      </c>
      <c r="K179" s="32" t="s">
        <v>9308</v>
      </c>
      <c r="L179" s="22" t="s">
        <v>8084</v>
      </c>
    </row>
    <row r="180" customFormat="false" ht="42" hidden="false" customHeight="true" outlineLevel="0" collapsed="false">
      <c r="A180" s="22" t="s">
        <v>9309</v>
      </c>
      <c r="B180" s="22" t="s">
        <v>9310</v>
      </c>
      <c r="C180" s="22" t="s">
        <v>9311</v>
      </c>
      <c r="D180" s="22" t="s">
        <v>9000</v>
      </c>
      <c r="E180" s="22" t="s">
        <v>8226</v>
      </c>
      <c r="F180" s="22" t="s">
        <v>8498</v>
      </c>
      <c r="G180" s="22" t="s">
        <v>9301</v>
      </c>
      <c r="H180" s="22" t="s">
        <v>8180</v>
      </c>
      <c r="I180" s="22" t="s">
        <v>9312</v>
      </c>
      <c r="J180" s="22" t="s">
        <v>8082</v>
      </c>
      <c r="K180" s="32" t="s">
        <v>9313</v>
      </c>
      <c r="L180" s="22" t="s">
        <v>8084</v>
      </c>
    </row>
    <row r="181" customFormat="false" ht="42" hidden="false" customHeight="true" outlineLevel="0" collapsed="false">
      <c r="A181" s="22" t="s">
        <v>9314</v>
      </c>
      <c r="B181" s="22" t="s">
        <v>9315</v>
      </c>
      <c r="C181" s="22" t="s">
        <v>9316</v>
      </c>
      <c r="D181" s="22" t="s">
        <v>8984</v>
      </c>
      <c r="E181" s="22" t="s">
        <v>8226</v>
      </c>
      <c r="F181" s="22" t="s">
        <v>8700</v>
      </c>
      <c r="G181" s="22" t="s">
        <v>9317</v>
      </c>
      <c r="H181" s="22" t="s">
        <v>8180</v>
      </c>
      <c r="I181" s="22" t="s">
        <v>9318</v>
      </c>
      <c r="J181" s="22" t="s">
        <v>8082</v>
      </c>
      <c r="K181" s="32" t="s">
        <v>9319</v>
      </c>
      <c r="L181" s="22" t="s">
        <v>8084</v>
      </c>
    </row>
    <row r="182" customFormat="false" ht="42" hidden="false" customHeight="true" outlineLevel="0" collapsed="false">
      <c r="A182" s="22" t="s">
        <v>9320</v>
      </c>
      <c r="B182" s="22" t="s">
        <v>9321</v>
      </c>
      <c r="C182" s="22" t="s">
        <v>9322</v>
      </c>
      <c r="D182" s="22" t="s">
        <v>8984</v>
      </c>
      <c r="E182" s="22" t="s">
        <v>8226</v>
      </c>
      <c r="F182" s="22" t="s">
        <v>9323</v>
      </c>
      <c r="G182" s="22" t="s">
        <v>9324</v>
      </c>
      <c r="H182" s="22" t="s">
        <v>8180</v>
      </c>
      <c r="I182" s="22" t="s">
        <v>9325</v>
      </c>
      <c r="J182" s="22" t="s">
        <v>8082</v>
      </c>
      <c r="K182" s="32" t="s">
        <v>9326</v>
      </c>
      <c r="L182" s="22" t="s">
        <v>8084</v>
      </c>
    </row>
    <row r="183" customFormat="false" ht="42" hidden="false" customHeight="true" outlineLevel="0" collapsed="false">
      <c r="A183" s="22" t="s">
        <v>9327</v>
      </c>
      <c r="B183" s="22" t="s">
        <v>9328</v>
      </c>
      <c r="C183" s="22" t="s">
        <v>9006</v>
      </c>
      <c r="D183" s="22" t="s">
        <v>9130</v>
      </c>
      <c r="E183" s="22" t="s">
        <v>8226</v>
      </c>
      <c r="F183" s="22" t="s">
        <v>8453</v>
      </c>
      <c r="G183" s="22" t="s">
        <v>9329</v>
      </c>
      <c r="H183" s="22" t="s">
        <v>8180</v>
      </c>
      <c r="I183" s="22" t="s">
        <v>9330</v>
      </c>
      <c r="J183" s="22" t="s">
        <v>8082</v>
      </c>
      <c r="K183" s="32" t="s">
        <v>9331</v>
      </c>
      <c r="L183" s="22" t="s">
        <v>8084</v>
      </c>
    </row>
    <row r="184" customFormat="false" ht="42" hidden="false" customHeight="true" outlineLevel="0" collapsed="false">
      <c r="A184" s="22" t="s">
        <v>9332</v>
      </c>
      <c r="B184" s="22" t="s">
        <v>9333</v>
      </c>
      <c r="C184" s="22" t="s">
        <v>8999</v>
      </c>
      <c r="D184" s="22" t="s">
        <v>9000</v>
      </c>
      <c r="E184" s="22" t="s">
        <v>8226</v>
      </c>
      <c r="F184" s="22" t="s">
        <v>8630</v>
      </c>
      <c r="G184" s="22" t="s">
        <v>9334</v>
      </c>
      <c r="H184" s="22" t="s">
        <v>8180</v>
      </c>
      <c r="I184" s="22" t="s">
        <v>9335</v>
      </c>
      <c r="J184" s="22" t="s">
        <v>8082</v>
      </c>
      <c r="K184" s="32" t="s">
        <v>9336</v>
      </c>
      <c r="L184" s="22" t="s">
        <v>8084</v>
      </c>
    </row>
    <row r="185" customFormat="false" ht="42" hidden="false" customHeight="true" outlineLevel="0" collapsed="false">
      <c r="A185" s="22" t="s">
        <v>9337</v>
      </c>
      <c r="B185" s="22" t="s">
        <v>9338</v>
      </c>
      <c r="C185" s="22" t="s">
        <v>8999</v>
      </c>
      <c r="D185" s="22" t="s">
        <v>9055</v>
      </c>
      <c r="E185" s="22" t="s">
        <v>8226</v>
      </c>
      <c r="F185" s="22" t="s">
        <v>8757</v>
      </c>
      <c r="G185" s="22" t="s">
        <v>9339</v>
      </c>
      <c r="H185" s="22" t="s">
        <v>8180</v>
      </c>
      <c r="I185" s="22" t="s">
        <v>9340</v>
      </c>
      <c r="J185" s="22" t="s">
        <v>8082</v>
      </c>
      <c r="K185" s="32" t="s">
        <v>9341</v>
      </c>
      <c r="L185" s="22" t="s">
        <v>8084</v>
      </c>
    </row>
    <row r="186" customFormat="false" ht="42" hidden="false" customHeight="true" outlineLevel="0" collapsed="false">
      <c r="A186" s="22" t="s">
        <v>9342</v>
      </c>
      <c r="B186" s="22" t="s">
        <v>9343</v>
      </c>
      <c r="C186" s="22" t="s">
        <v>9344</v>
      </c>
      <c r="D186" s="22" t="s">
        <v>9000</v>
      </c>
      <c r="E186" s="22" t="s">
        <v>8226</v>
      </c>
      <c r="F186" s="22" t="s">
        <v>8472</v>
      </c>
      <c r="G186" s="22" t="s">
        <v>9345</v>
      </c>
      <c r="H186" s="22" t="s">
        <v>8180</v>
      </c>
      <c r="I186" s="22" t="s">
        <v>9346</v>
      </c>
      <c r="J186" s="22" t="s">
        <v>8082</v>
      </c>
      <c r="K186" s="32" t="s">
        <v>9347</v>
      </c>
      <c r="L186" s="22" t="s">
        <v>8084</v>
      </c>
    </row>
    <row r="187" customFormat="false" ht="42" hidden="false" customHeight="true" outlineLevel="0" collapsed="false">
      <c r="A187" s="22" t="s">
        <v>9348</v>
      </c>
      <c r="B187" s="22" t="s">
        <v>1112</v>
      </c>
      <c r="C187" s="22" t="s">
        <v>9179</v>
      </c>
      <c r="D187" s="22" t="s">
        <v>9055</v>
      </c>
      <c r="E187" s="22" t="s">
        <v>8226</v>
      </c>
      <c r="F187" s="22" t="s">
        <v>8552</v>
      </c>
      <c r="G187" s="22" t="s">
        <v>9349</v>
      </c>
      <c r="H187" s="22" t="s">
        <v>8080</v>
      </c>
      <c r="I187" s="22" t="s">
        <v>9350</v>
      </c>
      <c r="J187" s="22" t="s">
        <v>8082</v>
      </c>
      <c r="K187" s="32" t="s">
        <v>9351</v>
      </c>
      <c r="L187" s="22" t="s">
        <v>8084</v>
      </c>
    </row>
    <row r="188" customFormat="false" ht="42" hidden="false" customHeight="true" outlineLevel="0" collapsed="false">
      <c r="A188" s="22" t="s">
        <v>9352</v>
      </c>
      <c r="B188" s="22" t="s">
        <v>9353</v>
      </c>
      <c r="C188" s="22" t="s">
        <v>9354</v>
      </c>
      <c r="D188" s="22" t="s">
        <v>9355</v>
      </c>
      <c r="E188" s="22" t="s">
        <v>8226</v>
      </c>
      <c r="F188" s="22" t="s">
        <v>8423</v>
      </c>
      <c r="G188" s="22" t="s">
        <v>9356</v>
      </c>
      <c r="H188" s="22" t="s">
        <v>8539</v>
      </c>
      <c r="I188" s="22" t="s">
        <v>9357</v>
      </c>
      <c r="J188" s="22" t="s">
        <v>8082</v>
      </c>
      <c r="K188" s="32" t="s">
        <v>9358</v>
      </c>
      <c r="L188" s="22" t="s">
        <v>8084</v>
      </c>
    </row>
    <row r="189" customFormat="false" ht="42" hidden="false" customHeight="true" outlineLevel="0" collapsed="false">
      <c r="A189" s="22" t="s">
        <v>9359</v>
      </c>
      <c r="B189" s="22" t="s">
        <v>9360</v>
      </c>
      <c r="C189" s="22" t="s">
        <v>9361</v>
      </c>
      <c r="D189" s="22" t="s">
        <v>8984</v>
      </c>
      <c r="E189" s="22" t="s">
        <v>8343</v>
      </c>
      <c r="F189" s="22" t="s">
        <v>8901</v>
      </c>
      <c r="G189" s="22" t="s">
        <v>8491</v>
      </c>
      <c r="H189" s="22" t="s">
        <v>8080</v>
      </c>
      <c r="I189" s="22" t="s">
        <v>9362</v>
      </c>
      <c r="J189" s="22" t="s">
        <v>8082</v>
      </c>
      <c r="K189" s="32" t="s">
        <v>9363</v>
      </c>
      <c r="L189" s="22" t="s">
        <v>8084</v>
      </c>
    </row>
    <row r="190" customFormat="false" ht="42" hidden="false" customHeight="true" outlineLevel="0" collapsed="false">
      <c r="A190" s="22" t="s">
        <v>9364</v>
      </c>
      <c r="B190" s="22" t="s">
        <v>146</v>
      </c>
      <c r="C190" s="22" t="s">
        <v>9365</v>
      </c>
      <c r="D190" s="22" t="s">
        <v>9366</v>
      </c>
      <c r="E190" s="22" t="s">
        <v>9367</v>
      </c>
      <c r="F190" s="22" t="s">
        <v>9107</v>
      </c>
      <c r="G190" s="22" t="s">
        <v>9368</v>
      </c>
      <c r="H190" s="22" t="s">
        <v>8180</v>
      </c>
      <c r="I190" s="22" t="s">
        <v>9369</v>
      </c>
      <c r="J190" s="22" t="s">
        <v>9370</v>
      </c>
      <c r="K190" s="32" t="s">
        <v>9371</v>
      </c>
      <c r="L190" s="22" t="s">
        <v>8084</v>
      </c>
    </row>
    <row r="191" customFormat="false" ht="42" hidden="false" customHeight="true" outlineLevel="0" collapsed="false">
      <c r="A191" s="22" t="s">
        <v>9372</v>
      </c>
      <c r="B191" s="22" t="s">
        <v>9373</v>
      </c>
      <c r="C191" s="22" t="s">
        <v>9374</v>
      </c>
      <c r="D191" s="22" t="s">
        <v>8984</v>
      </c>
      <c r="E191" s="22" t="s">
        <v>8860</v>
      </c>
      <c r="F191" s="22" t="s">
        <v>8505</v>
      </c>
      <c r="G191" s="22" t="s">
        <v>9375</v>
      </c>
      <c r="H191" s="22" t="s">
        <v>8180</v>
      </c>
      <c r="I191" s="22" t="s">
        <v>9376</v>
      </c>
      <c r="J191" s="22" t="s">
        <v>8082</v>
      </c>
      <c r="K191" s="32" t="s">
        <v>9377</v>
      </c>
      <c r="L191" s="22" t="s">
        <v>8084</v>
      </c>
    </row>
    <row r="192" customFormat="false" ht="42" hidden="false" customHeight="true" outlineLevel="0" collapsed="false">
      <c r="A192" s="22" t="s">
        <v>9378</v>
      </c>
      <c r="B192" s="22" t="s">
        <v>9379</v>
      </c>
      <c r="C192" s="22" t="s">
        <v>9380</v>
      </c>
      <c r="D192" s="22" t="s">
        <v>9077</v>
      </c>
      <c r="E192" s="22" t="s">
        <v>8343</v>
      </c>
      <c r="F192" s="22" t="s">
        <v>8559</v>
      </c>
      <c r="G192" s="22" t="s">
        <v>9381</v>
      </c>
      <c r="H192" s="22" t="s">
        <v>8080</v>
      </c>
      <c r="I192" s="22" t="s">
        <v>9382</v>
      </c>
      <c r="J192" s="22" t="s">
        <v>8082</v>
      </c>
      <c r="K192" s="32" t="s">
        <v>9383</v>
      </c>
      <c r="L192" s="22" t="s">
        <v>8084</v>
      </c>
    </row>
    <row r="193" customFormat="false" ht="42" hidden="false" customHeight="true" outlineLevel="0" collapsed="false">
      <c r="A193" s="22" t="s">
        <v>9384</v>
      </c>
      <c r="B193" s="22" t="s">
        <v>9385</v>
      </c>
      <c r="C193" s="22" t="s">
        <v>9386</v>
      </c>
      <c r="D193" s="22" t="s">
        <v>9387</v>
      </c>
      <c r="E193" s="22" t="s">
        <v>8343</v>
      </c>
      <c r="F193" s="22" t="s">
        <v>8546</v>
      </c>
      <c r="G193" s="22" t="s">
        <v>9388</v>
      </c>
      <c r="H193" s="22" t="s">
        <v>8180</v>
      </c>
      <c r="I193" s="22" t="s">
        <v>9389</v>
      </c>
      <c r="J193" s="22" t="s">
        <v>8082</v>
      </c>
      <c r="K193" s="32" t="s">
        <v>9390</v>
      </c>
      <c r="L193" s="22" t="s">
        <v>8084</v>
      </c>
    </row>
    <row r="194" customFormat="false" ht="42" hidden="false" customHeight="true" outlineLevel="0" collapsed="false">
      <c r="A194" s="22" t="s">
        <v>9391</v>
      </c>
      <c r="B194" s="22" t="s">
        <v>9392</v>
      </c>
      <c r="C194" s="22" t="s">
        <v>9393</v>
      </c>
      <c r="D194" s="22" t="s">
        <v>9394</v>
      </c>
      <c r="E194" s="22" t="s">
        <v>8343</v>
      </c>
      <c r="F194" s="22" t="s">
        <v>9395</v>
      </c>
      <c r="G194" s="22" t="s">
        <v>9396</v>
      </c>
      <c r="H194" s="22" t="s">
        <v>8180</v>
      </c>
      <c r="I194" s="22" t="s">
        <v>9397</v>
      </c>
      <c r="J194" s="22" t="s">
        <v>8082</v>
      </c>
      <c r="K194" s="32" t="s">
        <v>9398</v>
      </c>
      <c r="L194" s="22" t="s">
        <v>8084</v>
      </c>
    </row>
    <row r="195" customFormat="false" ht="42" hidden="false" customHeight="true" outlineLevel="0" collapsed="false">
      <c r="A195" s="22" t="s">
        <v>9399</v>
      </c>
      <c r="B195" s="22" t="s">
        <v>9400</v>
      </c>
      <c r="C195" s="22" t="s">
        <v>9401</v>
      </c>
      <c r="D195" s="22" t="s">
        <v>9402</v>
      </c>
      <c r="E195" s="22" t="s">
        <v>9403</v>
      </c>
      <c r="F195" s="22" t="s">
        <v>8505</v>
      </c>
      <c r="G195" s="22" t="s">
        <v>9404</v>
      </c>
      <c r="H195" s="22" t="s">
        <v>8180</v>
      </c>
      <c r="I195" s="22" t="s">
        <v>9405</v>
      </c>
      <c r="J195" s="22" t="s">
        <v>8082</v>
      </c>
      <c r="K195" s="32" t="s">
        <v>9406</v>
      </c>
      <c r="L195" s="22" t="s">
        <v>8084</v>
      </c>
    </row>
    <row r="196" customFormat="false" ht="42" hidden="false" customHeight="true" outlineLevel="0" collapsed="false">
      <c r="A196" s="22" t="s">
        <v>9407</v>
      </c>
      <c r="B196" s="22" t="s">
        <v>9408</v>
      </c>
      <c r="C196" s="22" t="s">
        <v>9409</v>
      </c>
      <c r="D196" s="22" t="s">
        <v>9410</v>
      </c>
      <c r="E196" s="22" t="s">
        <v>8226</v>
      </c>
      <c r="F196" s="22" t="s">
        <v>8630</v>
      </c>
      <c r="G196" s="22" t="s">
        <v>9411</v>
      </c>
      <c r="H196" s="22" t="s">
        <v>8080</v>
      </c>
      <c r="I196" s="22" t="s">
        <v>9412</v>
      </c>
      <c r="J196" s="22" t="s">
        <v>8082</v>
      </c>
      <c r="K196" s="32" t="s">
        <v>9413</v>
      </c>
      <c r="L196" s="22" t="s">
        <v>8084</v>
      </c>
    </row>
    <row r="197" customFormat="false" ht="42" hidden="false" customHeight="true" outlineLevel="0" collapsed="false">
      <c r="A197" s="22" t="s">
        <v>9414</v>
      </c>
      <c r="B197" s="22" t="s">
        <v>9415</v>
      </c>
      <c r="C197" s="22" t="s">
        <v>9416</v>
      </c>
      <c r="D197" s="22" t="s">
        <v>9410</v>
      </c>
      <c r="E197" s="22" t="s">
        <v>8226</v>
      </c>
      <c r="F197" s="22" t="s">
        <v>9395</v>
      </c>
      <c r="G197" s="22" t="s">
        <v>9417</v>
      </c>
      <c r="H197" s="22" t="s">
        <v>8080</v>
      </c>
      <c r="I197" s="22" t="s">
        <v>9418</v>
      </c>
      <c r="J197" s="22" t="s">
        <v>8082</v>
      </c>
      <c r="K197" s="32" t="s">
        <v>9419</v>
      </c>
      <c r="L197" s="22" t="s">
        <v>8084</v>
      </c>
    </row>
    <row r="198" customFormat="false" ht="42" hidden="false" customHeight="true" outlineLevel="0" collapsed="false">
      <c r="A198" s="22" t="s">
        <v>9420</v>
      </c>
      <c r="B198" s="22" t="s">
        <v>9421</v>
      </c>
      <c r="C198" s="22" t="s">
        <v>9422</v>
      </c>
      <c r="D198" s="22" t="s">
        <v>9410</v>
      </c>
      <c r="E198" s="22" t="s">
        <v>8226</v>
      </c>
      <c r="F198" s="22" t="s">
        <v>8901</v>
      </c>
      <c r="G198" s="22" t="s">
        <v>9417</v>
      </c>
      <c r="H198" s="22" t="s">
        <v>8080</v>
      </c>
      <c r="I198" s="22" t="s">
        <v>9423</v>
      </c>
      <c r="J198" s="22" t="s">
        <v>8082</v>
      </c>
      <c r="K198" s="32" t="s">
        <v>9424</v>
      </c>
      <c r="L198" s="22" t="s">
        <v>8084</v>
      </c>
    </row>
    <row r="199" customFormat="false" ht="42" hidden="false" customHeight="true" outlineLevel="0" collapsed="false">
      <c r="A199" s="22" t="s">
        <v>9425</v>
      </c>
      <c r="B199" s="22" t="s">
        <v>9426</v>
      </c>
      <c r="C199" s="22" t="s">
        <v>9427</v>
      </c>
      <c r="D199" s="22" t="s">
        <v>9410</v>
      </c>
      <c r="E199" s="22" t="s">
        <v>8226</v>
      </c>
      <c r="F199" s="22" t="s">
        <v>8559</v>
      </c>
      <c r="G199" s="22" t="s">
        <v>9428</v>
      </c>
      <c r="H199" s="22" t="s">
        <v>8080</v>
      </c>
      <c r="I199" s="22" t="s">
        <v>9429</v>
      </c>
      <c r="J199" s="22" t="s">
        <v>8082</v>
      </c>
      <c r="K199" s="32" t="s">
        <v>9430</v>
      </c>
      <c r="L199" s="22" t="s">
        <v>8084</v>
      </c>
    </row>
    <row r="200" customFormat="false" ht="42" hidden="false" customHeight="true" outlineLevel="0" collapsed="false">
      <c r="A200" s="22" t="s">
        <v>9431</v>
      </c>
      <c r="B200" s="22" t="s">
        <v>9432</v>
      </c>
      <c r="C200" s="22" t="s">
        <v>9433</v>
      </c>
      <c r="D200" s="22" t="s">
        <v>9410</v>
      </c>
      <c r="E200" s="22" t="s">
        <v>8226</v>
      </c>
      <c r="F200" s="22" t="s">
        <v>8559</v>
      </c>
      <c r="G200" s="22" t="s">
        <v>9417</v>
      </c>
      <c r="H200" s="22" t="s">
        <v>8080</v>
      </c>
      <c r="I200" s="22" t="s">
        <v>9434</v>
      </c>
      <c r="J200" s="22" t="s">
        <v>8082</v>
      </c>
      <c r="K200" s="32" t="s">
        <v>9435</v>
      </c>
      <c r="L200" s="22" t="s">
        <v>8084</v>
      </c>
    </row>
    <row r="201" customFormat="false" ht="42" hidden="false" customHeight="true" outlineLevel="0" collapsed="false">
      <c r="A201" s="22" t="s">
        <v>9436</v>
      </c>
      <c r="B201" s="22" t="s">
        <v>9437</v>
      </c>
      <c r="C201" s="22" t="s">
        <v>9438</v>
      </c>
      <c r="D201" s="22" t="s">
        <v>9410</v>
      </c>
      <c r="E201" s="22" t="s">
        <v>8226</v>
      </c>
      <c r="F201" s="22" t="s">
        <v>8881</v>
      </c>
      <c r="G201" s="22" t="s">
        <v>9439</v>
      </c>
      <c r="H201" s="22" t="s">
        <v>8080</v>
      </c>
      <c r="I201" s="22" t="s">
        <v>9440</v>
      </c>
      <c r="J201" s="22" t="s">
        <v>8082</v>
      </c>
      <c r="K201" s="32" t="s">
        <v>9441</v>
      </c>
      <c r="L201" s="22" t="s">
        <v>8084</v>
      </c>
    </row>
    <row r="202" customFormat="false" ht="42" hidden="false" customHeight="true" outlineLevel="0" collapsed="false">
      <c r="A202" s="22" t="s">
        <v>9442</v>
      </c>
      <c r="B202" s="22" t="s">
        <v>9443</v>
      </c>
      <c r="C202" s="22" t="s">
        <v>9444</v>
      </c>
      <c r="D202" s="22" t="s">
        <v>9410</v>
      </c>
      <c r="E202" s="22" t="s">
        <v>8226</v>
      </c>
      <c r="F202" s="22" t="s">
        <v>8783</v>
      </c>
      <c r="G202" s="22" t="s">
        <v>9417</v>
      </c>
      <c r="H202" s="22" t="s">
        <v>8180</v>
      </c>
      <c r="I202" s="22" t="s">
        <v>9445</v>
      </c>
      <c r="J202" s="22" t="s">
        <v>8082</v>
      </c>
      <c r="K202" s="32" t="s">
        <v>9446</v>
      </c>
      <c r="L202" s="22" t="s">
        <v>8084</v>
      </c>
    </row>
    <row r="203" customFormat="false" ht="42" hidden="false" customHeight="true" outlineLevel="0" collapsed="false">
      <c r="A203" s="22" t="s">
        <v>9447</v>
      </c>
      <c r="B203" s="22" t="s">
        <v>9448</v>
      </c>
      <c r="C203" s="22" t="s">
        <v>9449</v>
      </c>
      <c r="D203" s="22" t="s">
        <v>9410</v>
      </c>
      <c r="E203" s="22" t="s">
        <v>8226</v>
      </c>
      <c r="F203" s="22" t="s">
        <v>8423</v>
      </c>
      <c r="G203" s="22" t="s">
        <v>9439</v>
      </c>
      <c r="H203" s="22" t="s">
        <v>8180</v>
      </c>
      <c r="I203" s="22" t="s">
        <v>9450</v>
      </c>
      <c r="J203" s="22" t="s">
        <v>8082</v>
      </c>
      <c r="K203" s="32" t="s">
        <v>9451</v>
      </c>
      <c r="L203" s="22" t="s">
        <v>8084</v>
      </c>
    </row>
    <row r="204" customFormat="false" ht="42" hidden="false" customHeight="true" outlineLevel="0" collapsed="false">
      <c r="A204" s="22" t="s">
        <v>9452</v>
      </c>
      <c r="B204" s="22" t="s">
        <v>9453</v>
      </c>
      <c r="C204" s="22" t="s">
        <v>9454</v>
      </c>
      <c r="D204" s="22" t="s">
        <v>9410</v>
      </c>
      <c r="E204" s="22" t="s">
        <v>8226</v>
      </c>
      <c r="F204" s="22" t="s">
        <v>9107</v>
      </c>
      <c r="G204" s="22" t="s">
        <v>9417</v>
      </c>
      <c r="H204" s="22" t="s">
        <v>8180</v>
      </c>
      <c r="I204" s="22" t="s">
        <v>9455</v>
      </c>
      <c r="J204" s="22" t="s">
        <v>8082</v>
      </c>
      <c r="K204" s="32" t="s">
        <v>9456</v>
      </c>
      <c r="L204" s="22" t="s">
        <v>8084</v>
      </c>
    </row>
    <row r="205" customFormat="false" ht="42" hidden="false" customHeight="true" outlineLevel="0" collapsed="false">
      <c r="A205" s="22" t="s">
        <v>9457</v>
      </c>
      <c r="B205" s="22" t="s">
        <v>9458</v>
      </c>
      <c r="C205" s="22" t="s">
        <v>9459</v>
      </c>
      <c r="D205" s="22" t="s">
        <v>9410</v>
      </c>
      <c r="E205" s="22" t="s">
        <v>8226</v>
      </c>
      <c r="F205" s="22" t="s">
        <v>8439</v>
      </c>
      <c r="G205" s="22" t="s">
        <v>9460</v>
      </c>
      <c r="H205" s="22" t="s">
        <v>8180</v>
      </c>
      <c r="I205" s="22" t="s">
        <v>9461</v>
      </c>
      <c r="J205" s="22" t="s">
        <v>8082</v>
      </c>
      <c r="K205" s="32" t="s">
        <v>9462</v>
      </c>
      <c r="L205" s="22" t="s">
        <v>8084</v>
      </c>
    </row>
    <row r="206" customFormat="false" ht="42" hidden="false" customHeight="true" outlineLevel="0" collapsed="false">
      <c r="A206" s="22" t="s">
        <v>9463</v>
      </c>
      <c r="B206" s="22" t="s">
        <v>9464</v>
      </c>
      <c r="C206" s="22" t="s">
        <v>9465</v>
      </c>
      <c r="D206" s="22" t="s">
        <v>9410</v>
      </c>
      <c r="E206" s="22" t="s">
        <v>8226</v>
      </c>
      <c r="F206" s="22" t="s">
        <v>8559</v>
      </c>
      <c r="G206" s="22" t="s">
        <v>9417</v>
      </c>
      <c r="H206" s="22" t="s">
        <v>8180</v>
      </c>
      <c r="I206" s="22" t="s">
        <v>9466</v>
      </c>
      <c r="J206" s="22" t="s">
        <v>8082</v>
      </c>
      <c r="K206" s="32" t="s">
        <v>9467</v>
      </c>
      <c r="L206" s="22" t="s">
        <v>8084</v>
      </c>
    </row>
    <row r="207" customFormat="false" ht="42" hidden="false" customHeight="true" outlineLevel="0" collapsed="false">
      <c r="A207" s="22" t="s">
        <v>9468</v>
      </c>
      <c r="B207" s="22" t="s">
        <v>9469</v>
      </c>
      <c r="C207" s="22" t="s">
        <v>9470</v>
      </c>
      <c r="D207" s="22" t="s">
        <v>9410</v>
      </c>
      <c r="E207" s="22" t="s">
        <v>8226</v>
      </c>
      <c r="F207" s="22" t="s">
        <v>9007</v>
      </c>
      <c r="G207" s="22" t="s">
        <v>9471</v>
      </c>
      <c r="H207" s="22" t="s">
        <v>8180</v>
      </c>
      <c r="I207" s="22" t="s">
        <v>9472</v>
      </c>
      <c r="J207" s="22" t="s">
        <v>8082</v>
      </c>
      <c r="K207" s="32" t="s">
        <v>9473</v>
      </c>
      <c r="L207" s="22" t="s">
        <v>8084</v>
      </c>
    </row>
    <row r="208" customFormat="false" ht="42" hidden="false" customHeight="true" outlineLevel="0" collapsed="false">
      <c r="A208" s="22" t="s">
        <v>9474</v>
      </c>
      <c r="B208" s="22" t="s">
        <v>9475</v>
      </c>
      <c r="C208" s="22" t="s">
        <v>9476</v>
      </c>
      <c r="D208" s="22" t="s">
        <v>9410</v>
      </c>
      <c r="E208" s="22" t="s">
        <v>8226</v>
      </c>
      <c r="F208" s="22" t="s">
        <v>9070</v>
      </c>
      <c r="G208" s="22" t="s">
        <v>9439</v>
      </c>
      <c r="H208" s="22" t="s">
        <v>8080</v>
      </c>
      <c r="I208" s="22" t="s">
        <v>9477</v>
      </c>
      <c r="J208" s="22" t="s">
        <v>8082</v>
      </c>
      <c r="K208" s="32" t="s">
        <v>9478</v>
      </c>
      <c r="L208" s="22" t="s">
        <v>8084</v>
      </c>
    </row>
    <row r="209" customFormat="false" ht="42" hidden="false" customHeight="true" outlineLevel="0" collapsed="false">
      <c r="A209" s="22" t="s">
        <v>9479</v>
      </c>
      <c r="B209" s="22" t="s">
        <v>9480</v>
      </c>
      <c r="C209" s="22" t="s">
        <v>9476</v>
      </c>
      <c r="D209" s="22" t="s">
        <v>9410</v>
      </c>
      <c r="E209" s="22" t="s">
        <v>8226</v>
      </c>
      <c r="F209" s="22" t="s">
        <v>8409</v>
      </c>
      <c r="G209" s="22" t="s">
        <v>9417</v>
      </c>
      <c r="H209" s="22" t="s">
        <v>8180</v>
      </c>
      <c r="I209" s="22" t="s">
        <v>9481</v>
      </c>
      <c r="J209" s="22" t="s">
        <v>8082</v>
      </c>
      <c r="K209" s="32" t="s">
        <v>9482</v>
      </c>
      <c r="L209" s="22" t="s">
        <v>8084</v>
      </c>
    </row>
    <row r="210" customFormat="false" ht="42" hidden="false" customHeight="true" outlineLevel="0" collapsed="false">
      <c r="A210" s="22" t="s">
        <v>9483</v>
      </c>
      <c r="B210" s="22" t="s">
        <v>9484</v>
      </c>
      <c r="C210" s="22" t="s">
        <v>9485</v>
      </c>
      <c r="D210" s="22" t="s">
        <v>9486</v>
      </c>
      <c r="E210" s="22" t="s">
        <v>8226</v>
      </c>
      <c r="F210" s="22" t="s">
        <v>8552</v>
      </c>
      <c r="G210" s="22" t="s">
        <v>9163</v>
      </c>
      <c r="H210" s="22" t="s">
        <v>8080</v>
      </c>
      <c r="I210" s="22" t="s">
        <v>9487</v>
      </c>
      <c r="J210" s="22" t="s">
        <v>8082</v>
      </c>
      <c r="K210" s="32" t="s">
        <v>9488</v>
      </c>
      <c r="L210" s="22" t="s">
        <v>8084</v>
      </c>
    </row>
    <row r="211" customFormat="false" ht="42" hidden="false" customHeight="true" outlineLevel="0" collapsed="false">
      <c r="A211" s="22" t="s">
        <v>9489</v>
      </c>
      <c r="B211" s="22" t="s">
        <v>9490</v>
      </c>
      <c r="C211" s="22" t="s">
        <v>9491</v>
      </c>
      <c r="D211" s="22" t="s">
        <v>8629</v>
      </c>
      <c r="E211" s="22" t="s">
        <v>8226</v>
      </c>
      <c r="F211" s="22" t="s">
        <v>8472</v>
      </c>
      <c r="G211" s="22" t="s">
        <v>9492</v>
      </c>
      <c r="H211" s="22" t="s">
        <v>8080</v>
      </c>
      <c r="I211" s="22" t="s">
        <v>9493</v>
      </c>
      <c r="J211" s="22" t="s">
        <v>8082</v>
      </c>
      <c r="K211" s="32" t="s">
        <v>9494</v>
      </c>
      <c r="L211" s="22" t="s">
        <v>8084</v>
      </c>
    </row>
    <row r="212" customFormat="false" ht="42" hidden="false" customHeight="true" outlineLevel="0" collapsed="false">
      <c r="A212" s="22" t="s">
        <v>9495</v>
      </c>
      <c r="B212" s="22" t="s">
        <v>9496</v>
      </c>
      <c r="C212" s="22" t="s">
        <v>9497</v>
      </c>
      <c r="D212" s="22" t="s">
        <v>9498</v>
      </c>
      <c r="E212" s="22" t="s">
        <v>8226</v>
      </c>
      <c r="F212" s="22" t="s">
        <v>8881</v>
      </c>
      <c r="G212" s="22" t="s">
        <v>9499</v>
      </c>
      <c r="H212" s="22" t="s">
        <v>8080</v>
      </c>
      <c r="I212" s="22" t="s">
        <v>9500</v>
      </c>
      <c r="J212" s="22" t="s">
        <v>8082</v>
      </c>
      <c r="K212" s="32" t="s">
        <v>9501</v>
      </c>
      <c r="L212" s="22" t="s">
        <v>8084</v>
      </c>
    </row>
    <row r="213" customFormat="false" ht="42" hidden="false" customHeight="true" outlineLevel="0" collapsed="false">
      <c r="A213" s="22" t="s">
        <v>9502</v>
      </c>
      <c r="B213" s="22" t="s">
        <v>9503</v>
      </c>
      <c r="C213" s="22" t="s">
        <v>9504</v>
      </c>
      <c r="D213" s="22" t="s">
        <v>9505</v>
      </c>
      <c r="E213" s="22" t="s">
        <v>8226</v>
      </c>
      <c r="F213" s="22" t="s">
        <v>8546</v>
      </c>
      <c r="G213" s="22" t="s">
        <v>9506</v>
      </c>
      <c r="H213" s="22" t="s">
        <v>8080</v>
      </c>
      <c r="I213" s="22" t="s">
        <v>9507</v>
      </c>
      <c r="J213" s="22" t="s">
        <v>8082</v>
      </c>
      <c r="K213" s="32" t="s">
        <v>9508</v>
      </c>
      <c r="L213" s="22" t="s">
        <v>8084</v>
      </c>
    </row>
    <row r="214" customFormat="false" ht="42" hidden="false" customHeight="true" outlineLevel="0" collapsed="false">
      <c r="A214" s="22" t="s">
        <v>9509</v>
      </c>
      <c r="B214" s="22" t="s">
        <v>9510</v>
      </c>
      <c r="C214" s="22" t="s">
        <v>9511</v>
      </c>
      <c r="D214" s="22" t="s">
        <v>9498</v>
      </c>
      <c r="E214" s="22" t="s">
        <v>8226</v>
      </c>
      <c r="F214" s="22" t="s">
        <v>8881</v>
      </c>
      <c r="G214" s="22" t="s">
        <v>8359</v>
      </c>
      <c r="H214" s="22" t="s">
        <v>8180</v>
      </c>
      <c r="I214" s="22" t="s">
        <v>9512</v>
      </c>
      <c r="J214" s="22" t="s">
        <v>8082</v>
      </c>
      <c r="K214" s="32" t="s">
        <v>9513</v>
      </c>
      <c r="L214" s="22" t="s">
        <v>8084</v>
      </c>
    </row>
    <row r="215" customFormat="false" ht="42" hidden="false" customHeight="true" outlineLevel="0" collapsed="false">
      <c r="A215" s="22" t="s">
        <v>9514</v>
      </c>
      <c r="B215" s="22" t="s">
        <v>9515</v>
      </c>
      <c r="C215" s="22" t="s">
        <v>9516</v>
      </c>
      <c r="D215" s="22" t="s">
        <v>9498</v>
      </c>
      <c r="E215" s="22" t="s">
        <v>8226</v>
      </c>
      <c r="F215" s="22" t="s">
        <v>8881</v>
      </c>
      <c r="G215" s="22" t="s">
        <v>8359</v>
      </c>
      <c r="H215" s="22" t="s">
        <v>8180</v>
      </c>
      <c r="I215" s="22" t="s">
        <v>9517</v>
      </c>
      <c r="J215" s="22" t="s">
        <v>8082</v>
      </c>
      <c r="K215" s="32" t="s">
        <v>9518</v>
      </c>
      <c r="L215" s="22" t="s">
        <v>8084</v>
      </c>
    </row>
    <row r="216" customFormat="false" ht="42" hidden="false" customHeight="true" outlineLevel="0" collapsed="false">
      <c r="A216" s="22" t="s">
        <v>9519</v>
      </c>
      <c r="B216" s="22" t="s">
        <v>9520</v>
      </c>
      <c r="C216" s="22" t="s">
        <v>9521</v>
      </c>
      <c r="D216" s="22" t="s">
        <v>8629</v>
      </c>
      <c r="E216" s="22" t="s">
        <v>8226</v>
      </c>
      <c r="F216" s="22" t="s">
        <v>8472</v>
      </c>
      <c r="G216" s="22" t="s">
        <v>9522</v>
      </c>
      <c r="H216" s="22" t="s">
        <v>8080</v>
      </c>
      <c r="I216" s="22" t="s">
        <v>9523</v>
      </c>
      <c r="J216" s="22" t="s">
        <v>8082</v>
      </c>
      <c r="K216" s="32" t="s">
        <v>9524</v>
      </c>
      <c r="L216" s="22" t="s">
        <v>8084</v>
      </c>
    </row>
    <row r="217" customFormat="false" ht="42" hidden="false" customHeight="true" outlineLevel="0" collapsed="false">
      <c r="A217" s="22" t="s">
        <v>9525</v>
      </c>
      <c r="B217" s="22" t="s">
        <v>9526</v>
      </c>
      <c r="C217" s="22" t="s">
        <v>9527</v>
      </c>
      <c r="D217" s="22" t="s">
        <v>8629</v>
      </c>
      <c r="E217" s="22" t="s">
        <v>8226</v>
      </c>
      <c r="F217" s="22" t="s">
        <v>9528</v>
      </c>
      <c r="G217" s="22" t="s">
        <v>9529</v>
      </c>
      <c r="H217" s="22" t="s">
        <v>8180</v>
      </c>
      <c r="I217" s="22" t="s">
        <v>9530</v>
      </c>
      <c r="J217" s="22" t="s">
        <v>8082</v>
      </c>
      <c r="K217" s="32" t="s">
        <v>9531</v>
      </c>
      <c r="L217" s="22" t="s">
        <v>8084</v>
      </c>
    </row>
    <row r="218" customFormat="false" ht="42" hidden="false" customHeight="true" outlineLevel="0" collapsed="false">
      <c r="A218" s="22" t="s">
        <v>9532</v>
      </c>
      <c r="B218" s="22" t="s">
        <v>9533</v>
      </c>
      <c r="C218" s="22" t="s">
        <v>9534</v>
      </c>
      <c r="D218" s="22" t="s">
        <v>8629</v>
      </c>
      <c r="E218" s="22" t="s">
        <v>8226</v>
      </c>
      <c r="F218" s="22" t="s">
        <v>8546</v>
      </c>
      <c r="G218" s="22" t="s">
        <v>9522</v>
      </c>
      <c r="H218" s="22" t="s">
        <v>8180</v>
      </c>
      <c r="I218" s="22" t="s">
        <v>9535</v>
      </c>
      <c r="J218" s="22" t="s">
        <v>8082</v>
      </c>
      <c r="K218" s="32" t="s">
        <v>9536</v>
      </c>
      <c r="L218" s="22" t="s">
        <v>8084</v>
      </c>
    </row>
    <row r="219" customFormat="false" ht="42" hidden="false" customHeight="true" outlineLevel="0" collapsed="false">
      <c r="A219" s="22" t="s">
        <v>9537</v>
      </c>
      <c r="B219" s="22" t="s">
        <v>9538</v>
      </c>
      <c r="C219" s="22" t="s">
        <v>9539</v>
      </c>
      <c r="D219" s="22" t="s">
        <v>9540</v>
      </c>
      <c r="E219" s="22" t="s">
        <v>8226</v>
      </c>
      <c r="F219" s="22" t="s">
        <v>9107</v>
      </c>
      <c r="G219" s="22" t="s">
        <v>9506</v>
      </c>
      <c r="H219" s="22" t="s">
        <v>8180</v>
      </c>
      <c r="I219" s="22" t="s">
        <v>9541</v>
      </c>
      <c r="J219" s="22" t="s">
        <v>8082</v>
      </c>
      <c r="K219" s="32" t="s">
        <v>9542</v>
      </c>
      <c r="L219" s="22" t="s">
        <v>8084</v>
      </c>
    </row>
    <row r="220" customFormat="false" ht="42" hidden="false" customHeight="true" outlineLevel="0" collapsed="false">
      <c r="A220" s="22" t="s">
        <v>9543</v>
      </c>
      <c r="B220" s="22" t="s">
        <v>9544</v>
      </c>
      <c r="C220" s="22" t="s">
        <v>9545</v>
      </c>
      <c r="D220" s="22" t="s">
        <v>9410</v>
      </c>
      <c r="E220" s="22" t="s">
        <v>8226</v>
      </c>
      <c r="F220" s="22" t="s">
        <v>8546</v>
      </c>
      <c r="G220" s="22" t="s">
        <v>9417</v>
      </c>
      <c r="H220" s="22" t="s">
        <v>8080</v>
      </c>
      <c r="I220" s="22" t="s">
        <v>9546</v>
      </c>
      <c r="J220" s="22" t="s">
        <v>8082</v>
      </c>
      <c r="K220" s="32" t="s">
        <v>9547</v>
      </c>
      <c r="L220" s="22" t="s">
        <v>8084</v>
      </c>
    </row>
    <row r="221" customFormat="false" ht="42" hidden="false" customHeight="true" outlineLevel="0" collapsed="false">
      <c r="A221" s="22" t="s">
        <v>9548</v>
      </c>
      <c r="B221" s="22" t="s">
        <v>9549</v>
      </c>
      <c r="C221" s="22" t="s">
        <v>9550</v>
      </c>
      <c r="D221" s="22" t="s">
        <v>9410</v>
      </c>
      <c r="E221" s="22" t="s">
        <v>8226</v>
      </c>
      <c r="F221" s="22" t="s">
        <v>8505</v>
      </c>
      <c r="G221" s="22" t="s">
        <v>9417</v>
      </c>
      <c r="H221" s="22" t="s">
        <v>8180</v>
      </c>
      <c r="I221" s="22" t="s">
        <v>9551</v>
      </c>
      <c r="J221" s="22" t="s">
        <v>8082</v>
      </c>
      <c r="K221" s="32" t="s">
        <v>9552</v>
      </c>
      <c r="L221" s="22" t="s">
        <v>8084</v>
      </c>
    </row>
    <row r="222" customFormat="false" ht="42" hidden="false" customHeight="true" outlineLevel="0" collapsed="false">
      <c r="A222" s="22" t="s">
        <v>9553</v>
      </c>
      <c r="B222" s="22" t="s">
        <v>9554</v>
      </c>
      <c r="C222" s="22" t="s">
        <v>9555</v>
      </c>
      <c r="D222" s="22" t="s">
        <v>9410</v>
      </c>
      <c r="E222" s="22" t="s">
        <v>8226</v>
      </c>
      <c r="F222" s="22" t="s">
        <v>8783</v>
      </c>
      <c r="G222" s="22" t="s">
        <v>9471</v>
      </c>
      <c r="H222" s="22" t="s">
        <v>8180</v>
      </c>
      <c r="I222" s="22" t="s">
        <v>9556</v>
      </c>
      <c r="J222" s="22" t="s">
        <v>8082</v>
      </c>
      <c r="K222" s="32" t="s">
        <v>9557</v>
      </c>
      <c r="L222" s="22" t="s">
        <v>8084</v>
      </c>
    </row>
    <row r="223" customFormat="false" ht="42" hidden="false" customHeight="true" outlineLevel="0" collapsed="false">
      <c r="A223" s="22" t="s">
        <v>9558</v>
      </c>
      <c r="B223" s="22" t="s">
        <v>9559</v>
      </c>
      <c r="C223" s="22" t="s">
        <v>9560</v>
      </c>
      <c r="D223" s="22" t="s">
        <v>9410</v>
      </c>
      <c r="E223" s="22" t="s">
        <v>8226</v>
      </c>
      <c r="F223" s="22" t="s">
        <v>8453</v>
      </c>
      <c r="G223" s="22" t="s">
        <v>9417</v>
      </c>
      <c r="H223" s="22" t="s">
        <v>8180</v>
      </c>
      <c r="I223" s="22" t="s">
        <v>9561</v>
      </c>
      <c r="J223" s="22" t="s">
        <v>8082</v>
      </c>
      <c r="K223" s="32" t="s">
        <v>9562</v>
      </c>
      <c r="L223" s="22" t="s">
        <v>8084</v>
      </c>
    </row>
    <row r="224" customFormat="false" ht="42" hidden="false" customHeight="true" outlineLevel="0" collapsed="false">
      <c r="A224" s="22" t="s">
        <v>9563</v>
      </c>
      <c r="B224" s="22" t="s">
        <v>9564</v>
      </c>
      <c r="C224" s="22" t="s">
        <v>9565</v>
      </c>
      <c r="D224" s="22" t="s">
        <v>9410</v>
      </c>
      <c r="E224" s="22" t="s">
        <v>8226</v>
      </c>
      <c r="F224" s="22" t="s">
        <v>9107</v>
      </c>
      <c r="G224" s="22" t="s">
        <v>9566</v>
      </c>
      <c r="H224" s="22" t="s">
        <v>8080</v>
      </c>
      <c r="I224" s="22" t="s">
        <v>9567</v>
      </c>
      <c r="J224" s="22" t="s">
        <v>8082</v>
      </c>
      <c r="K224" s="32" t="s">
        <v>9568</v>
      </c>
      <c r="L224" s="22" t="s">
        <v>8084</v>
      </c>
    </row>
    <row r="225" customFormat="false" ht="42" hidden="false" customHeight="true" outlineLevel="0" collapsed="false">
      <c r="A225" s="22" t="s">
        <v>9569</v>
      </c>
      <c r="B225" s="22" t="s">
        <v>9570</v>
      </c>
      <c r="C225" s="22" t="s">
        <v>9571</v>
      </c>
      <c r="D225" s="22" t="s">
        <v>8629</v>
      </c>
      <c r="E225" s="22" t="s">
        <v>8226</v>
      </c>
      <c r="F225" s="22" t="s">
        <v>8490</v>
      </c>
      <c r="G225" s="22" t="s">
        <v>9522</v>
      </c>
      <c r="H225" s="22" t="s">
        <v>8180</v>
      </c>
      <c r="I225" s="22" t="s">
        <v>9572</v>
      </c>
      <c r="J225" s="22" t="s">
        <v>8082</v>
      </c>
      <c r="K225" s="32" t="s">
        <v>9573</v>
      </c>
      <c r="L225" s="22" t="s">
        <v>8084</v>
      </c>
    </row>
    <row r="226" customFormat="false" ht="42" hidden="false" customHeight="true" outlineLevel="0" collapsed="false">
      <c r="A226" s="22" t="s">
        <v>9574</v>
      </c>
      <c r="B226" s="22" t="s">
        <v>9575</v>
      </c>
      <c r="C226" s="22" t="s">
        <v>9576</v>
      </c>
      <c r="D226" s="22" t="s">
        <v>9410</v>
      </c>
      <c r="E226" s="22" t="s">
        <v>8226</v>
      </c>
      <c r="F226" s="22" t="s">
        <v>8881</v>
      </c>
      <c r="G226" s="22" t="s">
        <v>9417</v>
      </c>
      <c r="H226" s="22" t="s">
        <v>8180</v>
      </c>
      <c r="I226" s="22" t="s">
        <v>9577</v>
      </c>
      <c r="J226" s="22" t="s">
        <v>8082</v>
      </c>
      <c r="K226" s="32" t="s">
        <v>9578</v>
      </c>
      <c r="L226" s="22" t="s">
        <v>8084</v>
      </c>
    </row>
    <row r="227" customFormat="false" ht="42" hidden="false" customHeight="true" outlineLevel="0" collapsed="false">
      <c r="A227" s="22" t="s">
        <v>9579</v>
      </c>
      <c r="B227" s="22" t="s">
        <v>9580</v>
      </c>
      <c r="C227" s="22" t="s">
        <v>9581</v>
      </c>
      <c r="D227" s="22" t="s">
        <v>9410</v>
      </c>
      <c r="E227" s="22" t="s">
        <v>8226</v>
      </c>
      <c r="F227" s="22" t="s">
        <v>8490</v>
      </c>
      <c r="G227" s="22" t="s">
        <v>9417</v>
      </c>
      <c r="H227" s="22" t="s">
        <v>8180</v>
      </c>
      <c r="I227" s="22" t="s">
        <v>9582</v>
      </c>
      <c r="J227" s="22" t="s">
        <v>8082</v>
      </c>
      <c r="K227" s="32" t="s">
        <v>9583</v>
      </c>
      <c r="L227" s="22" t="s">
        <v>8084</v>
      </c>
    </row>
    <row r="228" customFormat="false" ht="42" hidden="false" customHeight="true" outlineLevel="0" collapsed="false">
      <c r="A228" s="22" t="s">
        <v>9584</v>
      </c>
      <c r="B228" s="22" t="s">
        <v>9585</v>
      </c>
      <c r="C228" s="22" t="s">
        <v>9586</v>
      </c>
      <c r="D228" s="22" t="s">
        <v>9410</v>
      </c>
      <c r="E228" s="22" t="s">
        <v>8226</v>
      </c>
      <c r="F228" s="22" t="s">
        <v>8460</v>
      </c>
      <c r="G228" s="22" t="s">
        <v>9417</v>
      </c>
      <c r="H228" s="22" t="s">
        <v>8180</v>
      </c>
      <c r="I228" s="22" t="s">
        <v>9587</v>
      </c>
      <c r="J228" s="22" t="s">
        <v>8082</v>
      </c>
      <c r="K228" s="32" t="s">
        <v>9588</v>
      </c>
      <c r="L228" s="22" t="s">
        <v>8084</v>
      </c>
    </row>
    <row r="229" customFormat="false" ht="42" hidden="false" customHeight="true" outlineLevel="0" collapsed="false">
      <c r="A229" s="22" t="s">
        <v>9589</v>
      </c>
      <c r="B229" s="22" t="s">
        <v>9590</v>
      </c>
      <c r="C229" s="22" t="s">
        <v>9591</v>
      </c>
      <c r="D229" s="22" t="s">
        <v>9592</v>
      </c>
      <c r="E229" s="22" t="s">
        <v>8226</v>
      </c>
      <c r="F229" s="22" t="s">
        <v>8423</v>
      </c>
      <c r="G229" s="22" t="s">
        <v>9593</v>
      </c>
      <c r="H229" s="22" t="s">
        <v>8180</v>
      </c>
      <c r="I229" s="22" t="s">
        <v>9594</v>
      </c>
      <c r="J229" s="22" t="s">
        <v>8082</v>
      </c>
      <c r="K229" s="32" t="s">
        <v>9595</v>
      </c>
      <c r="L229" s="22" t="s">
        <v>8084</v>
      </c>
    </row>
    <row r="230" customFormat="false" ht="42" hidden="false" customHeight="true" outlineLevel="0" collapsed="false">
      <c r="A230" s="22" t="s">
        <v>9596</v>
      </c>
      <c r="B230" s="22" t="s">
        <v>9597</v>
      </c>
      <c r="C230" s="22" t="s">
        <v>9598</v>
      </c>
      <c r="D230" s="22" t="s">
        <v>9599</v>
      </c>
      <c r="E230" s="22" t="s">
        <v>8226</v>
      </c>
      <c r="F230" s="22" t="s">
        <v>9007</v>
      </c>
      <c r="G230" s="22" t="s">
        <v>9600</v>
      </c>
      <c r="H230" s="22" t="s">
        <v>8080</v>
      </c>
      <c r="I230" s="22" t="s">
        <v>9601</v>
      </c>
      <c r="J230" s="22" t="s">
        <v>8082</v>
      </c>
      <c r="K230" s="32" t="s">
        <v>9602</v>
      </c>
      <c r="L230" s="22" t="s">
        <v>8084</v>
      </c>
    </row>
    <row r="231" customFormat="false" ht="42" hidden="false" customHeight="true" outlineLevel="0" collapsed="false">
      <c r="A231" s="22" t="s">
        <v>9603</v>
      </c>
      <c r="B231" s="22" t="s">
        <v>9604</v>
      </c>
      <c r="C231" s="22" t="s">
        <v>9605</v>
      </c>
      <c r="D231" s="22" t="s">
        <v>9606</v>
      </c>
      <c r="E231" s="22" t="s">
        <v>8226</v>
      </c>
      <c r="F231" s="22" t="s">
        <v>9607</v>
      </c>
      <c r="G231" s="22" t="s">
        <v>9608</v>
      </c>
      <c r="H231" s="22" t="s">
        <v>8080</v>
      </c>
      <c r="I231" s="22" t="s">
        <v>9609</v>
      </c>
      <c r="J231" s="22" t="s">
        <v>8082</v>
      </c>
      <c r="K231" s="32" t="s">
        <v>9610</v>
      </c>
      <c r="L231" s="22" t="s">
        <v>8084</v>
      </c>
    </row>
    <row r="232" customFormat="false" ht="42" hidden="false" customHeight="true" outlineLevel="0" collapsed="false">
      <c r="A232" s="22" t="s">
        <v>9611</v>
      </c>
      <c r="B232" s="22" t="s">
        <v>9612</v>
      </c>
      <c r="C232" s="22" t="s">
        <v>9598</v>
      </c>
      <c r="D232" s="22" t="s">
        <v>9599</v>
      </c>
      <c r="E232" s="22" t="s">
        <v>8226</v>
      </c>
      <c r="F232" s="22" t="s">
        <v>8559</v>
      </c>
      <c r="G232" s="22" t="s">
        <v>9600</v>
      </c>
      <c r="H232" s="22" t="s">
        <v>8080</v>
      </c>
      <c r="I232" s="22" t="s">
        <v>9613</v>
      </c>
      <c r="J232" s="22" t="s">
        <v>8082</v>
      </c>
      <c r="K232" s="32" t="s">
        <v>9614</v>
      </c>
      <c r="L232" s="22" t="s">
        <v>8084</v>
      </c>
    </row>
    <row r="233" customFormat="false" ht="42" hidden="false" customHeight="true" outlineLevel="0" collapsed="false">
      <c r="A233" s="22" t="s">
        <v>9615</v>
      </c>
      <c r="B233" s="22" t="s">
        <v>9616</v>
      </c>
      <c r="C233" s="22" t="s">
        <v>9617</v>
      </c>
      <c r="D233" s="22" t="s">
        <v>9410</v>
      </c>
      <c r="E233" s="22" t="s">
        <v>8226</v>
      </c>
      <c r="F233" s="22" t="s">
        <v>8381</v>
      </c>
      <c r="G233" s="22" t="s">
        <v>9618</v>
      </c>
      <c r="H233" s="22" t="s">
        <v>8180</v>
      </c>
      <c r="I233" s="22" t="s">
        <v>9619</v>
      </c>
      <c r="J233" s="22" t="s">
        <v>8082</v>
      </c>
      <c r="K233" s="32" t="s">
        <v>9620</v>
      </c>
      <c r="L233" s="22" t="s">
        <v>8084</v>
      </c>
    </row>
    <row r="234" customFormat="false" ht="42" hidden="false" customHeight="true" outlineLevel="0" collapsed="false">
      <c r="A234" s="22" t="s">
        <v>9621</v>
      </c>
      <c r="B234" s="22" t="s">
        <v>9622</v>
      </c>
      <c r="C234" s="22" t="s">
        <v>9623</v>
      </c>
      <c r="D234" s="22" t="s">
        <v>9410</v>
      </c>
      <c r="E234" s="22" t="s">
        <v>8226</v>
      </c>
      <c r="F234" s="22" t="s">
        <v>8498</v>
      </c>
      <c r="G234" s="22" t="s">
        <v>9417</v>
      </c>
      <c r="H234" s="22" t="s">
        <v>8180</v>
      </c>
      <c r="I234" s="22" t="s">
        <v>9624</v>
      </c>
      <c r="J234" s="22" t="s">
        <v>8082</v>
      </c>
      <c r="K234" s="32" t="s">
        <v>9625</v>
      </c>
      <c r="L234" s="22" t="s">
        <v>8084</v>
      </c>
    </row>
    <row r="235" customFormat="false" ht="42" hidden="false" customHeight="true" outlineLevel="0" collapsed="false">
      <c r="A235" s="22" t="s">
        <v>9626</v>
      </c>
      <c r="B235" s="22" t="s">
        <v>9627</v>
      </c>
      <c r="C235" s="22" t="s">
        <v>9628</v>
      </c>
      <c r="D235" s="22" t="s">
        <v>9410</v>
      </c>
      <c r="E235" s="22" t="s">
        <v>8226</v>
      </c>
      <c r="F235" s="22" t="s">
        <v>8498</v>
      </c>
      <c r="G235" s="22" t="s">
        <v>9417</v>
      </c>
      <c r="H235" s="22" t="s">
        <v>8180</v>
      </c>
      <c r="I235" s="22" t="s">
        <v>9629</v>
      </c>
      <c r="J235" s="22" t="s">
        <v>8082</v>
      </c>
      <c r="K235" s="32" t="s">
        <v>9630</v>
      </c>
      <c r="L235" s="22" t="s">
        <v>8084</v>
      </c>
    </row>
    <row r="236" customFormat="false" ht="42" hidden="false" customHeight="true" outlineLevel="0" collapsed="false">
      <c r="A236" s="22" t="s">
        <v>9631</v>
      </c>
      <c r="B236" s="22" t="s">
        <v>9632</v>
      </c>
      <c r="C236" s="22" t="s">
        <v>9633</v>
      </c>
      <c r="D236" s="22" t="s">
        <v>9634</v>
      </c>
      <c r="E236" s="22" t="s">
        <v>8592</v>
      </c>
      <c r="F236" s="22" t="s">
        <v>9107</v>
      </c>
      <c r="G236" s="22" t="s">
        <v>9635</v>
      </c>
      <c r="H236" s="22" t="s">
        <v>8080</v>
      </c>
      <c r="I236" s="22" t="s">
        <v>9636</v>
      </c>
      <c r="J236" s="22" t="s">
        <v>8082</v>
      </c>
      <c r="K236" s="32" t="s">
        <v>9637</v>
      </c>
      <c r="L236" s="22" t="s">
        <v>8084</v>
      </c>
    </row>
    <row r="237" customFormat="false" ht="42" hidden="false" customHeight="true" outlineLevel="0" collapsed="false">
      <c r="A237" s="22" t="s">
        <v>9638</v>
      </c>
      <c r="B237" s="22" t="s">
        <v>9639</v>
      </c>
      <c r="C237" s="22" t="s">
        <v>9640</v>
      </c>
      <c r="D237" s="22" t="s">
        <v>9641</v>
      </c>
      <c r="E237" s="22" t="s">
        <v>8592</v>
      </c>
      <c r="F237" s="22" t="s">
        <v>8498</v>
      </c>
      <c r="G237" s="22" t="s">
        <v>8359</v>
      </c>
      <c r="H237" s="22" t="s">
        <v>8080</v>
      </c>
      <c r="I237" s="22" t="s">
        <v>9642</v>
      </c>
      <c r="J237" s="22" t="s">
        <v>8082</v>
      </c>
      <c r="K237" s="32" t="s">
        <v>9643</v>
      </c>
      <c r="L237" s="22" t="s">
        <v>8084</v>
      </c>
    </row>
    <row r="238" customFormat="false" ht="42" hidden="false" customHeight="true" outlineLevel="0" collapsed="false">
      <c r="A238" s="22" t="s">
        <v>9644</v>
      </c>
      <c r="B238" s="22" t="s">
        <v>9645</v>
      </c>
      <c r="C238" s="22" t="s">
        <v>9646</v>
      </c>
      <c r="D238" s="22" t="s">
        <v>9647</v>
      </c>
      <c r="E238" s="22" t="s">
        <v>8592</v>
      </c>
      <c r="F238" s="22" t="s">
        <v>8472</v>
      </c>
      <c r="G238" s="22" t="s">
        <v>9648</v>
      </c>
      <c r="H238" s="22" t="s">
        <v>8180</v>
      </c>
      <c r="I238" s="22" t="s">
        <v>9649</v>
      </c>
      <c r="J238" s="22" t="s">
        <v>8082</v>
      </c>
      <c r="K238" s="32" t="s">
        <v>9650</v>
      </c>
      <c r="L238" s="22" t="s">
        <v>8084</v>
      </c>
    </row>
    <row r="239" customFormat="false" ht="42" hidden="false" customHeight="true" outlineLevel="0" collapsed="false">
      <c r="A239" s="22" t="s">
        <v>9651</v>
      </c>
      <c r="B239" s="22" t="s">
        <v>9652</v>
      </c>
      <c r="C239" s="22" t="s">
        <v>9653</v>
      </c>
      <c r="D239" s="22" t="s">
        <v>9647</v>
      </c>
      <c r="E239" s="22" t="s">
        <v>8592</v>
      </c>
      <c r="F239" s="22" t="s">
        <v>8538</v>
      </c>
      <c r="G239" s="22" t="s">
        <v>9648</v>
      </c>
      <c r="H239" s="22" t="s">
        <v>8539</v>
      </c>
      <c r="I239" s="22" t="s">
        <v>9654</v>
      </c>
      <c r="J239" s="22" t="s">
        <v>8082</v>
      </c>
      <c r="K239" s="32" t="s">
        <v>9655</v>
      </c>
      <c r="L239" s="22" t="s">
        <v>8084</v>
      </c>
    </row>
    <row r="240" customFormat="false" ht="42" hidden="false" customHeight="true" outlineLevel="0" collapsed="false">
      <c r="A240" s="22" t="s">
        <v>9656</v>
      </c>
      <c r="B240" s="22" t="s">
        <v>9657</v>
      </c>
      <c r="C240" s="22" t="s">
        <v>9658</v>
      </c>
      <c r="D240" s="22" t="s">
        <v>9659</v>
      </c>
      <c r="E240" s="22" t="s">
        <v>8205</v>
      </c>
      <c r="F240" s="22" t="s">
        <v>8538</v>
      </c>
      <c r="G240" s="22" t="s">
        <v>8359</v>
      </c>
      <c r="H240" s="22" t="s">
        <v>8180</v>
      </c>
      <c r="I240" s="22" t="s">
        <v>9660</v>
      </c>
      <c r="J240" s="22" t="s">
        <v>8082</v>
      </c>
      <c r="K240" s="32" t="s">
        <v>9661</v>
      </c>
      <c r="L240" s="22" t="s">
        <v>8084</v>
      </c>
    </row>
    <row r="241" customFormat="false" ht="42" hidden="false" customHeight="true" outlineLevel="0" collapsed="false">
      <c r="A241" s="22" t="s">
        <v>9662</v>
      </c>
      <c r="B241" s="22" t="s">
        <v>9663</v>
      </c>
      <c r="C241" s="22" t="s">
        <v>9664</v>
      </c>
      <c r="D241" s="22" t="s">
        <v>9665</v>
      </c>
      <c r="E241" s="22" t="s">
        <v>8205</v>
      </c>
      <c r="F241" s="22" t="s">
        <v>8639</v>
      </c>
      <c r="G241" s="22" t="s">
        <v>8359</v>
      </c>
      <c r="H241" s="22" t="s">
        <v>8080</v>
      </c>
      <c r="I241" s="22" t="s">
        <v>9666</v>
      </c>
      <c r="J241" s="22" t="s">
        <v>8082</v>
      </c>
      <c r="K241" s="32" t="s">
        <v>9667</v>
      </c>
      <c r="L241" s="22" t="s">
        <v>8084</v>
      </c>
    </row>
    <row r="242" customFormat="false" ht="42" hidden="false" customHeight="true" outlineLevel="0" collapsed="false">
      <c r="A242" s="22" t="s">
        <v>9668</v>
      </c>
      <c r="B242" s="22" t="s">
        <v>9669</v>
      </c>
      <c r="C242" s="22" t="s">
        <v>8644</v>
      </c>
      <c r="D242" s="22" t="s">
        <v>9670</v>
      </c>
      <c r="E242" s="22" t="s">
        <v>8205</v>
      </c>
      <c r="F242" s="22" t="s">
        <v>8505</v>
      </c>
      <c r="G242" s="22" t="s">
        <v>8359</v>
      </c>
      <c r="H242" s="22" t="s">
        <v>8180</v>
      </c>
      <c r="I242" s="22" t="s">
        <v>9671</v>
      </c>
      <c r="J242" s="22" t="s">
        <v>8082</v>
      </c>
      <c r="K242" s="32" t="s">
        <v>9672</v>
      </c>
      <c r="L242" s="22" t="s">
        <v>8084</v>
      </c>
    </row>
    <row r="243" customFormat="false" ht="42" hidden="false" customHeight="true" outlineLevel="0" collapsed="false">
      <c r="A243" s="22" t="s">
        <v>9673</v>
      </c>
      <c r="B243" s="22" t="s">
        <v>9674</v>
      </c>
      <c r="C243" s="22" t="s">
        <v>9675</v>
      </c>
      <c r="D243" s="22" t="s">
        <v>9676</v>
      </c>
      <c r="E243" s="22" t="s">
        <v>8205</v>
      </c>
      <c r="F243" s="22" t="s">
        <v>9677</v>
      </c>
      <c r="G243" s="22" t="s">
        <v>9678</v>
      </c>
      <c r="H243" s="22" t="s">
        <v>8180</v>
      </c>
      <c r="I243" s="22" t="s">
        <v>9679</v>
      </c>
      <c r="J243" s="22" t="s">
        <v>8082</v>
      </c>
      <c r="K243" s="32" t="s">
        <v>9680</v>
      </c>
      <c r="L243" s="22" t="s">
        <v>8084</v>
      </c>
    </row>
    <row r="244" customFormat="false" ht="42" hidden="false" customHeight="true" outlineLevel="0" collapsed="false">
      <c r="A244" s="22" t="s">
        <v>9681</v>
      </c>
      <c r="B244" s="22" t="s">
        <v>9682</v>
      </c>
      <c r="C244" s="22" t="s">
        <v>9683</v>
      </c>
      <c r="D244" s="22" t="s">
        <v>9540</v>
      </c>
      <c r="E244" s="22" t="s">
        <v>8226</v>
      </c>
      <c r="F244" s="22" t="s">
        <v>8538</v>
      </c>
      <c r="G244" s="22" t="s">
        <v>8359</v>
      </c>
      <c r="H244" s="22" t="s">
        <v>8539</v>
      </c>
      <c r="I244" s="22" t="s">
        <v>9684</v>
      </c>
      <c r="J244" s="22" t="s">
        <v>8082</v>
      </c>
      <c r="K244" s="32" t="s">
        <v>9685</v>
      </c>
      <c r="L244" s="22" t="s">
        <v>8084</v>
      </c>
    </row>
    <row r="245" customFormat="false" ht="42" hidden="false" customHeight="true" outlineLevel="0" collapsed="false">
      <c r="A245" s="22" t="s">
        <v>9686</v>
      </c>
      <c r="B245" s="22" t="s">
        <v>9687</v>
      </c>
      <c r="C245" s="22" t="s">
        <v>9688</v>
      </c>
      <c r="D245" s="22" t="s">
        <v>8629</v>
      </c>
      <c r="E245" s="22" t="s">
        <v>8226</v>
      </c>
      <c r="F245" s="22" t="s">
        <v>8546</v>
      </c>
      <c r="G245" s="22" t="s">
        <v>8359</v>
      </c>
      <c r="H245" s="22" t="s">
        <v>8180</v>
      </c>
      <c r="I245" s="22" t="s">
        <v>9689</v>
      </c>
      <c r="J245" s="22" t="s">
        <v>8082</v>
      </c>
      <c r="K245" s="32" t="s">
        <v>9690</v>
      </c>
      <c r="L245" s="22" t="s">
        <v>8084</v>
      </c>
    </row>
    <row r="246" customFormat="false" ht="42" hidden="false" customHeight="true" outlineLevel="0" collapsed="false">
      <c r="A246" s="22" t="s">
        <v>9691</v>
      </c>
      <c r="B246" s="22" t="s">
        <v>9692</v>
      </c>
      <c r="C246" s="22" t="s">
        <v>9693</v>
      </c>
      <c r="D246" s="22" t="s">
        <v>8629</v>
      </c>
      <c r="E246" s="22" t="s">
        <v>8226</v>
      </c>
      <c r="F246" s="22" t="s">
        <v>8490</v>
      </c>
      <c r="G246" s="22" t="s">
        <v>9694</v>
      </c>
      <c r="H246" s="22" t="s">
        <v>8180</v>
      </c>
      <c r="I246" s="22" t="s">
        <v>9695</v>
      </c>
      <c r="J246" s="22" t="s">
        <v>8082</v>
      </c>
      <c r="K246" s="32" t="s">
        <v>9696</v>
      </c>
      <c r="L246" s="22" t="s">
        <v>8084</v>
      </c>
    </row>
    <row r="247" customFormat="false" ht="42" hidden="false" customHeight="true" outlineLevel="0" collapsed="false">
      <c r="A247" s="22" t="s">
        <v>9697</v>
      </c>
      <c r="B247" s="22" t="s">
        <v>9698</v>
      </c>
      <c r="C247" s="22" t="s">
        <v>9699</v>
      </c>
      <c r="D247" s="22" t="s">
        <v>8629</v>
      </c>
      <c r="E247" s="22" t="s">
        <v>8226</v>
      </c>
      <c r="F247" s="22" t="s">
        <v>8498</v>
      </c>
      <c r="G247" s="22" t="s">
        <v>8359</v>
      </c>
      <c r="H247" s="22" t="s">
        <v>8539</v>
      </c>
      <c r="I247" s="22" t="s">
        <v>9700</v>
      </c>
      <c r="J247" s="22" t="s">
        <v>8082</v>
      </c>
      <c r="K247" s="32" t="s">
        <v>9701</v>
      </c>
      <c r="L247" s="22" t="s">
        <v>8084</v>
      </c>
    </row>
    <row r="248" customFormat="false" ht="42" hidden="false" customHeight="true" outlineLevel="0" collapsed="false">
      <c r="A248" s="22" t="s">
        <v>9702</v>
      </c>
      <c r="B248" s="22" t="s">
        <v>9703</v>
      </c>
      <c r="C248" s="22" t="s">
        <v>9704</v>
      </c>
      <c r="D248" s="22" t="s">
        <v>9705</v>
      </c>
      <c r="E248" s="22" t="s">
        <v>9706</v>
      </c>
      <c r="F248" s="22" t="s">
        <v>8388</v>
      </c>
      <c r="G248" s="22" t="s">
        <v>9707</v>
      </c>
      <c r="H248" s="22" t="s">
        <v>8080</v>
      </c>
      <c r="I248" s="22" t="s">
        <v>9708</v>
      </c>
      <c r="J248" s="22" t="s">
        <v>8082</v>
      </c>
      <c r="K248" s="32" t="s">
        <v>9709</v>
      </c>
      <c r="L248" s="22" t="s">
        <v>8084</v>
      </c>
    </row>
    <row r="249" customFormat="false" ht="42" hidden="false" customHeight="true" outlineLevel="0" collapsed="false">
      <c r="A249" s="22" t="s">
        <v>9710</v>
      </c>
      <c r="B249" s="22" t="s">
        <v>9711</v>
      </c>
      <c r="C249" s="22" t="s">
        <v>9712</v>
      </c>
      <c r="D249" s="22" t="s">
        <v>9713</v>
      </c>
      <c r="E249" s="22" t="s">
        <v>8943</v>
      </c>
      <c r="F249" s="22" t="s">
        <v>8431</v>
      </c>
      <c r="G249" s="22" t="s">
        <v>9600</v>
      </c>
      <c r="H249" s="22" t="s">
        <v>8180</v>
      </c>
      <c r="I249" s="22" t="s">
        <v>9714</v>
      </c>
      <c r="J249" s="22" t="s">
        <v>8082</v>
      </c>
      <c r="K249" s="32" t="s">
        <v>9715</v>
      </c>
      <c r="L249" s="22" t="s">
        <v>8084</v>
      </c>
    </row>
    <row r="250" customFormat="false" ht="42" hidden="false" customHeight="true" outlineLevel="0" collapsed="false">
      <c r="A250" s="22" t="s">
        <v>9716</v>
      </c>
      <c r="B250" s="22" t="s">
        <v>9717</v>
      </c>
      <c r="C250" s="22" t="s">
        <v>9718</v>
      </c>
      <c r="D250" s="22" t="s">
        <v>9705</v>
      </c>
      <c r="E250" s="22" t="s">
        <v>8343</v>
      </c>
      <c r="F250" s="22" t="s">
        <v>8402</v>
      </c>
      <c r="G250" s="22" t="s">
        <v>9719</v>
      </c>
      <c r="H250" s="22" t="s">
        <v>8180</v>
      </c>
      <c r="I250" s="22" t="s">
        <v>9720</v>
      </c>
      <c r="J250" s="22" t="s">
        <v>8082</v>
      </c>
      <c r="K250" s="32" t="s">
        <v>9721</v>
      </c>
      <c r="L250" s="22" t="s">
        <v>8084</v>
      </c>
    </row>
    <row r="251" customFormat="false" ht="42" hidden="false" customHeight="true" outlineLevel="0" collapsed="false">
      <c r="A251" s="22" t="s">
        <v>9722</v>
      </c>
      <c r="B251" s="22" t="s">
        <v>9723</v>
      </c>
      <c r="C251" s="22" t="s">
        <v>9724</v>
      </c>
      <c r="D251" s="22" t="s">
        <v>9713</v>
      </c>
      <c r="E251" s="22" t="s">
        <v>8943</v>
      </c>
      <c r="F251" s="22" t="s">
        <v>9725</v>
      </c>
      <c r="G251" s="22" t="s">
        <v>9726</v>
      </c>
      <c r="H251" s="22" t="s">
        <v>8180</v>
      </c>
      <c r="I251" s="22" t="s">
        <v>9727</v>
      </c>
      <c r="J251" s="22" t="s">
        <v>8082</v>
      </c>
      <c r="K251" s="32" t="s">
        <v>9728</v>
      </c>
      <c r="L251" s="22" t="s">
        <v>8084</v>
      </c>
    </row>
    <row r="252" customFormat="false" ht="42" hidden="false" customHeight="true" outlineLevel="0" collapsed="false">
      <c r="A252" s="22" t="s">
        <v>9729</v>
      </c>
      <c r="B252" s="22" t="s">
        <v>9730</v>
      </c>
      <c r="C252" s="22" t="s">
        <v>9731</v>
      </c>
      <c r="D252" s="22" t="s">
        <v>9713</v>
      </c>
      <c r="E252" s="22" t="s">
        <v>9732</v>
      </c>
      <c r="F252" s="22" t="s">
        <v>8381</v>
      </c>
      <c r="G252" s="22" t="s">
        <v>9733</v>
      </c>
      <c r="H252" s="22" t="s">
        <v>8180</v>
      </c>
      <c r="I252" s="22" t="s">
        <v>9734</v>
      </c>
      <c r="J252" s="22" t="s">
        <v>8082</v>
      </c>
      <c r="K252" s="32" t="s">
        <v>9735</v>
      </c>
      <c r="L252" s="22" t="s">
        <v>8084</v>
      </c>
    </row>
    <row r="253" customFormat="false" ht="42" hidden="false" customHeight="true" outlineLevel="0" collapsed="false">
      <c r="A253" s="22" t="s">
        <v>9736</v>
      </c>
      <c r="B253" s="22" t="s">
        <v>9737</v>
      </c>
      <c r="C253" s="22" t="s">
        <v>9738</v>
      </c>
      <c r="D253" s="22" t="s">
        <v>9739</v>
      </c>
      <c r="E253" s="22" t="s">
        <v>8343</v>
      </c>
      <c r="F253" s="22" t="s">
        <v>9740</v>
      </c>
      <c r="G253" s="22" t="s">
        <v>9741</v>
      </c>
      <c r="H253" s="22" t="s">
        <v>8180</v>
      </c>
      <c r="I253" s="22" t="s">
        <v>9742</v>
      </c>
      <c r="J253" s="22" t="s">
        <v>8082</v>
      </c>
      <c r="K253" s="32" t="s">
        <v>9743</v>
      </c>
      <c r="L253" s="22" t="s">
        <v>8084</v>
      </c>
    </row>
    <row r="254" customFormat="false" ht="42" hidden="false" customHeight="true" outlineLevel="0" collapsed="false">
      <c r="A254" s="22" t="s">
        <v>9744</v>
      </c>
      <c r="B254" s="22" t="s">
        <v>9745</v>
      </c>
      <c r="C254" s="22" t="s">
        <v>9746</v>
      </c>
      <c r="D254" s="22" t="s">
        <v>9713</v>
      </c>
      <c r="E254" s="22" t="s">
        <v>8343</v>
      </c>
      <c r="F254" s="22" t="s">
        <v>9747</v>
      </c>
      <c r="G254" s="22" t="s">
        <v>9748</v>
      </c>
      <c r="H254" s="22" t="s">
        <v>8180</v>
      </c>
      <c r="I254" s="22" t="s">
        <v>9749</v>
      </c>
      <c r="J254" s="22" t="s">
        <v>8082</v>
      </c>
      <c r="K254" s="32" t="s">
        <v>9750</v>
      </c>
      <c r="L254" s="22" t="s">
        <v>8084</v>
      </c>
    </row>
    <row r="255" customFormat="false" ht="42" hidden="false" customHeight="true" outlineLevel="0" collapsed="false">
      <c r="A255" s="22" t="s">
        <v>9751</v>
      </c>
      <c r="B255" s="22" t="s">
        <v>9752</v>
      </c>
      <c r="C255" s="22" t="s">
        <v>9753</v>
      </c>
      <c r="D255" s="22" t="s">
        <v>9713</v>
      </c>
      <c r="E255" s="22" t="s">
        <v>8943</v>
      </c>
      <c r="F255" s="22" t="s">
        <v>9155</v>
      </c>
      <c r="G255" s="22" t="s">
        <v>9754</v>
      </c>
      <c r="H255" s="22" t="s">
        <v>8180</v>
      </c>
      <c r="I255" s="22" t="s">
        <v>9755</v>
      </c>
      <c r="J255" s="22" t="s">
        <v>8082</v>
      </c>
      <c r="K255" s="32" t="s">
        <v>9756</v>
      </c>
      <c r="L255" s="22" t="s">
        <v>8084</v>
      </c>
    </row>
    <row r="256" customFormat="false" ht="42" hidden="false" customHeight="true" outlineLevel="0" collapsed="false">
      <c r="A256" s="22" t="s">
        <v>9757</v>
      </c>
      <c r="B256" s="22" t="s">
        <v>9758</v>
      </c>
      <c r="C256" s="22" t="s">
        <v>9759</v>
      </c>
      <c r="D256" s="22" t="s">
        <v>9760</v>
      </c>
      <c r="E256" s="22" t="s">
        <v>8343</v>
      </c>
      <c r="F256" s="22" t="s">
        <v>8423</v>
      </c>
      <c r="G256" s="22" t="s">
        <v>9761</v>
      </c>
      <c r="H256" s="22" t="s">
        <v>8180</v>
      </c>
      <c r="I256" s="22" t="s">
        <v>9762</v>
      </c>
      <c r="J256" s="22" t="s">
        <v>8082</v>
      </c>
      <c r="K256" s="32" t="s">
        <v>9763</v>
      </c>
      <c r="L256" s="22" t="s">
        <v>8084</v>
      </c>
    </row>
    <row r="257" customFormat="false" ht="42" hidden="false" customHeight="true" outlineLevel="0" collapsed="false">
      <c r="A257" s="22" t="s">
        <v>9764</v>
      </c>
      <c r="B257" s="22" t="s">
        <v>9765</v>
      </c>
      <c r="C257" s="22" t="s">
        <v>9766</v>
      </c>
      <c r="D257" s="22" t="s">
        <v>9713</v>
      </c>
      <c r="E257" s="22" t="s">
        <v>9767</v>
      </c>
      <c r="F257" s="22" t="s">
        <v>8460</v>
      </c>
      <c r="G257" s="22" t="s">
        <v>9600</v>
      </c>
      <c r="H257" s="22" t="s">
        <v>8080</v>
      </c>
      <c r="I257" s="22" t="s">
        <v>9768</v>
      </c>
      <c r="J257" s="22" t="s">
        <v>8082</v>
      </c>
      <c r="K257" s="32" t="s">
        <v>9769</v>
      </c>
      <c r="L257" s="22" t="s">
        <v>8084</v>
      </c>
    </row>
    <row r="258" customFormat="false" ht="42" hidden="false" customHeight="true" outlineLevel="0" collapsed="false">
      <c r="A258" s="22" t="s">
        <v>9770</v>
      </c>
      <c r="B258" s="22" t="s">
        <v>9771</v>
      </c>
      <c r="C258" s="22" t="s">
        <v>9772</v>
      </c>
      <c r="D258" s="22" t="s">
        <v>9773</v>
      </c>
      <c r="E258" s="22" t="s">
        <v>8343</v>
      </c>
      <c r="F258" s="22" t="s">
        <v>8936</v>
      </c>
      <c r="G258" s="22" t="s">
        <v>9774</v>
      </c>
      <c r="H258" s="22" t="s">
        <v>8080</v>
      </c>
      <c r="I258" s="22" t="s">
        <v>9775</v>
      </c>
      <c r="J258" s="22" t="s">
        <v>8082</v>
      </c>
      <c r="K258" s="32" t="s">
        <v>9776</v>
      </c>
      <c r="L258" s="22" t="s">
        <v>8084</v>
      </c>
    </row>
    <row r="259" customFormat="false" ht="42" hidden="false" customHeight="true" outlineLevel="0" collapsed="false">
      <c r="A259" s="22" t="s">
        <v>9777</v>
      </c>
      <c r="B259" s="22" t="s">
        <v>9778</v>
      </c>
      <c r="C259" s="22" t="s">
        <v>9779</v>
      </c>
      <c r="D259" s="22" t="s">
        <v>9773</v>
      </c>
      <c r="E259" s="22" t="s">
        <v>9780</v>
      </c>
      <c r="F259" s="22" t="s">
        <v>8498</v>
      </c>
      <c r="G259" s="22" t="s">
        <v>9781</v>
      </c>
      <c r="H259" s="22" t="s">
        <v>8080</v>
      </c>
      <c r="I259" s="22" t="s">
        <v>9782</v>
      </c>
      <c r="J259" s="22" t="s">
        <v>8082</v>
      </c>
      <c r="K259" s="32" t="s">
        <v>9783</v>
      </c>
      <c r="L259" s="22" t="s">
        <v>8084</v>
      </c>
    </row>
    <row r="260" customFormat="false" ht="42" hidden="false" customHeight="true" outlineLevel="0" collapsed="false">
      <c r="A260" s="22" t="s">
        <v>9784</v>
      </c>
      <c r="B260" s="22" t="s">
        <v>9785</v>
      </c>
      <c r="C260" s="22" t="s">
        <v>9786</v>
      </c>
      <c r="D260" s="22" t="s">
        <v>9773</v>
      </c>
      <c r="E260" s="22" t="s">
        <v>8343</v>
      </c>
      <c r="F260" s="22" t="s">
        <v>8472</v>
      </c>
      <c r="G260" s="22" t="s">
        <v>9787</v>
      </c>
      <c r="H260" s="22" t="s">
        <v>8180</v>
      </c>
      <c r="I260" s="22" t="s">
        <v>9788</v>
      </c>
      <c r="J260" s="22" t="s">
        <v>8082</v>
      </c>
      <c r="K260" s="32" t="s">
        <v>9789</v>
      </c>
      <c r="L260" s="22" t="s">
        <v>8084</v>
      </c>
    </row>
    <row r="261" customFormat="false" ht="42" hidden="false" customHeight="true" outlineLevel="0" collapsed="false">
      <c r="A261" s="22" t="s">
        <v>9790</v>
      </c>
      <c r="B261" s="22" t="s">
        <v>9791</v>
      </c>
      <c r="C261" s="22" t="s">
        <v>9792</v>
      </c>
      <c r="D261" s="22" t="s">
        <v>9773</v>
      </c>
      <c r="E261" s="22" t="s">
        <v>8343</v>
      </c>
      <c r="F261" s="22" t="s">
        <v>9395</v>
      </c>
      <c r="G261" s="22" t="s">
        <v>9781</v>
      </c>
      <c r="H261" s="22" t="s">
        <v>8180</v>
      </c>
      <c r="I261" s="22" t="s">
        <v>9793</v>
      </c>
      <c r="J261" s="22" t="s">
        <v>8082</v>
      </c>
      <c r="K261" s="32" t="s">
        <v>9794</v>
      </c>
      <c r="L261" s="22" t="s">
        <v>8084</v>
      </c>
    </row>
    <row r="262" customFormat="false" ht="42" hidden="false" customHeight="true" outlineLevel="0" collapsed="false">
      <c r="A262" s="22" t="s">
        <v>9795</v>
      </c>
      <c r="B262" s="22" t="s">
        <v>9796</v>
      </c>
      <c r="C262" s="22" t="s">
        <v>9797</v>
      </c>
      <c r="D262" s="22" t="s">
        <v>9773</v>
      </c>
      <c r="E262" s="22" t="s">
        <v>8343</v>
      </c>
      <c r="F262" s="22" t="s">
        <v>8498</v>
      </c>
      <c r="G262" s="22" t="s">
        <v>9798</v>
      </c>
      <c r="H262" s="22" t="s">
        <v>8180</v>
      </c>
      <c r="I262" s="22" t="s">
        <v>9799</v>
      </c>
      <c r="J262" s="22" t="s">
        <v>8082</v>
      </c>
      <c r="K262" s="32" t="s">
        <v>9800</v>
      </c>
      <c r="L262" s="22" t="s">
        <v>8084</v>
      </c>
    </row>
    <row r="263" customFormat="false" ht="42" hidden="false" customHeight="true" outlineLevel="0" collapsed="false">
      <c r="A263" s="22" t="s">
        <v>9801</v>
      </c>
      <c r="B263" s="22" t="s">
        <v>9802</v>
      </c>
      <c r="C263" s="22" t="s">
        <v>9803</v>
      </c>
      <c r="D263" s="22" t="s">
        <v>9773</v>
      </c>
      <c r="E263" s="22" t="s">
        <v>9804</v>
      </c>
      <c r="F263" s="22" t="s">
        <v>8505</v>
      </c>
      <c r="G263" s="22" t="s">
        <v>9805</v>
      </c>
      <c r="H263" s="22" t="s">
        <v>8180</v>
      </c>
      <c r="I263" s="22" t="s">
        <v>9806</v>
      </c>
      <c r="J263" s="22" t="s">
        <v>8082</v>
      </c>
      <c r="K263" s="32" t="s">
        <v>9807</v>
      </c>
      <c r="L263" s="22" t="s">
        <v>8084</v>
      </c>
    </row>
    <row r="264" customFormat="false" ht="42" hidden="false" customHeight="true" outlineLevel="0" collapsed="false">
      <c r="A264" s="22" t="s">
        <v>9808</v>
      </c>
      <c r="B264" s="22" t="s">
        <v>9809</v>
      </c>
      <c r="C264" s="22" t="s">
        <v>9810</v>
      </c>
      <c r="D264" s="22" t="s">
        <v>9773</v>
      </c>
      <c r="E264" s="22" t="s">
        <v>9811</v>
      </c>
      <c r="F264" s="22" t="s">
        <v>8707</v>
      </c>
      <c r="G264" s="22" t="s">
        <v>9812</v>
      </c>
      <c r="H264" s="22" t="s">
        <v>8080</v>
      </c>
      <c r="I264" s="22" t="s">
        <v>9813</v>
      </c>
      <c r="J264" s="22" t="s">
        <v>8082</v>
      </c>
      <c r="K264" s="32" t="s">
        <v>9814</v>
      </c>
      <c r="L264" s="22" t="s">
        <v>8084</v>
      </c>
    </row>
    <row r="265" customFormat="false" ht="42" hidden="false" customHeight="true" outlineLevel="0" collapsed="false">
      <c r="A265" s="22" t="s">
        <v>9815</v>
      </c>
      <c r="B265" s="22" t="s">
        <v>9816</v>
      </c>
      <c r="C265" s="22" t="s">
        <v>9817</v>
      </c>
      <c r="D265" s="22" t="s">
        <v>9818</v>
      </c>
      <c r="E265" s="22" t="s">
        <v>8343</v>
      </c>
      <c r="F265" s="22" t="s">
        <v>8538</v>
      </c>
      <c r="G265" s="22" t="s">
        <v>9819</v>
      </c>
      <c r="H265" s="22" t="s">
        <v>8080</v>
      </c>
      <c r="I265" s="22" t="s">
        <v>9820</v>
      </c>
      <c r="J265" s="22" t="s">
        <v>8082</v>
      </c>
      <c r="K265" s="32" t="s">
        <v>9821</v>
      </c>
      <c r="L265" s="22" t="s">
        <v>8084</v>
      </c>
    </row>
    <row r="266" customFormat="false" ht="42" hidden="false" customHeight="true" outlineLevel="0" collapsed="false">
      <c r="A266" s="22" t="s">
        <v>9822</v>
      </c>
      <c r="B266" s="22" t="s">
        <v>9823</v>
      </c>
      <c r="C266" s="22" t="s">
        <v>9817</v>
      </c>
      <c r="D266" s="22" t="s">
        <v>9818</v>
      </c>
      <c r="E266" s="22" t="s">
        <v>8343</v>
      </c>
      <c r="F266" s="22" t="s">
        <v>8700</v>
      </c>
      <c r="G266" s="22" t="s">
        <v>9819</v>
      </c>
      <c r="H266" s="22" t="s">
        <v>8180</v>
      </c>
      <c r="I266" s="22" t="s">
        <v>9824</v>
      </c>
      <c r="J266" s="22" t="s">
        <v>8082</v>
      </c>
      <c r="K266" s="32" t="s">
        <v>9825</v>
      </c>
      <c r="L266" s="22" t="s">
        <v>8084</v>
      </c>
    </row>
    <row r="267" customFormat="false" ht="42" hidden="false" customHeight="true" outlineLevel="0" collapsed="false">
      <c r="A267" s="22" t="s">
        <v>9826</v>
      </c>
      <c r="B267" s="22" t="s">
        <v>9827</v>
      </c>
      <c r="C267" s="22" t="s">
        <v>9828</v>
      </c>
      <c r="D267" s="22" t="s">
        <v>9713</v>
      </c>
      <c r="E267" s="22" t="s">
        <v>9829</v>
      </c>
      <c r="F267" s="22" t="s">
        <v>9830</v>
      </c>
      <c r="G267" s="22" t="s">
        <v>9733</v>
      </c>
      <c r="H267" s="22" t="s">
        <v>8080</v>
      </c>
      <c r="I267" s="22" t="s">
        <v>9831</v>
      </c>
      <c r="J267" s="22" t="s">
        <v>8082</v>
      </c>
      <c r="K267" s="32" t="s">
        <v>9832</v>
      </c>
      <c r="L267" s="22" t="s">
        <v>8084</v>
      </c>
    </row>
    <row r="268" customFormat="false" ht="42" hidden="false" customHeight="true" outlineLevel="0" collapsed="false">
      <c r="A268" s="22" t="s">
        <v>9833</v>
      </c>
      <c r="B268" s="22" t="s">
        <v>9834</v>
      </c>
      <c r="C268" s="22" t="s">
        <v>9835</v>
      </c>
      <c r="D268" s="22" t="s">
        <v>9818</v>
      </c>
      <c r="E268" s="22" t="s">
        <v>9836</v>
      </c>
      <c r="F268" s="22" t="s">
        <v>8700</v>
      </c>
      <c r="G268" s="22" t="s">
        <v>9837</v>
      </c>
      <c r="H268" s="22" t="s">
        <v>8180</v>
      </c>
      <c r="I268" s="22" t="s">
        <v>9838</v>
      </c>
      <c r="J268" s="22" t="s">
        <v>8082</v>
      </c>
      <c r="K268" s="32" t="s">
        <v>9839</v>
      </c>
      <c r="L268" s="22" t="s">
        <v>8084</v>
      </c>
    </row>
    <row r="269" customFormat="false" ht="42" hidden="false" customHeight="true" outlineLevel="0" collapsed="false">
      <c r="A269" s="22" t="s">
        <v>9840</v>
      </c>
      <c r="B269" s="22" t="s">
        <v>9841</v>
      </c>
      <c r="C269" s="22" t="s">
        <v>9842</v>
      </c>
      <c r="D269" s="22" t="s">
        <v>9818</v>
      </c>
      <c r="E269" s="22" t="s">
        <v>9843</v>
      </c>
      <c r="F269" s="22" t="s">
        <v>8517</v>
      </c>
      <c r="G269" s="22" t="s">
        <v>9819</v>
      </c>
      <c r="H269" s="22" t="s">
        <v>8180</v>
      </c>
      <c r="I269" s="22" t="s">
        <v>9844</v>
      </c>
      <c r="J269" s="22" t="s">
        <v>8082</v>
      </c>
      <c r="K269" s="32" t="s">
        <v>9845</v>
      </c>
      <c r="L269" s="22" t="s">
        <v>8084</v>
      </c>
    </row>
    <row r="270" customFormat="false" ht="42" hidden="false" customHeight="true" outlineLevel="0" collapsed="false">
      <c r="A270" s="22" t="s">
        <v>9846</v>
      </c>
      <c r="B270" s="22" t="s">
        <v>9847</v>
      </c>
      <c r="C270" s="22" t="s">
        <v>9848</v>
      </c>
      <c r="D270" s="22" t="s">
        <v>9818</v>
      </c>
      <c r="E270" s="22" t="s">
        <v>8343</v>
      </c>
      <c r="F270" s="22" t="s">
        <v>8707</v>
      </c>
      <c r="G270" s="22" t="s">
        <v>9819</v>
      </c>
      <c r="H270" s="22" t="s">
        <v>8180</v>
      </c>
      <c r="I270" s="22" t="s">
        <v>9849</v>
      </c>
      <c r="J270" s="22" t="s">
        <v>8082</v>
      </c>
      <c r="K270" s="32" t="s">
        <v>9850</v>
      </c>
      <c r="L270" s="22" t="s">
        <v>8084</v>
      </c>
    </row>
    <row r="271" customFormat="false" ht="42" hidden="false" customHeight="true" outlineLevel="0" collapsed="false">
      <c r="A271" s="22" t="s">
        <v>9851</v>
      </c>
      <c r="B271" s="22" t="s">
        <v>9852</v>
      </c>
      <c r="C271" s="22" t="s">
        <v>9853</v>
      </c>
      <c r="D271" s="22" t="s">
        <v>9818</v>
      </c>
      <c r="E271" s="22" t="s">
        <v>8343</v>
      </c>
      <c r="F271" s="22" t="s">
        <v>8517</v>
      </c>
      <c r="G271" s="22" t="s">
        <v>9781</v>
      </c>
      <c r="H271" s="22" t="s">
        <v>8180</v>
      </c>
      <c r="I271" s="22" t="s">
        <v>9854</v>
      </c>
      <c r="J271" s="22" t="s">
        <v>8082</v>
      </c>
      <c r="K271" s="32" t="s">
        <v>9855</v>
      </c>
      <c r="L271" s="22" t="s">
        <v>8084</v>
      </c>
    </row>
    <row r="272" customFormat="false" ht="42" hidden="false" customHeight="true" outlineLevel="0" collapsed="false">
      <c r="A272" s="22" t="s">
        <v>9856</v>
      </c>
      <c r="B272" s="22" t="s">
        <v>9857</v>
      </c>
      <c r="C272" s="22" t="s">
        <v>9858</v>
      </c>
      <c r="D272" s="22" t="s">
        <v>9773</v>
      </c>
      <c r="E272" s="22" t="s">
        <v>8343</v>
      </c>
      <c r="F272" s="22" t="s">
        <v>8700</v>
      </c>
      <c r="G272" s="22" t="s">
        <v>9859</v>
      </c>
      <c r="H272" s="22" t="s">
        <v>8180</v>
      </c>
      <c r="I272" s="22" t="s">
        <v>9860</v>
      </c>
      <c r="J272" s="22" t="s">
        <v>8082</v>
      </c>
      <c r="K272" s="32" t="s">
        <v>9861</v>
      </c>
      <c r="L272" s="22" t="s">
        <v>8084</v>
      </c>
    </row>
    <row r="273" customFormat="false" ht="42" hidden="false" customHeight="true" outlineLevel="0" collapsed="false">
      <c r="A273" s="22" t="s">
        <v>9862</v>
      </c>
      <c r="B273" s="22" t="s">
        <v>9863</v>
      </c>
      <c r="C273" s="22" t="s">
        <v>9864</v>
      </c>
      <c r="D273" s="22" t="s">
        <v>9713</v>
      </c>
      <c r="E273" s="22" t="s">
        <v>8343</v>
      </c>
      <c r="F273" s="22" t="s">
        <v>8715</v>
      </c>
      <c r="G273" s="22" t="s">
        <v>9865</v>
      </c>
      <c r="H273" s="22" t="s">
        <v>8180</v>
      </c>
      <c r="I273" s="22" t="s">
        <v>9866</v>
      </c>
      <c r="J273" s="22" t="s">
        <v>8082</v>
      </c>
      <c r="K273" s="32" t="s">
        <v>9867</v>
      </c>
      <c r="L273" s="22" t="s">
        <v>8084</v>
      </c>
    </row>
    <row r="274" customFormat="false" ht="42" hidden="false" customHeight="true" outlineLevel="0" collapsed="false">
      <c r="A274" s="22" t="s">
        <v>9868</v>
      </c>
      <c r="B274" s="22" t="s">
        <v>9869</v>
      </c>
      <c r="C274" s="22" t="s">
        <v>9870</v>
      </c>
      <c r="D274" s="22" t="s">
        <v>9818</v>
      </c>
      <c r="E274" s="22" t="s">
        <v>9836</v>
      </c>
      <c r="F274" s="22" t="s">
        <v>8416</v>
      </c>
      <c r="G274" s="22" t="s">
        <v>9781</v>
      </c>
      <c r="H274" s="22" t="s">
        <v>8180</v>
      </c>
      <c r="I274" s="22" t="s">
        <v>9871</v>
      </c>
      <c r="J274" s="22" t="s">
        <v>8082</v>
      </c>
      <c r="K274" s="32" t="s">
        <v>9872</v>
      </c>
      <c r="L274" s="22" t="s">
        <v>8084</v>
      </c>
    </row>
    <row r="275" customFormat="false" ht="42" hidden="false" customHeight="true" outlineLevel="0" collapsed="false">
      <c r="A275" s="22" t="s">
        <v>9873</v>
      </c>
      <c r="B275" s="22" t="s">
        <v>9874</v>
      </c>
      <c r="C275" s="22" t="s">
        <v>9875</v>
      </c>
      <c r="D275" s="22" t="s">
        <v>9818</v>
      </c>
      <c r="E275" s="22" t="s">
        <v>9836</v>
      </c>
      <c r="F275" s="22" t="s">
        <v>8416</v>
      </c>
      <c r="G275" s="22" t="s">
        <v>9781</v>
      </c>
      <c r="H275" s="22" t="s">
        <v>8539</v>
      </c>
      <c r="I275" s="22" t="s">
        <v>9876</v>
      </c>
      <c r="J275" s="22" t="s">
        <v>8082</v>
      </c>
      <c r="K275" s="32" t="s">
        <v>9877</v>
      </c>
      <c r="L275" s="22" t="s">
        <v>8084</v>
      </c>
    </row>
    <row r="276" customFormat="false" ht="42" hidden="false" customHeight="true" outlineLevel="0" collapsed="false">
      <c r="A276" s="22" t="s">
        <v>9878</v>
      </c>
      <c r="B276" s="22" t="s">
        <v>9879</v>
      </c>
      <c r="C276" s="22" t="s">
        <v>9880</v>
      </c>
      <c r="D276" s="22" t="s">
        <v>9818</v>
      </c>
      <c r="E276" s="22" t="s">
        <v>9836</v>
      </c>
      <c r="F276" s="22" t="s">
        <v>9107</v>
      </c>
      <c r="G276" s="22" t="s">
        <v>9819</v>
      </c>
      <c r="H276" s="22" t="s">
        <v>8539</v>
      </c>
      <c r="I276" s="22" t="s">
        <v>9881</v>
      </c>
      <c r="J276" s="22" t="s">
        <v>8082</v>
      </c>
      <c r="K276" s="32" t="s">
        <v>9882</v>
      </c>
      <c r="L276" s="22" t="s">
        <v>8084</v>
      </c>
    </row>
    <row r="277" customFormat="false" ht="42" hidden="false" customHeight="true" outlineLevel="0" collapsed="false">
      <c r="A277" s="22" t="s">
        <v>9883</v>
      </c>
      <c r="B277" s="22" t="s">
        <v>9884</v>
      </c>
      <c r="C277" s="22" t="s">
        <v>9885</v>
      </c>
      <c r="D277" s="22" t="s">
        <v>9818</v>
      </c>
      <c r="E277" s="22" t="s">
        <v>9706</v>
      </c>
      <c r="F277" s="22" t="s">
        <v>8517</v>
      </c>
      <c r="G277" s="22" t="s">
        <v>9886</v>
      </c>
      <c r="H277" s="22" t="s">
        <v>8080</v>
      </c>
      <c r="I277" s="22" t="s">
        <v>9887</v>
      </c>
      <c r="J277" s="22" t="s">
        <v>8082</v>
      </c>
      <c r="K277" s="32" t="s">
        <v>9888</v>
      </c>
      <c r="L277" s="22" t="s">
        <v>8084</v>
      </c>
    </row>
    <row r="278" customFormat="false" ht="42" hidden="false" customHeight="true" outlineLevel="0" collapsed="false">
      <c r="A278" s="30" t="s">
        <v>9889</v>
      </c>
      <c r="B278" s="31" t="s">
        <v>9890</v>
      </c>
      <c r="C278" s="31" t="s">
        <v>9891</v>
      </c>
      <c r="D278" s="31" t="s">
        <v>9892</v>
      </c>
      <c r="E278" s="31" t="s">
        <v>9893</v>
      </c>
      <c r="F278" s="31" t="s">
        <v>9894</v>
      </c>
      <c r="G278" s="31" t="s">
        <v>9895</v>
      </c>
      <c r="H278" s="31" t="s">
        <v>8080</v>
      </c>
      <c r="I278" s="31" t="s">
        <v>9896</v>
      </c>
      <c r="J278" s="31" t="s">
        <v>9897</v>
      </c>
      <c r="K278" s="31" t="s">
        <v>8192</v>
      </c>
      <c r="L278" s="31" t="s">
        <v>8084</v>
      </c>
    </row>
    <row r="279" customFormat="false" ht="42" hidden="false" customHeight="true" outlineLevel="0" collapsed="false">
      <c r="A279" s="30" t="s">
        <v>9898</v>
      </c>
      <c r="B279" s="31" t="s">
        <v>9899</v>
      </c>
      <c r="C279" s="31" t="s">
        <v>9900</v>
      </c>
      <c r="D279" s="31" t="s">
        <v>9901</v>
      </c>
      <c r="E279" s="31" t="s">
        <v>9893</v>
      </c>
      <c r="F279" s="31" t="s">
        <v>9902</v>
      </c>
      <c r="G279" s="31" t="s">
        <v>9903</v>
      </c>
      <c r="H279" s="31" t="s">
        <v>8080</v>
      </c>
      <c r="I279" s="31" t="s">
        <v>9904</v>
      </c>
      <c r="J279" s="31" t="s">
        <v>9905</v>
      </c>
      <c r="K279" s="31" t="s">
        <v>9906</v>
      </c>
      <c r="L279" s="31" t="s">
        <v>8084</v>
      </c>
    </row>
    <row r="280" customFormat="false" ht="42" hidden="false" customHeight="true" outlineLevel="0" collapsed="false">
      <c r="A280" s="30" t="s">
        <v>9907</v>
      </c>
      <c r="B280" s="31" t="s">
        <v>9908</v>
      </c>
      <c r="C280" s="31" t="s">
        <v>9909</v>
      </c>
      <c r="D280" s="31" t="s">
        <v>8247</v>
      </c>
      <c r="E280" s="31" t="s">
        <v>9910</v>
      </c>
      <c r="F280" s="31" t="s">
        <v>9911</v>
      </c>
      <c r="G280" s="31" t="s">
        <v>9912</v>
      </c>
      <c r="H280" s="31" t="s">
        <v>8080</v>
      </c>
      <c r="I280" s="31" t="s">
        <v>9913</v>
      </c>
      <c r="J280" s="31" t="s">
        <v>9914</v>
      </c>
      <c r="K280" s="31" t="s">
        <v>9915</v>
      </c>
      <c r="L280" s="31" t="s">
        <v>8084</v>
      </c>
    </row>
    <row r="281" customFormat="false" ht="42" hidden="false" customHeight="true" outlineLevel="0" collapsed="false">
      <c r="A281" s="30" t="s">
        <v>9916</v>
      </c>
      <c r="B281" s="31" t="s">
        <v>9917</v>
      </c>
      <c r="C281" s="31" t="s">
        <v>9918</v>
      </c>
      <c r="D281" s="31" t="s">
        <v>9919</v>
      </c>
      <c r="E281" s="31" t="s">
        <v>9920</v>
      </c>
      <c r="F281" s="31" t="s">
        <v>9921</v>
      </c>
      <c r="G281" s="31" t="s">
        <v>9922</v>
      </c>
      <c r="H281" s="31" t="s">
        <v>8080</v>
      </c>
      <c r="I281" s="31" t="s">
        <v>9923</v>
      </c>
      <c r="J281" s="31" t="s">
        <v>9924</v>
      </c>
      <c r="K281" s="31" t="s">
        <v>9925</v>
      </c>
      <c r="L281" s="31" t="s">
        <v>8084</v>
      </c>
    </row>
    <row r="282" customFormat="false" ht="42" hidden="false" customHeight="true" outlineLevel="0" collapsed="false">
      <c r="A282" s="30" t="s">
        <v>9926</v>
      </c>
      <c r="B282" s="31" t="s">
        <v>144</v>
      </c>
      <c r="C282" s="31" t="s">
        <v>9927</v>
      </c>
      <c r="D282" s="31" t="s">
        <v>9928</v>
      </c>
      <c r="E282" s="31" t="s">
        <v>9929</v>
      </c>
      <c r="F282" s="31" t="s">
        <v>9930</v>
      </c>
      <c r="G282" s="31" t="s">
        <v>9931</v>
      </c>
      <c r="H282" s="31" t="s">
        <v>8080</v>
      </c>
      <c r="I282" s="31" t="s">
        <v>9932</v>
      </c>
      <c r="J282" s="31" t="s">
        <v>9933</v>
      </c>
      <c r="K282" s="31" t="s">
        <v>9934</v>
      </c>
      <c r="L282" s="31" t="s">
        <v>8084</v>
      </c>
    </row>
  </sheetData>
  <conditionalFormatting sqref="H2:H277">
    <cfRule type="expression" priority="2" aboveAverage="0" equalAverage="0" bottom="0" percent="0" rank="0" text="" dxfId="23">
      <formula>$H2="Tier 1"</formula>
    </cfRule>
    <cfRule type="expression" priority="3" aboveAverage="0" equalAverage="0" bottom="0" percent="0" rank="0" text="" dxfId="24">
      <formula>$H2="Tier 2"</formula>
    </cfRule>
    <cfRule type="expression" priority="4" aboveAverage="0" equalAverage="0" bottom="0" percent="0" rank="0" text="" dxfId="25">
      <formula>$H2="Tier 3"</formula>
    </cfRule>
  </conditionalFormatting>
  <dataValidations count="2">
    <dataValidation allowBlank="false" errorStyle="stop" operator="between" showDropDown="false" showErrorMessage="false" showInputMessage="false" sqref="H2:H277" type="list">
      <formula1>"Tier 1,Tier 2,Tier 3"</formula1>
      <formula2>0</formula2>
    </dataValidation>
    <dataValidation allowBlank="false" errorStyle="stop" operator="between" showDropDown="false" showErrorMessage="false" showInputMessage="false" sqref="L2:L277" type="list">
      <formula1>"Included,Research queue,Deferred"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2.97"/>
    <col collapsed="false" customWidth="true" hidden="false" outlineLevel="0" max="3" min="3" style="1" width="12.09"/>
    <col collapsed="false" customWidth="true" hidden="false" outlineLevel="0" max="4" min="4" style="1" width="32.97"/>
    <col collapsed="false" customWidth="true" hidden="false" outlineLevel="0" max="5" min="5" style="1" width="30.77"/>
    <col collapsed="false" customWidth="true" hidden="false" outlineLevel="0" max="6" min="6" style="1" width="26.38"/>
    <col collapsed="false" customWidth="true" hidden="false" outlineLevel="0" max="7" min="7" style="1" width="19.79"/>
    <col collapsed="false" customWidth="true" hidden="false" outlineLevel="0" max="9" min="8" style="1" width="30.77"/>
    <col collapsed="false" customWidth="true" hidden="false" outlineLevel="0" max="10" min="10" style="1" width="41.76"/>
    <col collapsed="false" customWidth="true" hidden="false" outlineLevel="0" max="14" min="11" style="1" width="50.56"/>
    <col collapsed="false" customWidth="true" hidden="false" outlineLevel="0" max="16" min="15" style="1" width="24.18"/>
    <col collapsed="false" customWidth="true" hidden="false" outlineLevel="0" max="17" min="17" style="1" width="46.16"/>
    <col collapsed="false" customWidth="true" hidden="false" outlineLevel="0" max="18" min="18" style="1" width="50.56"/>
    <col collapsed="false" customWidth="true" hidden="false" outlineLevel="0" max="19" min="19" style="1" width="21.98"/>
  </cols>
  <sheetData>
    <row r="1" customFormat="false" ht="33.75" hidden="false" customHeight="true" outlineLevel="0" collapsed="false">
      <c r="A1" s="29" t="s">
        <v>9935</v>
      </c>
      <c r="B1" s="29" t="s">
        <v>9936</v>
      </c>
      <c r="C1" s="29" t="s">
        <v>8062</v>
      </c>
      <c r="D1" s="29" t="s">
        <v>9937</v>
      </c>
      <c r="E1" s="29" t="s">
        <v>9938</v>
      </c>
      <c r="F1" s="29" t="s">
        <v>9939</v>
      </c>
      <c r="G1" s="29" t="s">
        <v>9940</v>
      </c>
      <c r="H1" s="29" t="s">
        <v>9941</v>
      </c>
      <c r="I1" s="29" t="s">
        <v>9942</v>
      </c>
      <c r="J1" s="29" t="s">
        <v>9943</v>
      </c>
      <c r="K1" s="29" t="s">
        <v>9944</v>
      </c>
      <c r="L1" s="29" t="s">
        <v>9945</v>
      </c>
      <c r="M1" s="29" t="s">
        <v>9946</v>
      </c>
      <c r="N1" s="29" t="s">
        <v>9947</v>
      </c>
      <c r="O1" s="29" t="s">
        <v>9948</v>
      </c>
      <c r="P1" s="29" t="s">
        <v>9949</v>
      </c>
      <c r="Q1" s="29" t="s">
        <v>9950</v>
      </c>
      <c r="R1" s="29" t="s">
        <v>8071</v>
      </c>
      <c r="S1" s="29" t="s">
        <v>9951</v>
      </c>
    </row>
    <row r="2" customFormat="false" ht="51.75" hidden="false" customHeight="true" outlineLevel="0" collapsed="false">
      <c r="A2" s="22" t="s">
        <v>9952</v>
      </c>
      <c r="B2" s="22" t="s">
        <v>9953</v>
      </c>
      <c r="C2" s="22" t="s">
        <v>8272</v>
      </c>
      <c r="D2" s="22" t="s">
        <v>8273</v>
      </c>
      <c r="E2" s="22" t="s">
        <v>9954</v>
      </c>
      <c r="F2" s="22" t="s">
        <v>9955</v>
      </c>
      <c r="G2" s="22" t="s">
        <v>254</v>
      </c>
      <c r="H2" s="22" t="str">
        <f aca="false">IFERROR(VLOOKUP(G2,'Master Taxonomy'!$A$2:$B$1656,2,FALSE()),"")</f>
        <v>Elf-Derived Peoples</v>
      </c>
      <c r="I2" s="22"/>
      <c r="J2" s="22"/>
      <c r="K2" s="22" t="s">
        <v>9956</v>
      </c>
      <c r="L2" s="22" t="s">
        <v>9957</v>
      </c>
      <c r="M2" s="22" t="s">
        <v>9958</v>
      </c>
      <c r="N2" s="22" t="s">
        <v>9959</v>
      </c>
      <c r="O2" s="22" t="s">
        <v>9960</v>
      </c>
      <c r="P2" s="22" t="s">
        <v>9961</v>
      </c>
      <c r="Q2" s="22" t="s">
        <v>9962</v>
      </c>
      <c r="R2" s="32" t="s">
        <v>8280</v>
      </c>
      <c r="S2" s="22" t="s">
        <v>9963</v>
      </c>
    </row>
    <row r="3" customFormat="false" ht="51.75" hidden="false" customHeight="true" outlineLevel="0" collapsed="false">
      <c r="A3" s="22" t="s">
        <v>9964</v>
      </c>
      <c r="B3" s="22" t="s">
        <v>9965</v>
      </c>
      <c r="C3" s="22" t="s">
        <v>8272</v>
      </c>
      <c r="D3" s="22" t="s">
        <v>8273</v>
      </c>
      <c r="E3" s="22" t="s">
        <v>9954</v>
      </c>
      <c r="F3" s="22" t="s">
        <v>9966</v>
      </c>
      <c r="G3" s="22" t="s">
        <v>254</v>
      </c>
      <c r="H3" s="22" t="str">
        <f aca="false">IFERROR(VLOOKUP(G3,'Master Taxonomy'!$A$2:$B$1656,2,FALSE()),"")</f>
        <v>Elf-Derived Peoples</v>
      </c>
      <c r="I3" s="22"/>
      <c r="J3" s="22"/>
      <c r="K3" s="22" t="s">
        <v>9967</v>
      </c>
      <c r="L3" s="22" t="s">
        <v>9968</v>
      </c>
      <c r="M3" s="22" t="s">
        <v>9969</v>
      </c>
      <c r="N3" s="22" t="s">
        <v>9970</v>
      </c>
      <c r="O3" s="22" t="s">
        <v>9960</v>
      </c>
      <c r="P3" s="22" t="s">
        <v>9961</v>
      </c>
      <c r="Q3" s="22" t="s">
        <v>9962</v>
      </c>
      <c r="R3" s="32" t="s">
        <v>8280</v>
      </c>
      <c r="S3" s="22" t="s">
        <v>9963</v>
      </c>
    </row>
    <row r="4" customFormat="false" ht="51.75" hidden="false" customHeight="true" outlineLevel="0" collapsed="false">
      <c r="A4" s="22" t="s">
        <v>9971</v>
      </c>
      <c r="B4" s="22" t="s">
        <v>9972</v>
      </c>
      <c r="C4" s="22" t="s">
        <v>8272</v>
      </c>
      <c r="D4" s="22" t="s">
        <v>8273</v>
      </c>
      <c r="E4" s="22" t="s">
        <v>9954</v>
      </c>
      <c r="F4" s="22" t="s">
        <v>9966</v>
      </c>
      <c r="G4" s="22" t="s">
        <v>254</v>
      </c>
      <c r="H4" s="22" t="str">
        <f aca="false">IFERROR(VLOOKUP(G4,'Master Taxonomy'!$A$2:$B$1656,2,FALSE()),"")</f>
        <v>Elf-Derived Peoples</v>
      </c>
      <c r="I4" s="22" t="s">
        <v>1255</v>
      </c>
      <c r="J4" s="22" t="s">
        <v>1256</v>
      </c>
      <c r="K4" s="22" t="s">
        <v>9973</v>
      </c>
      <c r="L4" s="22" t="s">
        <v>9974</v>
      </c>
      <c r="M4" s="22" t="s">
        <v>9975</v>
      </c>
      <c r="N4" s="22" t="s">
        <v>9976</v>
      </c>
      <c r="O4" s="22" t="s">
        <v>9960</v>
      </c>
      <c r="P4" s="22" t="s">
        <v>9961</v>
      </c>
      <c r="Q4" s="22" t="s">
        <v>9962</v>
      </c>
      <c r="R4" s="32" t="s">
        <v>8280</v>
      </c>
      <c r="S4" s="22" t="s">
        <v>9963</v>
      </c>
    </row>
    <row r="5" customFormat="false" ht="51.75" hidden="false" customHeight="true" outlineLevel="0" collapsed="false">
      <c r="A5" s="22" t="s">
        <v>9977</v>
      </c>
      <c r="B5" s="22" t="s">
        <v>9978</v>
      </c>
      <c r="C5" s="22" t="s">
        <v>8272</v>
      </c>
      <c r="D5" s="22" t="s">
        <v>8273</v>
      </c>
      <c r="E5" s="22" t="s">
        <v>9954</v>
      </c>
      <c r="F5" s="22" t="s">
        <v>9979</v>
      </c>
      <c r="G5" s="22" t="s">
        <v>254</v>
      </c>
      <c r="H5" s="22" t="str">
        <f aca="false">IFERROR(VLOOKUP(G5,'Master Taxonomy'!$A$2:$B$1656,2,FALSE()),"")</f>
        <v>Elf-Derived Peoples</v>
      </c>
      <c r="I5" s="22"/>
      <c r="J5" s="22"/>
      <c r="K5" s="22" t="s">
        <v>9980</v>
      </c>
      <c r="L5" s="22" t="s">
        <v>9981</v>
      </c>
      <c r="M5" s="22" t="s">
        <v>9982</v>
      </c>
      <c r="N5" s="22" t="s">
        <v>9983</v>
      </c>
      <c r="O5" s="22" t="s">
        <v>9960</v>
      </c>
      <c r="P5" s="22" t="s">
        <v>9961</v>
      </c>
      <c r="Q5" s="22" t="s">
        <v>9962</v>
      </c>
      <c r="R5" s="32" t="s">
        <v>8280</v>
      </c>
      <c r="S5" s="22" t="s">
        <v>9963</v>
      </c>
    </row>
    <row r="6" customFormat="false" ht="51.75" hidden="false" customHeight="true" outlineLevel="0" collapsed="false">
      <c r="A6" s="22" t="s">
        <v>9984</v>
      </c>
      <c r="B6" s="22" t="s">
        <v>9985</v>
      </c>
      <c r="C6" s="22" t="s">
        <v>8272</v>
      </c>
      <c r="D6" s="22" t="s">
        <v>8273</v>
      </c>
      <c r="E6" s="22" t="s">
        <v>9954</v>
      </c>
      <c r="F6" s="22" t="s">
        <v>9979</v>
      </c>
      <c r="G6" s="22" t="s">
        <v>254</v>
      </c>
      <c r="H6" s="22" t="str">
        <f aca="false">IFERROR(VLOOKUP(G6,'Master Taxonomy'!$A$2:$B$1656,2,FALSE()),"")</f>
        <v>Elf-Derived Peoples</v>
      </c>
      <c r="I6" s="22"/>
      <c r="J6" s="22"/>
      <c r="K6" s="22" t="s">
        <v>9986</v>
      </c>
      <c r="L6" s="22" t="s">
        <v>9987</v>
      </c>
      <c r="M6" s="22" t="s">
        <v>9988</v>
      </c>
      <c r="N6" s="22" t="s">
        <v>9989</v>
      </c>
      <c r="O6" s="22" t="s">
        <v>9960</v>
      </c>
      <c r="P6" s="22" t="s">
        <v>9961</v>
      </c>
      <c r="Q6" s="22" t="s">
        <v>9962</v>
      </c>
      <c r="R6" s="32" t="s">
        <v>8280</v>
      </c>
      <c r="S6" s="22" t="s">
        <v>9963</v>
      </c>
    </row>
    <row r="7" customFormat="false" ht="51.75" hidden="false" customHeight="true" outlineLevel="0" collapsed="false">
      <c r="A7" s="22" t="s">
        <v>9990</v>
      </c>
      <c r="B7" s="22" t="s">
        <v>9991</v>
      </c>
      <c r="C7" s="22" t="s">
        <v>8272</v>
      </c>
      <c r="D7" s="22" t="s">
        <v>8273</v>
      </c>
      <c r="E7" s="22" t="s">
        <v>9954</v>
      </c>
      <c r="F7" s="22" t="s">
        <v>9992</v>
      </c>
      <c r="G7" s="22" t="s">
        <v>259</v>
      </c>
      <c r="H7" s="22" t="str">
        <f aca="false">IFERROR(VLOOKUP(G7,'Master Taxonomy'!$A$2:$B$1656,2,FALSE()),"")</f>
        <v>Dwarf-Derived Peoples</v>
      </c>
      <c r="I7" s="22"/>
      <c r="J7" s="22"/>
      <c r="K7" s="22" t="s">
        <v>9993</v>
      </c>
      <c r="L7" s="22" t="s">
        <v>9994</v>
      </c>
      <c r="M7" s="22" t="s">
        <v>9995</v>
      </c>
      <c r="N7" s="22" t="s">
        <v>9996</v>
      </c>
      <c r="O7" s="22" t="s">
        <v>9960</v>
      </c>
      <c r="P7" s="22" t="s">
        <v>9961</v>
      </c>
      <c r="Q7" s="22" t="s">
        <v>9962</v>
      </c>
      <c r="R7" s="32" t="s">
        <v>8280</v>
      </c>
      <c r="S7" s="22" t="s">
        <v>9963</v>
      </c>
    </row>
    <row r="8" customFormat="false" ht="51.75" hidden="false" customHeight="true" outlineLevel="0" collapsed="false">
      <c r="A8" s="22" t="s">
        <v>9997</v>
      </c>
      <c r="B8" s="22" t="s">
        <v>9998</v>
      </c>
      <c r="C8" s="22" t="s">
        <v>8272</v>
      </c>
      <c r="D8" s="22" t="s">
        <v>8273</v>
      </c>
      <c r="E8" s="22" t="s">
        <v>9954</v>
      </c>
      <c r="F8" s="22" t="s">
        <v>9999</v>
      </c>
      <c r="G8" s="22" t="s">
        <v>263</v>
      </c>
      <c r="H8" s="22" t="str">
        <f aca="false">IFERROR(VLOOKUP(G8,'Master Taxonomy'!$A$2:$B$1656,2,FALSE()),"")</f>
        <v>Halfling and Smallfolk Peoples</v>
      </c>
      <c r="I8" s="22"/>
      <c r="J8" s="22"/>
      <c r="K8" s="22" t="s">
        <v>10000</v>
      </c>
      <c r="L8" s="22" t="s">
        <v>10001</v>
      </c>
      <c r="M8" s="22" t="s">
        <v>10002</v>
      </c>
      <c r="N8" s="22" t="s">
        <v>10003</v>
      </c>
      <c r="O8" s="22" t="s">
        <v>9960</v>
      </c>
      <c r="P8" s="22" t="s">
        <v>9961</v>
      </c>
      <c r="Q8" s="22" t="s">
        <v>9962</v>
      </c>
      <c r="R8" s="32" t="s">
        <v>8280</v>
      </c>
      <c r="S8" s="22" t="s">
        <v>9963</v>
      </c>
    </row>
    <row r="9" customFormat="false" ht="51.75" hidden="false" customHeight="true" outlineLevel="0" collapsed="false">
      <c r="A9" s="22" t="s">
        <v>10004</v>
      </c>
      <c r="B9" s="22" t="s">
        <v>10005</v>
      </c>
      <c r="C9" s="22" t="s">
        <v>8272</v>
      </c>
      <c r="D9" s="22" t="s">
        <v>8273</v>
      </c>
      <c r="E9" s="22" t="s">
        <v>9954</v>
      </c>
      <c r="F9" s="22" t="s">
        <v>10006</v>
      </c>
      <c r="G9" s="22" t="s">
        <v>247</v>
      </c>
      <c r="H9" s="22" t="str">
        <f aca="false">IFERROR(VLOOKUP(G9,'Master Taxonomy'!$A$2:$B$1656,2,FALSE()),"")</f>
        <v>Human and Near-Human Peoples</v>
      </c>
      <c r="I9" s="22"/>
      <c r="J9" s="22"/>
      <c r="K9" s="22" t="s">
        <v>10007</v>
      </c>
      <c r="L9" s="22" t="s">
        <v>10008</v>
      </c>
      <c r="M9" s="22" t="s">
        <v>10009</v>
      </c>
      <c r="N9" s="22" t="s">
        <v>10010</v>
      </c>
      <c r="O9" s="22" t="s">
        <v>9960</v>
      </c>
      <c r="P9" s="22" t="s">
        <v>9961</v>
      </c>
      <c r="Q9" s="22" t="s">
        <v>9962</v>
      </c>
      <c r="R9" s="32" t="s">
        <v>8280</v>
      </c>
      <c r="S9" s="22" t="s">
        <v>9963</v>
      </c>
    </row>
    <row r="10" customFormat="false" ht="51.75" hidden="false" customHeight="true" outlineLevel="0" collapsed="false">
      <c r="A10" s="22" t="s">
        <v>10011</v>
      </c>
      <c r="B10" s="22" t="s">
        <v>10012</v>
      </c>
      <c r="C10" s="22" t="s">
        <v>8272</v>
      </c>
      <c r="D10" s="22" t="s">
        <v>8273</v>
      </c>
      <c r="E10" s="22" t="s">
        <v>9954</v>
      </c>
      <c r="F10" s="22" t="s">
        <v>10013</v>
      </c>
      <c r="G10" s="22" t="s">
        <v>247</v>
      </c>
      <c r="H10" s="22" t="str">
        <f aca="false">IFERROR(VLOOKUP(G10,'Master Taxonomy'!$A$2:$B$1656,2,FALSE()),"")</f>
        <v>Human and Near-Human Peoples</v>
      </c>
      <c r="I10" s="22" t="s">
        <v>1035</v>
      </c>
      <c r="J10" s="22" t="s">
        <v>1036</v>
      </c>
      <c r="K10" s="22" t="s">
        <v>10014</v>
      </c>
      <c r="L10" s="22" t="s">
        <v>10015</v>
      </c>
      <c r="M10" s="22" t="s">
        <v>10016</v>
      </c>
      <c r="N10" s="22" t="s">
        <v>10017</v>
      </c>
      <c r="O10" s="22" t="s">
        <v>9960</v>
      </c>
      <c r="P10" s="22" t="s">
        <v>9961</v>
      </c>
      <c r="Q10" s="22" t="s">
        <v>9962</v>
      </c>
      <c r="R10" s="32" t="s">
        <v>8280</v>
      </c>
      <c r="S10" s="22" t="s">
        <v>9963</v>
      </c>
    </row>
    <row r="11" customFormat="false" ht="51.75" hidden="false" customHeight="true" outlineLevel="0" collapsed="false">
      <c r="A11" s="22" t="s">
        <v>10018</v>
      </c>
      <c r="B11" s="22" t="s">
        <v>10019</v>
      </c>
      <c r="C11" s="22" t="s">
        <v>8272</v>
      </c>
      <c r="D11" s="22" t="s">
        <v>8273</v>
      </c>
      <c r="E11" s="22" t="s">
        <v>9954</v>
      </c>
      <c r="F11" s="22" t="s">
        <v>10020</v>
      </c>
      <c r="G11" s="22" t="s">
        <v>765</v>
      </c>
      <c r="H11" s="22" t="str">
        <f aca="false">IFERROR(VLOOKUP(G11,'Master Taxonomy'!$A$2:$B$1656,2,FALSE()),"")</f>
        <v>Plantfolk</v>
      </c>
      <c r="I11" s="22" t="s">
        <v>388</v>
      </c>
      <c r="J11" s="22" t="s">
        <v>389</v>
      </c>
      <c r="K11" s="22" t="s">
        <v>10021</v>
      </c>
      <c r="L11" s="22" t="s">
        <v>10022</v>
      </c>
      <c r="M11" s="22" t="s">
        <v>10023</v>
      </c>
      <c r="N11" s="22" t="s">
        <v>10024</v>
      </c>
      <c r="O11" s="22" t="s">
        <v>9960</v>
      </c>
      <c r="P11" s="22" t="s">
        <v>9961</v>
      </c>
      <c r="Q11" s="22" t="s">
        <v>9962</v>
      </c>
      <c r="R11" s="32" t="s">
        <v>8280</v>
      </c>
      <c r="S11" s="22" t="s">
        <v>9963</v>
      </c>
    </row>
    <row r="12" customFormat="false" ht="51.75" hidden="false" customHeight="true" outlineLevel="0" collapsed="false">
      <c r="A12" s="22" t="s">
        <v>10025</v>
      </c>
      <c r="B12" s="22" t="s">
        <v>10026</v>
      </c>
      <c r="C12" s="22" t="s">
        <v>8272</v>
      </c>
      <c r="D12" s="22" t="s">
        <v>8273</v>
      </c>
      <c r="E12" s="22" t="s">
        <v>9954</v>
      </c>
      <c r="F12" s="22" t="s">
        <v>10027</v>
      </c>
      <c r="G12" s="22" t="s">
        <v>215</v>
      </c>
      <c r="H12" s="22" t="str">
        <f aca="false">IFERROR(VLOOKUP(G12,'Master Taxonomy'!$A$2:$B$1656,2,FALSE()),"")</f>
        <v>Divine and Celestial Beings</v>
      </c>
      <c r="I12" s="22"/>
      <c r="J12" s="22"/>
      <c r="K12" s="22" t="s">
        <v>10028</v>
      </c>
      <c r="L12" s="22" t="s">
        <v>10029</v>
      </c>
      <c r="M12" s="22" t="s">
        <v>10030</v>
      </c>
      <c r="N12" s="22" t="s">
        <v>10031</v>
      </c>
      <c r="O12" s="22" t="s">
        <v>9960</v>
      </c>
      <c r="P12" s="22" t="s">
        <v>9961</v>
      </c>
      <c r="Q12" s="22" t="s">
        <v>9962</v>
      </c>
      <c r="R12" s="32" t="s">
        <v>8280</v>
      </c>
      <c r="S12" s="22" t="s">
        <v>9963</v>
      </c>
    </row>
    <row r="13" customFormat="false" ht="51.75" hidden="false" customHeight="true" outlineLevel="0" collapsed="false">
      <c r="A13" s="22" t="s">
        <v>10032</v>
      </c>
      <c r="B13" s="22" t="s">
        <v>10033</v>
      </c>
      <c r="C13" s="22" t="s">
        <v>8272</v>
      </c>
      <c r="D13" s="22" t="s">
        <v>8273</v>
      </c>
      <c r="E13" s="22" t="s">
        <v>9954</v>
      </c>
      <c r="F13" s="22" t="s">
        <v>10034</v>
      </c>
      <c r="G13" s="22" t="s">
        <v>481</v>
      </c>
      <c r="H13" s="22" t="str">
        <f aca="false">IFERROR(VLOOKUP(G13,'Master Taxonomy'!$A$2:$B$1656,2,FALSE()),"")</f>
        <v>Deities</v>
      </c>
      <c r="I13" s="22" t="s">
        <v>498</v>
      </c>
      <c r="J13" s="22" t="s">
        <v>499</v>
      </c>
      <c r="K13" s="22" t="s">
        <v>10035</v>
      </c>
      <c r="L13" s="22" t="s">
        <v>10036</v>
      </c>
      <c r="M13" s="22" t="s">
        <v>10037</v>
      </c>
      <c r="N13" s="22" t="s">
        <v>10038</v>
      </c>
      <c r="O13" s="22" t="s">
        <v>9960</v>
      </c>
      <c r="P13" s="22" t="s">
        <v>9961</v>
      </c>
      <c r="Q13" s="22" t="s">
        <v>9962</v>
      </c>
      <c r="R13" s="32" t="s">
        <v>8280</v>
      </c>
      <c r="S13" s="22" t="s">
        <v>9963</v>
      </c>
    </row>
    <row r="14" customFormat="false" ht="51.75" hidden="false" customHeight="true" outlineLevel="0" collapsed="false">
      <c r="A14" s="22" t="s">
        <v>10039</v>
      </c>
      <c r="B14" s="22" t="s">
        <v>10040</v>
      </c>
      <c r="C14" s="22" t="s">
        <v>8272</v>
      </c>
      <c r="D14" s="22" t="s">
        <v>8273</v>
      </c>
      <c r="E14" s="22" t="s">
        <v>9954</v>
      </c>
      <c r="F14" s="22" t="s">
        <v>10041</v>
      </c>
      <c r="G14" s="22" t="s">
        <v>494</v>
      </c>
      <c r="H14" s="22" t="str">
        <f aca="false">IFERROR(VLOOKUP(G14,'Master Taxonomy'!$A$2:$B$1656,2,FALSE()),"")</f>
        <v>Celestials and Angelic Beings</v>
      </c>
      <c r="I14" s="22" t="s">
        <v>498</v>
      </c>
      <c r="J14" s="22" t="s">
        <v>499</v>
      </c>
      <c r="K14" s="22" t="s">
        <v>10042</v>
      </c>
      <c r="L14" s="22" t="s">
        <v>10043</v>
      </c>
      <c r="M14" s="22" t="s">
        <v>10044</v>
      </c>
      <c r="N14" s="22" t="s">
        <v>10045</v>
      </c>
      <c r="O14" s="22" t="s">
        <v>9960</v>
      </c>
      <c r="P14" s="22" t="s">
        <v>9961</v>
      </c>
      <c r="Q14" s="22" t="s">
        <v>9962</v>
      </c>
      <c r="R14" s="32" t="s">
        <v>8280</v>
      </c>
      <c r="S14" s="22" t="s">
        <v>9963</v>
      </c>
    </row>
    <row r="15" customFormat="false" ht="51.75" hidden="false" customHeight="true" outlineLevel="0" collapsed="false">
      <c r="A15" s="22" t="s">
        <v>10046</v>
      </c>
      <c r="B15" s="22" t="s">
        <v>10047</v>
      </c>
      <c r="C15" s="22" t="s">
        <v>8272</v>
      </c>
      <c r="D15" s="22" t="s">
        <v>8273</v>
      </c>
      <c r="E15" s="22" t="s">
        <v>9954</v>
      </c>
      <c r="F15" s="22" t="s">
        <v>10048</v>
      </c>
      <c r="G15" s="22" t="s">
        <v>1233</v>
      </c>
      <c r="H15" s="22" t="str">
        <f aca="false">IFERROR(VLOOKUP(G15,'Master Taxonomy'!$A$2:$B$1656,2,FALSE()),"")</f>
        <v>Mage and Wizard</v>
      </c>
      <c r="I15" s="22" t="s">
        <v>498</v>
      </c>
      <c r="J15" s="22" t="s">
        <v>499</v>
      </c>
      <c r="K15" s="22" t="s">
        <v>10049</v>
      </c>
      <c r="L15" s="22" t="s">
        <v>10050</v>
      </c>
      <c r="M15" s="22" t="s">
        <v>10051</v>
      </c>
      <c r="N15" s="22" t="s">
        <v>10052</v>
      </c>
      <c r="O15" s="22" t="s">
        <v>9960</v>
      </c>
      <c r="P15" s="22" t="s">
        <v>9961</v>
      </c>
      <c r="Q15" s="22" t="s">
        <v>9962</v>
      </c>
      <c r="R15" s="32" t="s">
        <v>8280</v>
      </c>
      <c r="S15" s="22" t="s">
        <v>9963</v>
      </c>
    </row>
    <row r="16" customFormat="false" ht="51.75" hidden="false" customHeight="true" outlineLevel="0" collapsed="false">
      <c r="A16" s="22" t="s">
        <v>10053</v>
      </c>
      <c r="B16" s="22" t="s">
        <v>10054</v>
      </c>
      <c r="C16" s="22" t="s">
        <v>8272</v>
      </c>
      <c r="D16" s="22" t="s">
        <v>8273</v>
      </c>
      <c r="E16" s="22" t="s">
        <v>9954</v>
      </c>
      <c r="F16" s="22" t="s">
        <v>10055</v>
      </c>
      <c r="G16" s="22" t="s">
        <v>271</v>
      </c>
      <c r="H16" s="22" t="str">
        <f aca="false">IFERROR(VLOOKUP(G16,'Master Taxonomy'!$A$2:$B$1656,2,FALSE()),"")</f>
        <v>Orc-Derived Peoples</v>
      </c>
      <c r="I16" s="22"/>
      <c r="J16" s="22"/>
      <c r="K16" s="22" t="s">
        <v>10056</v>
      </c>
      <c r="L16" s="22" t="s">
        <v>10057</v>
      </c>
      <c r="M16" s="22" t="s">
        <v>10058</v>
      </c>
      <c r="N16" s="22" t="s">
        <v>10059</v>
      </c>
      <c r="O16" s="22" t="s">
        <v>9960</v>
      </c>
      <c r="P16" s="22" t="s">
        <v>9961</v>
      </c>
      <c r="Q16" s="22" t="s">
        <v>9962</v>
      </c>
      <c r="R16" s="32" t="s">
        <v>8280</v>
      </c>
      <c r="S16" s="22" t="s">
        <v>9963</v>
      </c>
    </row>
    <row r="17" customFormat="false" ht="51.75" hidden="false" customHeight="true" outlineLevel="0" collapsed="false">
      <c r="A17" s="22" t="s">
        <v>10060</v>
      </c>
      <c r="B17" s="22" t="s">
        <v>10061</v>
      </c>
      <c r="C17" s="22" t="s">
        <v>8272</v>
      </c>
      <c r="D17" s="22" t="s">
        <v>8273</v>
      </c>
      <c r="E17" s="22" t="s">
        <v>9954</v>
      </c>
      <c r="F17" s="22" t="s">
        <v>10062</v>
      </c>
      <c r="G17" s="22" t="s">
        <v>288</v>
      </c>
      <c r="H17" s="22" t="str">
        <f aca="false">IFERROR(VLOOKUP(G17,'Master Taxonomy'!$A$2:$B$1656,2,FALSE()),"")</f>
        <v>Trollkin Peoples</v>
      </c>
      <c r="I17" s="22"/>
      <c r="J17" s="22"/>
      <c r="K17" s="22" t="s">
        <v>10063</v>
      </c>
      <c r="L17" s="22" t="s">
        <v>10064</v>
      </c>
      <c r="M17" s="22" t="s">
        <v>10065</v>
      </c>
      <c r="N17" s="22" t="s">
        <v>10066</v>
      </c>
      <c r="O17" s="22" t="s">
        <v>9960</v>
      </c>
      <c r="P17" s="22" t="s">
        <v>9961</v>
      </c>
      <c r="Q17" s="22" t="s">
        <v>9962</v>
      </c>
      <c r="R17" s="32" t="s">
        <v>8280</v>
      </c>
      <c r="S17" s="22" t="s">
        <v>9963</v>
      </c>
    </row>
    <row r="18" customFormat="false" ht="51.75" hidden="false" customHeight="true" outlineLevel="0" collapsed="false">
      <c r="A18" s="22" t="s">
        <v>10067</v>
      </c>
      <c r="B18" s="22" t="s">
        <v>10068</v>
      </c>
      <c r="C18" s="22" t="s">
        <v>8272</v>
      </c>
      <c r="D18" s="22" t="s">
        <v>8273</v>
      </c>
      <c r="E18" s="22" t="s">
        <v>9954</v>
      </c>
      <c r="F18" s="22" t="s">
        <v>10069</v>
      </c>
      <c r="G18" s="22" t="s">
        <v>535</v>
      </c>
      <c r="H18" s="22" t="str">
        <f aca="false">IFERROR(VLOOKUP(G18,'Master Taxonomy'!$A$2:$B$1656,2,FALSE()),"")</f>
        <v>Fallen Celestials</v>
      </c>
      <c r="I18" s="22" t="s">
        <v>522</v>
      </c>
      <c r="J18" s="22" t="s">
        <v>523</v>
      </c>
      <c r="K18" s="22" t="s">
        <v>10070</v>
      </c>
      <c r="L18" s="22" t="s">
        <v>10071</v>
      </c>
      <c r="M18" s="22" t="s">
        <v>10072</v>
      </c>
      <c r="N18" s="22" t="s">
        <v>10073</v>
      </c>
      <c r="O18" s="22" t="s">
        <v>9960</v>
      </c>
      <c r="P18" s="22" t="s">
        <v>9961</v>
      </c>
      <c r="Q18" s="22" t="s">
        <v>9962</v>
      </c>
      <c r="R18" s="32" t="s">
        <v>8280</v>
      </c>
      <c r="S18" s="22" t="s">
        <v>9963</v>
      </c>
    </row>
    <row r="19" customFormat="false" ht="51.75" hidden="false" customHeight="true" outlineLevel="0" collapsed="false">
      <c r="A19" s="22" t="s">
        <v>10074</v>
      </c>
      <c r="B19" s="22" t="s">
        <v>10075</v>
      </c>
      <c r="C19" s="22" t="s">
        <v>8272</v>
      </c>
      <c r="D19" s="22" t="s">
        <v>8273</v>
      </c>
      <c r="E19" s="22" t="s">
        <v>9954</v>
      </c>
      <c r="F19" s="22" t="s">
        <v>10076</v>
      </c>
      <c r="G19" s="22" t="s">
        <v>683</v>
      </c>
      <c r="H19" s="22" t="str">
        <f aca="false">IFERROR(VLOOKUP(G19,'Master Taxonomy'!$A$2:$B$1656,2,FALSE()),"")</f>
        <v>True Dragons</v>
      </c>
      <c r="I19" s="22"/>
      <c r="J19" s="22"/>
      <c r="K19" s="22" t="s">
        <v>10077</v>
      </c>
      <c r="L19" s="22" t="s">
        <v>10078</v>
      </c>
      <c r="M19" s="22" t="s">
        <v>10079</v>
      </c>
      <c r="N19" s="22" t="s">
        <v>10080</v>
      </c>
      <c r="O19" s="22" t="s">
        <v>9960</v>
      </c>
      <c r="P19" s="22" t="s">
        <v>9961</v>
      </c>
      <c r="Q19" s="22" t="s">
        <v>9962</v>
      </c>
      <c r="R19" s="32" t="s">
        <v>8280</v>
      </c>
      <c r="S19" s="22" t="s">
        <v>9963</v>
      </c>
    </row>
    <row r="20" customFormat="false" ht="51.75" hidden="false" customHeight="true" outlineLevel="0" collapsed="false">
      <c r="A20" s="22" t="s">
        <v>10081</v>
      </c>
      <c r="B20" s="22" t="s">
        <v>10082</v>
      </c>
      <c r="C20" s="22" t="s">
        <v>8272</v>
      </c>
      <c r="D20" s="22" t="s">
        <v>8273</v>
      </c>
      <c r="E20" s="22" t="s">
        <v>9954</v>
      </c>
      <c r="F20" s="22" t="s">
        <v>10083</v>
      </c>
      <c r="G20" s="22" t="s">
        <v>761</v>
      </c>
      <c r="H20" s="22" t="str">
        <f aca="false">IFERROR(VLOOKUP(G20,'Master Taxonomy'!$A$2:$B$1656,2,FALSE()),"")</f>
        <v>Sacred Guardian Beasts</v>
      </c>
      <c r="I20" s="22"/>
      <c r="J20" s="22"/>
      <c r="K20" s="22" t="s">
        <v>10084</v>
      </c>
      <c r="L20" s="22" t="s">
        <v>10085</v>
      </c>
      <c r="M20" s="22" t="s">
        <v>10086</v>
      </c>
      <c r="N20" s="22" t="s">
        <v>10087</v>
      </c>
      <c r="O20" s="22" t="s">
        <v>9960</v>
      </c>
      <c r="P20" s="22" t="s">
        <v>9961</v>
      </c>
      <c r="Q20" s="22" t="s">
        <v>9962</v>
      </c>
      <c r="R20" s="32" t="s">
        <v>8280</v>
      </c>
      <c r="S20" s="22" t="s">
        <v>9963</v>
      </c>
    </row>
    <row r="21" customFormat="false" ht="51.75" hidden="false" customHeight="true" outlineLevel="0" collapsed="false">
      <c r="A21" s="22" t="s">
        <v>10088</v>
      </c>
      <c r="B21" s="22" t="s">
        <v>10089</v>
      </c>
      <c r="C21" s="22" t="s">
        <v>8272</v>
      </c>
      <c r="D21" s="22" t="s">
        <v>8273</v>
      </c>
      <c r="E21" s="22" t="s">
        <v>9954</v>
      </c>
      <c r="F21" s="22" t="s">
        <v>10090</v>
      </c>
      <c r="G21" s="22" t="s">
        <v>753</v>
      </c>
      <c r="H21" s="22" t="str">
        <f aca="false">IFERROR(VLOOKUP(G21,'Master Taxonomy'!$A$2:$B$1656,2,FALSE()),"")</f>
        <v>Giant Spiders and Web Sovereigns</v>
      </c>
      <c r="I21" s="22"/>
      <c r="J21" s="22"/>
      <c r="K21" s="22" t="s">
        <v>10091</v>
      </c>
      <c r="L21" s="22" t="s">
        <v>10092</v>
      </c>
      <c r="M21" s="22" t="s">
        <v>10093</v>
      </c>
      <c r="N21" s="22" t="s">
        <v>10094</v>
      </c>
      <c r="O21" s="22" t="s">
        <v>9960</v>
      </c>
      <c r="P21" s="22" t="s">
        <v>9961</v>
      </c>
      <c r="Q21" s="22" t="s">
        <v>9962</v>
      </c>
      <c r="R21" s="32" t="s">
        <v>8280</v>
      </c>
      <c r="S21" s="22" t="s">
        <v>9963</v>
      </c>
    </row>
    <row r="22" customFormat="false" ht="51.75" hidden="false" customHeight="true" outlineLevel="0" collapsed="false">
      <c r="A22" s="22" t="s">
        <v>10095</v>
      </c>
      <c r="B22" s="22" t="s">
        <v>10096</v>
      </c>
      <c r="C22" s="22" t="s">
        <v>8272</v>
      </c>
      <c r="D22" s="22" t="s">
        <v>8273</v>
      </c>
      <c r="E22" s="22" t="s">
        <v>9954</v>
      </c>
      <c r="F22" s="22" t="s">
        <v>10097</v>
      </c>
      <c r="G22" s="22" t="s">
        <v>590</v>
      </c>
      <c r="H22" s="22" t="str">
        <f aca="false">IFERROR(VLOOKUP(G22,'Master Taxonomy'!$A$2:$B$1656,2,FALSE()),"")</f>
        <v>Wights and Wraiths</v>
      </c>
      <c r="I22" s="22" t="s">
        <v>3069</v>
      </c>
      <c r="J22" s="22" t="s">
        <v>3070</v>
      </c>
      <c r="K22" s="22" t="s">
        <v>10098</v>
      </c>
      <c r="L22" s="22" t="s">
        <v>10099</v>
      </c>
      <c r="M22" s="22" t="s">
        <v>10100</v>
      </c>
      <c r="N22" s="22" t="s">
        <v>10101</v>
      </c>
      <c r="O22" s="22" t="s">
        <v>9960</v>
      </c>
      <c r="P22" s="22" t="s">
        <v>9961</v>
      </c>
      <c r="Q22" s="22" t="s">
        <v>9962</v>
      </c>
      <c r="R22" s="32" t="s">
        <v>8280</v>
      </c>
      <c r="S22" s="22" t="s">
        <v>9963</v>
      </c>
    </row>
    <row r="23" customFormat="false" ht="51.75" hidden="false" customHeight="true" outlineLevel="0" collapsed="false">
      <c r="A23" s="22" t="s">
        <v>10102</v>
      </c>
      <c r="B23" s="22" t="s">
        <v>10103</v>
      </c>
      <c r="C23" s="22" t="s">
        <v>8272</v>
      </c>
      <c r="D23" s="22" t="s">
        <v>8273</v>
      </c>
      <c r="E23" s="22" t="s">
        <v>9954</v>
      </c>
      <c r="F23" s="22" t="s">
        <v>10104</v>
      </c>
      <c r="G23" s="22" t="s">
        <v>590</v>
      </c>
      <c r="H23" s="22" t="str">
        <f aca="false">IFERROR(VLOOKUP(G23,'Master Taxonomy'!$A$2:$B$1656,2,FALSE()),"")</f>
        <v>Wights and Wraiths</v>
      </c>
      <c r="I23" s="22"/>
      <c r="J23" s="22"/>
      <c r="K23" s="22" t="s">
        <v>10105</v>
      </c>
      <c r="L23" s="22" t="s">
        <v>10106</v>
      </c>
      <c r="M23" s="22" t="s">
        <v>10107</v>
      </c>
      <c r="N23" s="22" t="s">
        <v>10108</v>
      </c>
      <c r="O23" s="22" t="s">
        <v>9960</v>
      </c>
      <c r="P23" s="22" t="s">
        <v>9961</v>
      </c>
      <c r="Q23" s="22" t="s">
        <v>9962</v>
      </c>
      <c r="R23" s="32" t="s">
        <v>8280</v>
      </c>
      <c r="S23" s="22" t="s">
        <v>9963</v>
      </c>
    </row>
    <row r="24" customFormat="false" ht="51.75" hidden="false" customHeight="true" outlineLevel="0" collapsed="false">
      <c r="A24" s="22" t="s">
        <v>10109</v>
      </c>
      <c r="B24" s="22" t="s">
        <v>10110</v>
      </c>
      <c r="C24" s="22" t="s">
        <v>8272</v>
      </c>
      <c r="D24" s="22" t="s">
        <v>8273</v>
      </c>
      <c r="E24" s="22" t="s">
        <v>9954</v>
      </c>
      <c r="F24" s="22" t="s">
        <v>10111</v>
      </c>
      <c r="G24" s="22" t="s">
        <v>806</v>
      </c>
      <c r="H24" s="22" t="str">
        <f aca="false">IFERROR(VLOOKUP(G24,'Master Taxonomy'!$A$2:$B$1656,2,FALSE()),"")</f>
        <v>General Shapeshifters</v>
      </c>
      <c r="I24" s="22" t="s">
        <v>1599</v>
      </c>
      <c r="J24" s="22" t="s">
        <v>1600</v>
      </c>
      <c r="K24" s="22" t="s">
        <v>10112</v>
      </c>
      <c r="L24" s="22" t="s">
        <v>10113</v>
      </c>
      <c r="M24" s="22" t="s">
        <v>10114</v>
      </c>
      <c r="N24" s="22" t="s">
        <v>10115</v>
      </c>
      <c r="O24" s="22" t="s">
        <v>9960</v>
      </c>
      <c r="P24" s="22" t="s">
        <v>9961</v>
      </c>
      <c r="Q24" s="22" t="s">
        <v>9962</v>
      </c>
      <c r="R24" s="32" t="s">
        <v>8280</v>
      </c>
      <c r="S24" s="22" t="s">
        <v>9963</v>
      </c>
    </row>
    <row r="25" customFormat="false" ht="51.75" hidden="false" customHeight="true" outlineLevel="0" collapsed="false">
      <c r="A25" s="22" t="s">
        <v>10116</v>
      </c>
      <c r="B25" s="22" t="s">
        <v>10117</v>
      </c>
      <c r="C25" s="22" t="s">
        <v>8272</v>
      </c>
      <c r="D25" s="22" t="s">
        <v>8273</v>
      </c>
      <c r="E25" s="22" t="s">
        <v>9954</v>
      </c>
      <c r="F25" s="22" t="s">
        <v>10118</v>
      </c>
      <c r="G25" s="22" t="s">
        <v>1035</v>
      </c>
      <c r="H25" s="22" t="str">
        <f aca="false">IFERROR(VLOOKUP(G25,'Master Taxonomy'!$A$2:$B$1656,2,FALSE()),"")</f>
        <v>Ranger</v>
      </c>
      <c r="I25" s="22" t="s">
        <v>3400</v>
      </c>
      <c r="J25" s="22" t="s">
        <v>3401</v>
      </c>
      <c r="K25" s="22" t="s">
        <v>10119</v>
      </c>
      <c r="L25" s="22" t="s">
        <v>10120</v>
      </c>
      <c r="M25" s="22" t="s">
        <v>10121</v>
      </c>
      <c r="N25" s="22" t="s">
        <v>10122</v>
      </c>
      <c r="O25" s="22" t="s">
        <v>9960</v>
      </c>
      <c r="P25" s="22" t="s">
        <v>9961</v>
      </c>
      <c r="Q25" s="22" t="s">
        <v>9962</v>
      </c>
      <c r="R25" s="32" t="s">
        <v>8280</v>
      </c>
      <c r="S25" s="22" t="s">
        <v>9963</v>
      </c>
    </row>
    <row r="26" customFormat="false" ht="51.75" hidden="false" customHeight="true" outlineLevel="0" collapsed="false">
      <c r="A26" s="22" t="s">
        <v>10123</v>
      </c>
      <c r="B26" s="22" t="s">
        <v>10124</v>
      </c>
      <c r="C26" s="22" t="s">
        <v>8272</v>
      </c>
      <c r="D26" s="22" t="s">
        <v>8273</v>
      </c>
      <c r="E26" s="22" t="s">
        <v>9954</v>
      </c>
      <c r="F26" s="22" t="s">
        <v>10125</v>
      </c>
      <c r="G26" s="22" t="s">
        <v>998</v>
      </c>
      <c r="H26" s="22" t="str">
        <f aca="false">IFERROR(VLOOKUP(G26,'Master Taxonomy'!$A$2:$B$1656,2,FALSE()),"")</f>
        <v>Cavalier and Mounted Knight</v>
      </c>
      <c r="I26" s="22" t="s">
        <v>4346</v>
      </c>
      <c r="J26" s="22" t="s">
        <v>4347</v>
      </c>
      <c r="K26" s="22" t="s">
        <v>10126</v>
      </c>
      <c r="L26" s="22" t="s">
        <v>10127</v>
      </c>
      <c r="M26" s="22" t="s">
        <v>10128</v>
      </c>
      <c r="N26" s="22" t="s">
        <v>10129</v>
      </c>
      <c r="O26" s="22" t="s">
        <v>9960</v>
      </c>
      <c r="P26" s="22" t="s">
        <v>9961</v>
      </c>
      <c r="Q26" s="22" t="s">
        <v>9962</v>
      </c>
      <c r="R26" s="32" t="s">
        <v>8280</v>
      </c>
      <c r="S26" s="22" t="s">
        <v>9963</v>
      </c>
    </row>
    <row r="27" customFormat="false" ht="51.75" hidden="false" customHeight="true" outlineLevel="0" collapsed="false">
      <c r="A27" s="22" t="s">
        <v>10130</v>
      </c>
      <c r="B27" s="22" t="s">
        <v>10131</v>
      </c>
      <c r="C27" s="22" t="s">
        <v>8420</v>
      </c>
      <c r="D27" s="22" t="s">
        <v>8421</v>
      </c>
      <c r="E27" s="22" t="s">
        <v>10132</v>
      </c>
      <c r="F27" s="22" t="s">
        <v>10020</v>
      </c>
      <c r="G27" s="22" t="s">
        <v>207</v>
      </c>
      <c r="H27" s="22" t="str">
        <f aca="false">IFERROR(VLOOKUP(G27,'Master Taxonomy'!$A$2:$B$1656,2,FALSE()),"")</f>
        <v>Fae, Nature, and Liminal Beings</v>
      </c>
      <c r="I27" s="22" t="s">
        <v>400</v>
      </c>
      <c r="J27" s="22" t="s">
        <v>401</v>
      </c>
      <c r="K27" s="22" t="s">
        <v>10133</v>
      </c>
      <c r="L27" s="22" t="s">
        <v>10134</v>
      </c>
      <c r="M27" s="22" t="s">
        <v>10135</v>
      </c>
      <c r="N27" s="22" t="s">
        <v>10136</v>
      </c>
      <c r="O27" s="22" t="s">
        <v>9960</v>
      </c>
      <c r="P27" s="22" t="s">
        <v>10137</v>
      </c>
      <c r="Q27" s="22" t="s">
        <v>10138</v>
      </c>
      <c r="R27" s="32" t="s">
        <v>8426</v>
      </c>
      <c r="S27" s="22" t="s">
        <v>9963</v>
      </c>
    </row>
    <row r="28" customFormat="false" ht="51.75" hidden="false" customHeight="true" outlineLevel="0" collapsed="false">
      <c r="A28" s="22" t="s">
        <v>10139</v>
      </c>
      <c r="B28" s="22" t="s">
        <v>10140</v>
      </c>
      <c r="C28" s="22" t="s">
        <v>8420</v>
      </c>
      <c r="D28" s="22" t="s">
        <v>8421</v>
      </c>
      <c r="E28" s="22" t="s">
        <v>10132</v>
      </c>
      <c r="F28" s="22" t="s">
        <v>10020</v>
      </c>
      <c r="G28" s="22" t="s">
        <v>280</v>
      </c>
      <c r="H28" s="22" t="str">
        <f aca="false">IFERROR(VLOOKUP(G28,'Master Taxonomy'!$A$2:$B$1656,2,FALSE()),"")</f>
        <v>Giantkin Peoples</v>
      </c>
      <c r="I28" s="22"/>
      <c r="J28" s="22"/>
      <c r="K28" s="22" t="s">
        <v>10141</v>
      </c>
      <c r="L28" s="22" t="s">
        <v>10142</v>
      </c>
      <c r="M28" s="22" t="s">
        <v>10143</v>
      </c>
      <c r="N28" s="22" t="s">
        <v>10144</v>
      </c>
      <c r="O28" s="22" t="s">
        <v>9960</v>
      </c>
      <c r="P28" s="22" t="s">
        <v>10137</v>
      </c>
      <c r="Q28" s="22" t="s">
        <v>10138</v>
      </c>
      <c r="R28" s="32" t="s">
        <v>8426</v>
      </c>
      <c r="S28" s="22" t="s">
        <v>9963</v>
      </c>
    </row>
    <row r="29" customFormat="false" ht="51.75" hidden="false" customHeight="true" outlineLevel="0" collapsed="false">
      <c r="A29" s="22" t="s">
        <v>10145</v>
      </c>
      <c r="B29" s="22" t="s">
        <v>10146</v>
      </c>
      <c r="C29" s="22" t="s">
        <v>8420</v>
      </c>
      <c r="D29" s="22" t="s">
        <v>8421</v>
      </c>
      <c r="E29" s="22" t="s">
        <v>10132</v>
      </c>
      <c r="F29" s="22" t="s">
        <v>10147</v>
      </c>
      <c r="G29" s="22" t="s">
        <v>207</v>
      </c>
      <c r="H29" s="22" t="str">
        <f aca="false">IFERROR(VLOOKUP(G29,'Master Taxonomy'!$A$2:$B$1656,2,FALSE()),"")</f>
        <v>Fae, Nature, and Liminal Beings</v>
      </c>
      <c r="I29" s="22" t="s">
        <v>2286</v>
      </c>
      <c r="J29" s="22" t="s">
        <v>2287</v>
      </c>
      <c r="K29" s="22" t="s">
        <v>10148</v>
      </c>
      <c r="L29" s="22" t="s">
        <v>10149</v>
      </c>
      <c r="M29" s="22" t="s">
        <v>10150</v>
      </c>
      <c r="N29" s="22" t="s">
        <v>10151</v>
      </c>
      <c r="O29" s="22" t="s">
        <v>9960</v>
      </c>
      <c r="P29" s="22" t="s">
        <v>10137</v>
      </c>
      <c r="Q29" s="22" t="s">
        <v>10138</v>
      </c>
      <c r="R29" s="32" t="s">
        <v>8426</v>
      </c>
      <c r="S29" s="22" t="s">
        <v>9963</v>
      </c>
    </row>
    <row r="30" customFormat="false" ht="51.75" hidden="false" customHeight="true" outlineLevel="0" collapsed="false">
      <c r="A30" s="22" t="s">
        <v>10152</v>
      </c>
      <c r="B30" s="22" t="s">
        <v>10153</v>
      </c>
      <c r="C30" s="22" t="s">
        <v>8420</v>
      </c>
      <c r="D30" s="22" t="s">
        <v>8421</v>
      </c>
      <c r="E30" s="22" t="s">
        <v>10132</v>
      </c>
      <c r="F30" s="22" t="s">
        <v>10154</v>
      </c>
      <c r="G30" s="22" t="s">
        <v>582</v>
      </c>
      <c r="H30" s="22" t="str">
        <f aca="false">IFERROR(VLOOKUP(G30,'Master Taxonomy'!$A$2:$B$1656,2,FALSE()),"")</f>
        <v>Zombies</v>
      </c>
      <c r="I30" s="22" t="s">
        <v>2830</v>
      </c>
      <c r="J30" s="22" t="s">
        <v>2831</v>
      </c>
      <c r="K30" s="22" t="s">
        <v>10155</v>
      </c>
      <c r="L30" s="22" t="s">
        <v>10156</v>
      </c>
      <c r="M30" s="22" t="s">
        <v>10157</v>
      </c>
      <c r="N30" s="22" t="s">
        <v>10158</v>
      </c>
      <c r="O30" s="22" t="s">
        <v>9960</v>
      </c>
      <c r="P30" s="22" t="s">
        <v>10137</v>
      </c>
      <c r="Q30" s="22" t="s">
        <v>10138</v>
      </c>
      <c r="R30" s="32" t="s">
        <v>8426</v>
      </c>
      <c r="S30" s="22" t="s">
        <v>9963</v>
      </c>
    </row>
    <row r="31" customFormat="false" ht="51.75" hidden="false" customHeight="true" outlineLevel="0" collapsed="false">
      <c r="A31" s="22" t="s">
        <v>10159</v>
      </c>
      <c r="B31" s="22" t="s">
        <v>10075</v>
      </c>
      <c r="C31" s="22" t="s">
        <v>8420</v>
      </c>
      <c r="D31" s="22" t="s">
        <v>8421</v>
      </c>
      <c r="E31" s="22" t="s">
        <v>10132</v>
      </c>
      <c r="F31" s="22" t="s">
        <v>10160</v>
      </c>
      <c r="G31" s="22" t="s">
        <v>683</v>
      </c>
      <c r="H31" s="22" t="str">
        <f aca="false">IFERROR(VLOOKUP(G31,'Master Taxonomy'!$A$2:$B$1656,2,FALSE()),"")</f>
        <v>True Dragons</v>
      </c>
      <c r="I31" s="22"/>
      <c r="J31" s="22"/>
      <c r="K31" s="22" t="s">
        <v>10161</v>
      </c>
      <c r="L31" s="22" t="s">
        <v>10162</v>
      </c>
      <c r="M31" s="22" t="s">
        <v>10163</v>
      </c>
      <c r="N31" s="22" t="s">
        <v>10164</v>
      </c>
      <c r="O31" s="22" t="s">
        <v>9960</v>
      </c>
      <c r="P31" s="22" t="s">
        <v>10137</v>
      </c>
      <c r="Q31" s="22" t="s">
        <v>10138</v>
      </c>
      <c r="R31" s="32" t="s">
        <v>8426</v>
      </c>
      <c r="S31" s="22" t="s">
        <v>9963</v>
      </c>
    </row>
    <row r="32" customFormat="false" ht="51.75" hidden="false" customHeight="true" outlineLevel="0" collapsed="false">
      <c r="A32" s="22" t="s">
        <v>10165</v>
      </c>
      <c r="B32" s="22" t="s">
        <v>10166</v>
      </c>
      <c r="C32" s="22" t="s">
        <v>8420</v>
      </c>
      <c r="D32" s="22" t="s">
        <v>8421</v>
      </c>
      <c r="E32" s="22" t="s">
        <v>10132</v>
      </c>
      <c r="F32" s="22" t="s">
        <v>10167</v>
      </c>
      <c r="G32" s="22" t="s">
        <v>757</v>
      </c>
      <c r="H32" s="22" t="str">
        <f aca="false">IFERROR(VLOOKUP(G32,'Master Taxonomy'!$A$2:$B$1656,2,FALSE()),"")</f>
        <v>Dire and Mythic Megafauna</v>
      </c>
      <c r="I32" s="22"/>
      <c r="J32" s="22"/>
      <c r="K32" s="22" t="s">
        <v>10168</v>
      </c>
      <c r="L32" s="22" t="s">
        <v>10169</v>
      </c>
      <c r="M32" s="22" t="s">
        <v>10170</v>
      </c>
      <c r="N32" s="22" t="s">
        <v>10171</v>
      </c>
      <c r="O32" s="22" t="s">
        <v>9960</v>
      </c>
      <c r="P32" s="22" t="s">
        <v>10137</v>
      </c>
      <c r="Q32" s="22" t="s">
        <v>10138</v>
      </c>
      <c r="R32" s="32" t="s">
        <v>8426</v>
      </c>
      <c r="S32" s="22" t="s">
        <v>9963</v>
      </c>
    </row>
    <row r="33" customFormat="false" ht="51.75" hidden="false" customHeight="true" outlineLevel="0" collapsed="false">
      <c r="A33" s="22" t="s">
        <v>10172</v>
      </c>
      <c r="B33" s="22" t="s">
        <v>10173</v>
      </c>
      <c r="C33" s="22" t="s">
        <v>8420</v>
      </c>
      <c r="D33" s="22" t="s">
        <v>8421</v>
      </c>
      <c r="E33" s="22" t="s">
        <v>10132</v>
      </c>
      <c r="F33" s="22" t="s">
        <v>10174</v>
      </c>
      <c r="G33" s="22" t="s">
        <v>1599</v>
      </c>
      <c r="H33" s="22" t="str">
        <f aca="false">IFERROR(VLOOKUP(G33,'Master Taxonomy'!$A$2:$B$1656,2,FALSE()),"")</f>
        <v>Shapeshifting Warden</v>
      </c>
      <c r="I33" s="22" t="s">
        <v>2403</v>
      </c>
      <c r="J33" s="22" t="s">
        <v>2404</v>
      </c>
      <c r="K33" s="22" t="s">
        <v>10175</v>
      </c>
      <c r="L33" s="22" t="s">
        <v>10176</v>
      </c>
      <c r="M33" s="22" t="s">
        <v>10177</v>
      </c>
      <c r="N33" s="22" t="s">
        <v>10178</v>
      </c>
      <c r="O33" s="22" t="s">
        <v>9960</v>
      </c>
      <c r="P33" s="22" t="s">
        <v>10137</v>
      </c>
      <c r="Q33" s="22" t="s">
        <v>10138</v>
      </c>
      <c r="R33" s="32" t="s">
        <v>8426</v>
      </c>
      <c r="S33" s="22" t="s">
        <v>9963</v>
      </c>
    </row>
    <row r="34" customFormat="false" ht="51.75" hidden="false" customHeight="true" outlineLevel="0" collapsed="false">
      <c r="A34" s="22" t="s">
        <v>10179</v>
      </c>
      <c r="B34" s="22" t="s">
        <v>10180</v>
      </c>
      <c r="C34" s="22" t="s">
        <v>8420</v>
      </c>
      <c r="D34" s="22" t="s">
        <v>8421</v>
      </c>
      <c r="E34" s="22" t="s">
        <v>10132</v>
      </c>
      <c r="F34" s="22" t="s">
        <v>10181</v>
      </c>
      <c r="G34" s="22" t="s">
        <v>1295</v>
      </c>
      <c r="H34" s="22" t="str">
        <f aca="false">IFERROR(VLOOKUP(G34,'Master Taxonomy'!$A$2:$B$1656,2,FALSE()),"")</f>
        <v>Diviner and Seer</v>
      </c>
      <c r="I34" s="22" t="s">
        <v>400</v>
      </c>
      <c r="J34" s="22" t="s">
        <v>401</v>
      </c>
      <c r="K34" s="22" t="s">
        <v>10182</v>
      </c>
      <c r="L34" s="22" t="s">
        <v>10183</v>
      </c>
      <c r="M34" s="22" t="s">
        <v>10184</v>
      </c>
      <c r="N34" s="22" t="s">
        <v>10185</v>
      </c>
      <c r="O34" s="22" t="s">
        <v>9960</v>
      </c>
      <c r="P34" s="22" t="s">
        <v>10137</v>
      </c>
      <c r="Q34" s="22" t="s">
        <v>10138</v>
      </c>
      <c r="R34" s="32" t="s">
        <v>8426</v>
      </c>
      <c r="S34" s="22" t="s">
        <v>9963</v>
      </c>
    </row>
    <row r="35" customFormat="false" ht="51.75" hidden="false" customHeight="true" outlineLevel="0" collapsed="false">
      <c r="A35" s="22" t="s">
        <v>10186</v>
      </c>
      <c r="B35" s="22" t="s">
        <v>10187</v>
      </c>
      <c r="C35" s="22" t="s">
        <v>8420</v>
      </c>
      <c r="D35" s="22" t="s">
        <v>8421</v>
      </c>
      <c r="E35" s="22" t="s">
        <v>10132</v>
      </c>
      <c r="F35" s="22" t="s">
        <v>10188</v>
      </c>
      <c r="G35" s="22" t="s">
        <v>1725</v>
      </c>
      <c r="H35" s="22" t="str">
        <f aca="false">IFERROR(VLOOKUP(G35,'Master Taxonomy'!$A$2:$B$1656,2,FALSE()),"")</f>
        <v>Scholar</v>
      </c>
      <c r="I35" s="22" t="s">
        <v>10189</v>
      </c>
      <c r="J35" s="22" t="s">
        <v>10190</v>
      </c>
      <c r="K35" s="22" t="s">
        <v>10191</v>
      </c>
      <c r="L35" s="22" t="s">
        <v>10192</v>
      </c>
      <c r="M35" s="22" t="s">
        <v>10193</v>
      </c>
      <c r="N35" s="22" t="s">
        <v>10194</v>
      </c>
      <c r="O35" s="22" t="s">
        <v>9960</v>
      </c>
      <c r="P35" s="22" t="s">
        <v>10137</v>
      </c>
      <c r="Q35" s="22" t="s">
        <v>10138</v>
      </c>
      <c r="R35" s="32" t="s">
        <v>8426</v>
      </c>
      <c r="S35" s="22" t="s">
        <v>9963</v>
      </c>
    </row>
    <row r="36" customFormat="false" ht="51.75" hidden="false" customHeight="true" outlineLevel="0" collapsed="false">
      <c r="A36" s="22" t="s">
        <v>10195</v>
      </c>
      <c r="B36" s="22" t="s">
        <v>10196</v>
      </c>
      <c r="C36" s="22" t="s">
        <v>8420</v>
      </c>
      <c r="D36" s="22" t="s">
        <v>8421</v>
      </c>
      <c r="E36" s="22" t="s">
        <v>10132</v>
      </c>
      <c r="F36" s="22" t="s">
        <v>10197</v>
      </c>
      <c r="G36" s="22" t="s">
        <v>2028</v>
      </c>
      <c r="H36" s="22" t="str">
        <f aca="false">IFERROR(VLOOKUP(G36,'Master Taxonomy'!$A$2:$B$1656,2,FALSE()),"")</f>
        <v>Ritual Assassin</v>
      </c>
      <c r="I36" s="22" t="s">
        <v>3364</v>
      </c>
      <c r="J36" s="22" t="s">
        <v>3365</v>
      </c>
      <c r="K36" s="22" t="s">
        <v>10198</v>
      </c>
      <c r="L36" s="22" t="s">
        <v>10199</v>
      </c>
      <c r="M36" s="22" t="s">
        <v>10200</v>
      </c>
      <c r="N36" s="22" t="s">
        <v>10201</v>
      </c>
      <c r="O36" s="22" t="s">
        <v>9960</v>
      </c>
      <c r="P36" s="22" t="s">
        <v>10137</v>
      </c>
      <c r="Q36" s="22" t="s">
        <v>10138</v>
      </c>
      <c r="R36" s="32" t="s">
        <v>8426</v>
      </c>
      <c r="S36" s="22" t="s">
        <v>9963</v>
      </c>
    </row>
    <row r="37" customFormat="false" ht="51.75" hidden="false" customHeight="true" outlineLevel="0" collapsed="false">
      <c r="A37" s="22" t="s">
        <v>10202</v>
      </c>
      <c r="B37" s="22" t="s">
        <v>10203</v>
      </c>
      <c r="C37" s="22" t="s">
        <v>8420</v>
      </c>
      <c r="D37" s="22" t="s">
        <v>8421</v>
      </c>
      <c r="E37" s="22" t="s">
        <v>10132</v>
      </c>
      <c r="F37" s="22" t="s">
        <v>10204</v>
      </c>
      <c r="G37" s="22" t="s">
        <v>3251</v>
      </c>
      <c r="H37" s="22" t="str">
        <f aca="false">IFERROR(VLOOKUP(G37,'Master Taxonomy'!$A$2:$B$1656,2,FALSE()),"")</f>
        <v>Martial and Protective Organizations</v>
      </c>
      <c r="I37" s="22" t="s">
        <v>1035</v>
      </c>
      <c r="J37" s="22" t="s">
        <v>1036</v>
      </c>
      <c r="K37" s="22" t="s">
        <v>10205</v>
      </c>
      <c r="L37" s="22" t="s">
        <v>10206</v>
      </c>
      <c r="M37" s="22" t="s">
        <v>10207</v>
      </c>
      <c r="N37" s="22" t="s">
        <v>10208</v>
      </c>
      <c r="O37" s="22" t="s">
        <v>9960</v>
      </c>
      <c r="P37" s="22" t="s">
        <v>10137</v>
      </c>
      <c r="Q37" s="22" t="s">
        <v>10138</v>
      </c>
      <c r="R37" s="32" t="s">
        <v>8426</v>
      </c>
      <c r="S37" s="22" t="s">
        <v>9963</v>
      </c>
    </row>
    <row r="38" customFormat="false" ht="51.75" hidden="false" customHeight="true" outlineLevel="0" collapsed="false">
      <c r="A38" s="22" t="s">
        <v>10209</v>
      </c>
      <c r="B38" s="22" t="s">
        <v>10210</v>
      </c>
      <c r="C38" s="22" t="s">
        <v>8420</v>
      </c>
      <c r="D38" s="22" t="s">
        <v>8421</v>
      </c>
      <c r="E38" s="22" t="s">
        <v>10132</v>
      </c>
      <c r="F38" s="22" t="s">
        <v>10211</v>
      </c>
      <c r="G38" s="22" t="s">
        <v>3327</v>
      </c>
      <c r="H38" s="22" t="str">
        <f aca="false">IFERROR(VLOOKUP(G38,'Master Taxonomy'!$A$2:$B$1656,2,FALSE()),"")</f>
        <v>Royal Guard</v>
      </c>
      <c r="I38" s="22" t="s">
        <v>994</v>
      </c>
      <c r="J38" s="22" t="s">
        <v>995</v>
      </c>
      <c r="K38" s="22" t="s">
        <v>10212</v>
      </c>
      <c r="L38" s="22" t="s">
        <v>10213</v>
      </c>
      <c r="M38" s="22" t="s">
        <v>10214</v>
      </c>
      <c r="N38" s="22" t="s">
        <v>10215</v>
      </c>
      <c r="O38" s="22" t="s">
        <v>9960</v>
      </c>
      <c r="P38" s="22" t="s">
        <v>10137</v>
      </c>
      <c r="Q38" s="22" t="s">
        <v>10138</v>
      </c>
      <c r="R38" s="32" t="s">
        <v>8426</v>
      </c>
      <c r="S38" s="22" t="s">
        <v>9963</v>
      </c>
    </row>
    <row r="39" customFormat="false" ht="51.75" hidden="false" customHeight="true" outlineLevel="0" collapsed="false">
      <c r="A39" s="22" t="s">
        <v>10216</v>
      </c>
      <c r="B39" s="22" t="s">
        <v>10217</v>
      </c>
      <c r="C39" s="22" t="s">
        <v>8420</v>
      </c>
      <c r="D39" s="22" t="s">
        <v>8421</v>
      </c>
      <c r="E39" s="22" t="s">
        <v>10132</v>
      </c>
      <c r="F39" s="22" t="s">
        <v>10218</v>
      </c>
      <c r="G39" s="22" t="s">
        <v>1452</v>
      </c>
      <c r="H39" s="22" t="str">
        <f aca="false">IFERROR(VLOOKUP(G39,'Master Taxonomy'!$A$2:$B$1656,2,FALSE()),"")</f>
        <v>Priest</v>
      </c>
      <c r="I39" s="22" t="s">
        <v>10219</v>
      </c>
      <c r="J39" s="22" t="s">
        <v>10220</v>
      </c>
      <c r="K39" s="22" t="s">
        <v>10221</v>
      </c>
      <c r="L39" s="22" t="s">
        <v>10222</v>
      </c>
      <c r="M39" s="22" t="s">
        <v>10223</v>
      </c>
      <c r="N39" s="22" t="s">
        <v>10224</v>
      </c>
      <c r="O39" s="22" t="s">
        <v>9960</v>
      </c>
      <c r="P39" s="22" t="s">
        <v>10137</v>
      </c>
      <c r="Q39" s="22" t="s">
        <v>10138</v>
      </c>
      <c r="R39" s="32" t="s">
        <v>8426</v>
      </c>
      <c r="S39" s="22" t="s">
        <v>9963</v>
      </c>
    </row>
    <row r="40" customFormat="false" ht="51.75" hidden="false" customHeight="true" outlineLevel="0" collapsed="false">
      <c r="A40" s="22" t="s">
        <v>10225</v>
      </c>
      <c r="B40" s="22" t="s">
        <v>10226</v>
      </c>
      <c r="C40" s="22" t="s">
        <v>8420</v>
      </c>
      <c r="D40" s="22" t="s">
        <v>8421</v>
      </c>
      <c r="E40" s="22" t="s">
        <v>10132</v>
      </c>
      <c r="F40" s="22" t="s">
        <v>10227</v>
      </c>
      <c r="G40" s="22" t="s">
        <v>1247</v>
      </c>
      <c r="H40" s="22" t="str">
        <f aca="false">IFERROR(VLOOKUP(G40,'Master Taxonomy'!$A$2:$B$1656,2,FALSE()),"")</f>
        <v>Warlock</v>
      </c>
      <c r="I40" s="22" t="s">
        <v>3266</v>
      </c>
      <c r="J40" s="22" t="s">
        <v>3267</v>
      </c>
      <c r="K40" s="22" t="s">
        <v>10228</v>
      </c>
      <c r="L40" s="22" t="s">
        <v>10229</v>
      </c>
      <c r="M40" s="22" t="s">
        <v>10230</v>
      </c>
      <c r="N40" s="22" t="s">
        <v>10231</v>
      </c>
      <c r="O40" s="22" t="s">
        <v>9960</v>
      </c>
      <c r="P40" s="22" t="s">
        <v>10137</v>
      </c>
      <c r="Q40" s="22" t="s">
        <v>10138</v>
      </c>
      <c r="R40" s="32" t="s">
        <v>8426</v>
      </c>
      <c r="S40" s="22" t="s">
        <v>9963</v>
      </c>
    </row>
    <row r="41" customFormat="false" ht="51.75" hidden="false" customHeight="true" outlineLevel="0" collapsed="false">
      <c r="A41" s="22" t="s">
        <v>10232</v>
      </c>
      <c r="B41" s="22" t="s">
        <v>10233</v>
      </c>
      <c r="C41" s="22" t="s">
        <v>8420</v>
      </c>
      <c r="D41" s="22" t="s">
        <v>8421</v>
      </c>
      <c r="E41" s="22" t="s">
        <v>10132</v>
      </c>
      <c r="F41" s="22" t="s">
        <v>10234</v>
      </c>
      <c r="G41" s="22" t="s">
        <v>1344</v>
      </c>
      <c r="H41" s="22" t="str">
        <f aca="false">IFERROR(VLOOKUP(G41,'Master Taxonomy'!$A$2:$B$1656,2,FALSE()),"")</f>
        <v>Shadow Mage</v>
      </c>
      <c r="I41" s="22" t="s">
        <v>2306</v>
      </c>
      <c r="J41" s="22" t="s">
        <v>2307</v>
      </c>
      <c r="K41" s="22" t="s">
        <v>10235</v>
      </c>
      <c r="L41" s="22" t="s">
        <v>10236</v>
      </c>
      <c r="M41" s="22" t="s">
        <v>10237</v>
      </c>
      <c r="N41" s="22" t="s">
        <v>10238</v>
      </c>
      <c r="O41" s="22" t="s">
        <v>9960</v>
      </c>
      <c r="P41" s="22" t="s">
        <v>10137</v>
      </c>
      <c r="Q41" s="22" t="s">
        <v>10138</v>
      </c>
      <c r="R41" s="32" t="s">
        <v>8426</v>
      </c>
      <c r="S41" s="22" t="s">
        <v>9963</v>
      </c>
    </row>
    <row r="42" customFormat="false" ht="51.75" hidden="false" customHeight="true" outlineLevel="0" collapsed="false">
      <c r="A42" s="22" t="s">
        <v>10239</v>
      </c>
      <c r="B42" s="22" t="s">
        <v>10240</v>
      </c>
      <c r="C42" s="22" t="s">
        <v>8420</v>
      </c>
      <c r="D42" s="22" t="s">
        <v>8421</v>
      </c>
      <c r="E42" s="22" t="s">
        <v>10132</v>
      </c>
      <c r="F42" s="22" t="s">
        <v>10241</v>
      </c>
      <c r="G42" s="22" t="s">
        <v>1384</v>
      </c>
      <c r="H42" s="22" t="str">
        <f aca="false">IFERROR(VLOOKUP(G42,'Master Taxonomy'!$A$2:$B$1656,2,FALSE()),"")</f>
        <v>Alchemist</v>
      </c>
      <c r="I42" s="22" t="s">
        <v>10242</v>
      </c>
      <c r="J42" s="22" t="s">
        <v>10243</v>
      </c>
      <c r="K42" s="22" t="s">
        <v>10244</v>
      </c>
      <c r="L42" s="22" t="s">
        <v>10245</v>
      </c>
      <c r="M42" s="22" t="s">
        <v>10246</v>
      </c>
      <c r="N42" s="22" t="s">
        <v>10247</v>
      </c>
      <c r="O42" s="22" t="s">
        <v>9960</v>
      </c>
      <c r="P42" s="22" t="s">
        <v>10137</v>
      </c>
      <c r="Q42" s="22" t="s">
        <v>10138</v>
      </c>
      <c r="R42" s="32" t="s">
        <v>8426</v>
      </c>
      <c r="S42" s="22" t="s">
        <v>9963</v>
      </c>
    </row>
    <row r="43" customFormat="false" ht="51.75" hidden="false" customHeight="true" outlineLevel="0" collapsed="false">
      <c r="A43" s="22" t="s">
        <v>10248</v>
      </c>
      <c r="B43" s="22" t="s">
        <v>10249</v>
      </c>
      <c r="C43" s="22" t="s">
        <v>8420</v>
      </c>
      <c r="D43" s="22" t="s">
        <v>8421</v>
      </c>
      <c r="E43" s="22" t="s">
        <v>10132</v>
      </c>
      <c r="F43" s="22" t="s">
        <v>10250</v>
      </c>
      <c r="G43" s="22" t="s">
        <v>1063</v>
      </c>
      <c r="H43" s="22" t="str">
        <f aca="false">IFERROR(VLOOKUP(G43,'Master Taxonomy'!$A$2:$B$1656,2,FALSE()),"")</f>
        <v>Mounted Archer</v>
      </c>
      <c r="I43" s="22" t="s">
        <v>4346</v>
      </c>
      <c r="J43" s="22" t="s">
        <v>4347</v>
      </c>
      <c r="K43" s="22" t="s">
        <v>10251</v>
      </c>
      <c r="L43" s="22" t="s">
        <v>10252</v>
      </c>
      <c r="M43" s="22" t="s">
        <v>10253</v>
      </c>
      <c r="N43" s="22" t="s">
        <v>10254</v>
      </c>
      <c r="O43" s="22" t="s">
        <v>9960</v>
      </c>
      <c r="P43" s="22" t="s">
        <v>10137</v>
      </c>
      <c r="Q43" s="22" t="s">
        <v>10138</v>
      </c>
      <c r="R43" s="32" t="s">
        <v>8426</v>
      </c>
      <c r="S43" s="22" t="s">
        <v>9963</v>
      </c>
    </row>
    <row r="44" customFormat="false" ht="51.75" hidden="false" customHeight="true" outlineLevel="0" collapsed="false">
      <c r="A44" s="22" t="s">
        <v>10255</v>
      </c>
      <c r="B44" s="22" t="s">
        <v>10256</v>
      </c>
      <c r="C44" s="22" t="s">
        <v>8420</v>
      </c>
      <c r="D44" s="22" t="s">
        <v>8421</v>
      </c>
      <c r="E44" s="22" t="s">
        <v>10132</v>
      </c>
      <c r="F44" s="22" t="s">
        <v>10257</v>
      </c>
      <c r="G44" s="22" t="s">
        <v>948</v>
      </c>
      <c r="H44" s="22" t="str">
        <f aca="false">IFERROR(VLOOKUP(G44,'Master Taxonomy'!$A$2:$B$1656,2,FALSE()),"")</f>
        <v>Heavy Infantry</v>
      </c>
      <c r="I44" s="22" t="s">
        <v>940</v>
      </c>
      <c r="J44" s="22" t="s">
        <v>941</v>
      </c>
      <c r="K44" s="22" t="s">
        <v>10258</v>
      </c>
      <c r="L44" s="22" t="s">
        <v>10259</v>
      </c>
      <c r="M44" s="22" t="s">
        <v>10260</v>
      </c>
      <c r="N44" s="22" t="s">
        <v>10261</v>
      </c>
      <c r="O44" s="22" t="s">
        <v>9960</v>
      </c>
      <c r="P44" s="22" t="s">
        <v>10137</v>
      </c>
      <c r="Q44" s="22" t="s">
        <v>10138</v>
      </c>
      <c r="R44" s="32" t="s">
        <v>8426</v>
      </c>
      <c r="S44" s="22" t="s">
        <v>9963</v>
      </c>
    </row>
    <row r="45" customFormat="false" ht="51.75" hidden="false" customHeight="true" outlineLevel="0" collapsed="false">
      <c r="A45" s="22" t="s">
        <v>10262</v>
      </c>
      <c r="B45" s="22" t="s">
        <v>10263</v>
      </c>
      <c r="C45" s="22" t="s">
        <v>8420</v>
      </c>
      <c r="D45" s="22" t="s">
        <v>8421</v>
      </c>
      <c r="E45" s="22" t="s">
        <v>10132</v>
      </c>
      <c r="F45" s="22" t="s">
        <v>10264</v>
      </c>
      <c r="G45" s="22" t="s">
        <v>1079</v>
      </c>
      <c r="H45" s="22" t="str">
        <f aca="false">IFERROR(VLOOKUP(G45,'Master Taxonomy'!$A$2:$B$1656,2,FALSE()),"")</f>
        <v>Raider</v>
      </c>
      <c r="I45" s="22" t="s">
        <v>4351</v>
      </c>
      <c r="J45" s="22" t="s">
        <v>4352</v>
      </c>
      <c r="K45" s="22" t="s">
        <v>10265</v>
      </c>
      <c r="L45" s="22" t="s">
        <v>10266</v>
      </c>
      <c r="M45" s="22" t="s">
        <v>10267</v>
      </c>
      <c r="N45" s="22" t="s">
        <v>10268</v>
      </c>
      <c r="O45" s="22" t="s">
        <v>9960</v>
      </c>
      <c r="P45" s="22" t="s">
        <v>10137</v>
      </c>
      <c r="Q45" s="22" t="s">
        <v>10138</v>
      </c>
      <c r="R45" s="32" t="s">
        <v>8426</v>
      </c>
      <c r="S45" s="22" t="s">
        <v>9963</v>
      </c>
    </row>
    <row r="46" customFormat="false" ht="51.75" hidden="false" customHeight="true" outlineLevel="0" collapsed="false">
      <c r="A46" s="22" t="s">
        <v>10269</v>
      </c>
      <c r="B46" s="22" t="s">
        <v>10270</v>
      </c>
      <c r="C46" s="22" t="s">
        <v>8420</v>
      </c>
      <c r="D46" s="22" t="s">
        <v>8421</v>
      </c>
      <c r="E46" s="22" t="s">
        <v>10132</v>
      </c>
      <c r="F46" s="22" t="s">
        <v>10271</v>
      </c>
      <c r="G46" s="22" t="s">
        <v>3400</v>
      </c>
      <c r="H46" s="22" t="str">
        <f aca="false">IFERROR(VLOOKUP(G46,'Master Taxonomy'!$A$2:$B$1656,2,FALSE()),"")</f>
        <v>Adventuring Company</v>
      </c>
      <c r="I46" s="22" t="s">
        <v>1083</v>
      </c>
      <c r="J46" s="22" t="s">
        <v>1084</v>
      </c>
      <c r="K46" s="22" t="s">
        <v>10272</v>
      </c>
      <c r="L46" s="22" t="s">
        <v>10273</v>
      </c>
      <c r="M46" s="22" t="s">
        <v>10274</v>
      </c>
      <c r="N46" s="22" t="s">
        <v>10275</v>
      </c>
      <c r="O46" s="22" t="s">
        <v>9960</v>
      </c>
      <c r="P46" s="22" t="s">
        <v>10137</v>
      </c>
      <c r="Q46" s="22" t="s">
        <v>10138</v>
      </c>
      <c r="R46" s="32" t="s">
        <v>8426</v>
      </c>
      <c r="S46" s="22" t="s">
        <v>9963</v>
      </c>
    </row>
    <row r="47" customFormat="false" ht="51.75" hidden="false" customHeight="true" outlineLevel="0" collapsed="false">
      <c r="A47" s="22" t="s">
        <v>10276</v>
      </c>
      <c r="B47" s="22" t="s">
        <v>10277</v>
      </c>
      <c r="C47" s="22" t="s">
        <v>8420</v>
      </c>
      <c r="D47" s="22" t="s">
        <v>8421</v>
      </c>
      <c r="E47" s="22" t="s">
        <v>10132</v>
      </c>
      <c r="F47" s="22" t="s">
        <v>10278</v>
      </c>
      <c r="G47" s="22" t="s">
        <v>2461</v>
      </c>
      <c r="H47" s="22" t="str">
        <f aca="false">IFERROR(VLOOKUP(G47,'Master Taxonomy'!$A$2:$B$1656,2,FALSE()),"")</f>
        <v>Illusion and Glamour</v>
      </c>
      <c r="I47" s="22" t="s">
        <v>3069</v>
      </c>
      <c r="J47" s="22" t="s">
        <v>3070</v>
      </c>
      <c r="K47" s="22" t="s">
        <v>10279</v>
      </c>
      <c r="L47" s="22" t="s">
        <v>10280</v>
      </c>
      <c r="M47" s="22" t="s">
        <v>10281</v>
      </c>
      <c r="N47" s="22" t="s">
        <v>10282</v>
      </c>
      <c r="O47" s="22" t="s">
        <v>9960</v>
      </c>
      <c r="P47" s="22" t="s">
        <v>10137</v>
      </c>
      <c r="Q47" s="22" t="s">
        <v>10138</v>
      </c>
      <c r="R47" s="32" t="s">
        <v>8426</v>
      </c>
      <c r="S47" s="22" t="s">
        <v>9963</v>
      </c>
    </row>
    <row r="48" customFormat="false" ht="51.75" hidden="false" customHeight="true" outlineLevel="0" collapsed="false">
      <c r="A48" s="22" t="s">
        <v>10283</v>
      </c>
      <c r="B48" s="22" t="s">
        <v>10284</v>
      </c>
      <c r="C48" s="22" t="s">
        <v>8420</v>
      </c>
      <c r="D48" s="22" t="s">
        <v>8421</v>
      </c>
      <c r="E48" s="22" t="s">
        <v>10132</v>
      </c>
      <c r="F48" s="22" t="s">
        <v>10285</v>
      </c>
      <c r="G48" s="22" t="s">
        <v>4266</v>
      </c>
      <c r="H48" s="22" t="str">
        <f aca="false">IFERROR(VLOOKUP(G48,'Master Taxonomy'!$A$2:$B$1656,2,FALSE()),"")</f>
        <v>Dragon-Ruled Realm</v>
      </c>
      <c r="I48" s="22" t="s">
        <v>1135</v>
      </c>
      <c r="J48" s="22" t="s">
        <v>1136</v>
      </c>
      <c r="K48" s="22" t="s">
        <v>10286</v>
      </c>
      <c r="L48" s="22" t="s">
        <v>10287</v>
      </c>
      <c r="M48" s="22" t="s">
        <v>10288</v>
      </c>
      <c r="N48" s="22" t="s">
        <v>10289</v>
      </c>
      <c r="O48" s="22" t="s">
        <v>9960</v>
      </c>
      <c r="P48" s="22" t="s">
        <v>10137</v>
      </c>
      <c r="Q48" s="22" t="s">
        <v>10138</v>
      </c>
      <c r="R48" s="32" t="s">
        <v>8426</v>
      </c>
      <c r="S48" s="22" t="s">
        <v>9963</v>
      </c>
    </row>
    <row r="49" customFormat="false" ht="51.75" hidden="false" customHeight="true" outlineLevel="0" collapsed="false">
      <c r="A49" s="22" t="s">
        <v>10290</v>
      </c>
      <c r="B49" s="22" t="s">
        <v>10291</v>
      </c>
      <c r="C49" s="22" t="s">
        <v>8427</v>
      </c>
      <c r="D49" s="22" t="s">
        <v>8428</v>
      </c>
      <c r="E49" s="22" t="s">
        <v>10292</v>
      </c>
      <c r="F49" s="22" t="s">
        <v>10293</v>
      </c>
      <c r="G49" s="22" t="s">
        <v>247</v>
      </c>
      <c r="H49" s="22" t="str">
        <f aca="false">IFERROR(VLOOKUP(G49,'Master Taxonomy'!$A$2:$B$1656,2,FALSE()),"")</f>
        <v>Human and Near-Human Peoples</v>
      </c>
      <c r="I49" s="22"/>
      <c r="J49" s="22"/>
      <c r="K49" s="22" t="s">
        <v>10294</v>
      </c>
      <c r="L49" s="22" t="s">
        <v>10295</v>
      </c>
      <c r="M49" s="22" t="s">
        <v>10296</v>
      </c>
      <c r="N49" s="22" t="s">
        <v>10297</v>
      </c>
      <c r="O49" s="22" t="s">
        <v>9960</v>
      </c>
      <c r="P49" s="22" t="s">
        <v>9961</v>
      </c>
      <c r="Q49" s="22" t="s">
        <v>10298</v>
      </c>
      <c r="R49" s="32" t="s">
        <v>8434</v>
      </c>
      <c r="S49" s="22" t="s">
        <v>9963</v>
      </c>
    </row>
    <row r="50" customFormat="false" ht="51.75" hidden="false" customHeight="true" outlineLevel="0" collapsed="false">
      <c r="A50" s="22" t="s">
        <v>10299</v>
      </c>
      <c r="B50" s="22" t="s">
        <v>10300</v>
      </c>
      <c r="C50" s="22" t="s">
        <v>8427</v>
      </c>
      <c r="D50" s="22" t="s">
        <v>8428</v>
      </c>
      <c r="E50" s="22" t="s">
        <v>10292</v>
      </c>
      <c r="F50" s="22" t="s">
        <v>9966</v>
      </c>
      <c r="G50" s="22" t="s">
        <v>254</v>
      </c>
      <c r="H50" s="22" t="str">
        <f aca="false">IFERROR(VLOOKUP(G50,'Master Taxonomy'!$A$2:$B$1656,2,FALSE()),"")</f>
        <v>Elf-Derived Peoples</v>
      </c>
      <c r="I50" s="22"/>
      <c r="J50" s="22"/>
      <c r="K50" s="22" t="s">
        <v>10301</v>
      </c>
      <c r="L50" s="22" t="s">
        <v>10302</v>
      </c>
      <c r="M50" s="22" t="s">
        <v>10303</v>
      </c>
      <c r="N50" s="22" t="s">
        <v>10304</v>
      </c>
      <c r="O50" s="22" t="s">
        <v>9960</v>
      </c>
      <c r="P50" s="22" t="s">
        <v>9961</v>
      </c>
      <c r="Q50" s="22" t="s">
        <v>10298</v>
      </c>
      <c r="R50" s="32" t="s">
        <v>8434</v>
      </c>
      <c r="S50" s="22" t="s">
        <v>9963</v>
      </c>
    </row>
    <row r="51" customFormat="false" ht="51.75" hidden="false" customHeight="true" outlineLevel="0" collapsed="false">
      <c r="A51" s="22" t="s">
        <v>10305</v>
      </c>
      <c r="B51" s="22" t="s">
        <v>10306</v>
      </c>
      <c r="C51" s="22" t="s">
        <v>8427</v>
      </c>
      <c r="D51" s="22" t="s">
        <v>8428</v>
      </c>
      <c r="E51" s="22" t="s">
        <v>10292</v>
      </c>
      <c r="F51" s="22" t="s">
        <v>10307</v>
      </c>
      <c r="G51" s="22" t="s">
        <v>254</v>
      </c>
      <c r="H51" s="22" t="str">
        <f aca="false">IFERROR(VLOOKUP(G51,'Master Taxonomy'!$A$2:$B$1656,2,FALSE()),"")</f>
        <v>Elf-Derived Peoples</v>
      </c>
      <c r="I51" s="22" t="s">
        <v>421</v>
      </c>
      <c r="J51" s="22" t="s">
        <v>422</v>
      </c>
      <c r="K51" s="22" t="s">
        <v>10308</v>
      </c>
      <c r="L51" s="22" t="s">
        <v>10309</v>
      </c>
      <c r="M51" s="22" t="s">
        <v>10310</v>
      </c>
      <c r="N51" s="22" t="s">
        <v>10311</v>
      </c>
      <c r="O51" s="22" t="s">
        <v>9960</v>
      </c>
      <c r="P51" s="22" t="s">
        <v>9961</v>
      </c>
      <c r="Q51" s="22" t="s">
        <v>10298</v>
      </c>
      <c r="R51" s="32" t="s">
        <v>8434</v>
      </c>
      <c r="S51" s="22" t="s">
        <v>9963</v>
      </c>
    </row>
    <row r="52" customFormat="false" ht="51.75" hidden="false" customHeight="true" outlineLevel="0" collapsed="false">
      <c r="A52" s="22" t="s">
        <v>10312</v>
      </c>
      <c r="B52" s="22" t="s">
        <v>10313</v>
      </c>
      <c r="C52" s="22" t="s">
        <v>8427</v>
      </c>
      <c r="D52" s="22" t="s">
        <v>8428</v>
      </c>
      <c r="E52" s="22" t="s">
        <v>10292</v>
      </c>
      <c r="F52" s="22" t="s">
        <v>10293</v>
      </c>
      <c r="G52" s="22" t="s">
        <v>259</v>
      </c>
      <c r="H52" s="22" t="str">
        <f aca="false">IFERROR(VLOOKUP(G52,'Master Taxonomy'!$A$2:$B$1656,2,FALSE()),"")</f>
        <v>Dwarf-Derived Peoples</v>
      </c>
      <c r="I52" s="22"/>
      <c r="J52" s="22"/>
      <c r="K52" s="22" t="s">
        <v>10314</v>
      </c>
      <c r="L52" s="22" t="s">
        <v>10315</v>
      </c>
      <c r="M52" s="22" t="s">
        <v>10316</v>
      </c>
      <c r="N52" s="22" t="s">
        <v>10317</v>
      </c>
      <c r="O52" s="22" t="s">
        <v>9960</v>
      </c>
      <c r="P52" s="22" t="s">
        <v>9961</v>
      </c>
      <c r="Q52" s="22" t="s">
        <v>10298</v>
      </c>
      <c r="R52" s="32" t="s">
        <v>8434</v>
      </c>
      <c r="S52" s="22" t="s">
        <v>9963</v>
      </c>
    </row>
    <row r="53" customFormat="false" ht="51.75" hidden="false" customHeight="true" outlineLevel="0" collapsed="false">
      <c r="A53" s="22" t="s">
        <v>10318</v>
      </c>
      <c r="B53" s="22" t="s">
        <v>10319</v>
      </c>
      <c r="C53" s="22" t="s">
        <v>8427</v>
      </c>
      <c r="D53" s="22" t="s">
        <v>8428</v>
      </c>
      <c r="E53" s="22" t="s">
        <v>10292</v>
      </c>
      <c r="F53" s="22" t="s">
        <v>10293</v>
      </c>
      <c r="G53" s="22" t="s">
        <v>267</v>
      </c>
      <c r="H53" s="22" t="str">
        <f aca="false">IFERROR(VLOOKUP(G53,'Master Taxonomy'!$A$2:$B$1656,2,FALSE()),"")</f>
        <v>Gnome and Tinkerfolk Peoples</v>
      </c>
      <c r="I53" s="22"/>
      <c r="J53" s="22"/>
      <c r="K53" s="22" t="s">
        <v>10320</v>
      </c>
      <c r="L53" s="22" t="s">
        <v>10321</v>
      </c>
      <c r="M53" s="22" t="s">
        <v>10322</v>
      </c>
      <c r="N53" s="22" t="s">
        <v>10323</v>
      </c>
      <c r="O53" s="22" t="s">
        <v>9960</v>
      </c>
      <c r="P53" s="22" t="s">
        <v>9961</v>
      </c>
      <c r="Q53" s="22" t="s">
        <v>10298</v>
      </c>
      <c r="R53" s="32" t="s">
        <v>8434</v>
      </c>
      <c r="S53" s="22" t="s">
        <v>9963</v>
      </c>
    </row>
    <row r="54" customFormat="false" ht="51.75" hidden="false" customHeight="true" outlineLevel="0" collapsed="false">
      <c r="A54" s="22" t="s">
        <v>10324</v>
      </c>
      <c r="B54" s="22" t="s">
        <v>10325</v>
      </c>
      <c r="C54" s="22" t="s">
        <v>8427</v>
      </c>
      <c r="D54" s="22" t="s">
        <v>8428</v>
      </c>
      <c r="E54" s="22" t="s">
        <v>10292</v>
      </c>
      <c r="F54" s="22" t="s">
        <v>10293</v>
      </c>
      <c r="G54" s="22" t="s">
        <v>263</v>
      </c>
      <c r="H54" s="22" t="str">
        <f aca="false">IFERROR(VLOOKUP(G54,'Master Taxonomy'!$A$2:$B$1656,2,FALSE()),"")</f>
        <v>Halfling and Smallfolk Peoples</v>
      </c>
      <c r="I54" s="22"/>
      <c r="J54" s="22"/>
      <c r="K54" s="22" t="s">
        <v>10326</v>
      </c>
      <c r="L54" s="22" t="s">
        <v>10327</v>
      </c>
      <c r="M54" s="22" t="s">
        <v>10328</v>
      </c>
      <c r="N54" s="22" t="s">
        <v>10329</v>
      </c>
      <c r="O54" s="22" t="s">
        <v>9960</v>
      </c>
      <c r="P54" s="22" t="s">
        <v>9961</v>
      </c>
      <c r="Q54" s="22" t="s">
        <v>10298</v>
      </c>
      <c r="R54" s="32" t="s">
        <v>8434</v>
      </c>
      <c r="S54" s="22" t="s">
        <v>9963</v>
      </c>
    </row>
    <row r="55" customFormat="false" ht="51.75" hidden="false" customHeight="true" outlineLevel="0" collapsed="false">
      <c r="A55" s="22" t="s">
        <v>10330</v>
      </c>
      <c r="B55" s="22" t="s">
        <v>10331</v>
      </c>
      <c r="C55" s="22" t="s">
        <v>8427</v>
      </c>
      <c r="D55" s="22" t="s">
        <v>8428</v>
      </c>
      <c r="E55" s="22" t="s">
        <v>10292</v>
      </c>
      <c r="F55" s="22" t="s">
        <v>10332</v>
      </c>
      <c r="G55" s="22" t="s">
        <v>388</v>
      </c>
      <c r="H55" s="22" t="str">
        <f aca="false">IFERROR(VLOOKUP(G55,'Master Taxonomy'!$A$2:$B$1656,2,FALSE()),"")</f>
        <v>Dryads and Tree-Bound Beings</v>
      </c>
      <c r="I55" s="22" t="s">
        <v>1603</v>
      </c>
      <c r="J55" s="22" t="s">
        <v>1604</v>
      </c>
      <c r="K55" s="22" t="s">
        <v>10333</v>
      </c>
      <c r="L55" s="22" t="s">
        <v>10334</v>
      </c>
      <c r="M55" s="22" t="s">
        <v>10335</v>
      </c>
      <c r="N55" s="22" t="s">
        <v>10336</v>
      </c>
      <c r="O55" s="22" t="s">
        <v>9960</v>
      </c>
      <c r="P55" s="22" t="s">
        <v>9961</v>
      </c>
      <c r="Q55" s="22" t="s">
        <v>10298</v>
      </c>
      <c r="R55" s="32" t="s">
        <v>8434</v>
      </c>
      <c r="S55" s="22" t="s">
        <v>9963</v>
      </c>
    </row>
    <row r="56" customFormat="false" ht="51.75" hidden="false" customHeight="true" outlineLevel="0" collapsed="false">
      <c r="A56" s="22" t="s">
        <v>10337</v>
      </c>
      <c r="B56" s="22" t="s">
        <v>10338</v>
      </c>
      <c r="C56" s="22" t="s">
        <v>8427</v>
      </c>
      <c r="D56" s="22" t="s">
        <v>8428</v>
      </c>
      <c r="E56" s="22" t="s">
        <v>10292</v>
      </c>
      <c r="F56" s="22" t="s">
        <v>10339</v>
      </c>
      <c r="G56" s="22" t="s">
        <v>1927</v>
      </c>
      <c r="H56" s="22" t="str">
        <f aca="false">IFERROR(VLOOKUP(G56,'Master Taxonomy'!$A$2:$B$1656,2,FALSE()),"")</f>
        <v>Witcher and Alchemical Monster Hunter</v>
      </c>
      <c r="I56" s="22" t="s">
        <v>10340</v>
      </c>
      <c r="J56" s="22" t="s">
        <v>10341</v>
      </c>
      <c r="K56" s="22" t="s">
        <v>10342</v>
      </c>
      <c r="L56" s="22" t="s">
        <v>10343</v>
      </c>
      <c r="M56" s="22" t="s">
        <v>10344</v>
      </c>
      <c r="N56" s="22" t="s">
        <v>10345</v>
      </c>
      <c r="O56" s="22" t="s">
        <v>9960</v>
      </c>
      <c r="P56" s="22" t="s">
        <v>9961</v>
      </c>
      <c r="Q56" s="22" t="s">
        <v>10298</v>
      </c>
      <c r="R56" s="32" t="s">
        <v>8434</v>
      </c>
      <c r="S56" s="22" t="s">
        <v>9963</v>
      </c>
    </row>
    <row r="57" customFormat="false" ht="51.75" hidden="false" customHeight="true" outlineLevel="0" collapsed="false">
      <c r="A57" s="22" t="s">
        <v>10346</v>
      </c>
      <c r="B57" s="22" t="s">
        <v>10347</v>
      </c>
      <c r="C57" s="22" t="s">
        <v>8427</v>
      </c>
      <c r="D57" s="22" t="s">
        <v>8428</v>
      </c>
      <c r="E57" s="22" t="s">
        <v>10348</v>
      </c>
      <c r="F57" s="22" t="s">
        <v>10349</v>
      </c>
      <c r="G57" s="22" t="s">
        <v>3355</v>
      </c>
      <c r="H57" s="22" t="str">
        <f aca="false">IFERROR(VLOOKUP(G57,'Master Taxonomy'!$A$2:$B$1656,2,FALSE()),"")</f>
        <v>Witcher School</v>
      </c>
      <c r="I57" s="22" t="s">
        <v>3351</v>
      </c>
      <c r="J57" s="22" t="s">
        <v>3352</v>
      </c>
      <c r="K57" s="22" t="s">
        <v>10350</v>
      </c>
      <c r="L57" s="22" t="s">
        <v>10351</v>
      </c>
      <c r="M57" s="22" t="s">
        <v>10352</v>
      </c>
      <c r="N57" s="22" t="s">
        <v>10353</v>
      </c>
      <c r="O57" s="22" t="s">
        <v>9960</v>
      </c>
      <c r="P57" s="22" t="s">
        <v>9961</v>
      </c>
      <c r="Q57" s="22" t="s">
        <v>10298</v>
      </c>
      <c r="R57" s="32" t="s">
        <v>8434</v>
      </c>
      <c r="S57" s="22" t="s">
        <v>9963</v>
      </c>
    </row>
    <row r="58" customFormat="false" ht="51.75" hidden="false" customHeight="true" outlineLevel="0" collapsed="false">
      <c r="A58" s="22" t="s">
        <v>10354</v>
      </c>
      <c r="B58" s="22" t="s">
        <v>10355</v>
      </c>
      <c r="C58" s="22" t="s">
        <v>8427</v>
      </c>
      <c r="D58" s="22" t="s">
        <v>8428</v>
      </c>
      <c r="E58" s="22" t="s">
        <v>10292</v>
      </c>
      <c r="F58" s="22" t="s">
        <v>10356</v>
      </c>
      <c r="G58" s="22" t="s">
        <v>1233</v>
      </c>
      <c r="H58" s="22" t="str">
        <f aca="false">IFERROR(VLOOKUP(G58,'Master Taxonomy'!$A$2:$B$1656,2,FALSE()),"")</f>
        <v>Mage and Wizard</v>
      </c>
      <c r="I58" s="22" t="s">
        <v>3266</v>
      </c>
      <c r="J58" s="22" t="s">
        <v>3267</v>
      </c>
      <c r="K58" s="22" t="s">
        <v>10357</v>
      </c>
      <c r="L58" s="22" t="s">
        <v>10358</v>
      </c>
      <c r="M58" s="22" t="s">
        <v>10359</v>
      </c>
      <c r="N58" s="22" t="s">
        <v>10360</v>
      </c>
      <c r="O58" s="22" t="s">
        <v>9960</v>
      </c>
      <c r="P58" s="22" t="s">
        <v>9961</v>
      </c>
      <c r="Q58" s="22" t="s">
        <v>10298</v>
      </c>
      <c r="R58" s="32" t="s">
        <v>8434</v>
      </c>
      <c r="S58" s="22" t="s">
        <v>9963</v>
      </c>
    </row>
    <row r="59" customFormat="false" ht="51.75" hidden="false" customHeight="true" outlineLevel="0" collapsed="false">
      <c r="A59" s="22" t="s">
        <v>10361</v>
      </c>
      <c r="B59" s="22" t="s">
        <v>10362</v>
      </c>
      <c r="C59" s="22" t="s">
        <v>8427</v>
      </c>
      <c r="D59" s="22" t="s">
        <v>8428</v>
      </c>
      <c r="E59" s="22" t="s">
        <v>10292</v>
      </c>
      <c r="F59" s="22" t="s">
        <v>10363</v>
      </c>
      <c r="G59" s="22" t="s">
        <v>3434</v>
      </c>
      <c r="H59" s="22" t="str">
        <f aca="false">IFERROR(VLOOKUP(G59,'Master Taxonomy'!$A$2:$B$1656,2,FALSE()),"")</f>
        <v>Mage Academy</v>
      </c>
      <c r="I59" s="22" t="s">
        <v>3266</v>
      </c>
      <c r="J59" s="22" t="s">
        <v>3267</v>
      </c>
      <c r="K59" s="22" t="s">
        <v>10364</v>
      </c>
      <c r="L59" s="22" t="s">
        <v>10365</v>
      </c>
      <c r="M59" s="22" t="s">
        <v>10366</v>
      </c>
      <c r="N59" s="22" t="s">
        <v>10367</v>
      </c>
      <c r="O59" s="22" t="s">
        <v>9960</v>
      </c>
      <c r="P59" s="22" t="s">
        <v>9961</v>
      </c>
      <c r="Q59" s="22" t="s">
        <v>10298</v>
      </c>
      <c r="R59" s="32" t="s">
        <v>8434</v>
      </c>
      <c r="S59" s="22" t="s">
        <v>9963</v>
      </c>
    </row>
    <row r="60" customFormat="false" ht="51.75" hidden="false" customHeight="true" outlineLevel="0" collapsed="false">
      <c r="A60" s="22" t="s">
        <v>10368</v>
      </c>
      <c r="B60" s="22" t="s">
        <v>10369</v>
      </c>
      <c r="C60" s="22" t="s">
        <v>8427</v>
      </c>
      <c r="D60" s="22" t="s">
        <v>8428</v>
      </c>
      <c r="E60" s="22" t="s">
        <v>10292</v>
      </c>
      <c r="F60" s="22" t="s">
        <v>10363</v>
      </c>
      <c r="G60" s="22" t="s">
        <v>3434</v>
      </c>
      <c r="H60" s="22" t="str">
        <f aca="false">IFERROR(VLOOKUP(G60,'Master Taxonomy'!$A$2:$B$1656,2,FALSE()),"")</f>
        <v>Mage Academy</v>
      </c>
      <c r="I60" s="22" t="s">
        <v>3266</v>
      </c>
      <c r="J60" s="22" t="s">
        <v>3267</v>
      </c>
      <c r="K60" s="22" t="s">
        <v>10370</v>
      </c>
      <c r="L60" s="22" t="s">
        <v>10371</v>
      </c>
      <c r="M60" s="22" t="s">
        <v>10372</v>
      </c>
      <c r="N60" s="22" t="s">
        <v>10373</v>
      </c>
      <c r="O60" s="22" t="s">
        <v>9960</v>
      </c>
      <c r="P60" s="22" t="s">
        <v>9961</v>
      </c>
      <c r="Q60" s="22" t="s">
        <v>10298</v>
      </c>
      <c r="R60" s="32" t="s">
        <v>8434</v>
      </c>
      <c r="S60" s="22" t="s">
        <v>9963</v>
      </c>
    </row>
    <row r="61" customFormat="false" ht="51.75" hidden="false" customHeight="true" outlineLevel="0" collapsed="false">
      <c r="A61" s="22" t="s">
        <v>10374</v>
      </c>
      <c r="B61" s="22" t="s">
        <v>10375</v>
      </c>
      <c r="C61" s="22" t="s">
        <v>8427</v>
      </c>
      <c r="D61" s="22" t="s">
        <v>8428</v>
      </c>
      <c r="E61" s="22" t="s">
        <v>10292</v>
      </c>
      <c r="F61" s="22" t="s">
        <v>10376</v>
      </c>
      <c r="G61" s="22" t="s">
        <v>1555</v>
      </c>
      <c r="H61" s="22" t="str">
        <f aca="false">IFERROR(VLOOKUP(G61,'Master Taxonomy'!$A$2:$B$1656,2,FALSE()),"")</f>
        <v>Druid</v>
      </c>
      <c r="I61" s="22" t="s">
        <v>3430</v>
      </c>
      <c r="J61" s="22" t="s">
        <v>3431</v>
      </c>
      <c r="K61" s="22" t="s">
        <v>10377</v>
      </c>
      <c r="L61" s="22" t="s">
        <v>10378</v>
      </c>
      <c r="M61" s="22" t="s">
        <v>10379</v>
      </c>
      <c r="N61" s="22" t="s">
        <v>10380</v>
      </c>
      <c r="O61" s="22" t="s">
        <v>9960</v>
      </c>
      <c r="P61" s="22" t="s">
        <v>9961</v>
      </c>
      <c r="Q61" s="22" t="s">
        <v>10298</v>
      </c>
      <c r="R61" s="32" t="s">
        <v>8434</v>
      </c>
      <c r="S61" s="22" t="s">
        <v>9963</v>
      </c>
    </row>
    <row r="62" customFormat="false" ht="51.75" hidden="false" customHeight="true" outlineLevel="0" collapsed="false">
      <c r="A62" s="22" t="s">
        <v>10381</v>
      </c>
      <c r="B62" s="22" t="s">
        <v>10382</v>
      </c>
      <c r="C62" s="22" t="s">
        <v>8427</v>
      </c>
      <c r="D62" s="22" t="s">
        <v>8428</v>
      </c>
      <c r="E62" s="22" t="s">
        <v>10383</v>
      </c>
      <c r="F62" s="22" t="s">
        <v>10384</v>
      </c>
      <c r="G62" s="22" t="s">
        <v>594</v>
      </c>
      <c r="H62" s="22" t="str">
        <f aca="false">IFERROR(VLOOKUP(G62,'Master Taxonomy'!$A$2:$B$1656,2,FALSE()),"")</f>
        <v>Vampires</v>
      </c>
      <c r="I62" s="22"/>
      <c r="J62" s="22"/>
      <c r="K62" s="22" t="s">
        <v>10385</v>
      </c>
      <c r="L62" s="22" t="s">
        <v>10386</v>
      </c>
      <c r="M62" s="22" t="s">
        <v>10387</v>
      </c>
      <c r="N62" s="22" t="s">
        <v>10388</v>
      </c>
      <c r="O62" s="22" t="s">
        <v>9960</v>
      </c>
      <c r="P62" s="22" t="s">
        <v>9961</v>
      </c>
      <c r="Q62" s="22" t="s">
        <v>10298</v>
      </c>
      <c r="R62" s="32" t="s">
        <v>8434</v>
      </c>
      <c r="S62" s="22" t="s">
        <v>9963</v>
      </c>
    </row>
    <row r="63" customFormat="false" ht="51.75" hidden="false" customHeight="true" outlineLevel="0" collapsed="false">
      <c r="A63" s="22" t="s">
        <v>10389</v>
      </c>
      <c r="B63" s="22" t="s">
        <v>10390</v>
      </c>
      <c r="C63" s="22" t="s">
        <v>8427</v>
      </c>
      <c r="D63" s="22" t="s">
        <v>8428</v>
      </c>
      <c r="E63" s="22" t="s">
        <v>10292</v>
      </c>
      <c r="F63" s="22" t="s">
        <v>10391</v>
      </c>
      <c r="G63" s="22" t="s">
        <v>594</v>
      </c>
      <c r="H63" s="22" t="str">
        <f aca="false">IFERROR(VLOOKUP(G63,'Master Taxonomy'!$A$2:$B$1656,2,FALSE()),"")</f>
        <v>Vampires</v>
      </c>
      <c r="I63" s="22"/>
      <c r="J63" s="22"/>
      <c r="K63" s="22" t="s">
        <v>10392</v>
      </c>
      <c r="L63" s="22" t="s">
        <v>10393</v>
      </c>
      <c r="M63" s="22" t="s">
        <v>10394</v>
      </c>
      <c r="N63" s="22" t="s">
        <v>10395</v>
      </c>
      <c r="O63" s="22" t="s">
        <v>9960</v>
      </c>
      <c r="P63" s="22" t="s">
        <v>9961</v>
      </c>
      <c r="Q63" s="22" t="s">
        <v>10298</v>
      </c>
      <c r="R63" s="32" t="s">
        <v>8434</v>
      </c>
      <c r="S63" s="22" t="s">
        <v>9963</v>
      </c>
    </row>
    <row r="64" customFormat="false" ht="51.75" hidden="false" customHeight="true" outlineLevel="0" collapsed="false">
      <c r="A64" s="22" t="s">
        <v>10396</v>
      </c>
      <c r="B64" s="22" t="s">
        <v>10397</v>
      </c>
      <c r="C64" s="22" t="s">
        <v>8427</v>
      </c>
      <c r="D64" s="22" t="s">
        <v>8428</v>
      </c>
      <c r="E64" s="22" t="s">
        <v>10292</v>
      </c>
      <c r="F64" s="22" t="s">
        <v>10398</v>
      </c>
      <c r="G64" s="22" t="s">
        <v>811</v>
      </c>
      <c r="H64" s="22" t="str">
        <f aca="false">IFERROR(VLOOKUP(G64,'Master Taxonomy'!$A$2:$B$1656,2,FALSE()),"")</f>
        <v>Doppelgangers and Identity Mimics</v>
      </c>
      <c r="I64" s="22"/>
      <c r="J64" s="22"/>
      <c r="K64" s="22" t="s">
        <v>10399</v>
      </c>
      <c r="L64" s="22" t="s">
        <v>10400</v>
      </c>
      <c r="M64" s="22" t="s">
        <v>10401</v>
      </c>
      <c r="N64" s="22" t="s">
        <v>10402</v>
      </c>
      <c r="O64" s="22" t="s">
        <v>9960</v>
      </c>
      <c r="P64" s="22" t="s">
        <v>9961</v>
      </c>
      <c r="Q64" s="22" t="s">
        <v>10298</v>
      </c>
      <c r="R64" s="32" t="s">
        <v>8434</v>
      </c>
      <c r="S64" s="22" t="s">
        <v>9963</v>
      </c>
    </row>
    <row r="65" customFormat="false" ht="51.75" hidden="false" customHeight="true" outlineLevel="0" collapsed="false">
      <c r="A65" s="22" t="s">
        <v>10403</v>
      </c>
      <c r="B65" s="22" t="s">
        <v>10404</v>
      </c>
      <c r="C65" s="22" t="s">
        <v>8427</v>
      </c>
      <c r="D65" s="22" t="s">
        <v>8428</v>
      </c>
      <c r="E65" s="22" t="s">
        <v>10292</v>
      </c>
      <c r="F65" s="22" t="s">
        <v>10405</v>
      </c>
      <c r="G65" s="22" t="s">
        <v>815</v>
      </c>
      <c r="H65" s="22" t="str">
        <f aca="false">IFERROR(VLOOKUP(G65,'Master Taxonomy'!$A$2:$B$1656,2,FALSE()),"")</f>
        <v>Therianthropes</v>
      </c>
      <c r="I65" s="22" t="s">
        <v>2838</v>
      </c>
      <c r="J65" s="22" t="s">
        <v>2839</v>
      </c>
      <c r="K65" s="22" t="s">
        <v>10406</v>
      </c>
      <c r="L65" s="22" t="s">
        <v>10407</v>
      </c>
      <c r="M65" s="22" t="s">
        <v>10408</v>
      </c>
      <c r="N65" s="22" t="s">
        <v>10409</v>
      </c>
      <c r="O65" s="22" t="s">
        <v>9960</v>
      </c>
      <c r="P65" s="22" t="s">
        <v>9961</v>
      </c>
      <c r="Q65" s="22" t="s">
        <v>10298</v>
      </c>
      <c r="R65" s="32" t="s">
        <v>8434</v>
      </c>
      <c r="S65" s="22" t="s">
        <v>9963</v>
      </c>
    </row>
    <row r="66" customFormat="false" ht="51.75" hidden="false" customHeight="true" outlineLevel="0" collapsed="false">
      <c r="A66" s="22" t="s">
        <v>10410</v>
      </c>
      <c r="B66" s="22" t="s">
        <v>10411</v>
      </c>
      <c r="C66" s="22" t="s">
        <v>8427</v>
      </c>
      <c r="D66" s="22" t="s">
        <v>8428</v>
      </c>
      <c r="E66" s="22" t="s">
        <v>10412</v>
      </c>
      <c r="F66" s="22" t="s">
        <v>10413</v>
      </c>
      <c r="G66" s="22" t="s">
        <v>400</v>
      </c>
      <c r="H66" s="22" t="str">
        <f aca="false">IFERROR(VLOOKUP(G66,'Master Taxonomy'!$A$2:$B$1656,2,FALSE()),"")</f>
        <v>Land and Watershed Spirits</v>
      </c>
      <c r="I66" s="22" t="s">
        <v>1603</v>
      </c>
      <c r="J66" s="22" t="s">
        <v>1604</v>
      </c>
      <c r="K66" s="22" t="s">
        <v>10414</v>
      </c>
      <c r="L66" s="22" t="s">
        <v>10415</v>
      </c>
      <c r="M66" s="22" t="s">
        <v>10416</v>
      </c>
      <c r="N66" s="22" t="s">
        <v>10417</v>
      </c>
      <c r="O66" s="22" t="s">
        <v>9960</v>
      </c>
      <c r="P66" s="22" t="s">
        <v>9961</v>
      </c>
      <c r="Q66" s="22" t="s">
        <v>10298</v>
      </c>
      <c r="R66" s="32" t="s">
        <v>8434</v>
      </c>
      <c r="S66" s="22" t="s">
        <v>9963</v>
      </c>
    </row>
    <row r="67" customFormat="false" ht="51.75" hidden="false" customHeight="true" outlineLevel="0" collapsed="false">
      <c r="A67" s="22" t="s">
        <v>10418</v>
      </c>
      <c r="B67" s="22" t="s">
        <v>10419</v>
      </c>
      <c r="C67" s="22" t="s">
        <v>8427</v>
      </c>
      <c r="D67" s="22" t="s">
        <v>8428</v>
      </c>
      <c r="E67" s="22" t="s">
        <v>10420</v>
      </c>
      <c r="F67" s="22" t="s">
        <v>10421</v>
      </c>
      <c r="G67" s="22" t="s">
        <v>569</v>
      </c>
      <c r="H67" s="22" t="str">
        <f aca="false">IFERROR(VLOOKUP(G67,'Master Taxonomy'!$A$2:$B$1656,2,FALSE()),"")</f>
        <v>Ghosts</v>
      </c>
      <c r="I67" s="22" t="s">
        <v>2999</v>
      </c>
      <c r="J67" s="22" t="s">
        <v>3000</v>
      </c>
      <c r="K67" s="22" t="s">
        <v>10422</v>
      </c>
      <c r="L67" s="22" t="s">
        <v>10423</v>
      </c>
      <c r="M67" s="22" t="s">
        <v>10424</v>
      </c>
      <c r="N67" s="22" t="s">
        <v>10425</v>
      </c>
      <c r="O67" s="22" t="s">
        <v>9960</v>
      </c>
      <c r="P67" s="22" t="s">
        <v>9961</v>
      </c>
      <c r="Q67" s="22" t="s">
        <v>10298</v>
      </c>
      <c r="R67" s="32" t="s">
        <v>8434</v>
      </c>
      <c r="S67" s="22" t="s">
        <v>9963</v>
      </c>
    </row>
    <row r="68" customFormat="false" ht="51.75" hidden="false" customHeight="true" outlineLevel="0" collapsed="false">
      <c r="A68" s="22" t="s">
        <v>10426</v>
      </c>
      <c r="B68" s="22" t="s">
        <v>10427</v>
      </c>
      <c r="C68" s="22" t="s">
        <v>8427</v>
      </c>
      <c r="D68" s="22" t="s">
        <v>8428</v>
      </c>
      <c r="E68" s="22" t="s">
        <v>10412</v>
      </c>
      <c r="F68" s="22" t="s">
        <v>10428</v>
      </c>
      <c r="G68" s="22" t="s">
        <v>574</v>
      </c>
      <c r="H68" s="22" t="str">
        <f aca="false">IFERROR(VLOOKUP(G68,'Master Taxonomy'!$A$2:$B$1656,2,FALSE()),"")</f>
        <v>Revenants</v>
      </c>
      <c r="I68" s="22" t="s">
        <v>2999</v>
      </c>
      <c r="J68" s="22" t="s">
        <v>3000</v>
      </c>
      <c r="K68" s="22" t="s">
        <v>10429</v>
      </c>
      <c r="L68" s="22" t="s">
        <v>10430</v>
      </c>
      <c r="M68" s="22" t="s">
        <v>10431</v>
      </c>
      <c r="N68" s="22" t="s">
        <v>10432</v>
      </c>
      <c r="O68" s="22" t="s">
        <v>9960</v>
      </c>
      <c r="P68" s="22" t="s">
        <v>9961</v>
      </c>
      <c r="Q68" s="22" t="s">
        <v>10298</v>
      </c>
      <c r="R68" s="32" t="s">
        <v>8434</v>
      </c>
      <c r="S68" s="22" t="s">
        <v>9963</v>
      </c>
    </row>
    <row r="69" customFormat="false" ht="51.75" hidden="false" customHeight="true" outlineLevel="0" collapsed="false">
      <c r="A69" s="22" t="s">
        <v>10433</v>
      </c>
      <c r="B69" s="22" t="s">
        <v>10434</v>
      </c>
      <c r="C69" s="22" t="s">
        <v>8427</v>
      </c>
      <c r="D69" s="22" t="s">
        <v>8428</v>
      </c>
      <c r="E69" s="22" t="s">
        <v>10292</v>
      </c>
      <c r="F69" s="22" t="s">
        <v>10435</v>
      </c>
      <c r="G69" s="22" t="s">
        <v>435</v>
      </c>
      <c r="H69" s="22" t="str">
        <f aca="false">IFERROR(VLOOKUP(G69,'Master Taxonomy'!$A$2:$B$1656,2,FALSE()),"")</f>
        <v>Genies and Djinn-Derived Beings</v>
      </c>
      <c r="I69" s="22"/>
      <c r="J69" s="22"/>
      <c r="K69" s="22" t="s">
        <v>10436</v>
      </c>
      <c r="L69" s="22" t="s">
        <v>10437</v>
      </c>
      <c r="M69" s="22" t="s">
        <v>10438</v>
      </c>
      <c r="N69" s="22" t="s">
        <v>10439</v>
      </c>
      <c r="O69" s="22" t="s">
        <v>9960</v>
      </c>
      <c r="P69" s="22" t="s">
        <v>9961</v>
      </c>
      <c r="Q69" s="22" t="s">
        <v>10298</v>
      </c>
      <c r="R69" s="32" t="s">
        <v>8434</v>
      </c>
      <c r="S69" s="22" t="s">
        <v>9963</v>
      </c>
    </row>
    <row r="70" customFormat="false" ht="51.75" hidden="false" customHeight="true" outlineLevel="0" collapsed="false">
      <c r="A70" s="22" t="s">
        <v>10440</v>
      </c>
      <c r="B70" s="22" t="s">
        <v>10075</v>
      </c>
      <c r="C70" s="22" t="s">
        <v>8427</v>
      </c>
      <c r="D70" s="22" t="s">
        <v>8428</v>
      </c>
      <c r="E70" s="22" t="s">
        <v>10292</v>
      </c>
      <c r="F70" s="22" t="s">
        <v>10441</v>
      </c>
      <c r="G70" s="22" t="s">
        <v>683</v>
      </c>
      <c r="H70" s="22" t="str">
        <f aca="false">IFERROR(VLOOKUP(G70,'Master Taxonomy'!$A$2:$B$1656,2,FALSE()),"")</f>
        <v>True Dragons</v>
      </c>
      <c r="I70" s="22"/>
      <c r="J70" s="22"/>
      <c r="K70" s="22" t="s">
        <v>10442</v>
      </c>
      <c r="L70" s="22" t="s">
        <v>10443</v>
      </c>
      <c r="M70" s="22" t="s">
        <v>10444</v>
      </c>
      <c r="N70" s="22" t="s">
        <v>10445</v>
      </c>
      <c r="O70" s="22" t="s">
        <v>9960</v>
      </c>
      <c r="P70" s="22" t="s">
        <v>9961</v>
      </c>
      <c r="Q70" s="22" t="s">
        <v>10298</v>
      </c>
      <c r="R70" s="32" t="s">
        <v>8434</v>
      </c>
      <c r="S70" s="22" t="s">
        <v>9963</v>
      </c>
    </row>
    <row r="71" customFormat="false" ht="51.75" hidden="false" customHeight="true" outlineLevel="0" collapsed="false">
      <c r="A71" s="22" t="s">
        <v>10446</v>
      </c>
      <c r="B71" s="22" t="s">
        <v>10447</v>
      </c>
      <c r="C71" s="22" t="s">
        <v>8427</v>
      </c>
      <c r="D71" s="22" t="s">
        <v>8428</v>
      </c>
      <c r="E71" s="22" t="s">
        <v>10383</v>
      </c>
      <c r="F71" s="22" t="s">
        <v>10448</v>
      </c>
      <c r="G71" s="22" t="s">
        <v>421</v>
      </c>
      <c r="H71" s="22" t="str">
        <f aca="false">IFERROR(VLOOKUP(G71,'Master Taxonomy'!$A$2:$B$1656,2,FALSE()),"")</f>
        <v>Wild Hunt Beings</v>
      </c>
      <c r="I71" s="22" t="s">
        <v>3251</v>
      </c>
      <c r="J71" s="22" t="s">
        <v>3252</v>
      </c>
      <c r="K71" s="22" t="s">
        <v>10449</v>
      </c>
      <c r="L71" s="22" t="s">
        <v>10450</v>
      </c>
      <c r="M71" s="22" t="s">
        <v>10451</v>
      </c>
      <c r="N71" s="22" t="s">
        <v>10452</v>
      </c>
      <c r="O71" s="22" t="s">
        <v>9960</v>
      </c>
      <c r="P71" s="22" t="s">
        <v>9961</v>
      </c>
      <c r="Q71" s="22" t="s">
        <v>10298</v>
      </c>
      <c r="R71" s="32" t="s">
        <v>8434</v>
      </c>
      <c r="S71" s="22" t="s">
        <v>9963</v>
      </c>
    </row>
    <row r="72" customFormat="false" ht="51.75" hidden="false" customHeight="true" outlineLevel="0" collapsed="false">
      <c r="A72" s="22" t="s">
        <v>10453</v>
      </c>
      <c r="B72" s="22" t="s">
        <v>10454</v>
      </c>
      <c r="C72" s="22" t="s">
        <v>8427</v>
      </c>
      <c r="D72" s="22" t="s">
        <v>8428</v>
      </c>
      <c r="E72" s="22" t="s">
        <v>10412</v>
      </c>
      <c r="F72" s="22" t="s">
        <v>10455</v>
      </c>
      <c r="G72" s="22" t="s">
        <v>2550</v>
      </c>
      <c r="H72" s="22" t="str">
        <f aca="false">IFERROR(VLOOKUP(G72,'Master Taxonomy'!$A$2:$B$1656,2,FALSE()),"")</f>
        <v>Sigils, Seals, and Wards</v>
      </c>
      <c r="I72" s="22"/>
      <c r="J72" s="22"/>
      <c r="K72" s="22" t="s">
        <v>10456</v>
      </c>
      <c r="L72" s="22" t="s">
        <v>10457</v>
      </c>
      <c r="M72" s="22" t="s">
        <v>10458</v>
      </c>
      <c r="N72" s="22" t="s">
        <v>10459</v>
      </c>
      <c r="O72" s="22" t="s">
        <v>9960</v>
      </c>
      <c r="P72" s="22" t="s">
        <v>9961</v>
      </c>
      <c r="Q72" s="22" t="s">
        <v>10298</v>
      </c>
      <c r="R72" s="32" t="s">
        <v>8434</v>
      </c>
      <c r="S72" s="22" t="s">
        <v>9963</v>
      </c>
    </row>
    <row r="73" customFormat="false" ht="51.75" hidden="false" customHeight="true" outlineLevel="0" collapsed="false">
      <c r="A73" s="22" t="s">
        <v>10460</v>
      </c>
      <c r="B73" s="22" t="s">
        <v>10461</v>
      </c>
      <c r="C73" s="22" t="s">
        <v>8427</v>
      </c>
      <c r="D73" s="22" t="s">
        <v>8428</v>
      </c>
      <c r="E73" s="22" t="s">
        <v>10412</v>
      </c>
      <c r="F73" s="22" t="s">
        <v>10462</v>
      </c>
      <c r="G73" s="22" t="s">
        <v>2595</v>
      </c>
      <c r="H73" s="22" t="str">
        <f aca="false">IFERROR(VLOOKUP(G73,'Master Taxonomy'!$A$2:$B$1656,2,FALSE()),"")</f>
        <v>Alchemy</v>
      </c>
      <c r="I73" s="22" t="s">
        <v>2859</v>
      </c>
      <c r="J73" s="22" t="s">
        <v>2860</v>
      </c>
      <c r="K73" s="22" t="s">
        <v>10463</v>
      </c>
      <c r="L73" s="22" t="s">
        <v>10464</v>
      </c>
      <c r="M73" s="22" t="s">
        <v>10465</v>
      </c>
      <c r="N73" s="22" t="s">
        <v>10466</v>
      </c>
      <c r="O73" s="22" t="s">
        <v>9960</v>
      </c>
      <c r="P73" s="22" t="s">
        <v>9961</v>
      </c>
      <c r="Q73" s="22" t="s">
        <v>10298</v>
      </c>
      <c r="R73" s="32" t="s">
        <v>8434</v>
      </c>
      <c r="S73" s="22" t="s">
        <v>9963</v>
      </c>
    </row>
    <row r="74" customFormat="false" ht="51.75" hidden="false" customHeight="true" outlineLevel="0" collapsed="false">
      <c r="A74" s="22" t="s">
        <v>10467</v>
      </c>
      <c r="B74" s="22" t="s">
        <v>982</v>
      </c>
      <c r="C74" s="22" t="s">
        <v>8718</v>
      </c>
      <c r="D74" s="22" t="s">
        <v>8719</v>
      </c>
      <c r="E74" s="22" t="s">
        <v>10468</v>
      </c>
      <c r="F74" s="22" t="s">
        <v>10469</v>
      </c>
      <c r="G74" s="22" t="s">
        <v>981</v>
      </c>
      <c r="H74" s="22" t="str">
        <f aca="false">IFERROR(VLOOKUP(G74,'Master Taxonomy'!$A$2:$B$1656,2,FALSE()),"")</f>
        <v>Barbarian</v>
      </c>
      <c r="I74" s="22"/>
      <c r="J74" s="22"/>
      <c r="K74" s="22" t="s">
        <v>10470</v>
      </c>
      <c r="L74" s="22" t="s">
        <v>10471</v>
      </c>
      <c r="M74" s="22" t="s">
        <v>10472</v>
      </c>
      <c r="N74" s="22" t="s">
        <v>10473</v>
      </c>
      <c r="O74" s="22" t="s">
        <v>9960</v>
      </c>
      <c r="P74" s="22" t="s">
        <v>9961</v>
      </c>
      <c r="Q74" s="22" t="s">
        <v>10474</v>
      </c>
      <c r="R74" s="32" t="s">
        <v>8726</v>
      </c>
      <c r="S74" s="22" t="s">
        <v>9963</v>
      </c>
    </row>
    <row r="75" customFormat="false" ht="51.75" hidden="false" customHeight="true" outlineLevel="0" collapsed="false">
      <c r="A75" s="22" t="s">
        <v>10475</v>
      </c>
      <c r="B75" s="22" t="s">
        <v>1653</v>
      </c>
      <c r="C75" s="22" t="s">
        <v>8718</v>
      </c>
      <c r="D75" s="22" t="s">
        <v>8719</v>
      </c>
      <c r="E75" s="22" t="s">
        <v>10468</v>
      </c>
      <c r="F75" s="22" t="s">
        <v>10469</v>
      </c>
      <c r="G75" s="22" t="s">
        <v>1652</v>
      </c>
      <c r="H75" s="22" t="str">
        <f aca="false">IFERROR(VLOOKUP(G75,'Master Taxonomy'!$A$2:$B$1656,2,FALSE()),"")</f>
        <v>Bard</v>
      </c>
      <c r="I75" s="22"/>
      <c r="J75" s="22"/>
      <c r="K75" s="22" t="s">
        <v>10476</v>
      </c>
      <c r="L75" s="22" t="s">
        <v>10477</v>
      </c>
      <c r="M75" s="22" t="s">
        <v>10478</v>
      </c>
      <c r="N75" s="22" t="s">
        <v>10479</v>
      </c>
      <c r="O75" s="22" t="s">
        <v>9960</v>
      </c>
      <c r="P75" s="22" t="s">
        <v>9961</v>
      </c>
      <c r="Q75" s="22" t="s">
        <v>10474</v>
      </c>
      <c r="R75" s="32" t="s">
        <v>8726</v>
      </c>
      <c r="S75" s="22" t="s">
        <v>9963</v>
      </c>
    </row>
    <row r="76" customFormat="false" ht="51.75" hidden="false" customHeight="true" outlineLevel="0" collapsed="false">
      <c r="A76" s="22" t="s">
        <v>10480</v>
      </c>
      <c r="B76" s="22" t="s">
        <v>1458</v>
      </c>
      <c r="C76" s="22" t="s">
        <v>8718</v>
      </c>
      <c r="D76" s="22" t="s">
        <v>8719</v>
      </c>
      <c r="E76" s="22" t="s">
        <v>10468</v>
      </c>
      <c r="F76" s="22" t="s">
        <v>10469</v>
      </c>
      <c r="G76" s="22" t="s">
        <v>1457</v>
      </c>
      <c r="H76" s="22" t="str">
        <f aca="false">IFERROR(VLOOKUP(G76,'Master Taxonomy'!$A$2:$B$1656,2,FALSE()),"")</f>
        <v>Cleric</v>
      </c>
      <c r="I76" s="22" t="s">
        <v>1452</v>
      </c>
      <c r="J76" s="22" t="s">
        <v>1453</v>
      </c>
      <c r="K76" s="22" t="s">
        <v>10481</v>
      </c>
      <c r="L76" s="22" t="s">
        <v>10482</v>
      </c>
      <c r="M76" s="22" t="s">
        <v>10483</v>
      </c>
      <c r="N76" s="22" t="s">
        <v>10484</v>
      </c>
      <c r="O76" s="22" t="s">
        <v>9960</v>
      </c>
      <c r="P76" s="22" t="s">
        <v>9961</v>
      </c>
      <c r="Q76" s="22" t="s">
        <v>10474</v>
      </c>
      <c r="R76" s="32" t="s">
        <v>8726</v>
      </c>
      <c r="S76" s="22" t="s">
        <v>9963</v>
      </c>
    </row>
    <row r="77" customFormat="false" ht="51.75" hidden="false" customHeight="true" outlineLevel="0" collapsed="false">
      <c r="A77" s="22" t="s">
        <v>10485</v>
      </c>
      <c r="B77" s="22" t="s">
        <v>1556</v>
      </c>
      <c r="C77" s="22" t="s">
        <v>8718</v>
      </c>
      <c r="D77" s="22" t="s">
        <v>8719</v>
      </c>
      <c r="E77" s="22" t="s">
        <v>10468</v>
      </c>
      <c r="F77" s="22" t="s">
        <v>10469</v>
      </c>
      <c r="G77" s="22" t="s">
        <v>1555</v>
      </c>
      <c r="H77" s="22" t="str">
        <f aca="false">IFERROR(VLOOKUP(G77,'Master Taxonomy'!$A$2:$B$1656,2,FALSE()),"")</f>
        <v>Druid</v>
      </c>
      <c r="I77" s="22"/>
      <c r="J77" s="22"/>
      <c r="K77" s="22" t="s">
        <v>10486</v>
      </c>
      <c r="L77" s="22" t="s">
        <v>10487</v>
      </c>
      <c r="M77" s="22" t="s">
        <v>10488</v>
      </c>
      <c r="N77" s="22" t="s">
        <v>10489</v>
      </c>
      <c r="O77" s="22" t="s">
        <v>9960</v>
      </c>
      <c r="P77" s="22" t="s">
        <v>9961</v>
      </c>
      <c r="Q77" s="22" t="s">
        <v>10474</v>
      </c>
      <c r="R77" s="32" t="s">
        <v>8726</v>
      </c>
      <c r="S77" s="22" t="s">
        <v>9963</v>
      </c>
    </row>
    <row r="78" customFormat="false" ht="51.75" hidden="false" customHeight="true" outlineLevel="0" collapsed="false">
      <c r="A78" s="22" t="s">
        <v>10490</v>
      </c>
      <c r="B78" s="22" t="s">
        <v>10491</v>
      </c>
      <c r="C78" s="22" t="s">
        <v>8718</v>
      </c>
      <c r="D78" s="22" t="s">
        <v>8719</v>
      </c>
      <c r="E78" s="22" t="s">
        <v>10468</v>
      </c>
      <c r="F78" s="22" t="s">
        <v>10469</v>
      </c>
      <c r="G78" s="22" t="s">
        <v>934</v>
      </c>
      <c r="H78" s="22" t="str">
        <f aca="false">IFERROR(VLOOKUP(G78,'Master Taxonomy'!$A$2:$B$1656,2,FALSE()),"")</f>
        <v>Warrior or Fighter</v>
      </c>
      <c r="I78" s="22"/>
      <c r="J78" s="22"/>
      <c r="K78" s="22" t="s">
        <v>10492</v>
      </c>
      <c r="L78" s="22" t="s">
        <v>10493</v>
      </c>
      <c r="M78" s="22" t="s">
        <v>10494</v>
      </c>
      <c r="N78" s="22" t="s">
        <v>10495</v>
      </c>
      <c r="O78" s="22" t="s">
        <v>9960</v>
      </c>
      <c r="P78" s="22" t="s">
        <v>9961</v>
      </c>
      <c r="Q78" s="22" t="s">
        <v>10474</v>
      </c>
      <c r="R78" s="32" t="s">
        <v>8726</v>
      </c>
      <c r="S78" s="22" t="s">
        <v>9963</v>
      </c>
    </row>
    <row r="79" customFormat="false" ht="51.75" hidden="false" customHeight="true" outlineLevel="0" collapsed="false">
      <c r="A79" s="22" t="s">
        <v>10496</v>
      </c>
      <c r="B79" s="22" t="s">
        <v>10497</v>
      </c>
      <c r="C79" s="22" t="s">
        <v>8718</v>
      </c>
      <c r="D79" s="22" t="s">
        <v>8719</v>
      </c>
      <c r="E79" s="22" t="s">
        <v>10468</v>
      </c>
      <c r="F79" s="22" t="s">
        <v>10469</v>
      </c>
      <c r="G79" s="22" t="s">
        <v>1027</v>
      </c>
      <c r="H79" s="22" t="str">
        <f aca="false">IFERROR(VLOOKUP(G79,'Master Taxonomy'!$A$2:$B$1656,2,FALSE()),"")</f>
        <v>Monk and Martial Artist</v>
      </c>
      <c r="I79" s="22"/>
      <c r="J79" s="22"/>
      <c r="K79" s="22" t="s">
        <v>10498</v>
      </c>
      <c r="L79" s="22" t="s">
        <v>10499</v>
      </c>
      <c r="M79" s="22" t="s">
        <v>10500</v>
      </c>
      <c r="N79" s="22" t="s">
        <v>10501</v>
      </c>
      <c r="O79" s="22" t="s">
        <v>9960</v>
      </c>
      <c r="P79" s="22" t="s">
        <v>9961</v>
      </c>
      <c r="Q79" s="22" t="s">
        <v>10474</v>
      </c>
      <c r="R79" s="32" t="s">
        <v>8726</v>
      </c>
      <c r="S79" s="22" t="s">
        <v>9963</v>
      </c>
    </row>
    <row r="80" customFormat="false" ht="51.75" hidden="false" customHeight="true" outlineLevel="0" collapsed="false">
      <c r="A80" s="22" t="s">
        <v>10502</v>
      </c>
      <c r="B80" s="22" t="s">
        <v>10503</v>
      </c>
      <c r="C80" s="22" t="s">
        <v>8718</v>
      </c>
      <c r="D80" s="22" t="s">
        <v>8719</v>
      </c>
      <c r="E80" s="22" t="s">
        <v>10468</v>
      </c>
      <c r="F80" s="22" t="s">
        <v>10469</v>
      </c>
      <c r="G80" s="22" t="s">
        <v>1002</v>
      </c>
      <c r="H80" s="22" t="str">
        <f aca="false">IFERROR(VLOOKUP(G80,'Master Taxonomy'!$A$2:$B$1656,2,FALSE()),"")</f>
        <v>Paladin and Holy Knight</v>
      </c>
      <c r="I80" s="22"/>
      <c r="J80" s="22"/>
      <c r="K80" s="22" t="s">
        <v>10504</v>
      </c>
      <c r="L80" s="22" t="s">
        <v>10505</v>
      </c>
      <c r="M80" s="22" t="s">
        <v>10506</v>
      </c>
      <c r="N80" s="22" t="s">
        <v>10507</v>
      </c>
      <c r="O80" s="22" t="s">
        <v>9960</v>
      </c>
      <c r="P80" s="22" t="s">
        <v>9961</v>
      </c>
      <c r="Q80" s="22" t="s">
        <v>10474</v>
      </c>
      <c r="R80" s="32" t="s">
        <v>8726</v>
      </c>
      <c r="S80" s="22" t="s">
        <v>9963</v>
      </c>
    </row>
    <row r="81" customFormat="false" ht="51.75" hidden="false" customHeight="true" outlineLevel="0" collapsed="false">
      <c r="A81" s="22" t="s">
        <v>10508</v>
      </c>
      <c r="B81" s="22" t="s">
        <v>1036</v>
      </c>
      <c r="C81" s="22" t="s">
        <v>8718</v>
      </c>
      <c r="D81" s="22" t="s">
        <v>8719</v>
      </c>
      <c r="E81" s="22" t="s">
        <v>10468</v>
      </c>
      <c r="F81" s="22" t="s">
        <v>10469</v>
      </c>
      <c r="G81" s="22" t="s">
        <v>1035</v>
      </c>
      <c r="H81" s="22" t="str">
        <f aca="false">IFERROR(VLOOKUP(G81,'Master Taxonomy'!$A$2:$B$1656,2,FALSE()),"")</f>
        <v>Ranger</v>
      </c>
      <c r="I81" s="22"/>
      <c r="J81" s="22"/>
      <c r="K81" s="22" t="s">
        <v>10509</v>
      </c>
      <c r="L81" s="22" t="s">
        <v>10510</v>
      </c>
      <c r="M81" s="22" t="s">
        <v>10511</v>
      </c>
      <c r="N81" s="22" t="s">
        <v>10512</v>
      </c>
      <c r="O81" s="22" t="s">
        <v>9960</v>
      </c>
      <c r="P81" s="22" t="s">
        <v>9961</v>
      </c>
      <c r="Q81" s="22" t="s">
        <v>10474</v>
      </c>
      <c r="R81" s="32" t="s">
        <v>8726</v>
      </c>
      <c r="S81" s="22" t="s">
        <v>9963</v>
      </c>
    </row>
    <row r="82" customFormat="false" ht="51.75" hidden="false" customHeight="true" outlineLevel="0" collapsed="false">
      <c r="A82" s="22" t="s">
        <v>10513</v>
      </c>
      <c r="B82" s="22" t="s">
        <v>1157</v>
      </c>
      <c r="C82" s="22" t="s">
        <v>8718</v>
      </c>
      <c r="D82" s="22" t="s">
        <v>8719</v>
      </c>
      <c r="E82" s="22" t="s">
        <v>10468</v>
      </c>
      <c r="F82" s="22" t="s">
        <v>10469</v>
      </c>
      <c r="G82" s="22" t="s">
        <v>1156</v>
      </c>
      <c r="H82" s="22" t="str">
        <f aca="false">IFERROR(VLOOKUP(G82,'Master Taxonomy'!$A$2:$B$1656,2,FALSE()),"")</f>
        <v>Rogue</v>
      </c>
      <c r="I82" s="22"/>
      <c r="J82" s="22"/>
      <c r="K82" s="22" t="s">
        <v>10514</v>
      </c>
      <c r="L82" s="22" t="s">
        <v>10515</v>
      </c>
      <c r="M82" s="22" t="s">
        <v>10516</v>
      </c>
      <c r="N82" s="22" t="s">
        <v>10517</v>
      </c>
      <c r="O82" s="22" t="s">
        <v>9960</v>
      </c>
      <c r="P82" s="22" t="s">
        <v>9961</v>
      </c>
      <c r="Q82" s="22" t="s">
        <v>10474</v>
      </c>
      <c r="R82" s="32" t="s">
        <v>8726</v>
      </c>
      <c r="S82" s="22" t="s">
        <v>9963</v>
      </c>
    </row>
    <row r="83" customFormat="false" ht="51.75" hidden="false" customHeight="true" outlineLevel="0" collapsed="false">
      <c r="A83" s="22" t="s">
        <v>10518</v>
      </c>
      <c r="B83" s="22" t="s">
        <v>1239</v>
      </c>
      <c r="C83" s="22" t="s">
        <v>8718</v>
      </c>
      <c r="D83" s="22" t="s">
        <v>8719</v>
      </c>
      <c r="E83" s="22" t="s">
        <v>10468</v>
      </c>
      <c r="F83" s="22" t="s">
        <v>10469</v>
      </c>
      <c r="G83" s="22" t="s">
        <v>1238</v>
      </c>
      <c r="H83" s="22" t="str">
        <f aca="false">IFERROR(VLOOKUP(G83,'Master Taxonomy'!$A$2:$B$1656,2,FALSE()),"")</f>
        <v>Sorcerer</v>
      </c>
      <c r="I83" s="22" t="s">
        <v>2192</v>
      </c>
      <c r="J83" s="22" t="s">
        <v>2193</v>
      </c>
      <c r="K83" s="22" t="s">
        <v>10519</v>
      </c>
      <c r="L83" s="22" t="s">
        <v>10520</v>
      </c>
      <c r="M83" s="22" t="s">
        <v>10521</v>
      </c>
      <c r="N83" s="22" t="s">
        <v>10522</v>
      </c>
      <c r="O83" s="22" t="s">
        <v>9960</v>
      </c>
      <c r="P83" s="22" t="s">
        <v>9961</v>
      </c>
      <c r="Q83" s="22" t="s">
        <v>10474</v>
      </c>
      <c r="R83" s="32" t="s">
        <v>8726</v>
      </c>
      <c r="S83" s="22" t="s">
        <v>9963</v>
      </c>
    </row>
    <row r="84" customFormat="false" ht="51.75" hidden="false" customHeight="true" outlineLevel="0" collapsed="false">
      <c r="A84" s="22" t="s">
        <v>10523</v>
      </c>
      <c r="B84" s="22" t="s">
        <v>1248</v>
      </c>
      <c r="C84" s="22" t="s">
        <v>8718</v>
      </c>
      <c r="D84" s="22" t="s">
        <v>8719</v>
      </c>
      <c r="E84" s="22" t="s">
        <v>10468</v>
      </c>
      <c r="F84" s="22" t="s">
        <v>10469</v>
      </c>
      <c r="G84" s="22" t="s">
        <v>1247</v>
      </c>
      <c r="H84" s="22" t="str">
        <f aca="false">IFERROR(VLOOKUP(G84,'Master Taxonomy'!$A$2:$B$1656,2,FALSE()),"")</f>
        <v>Warlock</v>
      </c>
      <c r="I84" s="22" t="s">
        <v>2200</v>
      </c>
      <c r="J84" s="22" t="s">
        <v>2201</v>
      </c>
      <c r="K84" s="22" t="s">
        <v>10524</v>
      </c>
      <c r="L84" s="22" t="s">
        <v>10525</v>
      </c>
      <c r="M84" s="22" t="s">
        <v>10526</v>
      </c>
      <c r="N84" s="22" t="s">
        <v>10527</v>
      </c>
      <c r="O84" s="22" t="s">
        <v>9960</v>
      </c>
      <c r="P84" s="22" t="s">
        <v>9961</v>
      </c>
      <c r="Q84" s="22" t="s">
        <v>10474</v>
      </c>
      <c r="R84" s="32" t="s">
        <v>8726</v>
      </c>
      <c r="S84" s="22" t="s">
        <v>9963</v>
      </c>
    </row>
    <row r="85" customFormat="false" ht="51.75" hidden="false" customHeight="true" outlineLevel="0" collapsed="false">
      <c r="A85" s="22" t="s">
        <v>10528</v>
      </c>
      <c r="B85" s="22" t="s">
        <v>10529</v>
      </c>
      <c r="C85" s="22" t="s">
        <v>8718</v>
      </c>
      <c r="D85" s="22" t="s">
        <v>8719</v>
      </c>
      <c r="E85" s="22" t="s">
        <v>10468</v>
      </c>
      <c r="F85" s="22" t="s">
        <v>10469</v>
      </c>
      <c r="G85" s="22" t="s">
        <v>1233</v>
      </c>
      <c r="H85" s="22" t="str">
        <f aca="false">IFERROR(VLOOKUP(G85,'Master Taxonomy'!$A$2:$B$1656,2,FALSE()),"")</f>
        <v>Mage and Wizard</v>
      </c>
      <c r="I85" s="22" t="s">
        <v>1255</v>
      </c>
      <c r="J85" s="22" t="s">
        <v>1256</v>
      </c>
      <c r="K85" s="22" t="s">
        <v>10530</v>
      </c>
      <c r="L85" s="22" t="s">
        <v>10531</v>
      </c>
      <c r="M85" s="22" t="s">
        <v>10532</v>
      </c>
      <c r="N85" s="22" t="s">
        <v>10533</v>
      </c>
      <c r="O85" s="22" t="s">
        <v>9960</v>
      </c>
      <c r="P85" s="22" t="s">
        <v>9961</v>
      </c>
      <c r="Q85" s="22" t="s">
        <v>10474</v>
      </c>
      <c r="R85" s="32" t="s">
        <v>8726</v>
      </c>
      <c r="S85" s="22" t="s">
        <v>9963</v>
      </c>
    </row>
    <row r="86" customFormat="false" ht="51.75" hidden="false" customHeight="true" outlineLevel="0" collapsed="false">
      <c r="A86" s="22" t="s">
        <v>10534</v>
      </c>
      <c r="B86" s="22" t="s">
        <v>10535</v>
      </c>
      <c r="C86" s="22" t="s">
        <v>8718</v>
      </c>
      <c r="D86" s="22" t="s">
        <v>8719</v>
      </c>
      <c r="E86" s="22" t="s">
        <v>10468</v>
      </c>
      <c r="F86" s="22" t="s">
        <v>10536</v>
      </c>
      <c r="G86" s="22" t="s">
        <v>486</v>
      </c>
      <c r="H86" s="22" t="str">
        <f aca="false">IFERROR(VLOOKUP(G86,'Master Taxonomy'!$A$2:$B$1656,2,FALSE()),"")</f>
        <v>Demigods and Divine-Blooded Beings</v>
      </c>
      <c r="I86" s="22"/>
      <c r="J86" s="22"/>
      <c r="K86" s="22" t="s">
        <v>10537</v>
      </c>
      <c r="L86" s="22" t="s">
        <v>10538</v>
      </c>
      <c r="M86" s="22" t="s">
        <v>10539</v>
      </c>
      <c r="N86" s="22" t="s">
        <v>10540</v>
      </c>
      <c r="O86" s="22" t="s">
        <v>9960</v>
      </c>
      <c r="P86" s="22" t="s">
        <v>9961</v>
      </c>
      <c r="Q86" s="22" t="s">
        <v>10474</v>
      </c>
      <c r="R86" s="32" t="s">
        <v>8726</v>
      </c>
      <c r="S86" s="22" t="s">
        <v>9963</v>
      </c>
    </row>
    <row r="87" customFormat="false" ht="51.75" hidden="false" customHeight="true" outlineLevel="0" collapsed="false">
      <c r="A87" s="22" t="s">
        <v>10541</v>
      </c>
      <c r="B87" s="22" t="s">
        <v>10542</v>
      </c>
      <c r="C87" s="22" t="s">
        <v>8718</v>
      </c>
      <c r="D87" s="22" t="s">
        <v>8719</v>
      </c>
      <c r="E87" s="22" t="s">
        <v>10468</v>
      </c>
      <c r="F87" s="22" t="s">
        <v>10536</v>
      </c>
      <c r="G87" s="22" t="s">
        <v>306</v>
      </c>
      <c r="H87" s="22" t="str">
        <f aca="false">IFERROR(VLOOKUP(G87,'Master Taxonomy'!$A$2:$B$1656,2,FALSE()),"")</f>
        <v>Draconic Humanoid Peoples</v>
      </c>
      <c r="I87" s="22"/>
      <c r="J87" s="22"/>
      <c r="K87" s="22" t="s">
        <v>10543</v>
      </c>
      <c r="L87" s="22" t="s">
        <v>10544</v>
      </c>
      <c r="M87" s="22" t="s">
        <v>10545</v>
      </c>
      <c r="N87" s="22" t="s">
        <v>10546</v>
      </c>
      <c r="O87" s="22" t="s">
        <v>9960</v>
      </c>
      <c r="P87" s="22" t="s">
        <v>9961</v>
      </c>
      <c r="Q87" s="22" t="s">
        <v>10474</v>
      </c>
      <c r="R87" s="32" t="s">
        <v>8726</v>
      </c>
      <c r="S87" s="22" t="s">
        <v>9963</v>
      </c>
    </row>
    <row r="88" customFormat="false" ht="51.75" hidden="false" customHeight="true" outlineLevel="0" collapsed="false">
      <c r="A88" s="22" t="s">
        <v>10547</v>
      </c>
      <c r="B88" s="22" t="s">
        <v>10548</v>
      </c>
      <c r="C88" s="22" t="s">
        <v>8718</v>
      </c>
      <c r="D88" s="22" t="s">
        <v>8719</v>
      </c>
      <c r="E88" s="22" t="s">
        <v>10468</v>
      </c>
      <c r="F88" s="22" t="s">
        <v>10536</v>
      </c>
      <c r="G88" s="22" t="s">
        <v>259</v>
      </c>
      <c r="H88" s="22" t="str">
        <f aca="false">IFERROR(VLOOKUP(G88,'Master Taxonomy'!$A$2:$B$1656,2,FALSE()),"")</f>
        <v>Dwarf-Derived Peoples</v>
      </c>
      <c r="I88" s="22"/>
      <c r="J88" s="22"/>
      <c r="K88" s="22" t="s">
        <v>10549</v>
      </c>
      <c r="L88" s="22" t="s">
        <v>10550</v>
      </c>
      <c r="M88" s="22" t="s">
        <v>10551</v>
      </c>
      <c r="N88" s="22" t="s">
        <v>10552</v>
      </c>
      <c r="O88" s="22" t="s">
        <v>9960</v>
      </c>
      <c r="P88" s="22" t="s">
        <v>9961</v>
      </c>
      <c r="Q88" s="22" t="s">
        <v>10474</v>
      </c>
      <c r="R88" s="32" t="s">
        <v>8726</v>
      </c>
      <c r="S88" s="22" t="s">
        <v>9963</v>
      </c>
    </row>
    <row r="89" customFormat="false" ht="51.75" hidden="false" customHeight="true" outlineLevel="0" collapsed="false">
      <c r="A89" s="22" t="s">
        <v>10553</v>
      </c>
      <c r="B89" s="22" t="s">
        <v>10554</v>
      </c>
      <c r="C89" s="22" t="s">
        <v>8718</v>
      </c>
      <c r="D89" s="22" t="s">
        <v>8719</v>
      </c>
      <c r="E89" s="22" t="s">
        <v>10468</v>
      </c>
      <c r="F89" s="22" t="s">
        <v>10536</v>
      </c>
      <c r="G89" s="22" t="s">
        <v>254</v>
      </c>
      <c r="H89" s="22" t="str">
        <f aca="false">IFERROR(VLOOKUP(G89,'Master Taxonomy'!$A$2:$B$1656,2,FALSE()),"")</f>
        <v>Elf-Derived Peoples</v>
      </c>
      <c r="I89" s="22"/>
      <c r="J89" s="22"/>
      <c r="K89" s="22" t="s">
        <v>10555</v>
      </c>
      <c r="L89" s="22" t="s">
        <v>10556</v>
      </c>
      <c r="M89" s="22" t="s">
        <v>10557</v>
      </c>
      <c r="N89" s="22" t="s">
        <v>10558</v>
      </c>
      <c r="O89" s="22" t="s">
        <v>9960</v>
      </c>
      <c r="P89" s="22" t="s">
        <v>9961</v>
      </c>
      <c r="Q89" s="22" t="s">
        <v>10474</v>
      </c>
      <c r="R89" s="32" t="s">
        <v>8726</v>
      </c>
      <c r="S89" s="22" t="s">
        <v>9963</v>
      </c>
    </row>
    <row r="90" customFormat="false" ht="51.75" hidden="false" customHeight="true" outlineLevel="0" collapsed="false">
      <c r="A90" s="22" t="s">
        <v>10559</v>
      </c>
      <c r="B90" s="22" t="s">
        <v>10560</v>
      </c>
      <c r="C90" s="22" t="s">
        <v>8718</v>
      </c>
      <c r="D90" s="22" t="s">
        <v>8719</v>
      </c>
      <c r="E90" s="22" t="s">
        <v>10468</v>
      </c>
      <c r="F90" s="22" t="s">
        <v>10536</v>
      </c>
      <c r="G90" s="22" t="s">
        <v>267</v>
      </c>
      <c r="H90" s="22" t="str">
        <f aca="false">IFERROR(VLOOKUP(G90,'Master Taxonomy'!$A$2:$B$1656,2,FALSE()),"")</f>
        <v>Gnome and Tinkerfolk Peoples</v>
      </c>
      <c r="I90" s="22"/>
      <c r="J90" s="22"/>
      <c r="K90" s="22" t="s">
        <v>10561</v>
      </c>
      <c r="L90" s="22" t="s">
        <v>10562</v>
      </c>
      <c r="M90" s="22" t="s">
        <v>10563</v>
      </c>
      <c r="N90" s="22" t="s">
        <v>10564</v>
      </c>
      <c r="O90" s="22" t="s">
        <v>9960</v>
      </c>
      <c r="P90" s="22" t="s">
        <v>9961</v>
      </c>
      <c r="Q90" s="22" t="s">
        <v>10474</v>
      </c>
      <c r="R90" s="32" t="s">
        <v>8726</v>
      </c>
      <c r="S90" s="22" t="s">
        <v>9963</v>
      </c>
    </row>
    <row r="91" customFormat="false" ht="51.75" hidden="false" customHeight="true" outlineLevel="0" collapsed="false">
      <c r="A91" s="22" t="s">
        <v>10565</v>
      </c>
      <c r="B91" s="22" t="s">
        <v>10566</v>
      </c>
      <c r="C91" s="22" t="s">
        <v>8718</v>
      </c>
      <c r="D91" s="22" t="s">
        <v>8719</v>
      </c>
      <c r="E91" s="22" t="s">
        <v>10468</v>
      </c>
      <c r="F91" s="22" t="s">
        <v>10536</v>
      </c>
      <c r="G91" s="22" t="s">
        <v>280</v>
      </c>
      <c r="H91" s="22" t="str">
        <f aca="false">IFERROR(VLOOKUP(G91,'Master Taxonomy'!$A$2:$B$1656,2,FALSE()),"")</f>
        <v>Giantkin Peoples</v>
      </c>
      <c r="I91" s="22"/>
      <c r="J91" s="22"/>
      <c r="K91" s="22" t="s">
        <v>10567</v>
      </c>
      <c r="L91" s="22" t="s">
        <v>10568</v>
      </c>
      <c r="M91" s="22" t="s">
        <v>10569</v>
      </c>
      <c r="N91" s="22" t="s">
        <v>10570</v>
      </c>
      <c r="O91" s="22" t="s">
        <v>9960</v>
      </c>
      <c r="P91" s="22" t="s">
        <v>9961</v>
      </c>
      <c r="Q91" s="22" t="s">
        <v>10474</v>
      </c>
      <c r="R91" s="32" t="s">
        <v>8726</v>
      </c>
      <c r="S91" s="22" t="s">
        <v>9963</v>
      </c>
    </row>
    <row r="92" customFormat="false" ht="51.75" hidden="false" customHeight="true" outlineLevel="0" collapsed="false">
      <c r="A92" s="22" t="s">
        <v>10571</v>
      </c>
      <c r="B92" s="22" t="s">
        <v>10572</v>
      </c>
      <c r="C92" s="22" t="s">
        <v>8718</v>
      </c>
      <c r="D92" s="22" t="s">
        <v>8719</v>
      </c>
      <c r="E92" s="22" t="s">
        <v>10468</v>
      </c>
      <c r="F92" s="22" t="s">
        <v>10536</v>
      </c>
      <c r="G92" s="22" t="s">
        <v>263</v>
      </c>
      <c r="H92" s="22" t="str">
        <f aca="false">IFERROR(VLOOKUP(G92,'Master Taxonomy'!$A$2:$B$1656,2,FALSE()),"")</f>
        <v>Halfling and Smallfolk Peoples</v>
      </c>
      <c r="I92" s="22"/>
      <c r="J92" s="22"/>
      <c r="K92" s="22" t="s">
        <v>10573</v>
      </c>
      <c r="L92" s="22" t="s">
        <v>10574</v>
      </c>
      <c r="M92" s="22" t="s">
        <v>10575</v>
      </c>
      <c r="N92" s="22" t="s">
        <v>10576</v>
      </c>
      <c r="O92" s="22" t="s">
        <v>9960</v>
      </c>
      <c r="P92" s="22" t="s">
        <v>9961</v>
      </c>
      <c r="Q92" s="22" t="s">
        <v>10474</v>
      </c>
      <c r="R92" s="32" t="s">
        <v>8726</v>
      </c>
      <c r="S92" s="22" t="s">
        <v>9963</v>
      </c>
    </row>
    <row r="93" customFormat="false" ht="51.75" hidden="false" customHeight="true" outlineLevel="0" collapsed="false">
      <c r="A93" s="22" t="s">
        <v>10577</v>
      </c>
      <c r="B93" s="22" t="s">
        <v>10578</v>
      </c>
      <c r="C93" s="22" t="s">
        <v>8718</v>
      </c>
      <c r="D93" s="22" t="s">
        <v>8719</v>
      </c>
      <c r="E93" s="22" t="s">
        <v>10468</v>
      </c>
      <c r="F93" s="22" t="s">
        <v>10536</v>
      </c>
      <c r="G93" s="22" t="s">
        <v>247</v>
      </c>
      <c r="H93" s="22" t="str">
        <f aca="false">IFERROR(VLOOKUP(G93,'Master Taxonomy'!$A$2:$B$1656,2,FALSE()),"")</f>
        <v>Human and Near-Human Peoples</v>
      </c>
      <c r="I93" s="22"/>
      <c r="J93" s="22"/>
      <c r="K93" s="22" t="s">
        <v>10579</v>
      </c>
      <c r="L93" s="22" t="s">
        <v>10580</v>
      </c>
      <c r="M93" s="22" t="s">
        <v>10581</v>
      </c>
      <c r="N93" s="22" t="s">
        <v>10582</v>
      </c>
      <c r="O93" s="22" t="s">
        <v>9960</v>
      </c>
      <c r="P93" s="22" t="s">
        <v>9961</v>
      </c>
      <c r="Q93" s="22" t="s">
        <v>10474</v>
      </c>
      <c r="R93" s="32" t="s">
        <v>8726</v>
      </c>
      <c r="S93" s="22" t="s">
        <v>9963</v>
      </c>
    </row>
    <row r="94" customFormat="false" ht="51.75" hidden="false" customHeight="true" outlineLevel="0" collapsed="false">
      <c r="A94" s="22" t="s">
        <v>10583</v>
      </c>
      <c r="B94" s="22" t="s">
        <v>10584</v>
      </c>
      <c r="C94" s="22" t="s">
        <v>8718</v>
      </c>
      <c r="D94" s="22" t="s">
        <v>8719</v>
      </c>
      <c r="E94" s="22" t="s">
        <v>10468</v>
      </c>
      <c r="F94" s="22" t="s">
        <v>10536</v>
      </c>
      <c r="G94" s="22" t="s">
        <v>271</v>
      </c>
      <c r="H94" s="22" t="str">
        <f aca="false">IFERROR(VLOOKUP(G94,'Master Taxonomy'!$A$2:$B$1656,2,FALSE()),"")</f>
        <v>Orc-Derived Peoples</v>
      </c>
      <c r="I94" s="22"/>
      <c r="J94" s="22"/>
      <c r="K94" s="22" t="s">
        <v>10585</v>
      </c>
      <c r="L94" s="22" t="s">
        <v>10574</v>
      </c>
      <c r="M94" s="22" t="s">
        <v>10586</v>
      </c>
      <c r="N94" s="22" t="s">
        <v>10587</v>
      </c>
      <c r="O94" s="22" t="s">
        <v>9960</v>
      </c>
      <c r="P94" s="22" t="s">
        <v>9961</v>
      </c>
      <c r="Q94" s="22" t="s">
        <v>10474</v>
      </c>
      <c r="R94" s="32" t="s">
        <v>8726</v>
      </c>
      <c r="S94" s="22" t="s">
        <v>9963</v>
      </c>
    </row>
    <row r="95" customFormat="false" ht="51.75" hidden="false" customHeight="true" outlineLevel="0" collapsed="false">
      <c r="A95" s="22" t="s">
        <v>10588</v>
      </c>
      <c r="B95" s="22" t="s">
        <v>10589</v>
      </c>
      <c r="C95" s="22" t="s">
        <v>8718</v>
      </c>
      <c r="D95" s="22" t="s">
        <v>8719</v>
      </c>
      <c r="E95" s="22" t="s">
        <v>10468</v>
      </c>
      <c r="F95" s="22" t="s">
        <v>10536</v>
      </c>
      <c r="G95" s="22" t="s">
        <v>219</v>
      </c>
      <c r="H95" s="22" t="str">
        <f aca="false">IFERROR(VLOOKUP(G95,'Master Taxonomy'!$A$2:$B$1656,2,FALSE()),"")</f>
        <v>Infernal and Corruptive Beings</v>
      </c>
      <c r="I95" s="22" t="s">
        <v>827</v>
      </c>
      <c r="J95" s="22" t="s">
        <v>828</v>
      </c>
      <c r="K95" s="22" t="s">
        <v>10590</v>
      </c>
      <c r="L95" s="22" t="s">
        <v>10591</v>
      </c>
      <c r="M95" s="22" t="s">
        <v>10592</v>
      </c>
      <c r="N95" s="22" t="s">
        <v>10593</v>
      </c>
      <c r="O95" s="22" t="s">
        <v>9960</v>
      </c>
      <c r="P95" s="22" t="s">
        <v>9961</v>
      </c>
      <c r="Q95" s="22" t="s">
        <v>10474</v>
      </c>
      <c r="R95" s="32" t="s">
        <v>8726</v>
      </c>
      <c r="S95" s="22" t="s">
        <v>9963</v>
      </c>
    </row>
    <row r="96" customFormat="false" ht="51.75" hidden="false" customHeight="true" outlineLevel="0" collapsed="false">
      <c r="A96" s="22" t="s">
        <v>10594</v>
      </c>
      <c r="B96" s="22" t="s">
        <v>10595</v>
      </c>
      <c r="C96" s="22" t="s">
        <v>8718</v>
      </c>
      <c r="D96" s="22" t="s">
        <v>8719</v>
      </c>
      <c r="E96" s="22" t="s">
        <v>10468</v>
      </c>
      <c r="F96" s="22" t="s">
        <v>10596</v>
      </c>
      <c r="G96" s="22" t="s">
        <v>4908</v>
      </c>
      <c r="H96" s="22" t="str">
        <f aca="false">IFERROR(VLOOKUP(G96,'Master Taxonomy'!$A$2:$B$1656,2,FALSE()),"")</f>
        <v>Subclass Specialization</v>
      </c>
      <c r="I96" s="22"/>
      <c r="J96" s="22"/>
      <c r="K96" s="22" t="s">
        <v>10597</v>
      </c>
      <c r="L96" s="22" t="s">
        <v>10598</v>
      </c>
      <c r="M96" s="22" t="s">
        <v>10599</v>
      </c>
      <c r="N96" s="22" t="s">
        <v>10600</v>
      </c>
      <c r="O96" s="22" t="s">
        <v>9960</v>
      </c>
      <c r="P96" s="22" t="s">
        <v>9961</v>
      </c>
      <c r="Q96" s="22" t="s">
        <v>10474</v>
      </c>
      <c r="R96" s="32" t="s">
        <v>8726</v>
      </c>
      <c r="S96" s="22" t="s">
        <v>9963</v>
      </c>
    </row>
    <row r="97" customFormat="false" ht="51.75" hidden="false" customHeight="true" outlineLevel="0" collapsed="false">
      <c r="A97" s="22" t="s">
        <v>10601</v>
      </c>
      <c r="B97" s="22" t="s">
        <v>10602</v>
      </c>
      <c r="C97" s="22" t="s">
        <v>8718</v>
      </c>
      <c r="D97" s="22" t="s">
        <v>8719</v>
      </c>
      <c r="E97" s="22" t="s">
        <v>10468</v>
      </c>
      <c r="F97" s="22" t="s">
        <v>10596</v>
      </c>
      <c r="G97" s="22" t="s">
        <v>4633</v>
      </c>
      <c r="H97" s="22" t="str">
        <f aca="false">IFERROR(VLOOKUP(G97,'Master Taxonomy'!$A$2:$B$1656,2,FALSE()),"")</f>
        <v>Progression and Build Models</v>
      </c>
      <c r="I97" s="22"/>
      <c r="J97" s="22"/>
      <c r="K97" s="22" t="s">
        <v>10603</v>
      </c>
      <c r="L97" s="22" t="s">
        <v>10604</v>
      </c>
      <c r="M97" s="22" t="s">
        <v>10605</v>
      </c>
      <c r="N97" s="22" t="s">
        <v>10606</v>
      </c>
      <c r="O97" s="22" t="s">
        <v>9960</v>
      </c>
      <c r="P97" s="22" t="s">
        <v>9961</v>
      </c>
      <c r="Q97" s="22" t="s">
        <v>10474</v>
      </c>
      <c r="R97" s="32" t="s">
        <v>8726</v>
      </c>
      <c r="S97" s="22" t="s">
        <v>9963</v>
      </c>
    </row>
    <row r="98" customFormat="false" ht="51.75" hidden="false" customHeight="true" outlineLevel="0" collapsed="false">
      <c r="A98" s="22" t="s">
        <v>10607</v>
      </c>
      <c r="B98" s="22" t="s">
        <v>4905</v>
      </c>
      <c r="C98" s="22" t="s">
        <v>8718</v>
      </c>
      <c r="D98" s="22" t="s">
        <v>8719</v>
      </c>
      <c r="E98" s="22" t="s">
        <v>10468</v>
      </c>
      <c r="F98" s="22" t="s">
        <v>10596</v>
      </c>
      <c r="G98" s="22" t="s">
        <v>4904</v>
      </c>
      <c r="H98" s="22" t="str">
        <f aca="false">IFERROR(VLOOKUP(G98,'Master Taxonomy'!$A$2:$B$1656,2,FALSE()),"")</f>
        <v>Multiclassing</v>
      </c>
      <c r="I98" s="22"/>
      <c r="J98" s="22"/>
      <c r="K98" s="22" t="s">
        <v>10608</v>
      </c>
      <c r="L98" s="22" t="s">
        <v>10609</v>
      </c>
      <c r="M98" s="22" t="s">
        <v>10610</v>
      </c>
      <c r="N98" s="22" t="s">
        <v>10611</v>
      </c>
      <c r="O98" s="22" t="s">
        <v>9960</v>
      </c>
      <c r="P98" s="22" t="s">
        <v>9961</v>
      </c>
      <c r="Q98" s="22" t="s">
        <v>10474</v>
      </c>
      <c r="R98" s="32" t="s">
        <v>8726</v>
      </c>
      <c r="S98" s="22" t="s">
        <v>9963</v>
      </c>
    </row>
    <row r="99" customFormat="false" ht="51.75" hidden="false" customHeight="true" outlineLevel="0" collapsed="false">
      <c r="A99" s="22" t="s">
        <v>10612</v>
      </c>
      <c r="B99" s="22" t="s">
        <v>10578</v>
      </c>
      <c r="C99" s="22" t="s">
        <v>8990</v>
      </c>
      <c r="D99" s="22" t="s">
        <v>8991</v>
      </c>
      <c r="E99" s="22" t="s">
        <v>10613</v>
      </c>
      <c r="F99" s="22" t="s">
        <v>10614</v>
      </c>
      <c r="G99" s="22" t="s">
        <v>247</v>
      </c>
      <c r="H99" s="22" t="str">
        <f aca="false">IFERROR(VLOOKUP(G99,'Master Taxonomy'!$A$2:$B$1656,2,FALSE()),"")</f>
        <v>Human and Near-Human Peoples</v>
      </c>
      <c r="I99" s="22"/>
      <c r="J99" s="22"/>
      <c r="K99" s="22" t="s">
        <v>10615</v>
      </c>
      <c r="L99" s="22" t="s">
        <v>10616</v>
      </c>
      <c r="M99" s="22" t="s">
        <v>10617</v>
      </c>
      <c r="N99" s="22" t="s">
        <v>10618</v>
      </c>
      <c r="O99" s="22" t="s">
        <v>9960</v>
      </c>
      <c r="P99" s="22" t="s">
        <v>9961</v>
      </c>
      <c r="Q99" s="22" t="s">
        <v>10619</v>
      </c>
      <c r="R99" s="32" t="s">
        <v>8996</v>
      </c>
      <c r="S99" s="22" t="s">
        <v>9963</v>
      </c>
    </row>
    <row r="100" customFormat="false" ht="51.75" hidden="false" customHeight="true" outlineLevel="0" collapsed="false">
      <c r="A100" s="22" t="s">
        <v>10620</v>
      </c>
      <c r="B100" s="22" t="s">
        <v>10621</v>
      </c>
      <c r="C100" s="22" t="s">
        <v>8990</v>
      </c>
      <c r="D100" s="22" t="s">
        <v>8991</v>
      </c>
      <c r="E100" s="22" t="s">
        <v>10613</v>
      </c>
      <c r="F100" s="22" t="s">
        <v>10614</v>
      </c>
      <c r="G100" s="22" t="s">
        <v>310</v>
      </c>
      <c r="H100" s="22" t="str">
        <f aca="false">IFERROR(VLOOKUP(G100,'Master Taxonomy'!$A$2:$B$1656,2,FALSE()),"")</f>
        <v>Avian and Winged Humanoid Peoples</v>
      </c>
      <c r="I100" s="22"/>
      <c r="J100" s="22"/>
      <c r="K100" s="22" t="s">
        <v>10622</v>
      </c>
      <c r="L100" s="22" t="s">
        <v>10623</v>
      </c>
      <c r="M100" s="22" t="s">
        <v>10624</v>
      </c>
      <c r="N100" s="22" t="s">
        <v>10625</v>
      </c>
      <c r="O100" s="22" t="s">
        <v>9960</v>
      </c>
      <c r="P100" s="22" t="s">
        <v>9961</v>
      </c>
      <c r="Q100" s="22" t="s">
        <v>10619</v>
      </c>
      <c r="R100" s="32" t="s">
        <v>8996</v>
      </c>
      <c r="S100" s="22" t="s">
        <v>9963</v>
      </c>
    </row>
    <row r="101" customFormat="false" ht="51.75" hidden="false" customHeight="true" outlineLevel="0" collapsed="false">
      <c r="A101" s="22" t="s">
        <v>10626</v>
      </c>
      <c r="B101" s="22" t="s">
        <v>10627</v>
      </c>
      <c r="C101" s="22" t="s">
        <v>8990</v>
      </c>
      <c r="D101" s="22" t="s">
        <v>8991</v>
      </c>
      <c r="E101" s="22" t="s">
        <v>10613</v>
      </c>
      <c r="F101" s="22" t="s">
        <v>10614</v>
      </c>
      <c r="G101" s="22" t="s">
        <v>297</v>
      </c>
      <c r="H101" s="22" t="str">
        <f aca="false">IFERROR(VLOOKUP(G101,'Master Taxonomy'!$A$2:$B$1656,2,FALSE()),"")</f>
        <v>Lizardfolk and Reptilian Peoples</v>
      </c>
      <c r="I101" s="22"/>
      <c r="J101" s="22"/>
      <c r="K101" s="22" t="s">
        <v>10628</v>
      </c>
      <c r="L101" s="22" t="s">
        <v>10629</v>
      </c>
      <c r="M101" s="22" t="s">
        <v>10630</v>
      </c>
      <c r="N101" s="22" t="s">
        <v>10631</v>
      </c>
      <c r="O101" s="22" t="s">
        <v>9960</v>
      </c>
      <c r="P101" s="22" t="s">
        <v>9961</v>
      </c>
      <c r="Q101" s="22" t="s">
        <v>10619</v>
      </c>
      <c r="R101" s="32" t="s">
        <v>8996</v>
      </c>
      <c r="S101" s="22" t="s">
        <v>9963</v>
      </c>
    </row>
    <row r="102" customFormat="false" ht="51.75" hidden="false" customHeight="true" outlineLevel="0" collapsed="false">
      <c r="A102" s="22" t="s">
        <v>10632</v>
      </c>
      <c r="B102" s="22" t="s">
        <v>10633</v>
      </c>
      <c r="C102" s="22" t="s">
        <v>8990</v>
      </c>
      <c r="D102" s="22" t="s">
        <v>8991</v>
      </c>
      <c r="E102" s="22" t="s">
        <v>10613</v>
      </c>
      <c r="F102" s="22" t="s">
        <v>10614</v>
      </c>
      <c r="G102" s="22" t="s">
        <v>301</v>
      </c>
      <c r="H102" s="22" t="str">
        <f aca="false">IFERROR(VLOOKUP(G102,'Master Taxonomy'!$A$2:$B$1656,2,FALSE()),"")</f>
        <v>Serpentfolk, Naga, and Lamia Peoples</v>
      </c>
      <c r="I102" s="22"/>
      <c r="J102" s="22"/>
      <c r="K102" s="22" t="s">
        <v>10634</v>
      </c>
      <c r="L102" s="22" t="s">
        <v>10629</v>
      </c>
      <c r="M102" s="22" t="s">
        <v>10635</v>
      </c>
      <c r="N102" s="22" t="s">
        <v>10636</v>
      </c>
      <c r="O102" s="22" t="s">
        <v>9960</v>
      </c>
      <c r="P102" s="22" t="s">
        <v>9961</v>
      </c>
      <c r="Q102" s="22" t="s">
        <v>10619</v>
      </c>
      <c r="R102" s="32" t="s">
        <v>8996</v>
      </c>
      <c r="S102" s="22" t="s">
        <v>9963</v>
      </c>
    </row>
    <row r="103" customFormat="false" ht="51.75" hidden="false" customHeight="true" outlineLevel="0" collapsed="false">
      <c r="A103" s="22" t="s">
        <v>10637</v>
      </c>
      <c r="B103" s="22" t="s">
        <v>10584</v>
      </c>
      <c r="C103" s="22" t="s">
        <v>8990</v>
      </c>
      <c r="D103" s="22" t="s">
        <v>8991</v>
      </c>
      <c r="E103" s="22" t="s">
        <v>10613</v>
      </c>
      <c r="F103" s="22" t="s">
        <v>10614</v>
      </c>
      <c r="G103" s="22" t="s">
        <v>271</v>
      </c>
      <c r="H103" s="22" t="str">
        <f aca="false">IFERROR(VLOOKUP(G103,'Master Taxonomy'!$A$2:$B$1656,2,FALSE()),"")</f>
        <v>Orc-Derived Peoples</v>
      </c>
      <c r="I103" s="22"/>
      <c r="J103" s="22"/>
      <c r="K103" s="22" t="s">
        <v>10638</v>
      </c>
      <c r="L103" s="22" t="s">
        <v>10629</v>
      </c>
      <c r="M103" s="22" t="s">
        <v>10639</v>
      </c>
      <c r="N103" s="22" t="s">
        <v>10640</v>
      </c>
      <c r="O103" s="22" t="s">
        <v>9960</v>
      </c>
      <c r="P103" s="22" t="s">
        <v>9961</v>
      </c>
      <c r="Q103" s="22" t="s">
        <v>10619</v>
      </c>
      <c r="R103" s="32" t="s">
        <v>8996</v>
      </c>
      <c r="S103" s="22" t="s">
        <v>9963</v>
      </c>
    </row>
    <row r="104" customFormat="false" ht="51.75" hidden="false" customHeight="true" outlineLevel="0" collapsed="false">
      <c r="A104" s="22" t="s">
        <v>10641</v>
      </c>
      <c r="B104" s="22" t="s">
        <v>10642</v>
      </c>
      <c r="C104" s="22" t="s">
        <v>8990</v>
      </c>
      <c r="D104" s="22" t="s">
        <v>8991</v>
      </c>
      <c r="E104" s="22" t="s">
        <v>10613</v>
      </c>
      <c r="F104" s="22" t="s">
        <v>10643</v>
      </c>
      <c r="G104" s="22" t="s">
        <v>207</v>
      </c>
      <c r="H104" s="22" t="str">
        <f aca="false">IFERROR(VLOOKUP(G104,'Master Taxonomy'!$A$2:$B$1656,2,FALSE()),"")</f>
        <v>Fae, Nature, and Liminal Beings</v>
      </c>
      <c r="I104" s="22"/>
      <c r="J104" s="22"/>
      <c r="K104" s="22" t="s">
        <v>10644</v>
      </c>
      <c r="L104" s="22" t="s">
        <v>10645</v>
      </c>
      <c r="M104" s="22" t="s">
        <v>10646</v>
      </c>
      <c r="N104" s="22" t="s">
        <v>10647</v>
      </c>
      <c r="O104" s="22" t="s">
        <v>9960</v>
      </c>
      <c r="P104" s="22" t="s">
        <v>9961</v>
      </c>
      <c r="Q104" s="22" t="s">
        <v>10619</v>
      </c>
      <c r="R104" s="32" t="s">
        <v>8996</v>
      </c>
      <c r="S104" s="22" t="s">
        <v>9963</v>
      </c>
    </row>
    <row r="105" customFormat="false" ht="51.75" hidden="false" customHeight="true" outlineLevel="0" collapsed="false">
      <c r="A105" s="22" t="s">
        <v>10648</v>
      </c>
      <c r="B105" s="22" t="s">
        <v>10649</v>
      </c>
      <c r="C105" s="22" t="s">
        <v>8990</v>
      </c>
      <c r="D105" s="22" t="s">
        <v>8991</v>
      </c>
      <c r="E105" s="22" t="s">
        <v>10613</v>
      </c>
      <c r="F105" s="22" t="s">
        <v>10650</v>
      </c>
      <c r="G105" s="22" t="s">
        <v>522</v>
      </c>
      <c r="H105" s="22" t="str">
        <f aca="false">IFERROR(VLOOKUP(G105,'Master Taxonomy'!$A$2:$B$1656,2,FALSE()),"")</f>
        <v>Demons</v>
      </c>
      <c r="I105" s="22"/>
      <c r="J105" s="22"/>
      <c r="K105" s="22" t="s">
        <v>10651</v>
      </c>
      <c r="L105" s="22" t="s">
        <v>10652</v>
      </c>
      <c r="M105" s="22" t="s">
        <v>10653</v>
      </c>
      <c r="N105" s="22" t="s">
        <v>10654</v>
      </c>
      <c r="O105" s="22" t="s">
        <v>9960</v>
      </c>
      <c r="P105" s="22" t="s">
        <v>9961</v>
      </c>
      <c r="Q105" s="22" t="s">
        <v>10619</v>
      </c>
      <c r="R105" s="32" t="s">
        <v>8996</v>
      </c>
      <c r="S105" s="22" t="s">
        <v>9963</v>
      </c>
    </row>
    <row r="106" customFormat="false" ht="51.75" hidden="false" customHeight="true" outlineLevel="0" collapsed="false">
      <c r="A106" s="22" t="s">
        <v>10655</v>
      </c>
      <c r="B106" s="22" t="s">
        <v>10656</v>
      </c>
      <c r="C106" s="22" t="s">
        <v>8990</v>
      </c>
      <c r="D106" s="22" t="s">
        <v>8991</v>
      </c>
      <c r="E106" s="22" t="s">
        <v>10613</v>
      </c>
      <c r="F106" s="22" t="s">
        <v>10657</v>
      </c>
      <c r="G106" s="22" t="s">
        <v>578</v>
      </c>
      <c r="H106" s="22" t="str">
        <f aca="false">IFERROR(VLOOKUP(G106,'Master Taxonomy'!$A$2:$B$1656,2,FALSE()),"")</f>
        <v>Skeletons</v>
      </c>
      <c r="I106" s="22"/>
      <c r="J106" s="22"/>
      <c r="K106" s="22" t="s">
        <v>10658</v>
      </c>
      <c r="L106" s="22" t="s">
        <v>10659</v>
      </c>
      <c r="M106" s="22" t="s">
        <v>10660</v>
      </c>
      <c r="N106" s="22" t="s">
        <v>10661</v>
      </c>
      <c r="O106" s="22" t="s">
        <v>9960</v>
      </c>
      <c r="P106" s="22" t="s">
        <v>9961</v>
      </c>
      <c r="Q106" s="22" t="s">
        <v>10619</v>
      </c>
      <c r="R106" s="32" t="s">
        <v>8996</v>
      </c>
      <c r="S106" s="22" t="s">
        <v>9963</v>
      </c>
    </row>
    <row r="107" customFormat="false" ht="51.75" hidden="false" customHeight="true" outlineLevel="0" collapsed="false">
      <c r="A107" s="22" t="s">
        <v>10662</v>
      </c>
      <c r="B107" s="22" t="s">
        <v>10663</v>
      </c>
      <c r="C107" s="22" t="s">
        <v>8990</v>
      </c>
      <c r="D107" s="22" t="s">
        <v>8991</v>
      </c>
      <c r="E107" s="22" t="s">
        <v>10613</v>
      </c>
      <c r="F107" s="22" t="s">
        <v>10657</v>
      </c>
      <c r="G107" s="22" t="s">
        <v>569</v>
      </c>
      <c r="H107" s="22" t="str">
        <f aca="false">IFERROR(VLOOKUP(G107,'Master Taxonomy'!$A$2:$B$1656,2,FALSE()),"")</f>
        <v>Ghosts</v>
      </c>
      <c r="I107" s="22"/>
      <c r="J107" s="22"/>
      <c r="K107" s="22" t="s">
        <v>10664</v>
      </c>
      <c r="L107" s="22" t="s">
        <v>10665</v>
      </c>
      <c r="M107" s="22" t="s">
        <v>10666</v>
      </c>
      <c r="N107" s="22" t="s">
        <v>10667</v>
      </c>
      <c r="O107" s="22" t="s">
        <v>9960</v>
      </c>
      <c r="P107" s="22" t="s">
        <v>9961</v>
      </c>
      <c r="Q107" s="22" t="s">
        <v>10619</v>
      </c>
      <c r="R107" s="32" t="s">
        <v>8996</v>
      </c>
      <c r="S107" s="22" t="s">
        <v>9963</v>
      </c>
    </row>
    <row r="108" customFormat="false" ht="51.75" hidden="false" customHeight="true" outlineLevel="0" collapsed="false">
      <c r="A108" s="22" t="s">
        <v>10668</v>
      </c>
      <c r="B108" s="22" t="s">
        <v>10669</v>
      </c>
      <c r="C108" s="22" t="s">
        <v>8990</v>
      </c>
      <c r="D108" s="22" t="s">
        <v>8991</v>
      </c>
      <c r="E108" s="22" t="s">
        <v>10613</v>
      </c>
      <c r="F108" s="22" t="s">
        <v>10670</v>
      </c>
      <c r="G108" s="22" t="s">
        <v>632</v>
      </c>
      <c r="H108" s="22" t="str">
        <f aca="false">IFERROR(VLOOKUP(G108,'Master Taxonomy'!$A$2:$B$1656,2,FALSE()),"")</f>
        <v>Golems</v>
      </c>
      <c r="I108" s="22"/>
      <c r="J108" s="22"/>
      <c r="K108" s="22" t="s">
        <v>10671</v>
      </c>
      <c r="L108" s="22" t="s">
        <v>10672</v>
      </c>
      <c r="M108" s="22" t="s">
        <v>10673</v>
      </c>
      <c r="N108" s="22" t="s">
        <v>10674</v>
      </c>
      <c r="O108" s="22" t="s">
        <v>9960</v>
      </c>
      <c r="P108" s="22" t="s">
        <v>9961</v>
      </c>
      <c r="Q108" s="22" t="s">
        <v>10619</v>
      </c>
      <c r="R108" s="32" t="s">
        <v>8996</v>
      </c>
      <c r="S108" s="22" t="s">
        <v>9963</v>
      </c>
    </row>
    <row r="109" customFormat="false" ht="51.75" hidden="false" customHeight="true" outlineLevel="0" collapsed="false">
      <c r="A109" s="22" t="s">
        <v>10675</v>
      </c>
      <c r="B109" s="22" t="s">
        <v>10676</v>
      </c>
      <c r="C109" s="22" t="s">
        <v>8990</v>
      </c>
      <c r="D109" s="22" t="s">
        <v>8991</v>
      </c>
      <c r="E109" s="22" t="s">
        <v>10613</v>
      </c>
      <c r="F109" s="22" t="s">
        <v>10677</v>
      </c>
      <c r="G109" s="22" t="s">
        <v>683</v>
      </c>
      <c r="H109" s="22" t="str">
        <f aca="false">IFERROR(VLOOKUP(G109,'Master Taxonomy'!$A$2:$B$1656,2,FALSE()),"")</f>
        <v>True Dragons</v>
      </c>
      <c r="I109" s="22"/>
      <c r="J109" s="22"/>
      <c r="K109" s="22" t="s">
        <v>10678</v>
      </c>
      <c r="L109" s="22" t="s">
        <v>10679</v>
      </c>
      <c r="M109" s="22" t="s">
        <v>10680</v>
      </c>
      <c r="N109" s="22" t="s">
        <v>10681</v>
      </c>
      <c r="O109" s="22" t="s">
        <v>9960</v>
      </c>
      <c r="P109" s="22" t="s">
        <v>9961</v>
      </c>
      <c r="Q109" s="22" t="s">
        <v>10619</v>
      </c>
      <c r="R109" s="32" t="s">
        <v>8996</v>
      </c>
      <c r="S109" s="22" t="s">
        <v>9963</v>
      </c>
    </row>
    <row r="110" customFormat="false" ht="51.75" hidden="false" customHeight="true" outlineLevel="0" collapsed="false">
      <c r="A110" s="22" t="s">
        <v>10682</v>
      </c>
      <c r="B110" s="22" t="s">
        <v>10683</v>
      </c>
      <c r="C110" s="22" t="s">
        <v>8990</v>
      </c>
      <c r="D110" s="22" t="s">
        <v>8991</v>
      </c>
      <c r="E110" s="22" t="s">
        <v>10613</v>
      </c>
      <c r="F110" s="22" t="s">
        <v>10677</v>
      </c>
      <c r="G110" s="22" t="s">
        <v>700</v>
      </c>
      <c r="H110" s="22" t="str">
        <f aca="false">IFERROR(VLOOKUP(G110,'Master Taxonomy'!$A$2:$B$1656,2,FALSE()),"")</f>
        <v>Hydras</v>
      </c>
      <c r="I110" s="22"/>
      <c r="J110" s="22"/>
      <c r="K110" s="22" t="s">
        <v>10684</v>
      </c>
      <c r="L110" s="22" t="s">
        <v>10685</v>
      </c>
      <c r="M110" s="22" t="s">
        <v>10686</v>
      </c>
      <c r="N110" s="22" t="s">
        <v>10687</v>
      </c>
      <c r="O110" s="22" t="s">
        <v>9960</v>
      </c>
      <c r="P110" s="22" t="s">
        <v>9961</v>
      </c>
      <c r="Q110" s="22" t="s">
        <v>10619</v>
      </c>
      <c r="R110" s="32" t="s">
        <v>8996</v>
      </c>
      <c r="S110" s="22" t="s">
        <v>9963</v>
      </c>
    </row>
    <row r="111" customFormat="false" ht="51.75" hidden="false" customHeight="true" outlineLevel="0" collapsed="false">
      <c r="A111" s="22" t="s">
        <v>10688</v>
      </c>
      <c r="B111" s="22" t="s">
        <v>10689</v>
      </c>
      <c r="C111" s="22" t="s">
        <v>8990</v>
      </c>
      <c r="D111" s="22" t="s">
        <v>8991</v>
      </c>
      <c r="E111" s="22" t="s">
        <v>10613</v>
      </c>
      <c r="F111" s="22" t="s">
        <v>10677</v>
      </c>
      <c r="G111" s="22" t="s">
        <v>708</v>
      </c>
      <c r="H111" s="22" t="str">
        <f aca="false">IFERROR(VLOOKUP(G111,'Master Taxonomy'!$A$2:$B$1656,2,FALSE()),"")</f>
        <v>Griffins and Hippogriffs</v>
      </c>
      <c r="I111" s="22"/>
      <c r="J111" s="22"/>
      <c r="K111" s="22" t="s">
        <v>10690</v>
      </c>
      <c r="L111" s="22" t="s">
        <v>10691</v>
      </c>
      <c r="M111" s="22" t="s">
        <v>10692</v>
      </c>
      <c r="N111" s="22" t="s">
        <v>10693</v>
      </c>
      <c r="O111" s="22" t="s">
        <v>9960</v>
      </c>
      <c r="P111" s="22" t="s">
        <v>9961</v>
      </c>
      <c r="Q111" s="22" t="s">
        <v>10619</v>
      </c>
      <c r="R111" s="32" t="s">
        <v>8996</v>
      </c>
      <c r="S111" s="22" t="s">
        <v>9963</v>
      </c>
    </row>
    <row r="112" customFormat="false" ht="51.75" hidden="false" customHeight="true" outlineLevel="0" collapsed="false">
      <c r="A112" s="22" t="s">
        <v>10694</v>
      </c>
      <c r="B112" s="22" t="s">
        <v>10695</v>
      </c>
      <c r="C112" s="22" t="s">
        <v>8990</v>
      </c>
      <c r="D112" s="22" t="s">
        <v>8991</v>
      </c>
      <c r="E112" s="22" t="s">
        <v>10613</v>
      </c>
      <c r="F112" s="22" t="s">
        <v>10677</v>
      </c>
      <c r="G112" s="22" t="s">
        <v>732</v>
      </c>
      <c r="H112" s="22" t="str">
        <f aca="false">IFERROR(VLOOKUP(G112,'Master Taxonomy'!$A$2:$B$1656,2,FALSE()),"")</f>
        <v>Basilisks and Cockatrices</v>
      </c>
      <c r="I112" s="22"/>
      <c r="J112" s="22"/>
      <c r="K112" s="22" t="s">
        <v>10696</v>
      </c>
      <c r="L112" s="22" t="s">
        <v>10697</v>
      </c>
      <c r="M112" s="22" t="s">
        <v>10698</v>
      </c>
      <c r="N112" s="22" t="s">
        <v>10699</v>
      </c>
      <c r="O112" s="22" t="s">
        <v>9960</v>
      </c>
      <c r="P112" s="22" t="s">
        <v>9961</v>
      </c>
      <c r="Q112" s="22" t="s">
        <v>10619</v>
      </c>
      <c r="R112" s="32" t="s">
        <v>8996</v>
      </c>
      <c r="S112" s="22" t="s">
        <v>9963</v>
      </c>
    </row>
    <row r="113" customFormat="false" ht="51.75" hidden="false" customHeight="true" outlineLevel="0" collapsed="false">
      <c r="A113" s="22" t="s">
        <v>10700</v>
      </c>
      <c r="B113" s="22" t="s">
        <v>10701</v>
      </c>
      <c r="C113" s="22" t="s">
        <v>8990</v>
      </c>
      <c r="D113" s="22" t="s">
        <v>8991</v>
      </c>
      <c r="E113" s="22" t="s">
        <v>10613</v>
      </c>
      <c r="F113" s="22" t="s">
        <v>10677</v>
      </c>
      <c r="G113" s="22" t="s">
        <v>741</v>
      </c>
      <c r="H113" s="22" t="str">
        <f aca="false">IFERROR(VLOOKUP(G113,'Master Taxonomy'!$A$2:$B$1656,2,FALSE()),"")</f>
        <v>Krakens and Leviathans</v>
      </c>
      <c r="I113" s="22"/>
      <c r="J113" s="22"/>
      <c r="K113" s="22" t="s">
        <v>10702</v>
      </c>
      <c r="L113" s="22" t="s">
        <v>10703</v>
      </c>
      <c r="M113" s="22" t="s">
        <v>10704</v>
      </c>
      <c r="N113" s="22" t="s">
        <v>10705</v>
      </c>
      <c r="O113" s="22" t="s">
        <v>9960</v>
      </c>
      <c r="P113" s="22" t="s">
        <v>9961</v>
      </c>
      <c r="Q113" s="22" t="s">
        <v>10619</v>
      </c>
      <c r="R113" s="32" t="s">
        <v>8996</v>
      </c>
      <c r="S113" s="22" t="s">
        <v>9963</v>
      </c>
    </row>
    <row r="114" customFormat="false" ht="51.75" hidden="false" customHeight="true" outlineLevel="0" collapsed="false">
      <c r="A114" s="22" t="s">
        <v>10706</v>
      </c>
      <c r="B114" s="22" t="s">
        <v>10707</v>
      </c>
      <c r="C114" s="22" t="s">
        <v>8990</v>
      </c>
      <c r="D114" s="22" t="s">
        <v>8991</v>
      </c>
      <c r="E114" s="22" t="s">
        <v>10613</v>
      </c>
      <c r="F114" s="22" t="s">
        <v>10469</v>
      </c>
      <c r="G114" s="22" t="s">
        <v>934</v>
      </c>
      <c r="H114" s="22" t="str">
        <f aca="false">IFERROR(VLOOKUP(G114,'Master Taxonomy'!$A$2:$B$1656,2,FALSE()),"")</f>
        <v>Warrior or Fighter</v>
      </c>
      <c r="I114" s="22"/>
      <c r="J114" s="22"/>
      <c r="K114" s="22" t="s">
        <v>10708</v>
      </c>
      <c r="L114" s="22" t="s">
        <v>10709</v>
      </c>
      <c r="M114" s="22" t="s">
        <v>10710</v>
      </c>
      <c r="N114" s="22" t="s">
        <v>10711</v>
      </c>
      <c r="O114" s="22" t="s">
        <v>9960</v>
      </c>
      <c r="P114" s="22" t="s">
        <v>9961</v>
      </c>
      <c r="Q114" s="22" t="s">
        <v>10619</v>
      </c>
      <c r="R114" s="32" t="s">
        <v>8996</v>
      </c>
      <c r="S114" s="22" t="s">
        <v>9963</v>
      </c>
    </row>
    <row r="115" customFormat="false" ht="51.75" hidden="false" customHeight="true" outlineLevel="0" collapsed="false">
      <c r="A115" s="22" t="s">
        <v>10712</v>
      </c>
      <c r="B115" s="22" t="s">
        <v>1044</v>
      </c>
      <c r="C115" s="22" t="s">
        <v>8990</v>
      </c>
      <c r="D115" s="22" t="s">
        <v>8991</v>
      </c>
      <c r="E115" s="22" t="s">
        <v>10613</v>
      </c>
      <c r="F115" s="22" t="s">
        <v>10469</v>
      </c>
      <c r="G115" s="22" t="s">
        <v>1043</v>
      </c>
      <c r="H115" s="22" t="str">
        <f aca="false">IFERROR(VLOOKUP(G115,'Master Taxonomy'!$A$2:$B$1656,2,FALSE()),"")</f>
        <v>Archer</v>
      </c>
      <c r="I115" s="22"/>
      <c r="J115" s="22"/>
      <c r="K115" s="22" t="s">
        <v>10713</v>
      </c>
      <c r="L115" s="22" t="s">
        <v>10714</v>
      </c>
      <c r="M115" s="22" t="s">
        <v>10715</v>
      </c>
      <c r="N115" s="22" t="s">
        <v>10716</v>
      </c>
      <c r="O115" s="22" t="s">
        <v>9960</v>
      </c>
      <c r="P115" s="22" t="s">
        <v>9961</v>
      </c>
      <c r="Q115" s="22" t="s">
        <v>10619</v>
      </c>
      <c r="R115" s="32" t="s">
        <v>8996</v>
      </c>
      <c r="S115" s="22" t="s">
        <v>9963</v>
      </c>
    </row>
    <row r="116" customFormat="false" ht="51.75" hidden="false" customHeight="true" outlineLevel="0" collapsed="false">
      <c r="A116" s="22" t="s">
        <v>10717</v>
      </c>
      <c r="B116" s="22" t="s">
        <v>10718</v>
      </c>
      <c r="C116" s="22" t="s">
        <v>8990</v>
      </c>
      <c r="D116" s="22" t="s">
        <v>8991</v>
      </c>
      <c r="E116" s="22" t="s">
        <v>10613</v>
      </c>
      <c r="F116" s="22" t="s">
        <v>10469</v>
      </c>
      <c r="G116" s="22" t="s">
        <v>1233</v>
      </c>
      <c r="H116" s="22" t="str">
        <f aca="false">IFERROR(VLOOKUP(G116,'Master Taxonomy'!$A$2:$B$1656,2,FALSE()),"")</f>
        <v>Mage and Wizard</v>
      </c>
      <c r="I116" s="22" t="s">
        <v>1242</v>
      </c>
      <c r="J116" s="22" t="s">
        <v>1243</v>
      </c>
      <c r="K116" s="22" t="s">
        <v>10719</v>
      </c>
      <c r="L116" s="22" t="s">
        <v>10720</v>
      </c>
      <c r="M116" s="22" t="s">
        <v>10721</v>
      </c>
      <c r="N116" s="22" t="s">
        <v>10722</v>
      </c>
      <c r="O116" s="22" t="s">
        <v>9960</v>
      </c>
      <c r="P116" s="22" t="s">
        <v>9961</v>
      </c>
      <c r="Q116" s="22" t="s">
        <v>10619</v>
      </c>
      <c r="R116" s="32" t="s">
        <v>8996</v>
      </c>
      <c r="S116" s="22" t="s">
        <v>9963</v>
      </c>
    </row>
    <row r="117" customFormat="false" ht="51.75" hidden="false" customHeight="true" outlineLevel="0" collapsed="false">
      <c r="A117" s="22" t="s">
        <v>10723</v>
      </c>
      <c r="B117" s="22" t="s">
        <v>1458</v>
      </c>
      <c r="C117" s="22" t="s">
        <v>8990</v>
      </c>
      <c r="D117" s="22" t="s">
        <v>8991</v>
      </c>
      <c r="E117" s="22" t="s">
        <v>10613</v>
      </c>
      <c r="F117" s="22" t="s">
        <v>10469</v>
      </c>
      <c r="G117" s="22" t="s">
        <v>1457</v>
      </c>
      <c r="H117" s="22" t="str">
        <f aca="false">IFERROR(VLOOKUP(G117,'Master Taxonomy'!$A$2:$B$1656,2,FALSE()),"")</f>
        <v>Cleric</v>
      </c>
      <c r="I117" s="22" t="s">
        <v>4685</v>
      </c>
      <c r="J117" s="22" t="s">
        <v>1632</v>
      </c>
      <c r="K117" s="22" t="s">
        <v>10724</v>
      </c>
      <c r="L117" s="22" t="s">
        <v>10725</v>
      </c>
      <c r="M117" s="22" t="s">
        <v>10726</v>
      </c>
      <c r="N117" s="22" t="s">
        <v>10727</v>
      </c>
      <c r="O117" s="22" t="s">
        <v>9960</v>
      </c>
      <c r="P117" s="22" t="s">
        <v>9961</v>
      </c>
      <c r="Q117" s="22" t="s">
        <v>10619</v>
      </c>
      <c r="R117" s="32" t="s">
        <v>8996</v>
      </c>
      <c r="S117" s="22" t="s">
        <v>9963</v>
      </c>
    </row>
    <row r="118" customFormat="false" ht="51.75" hidden="false" customHeight="true" outlineLevel="0" collapsed="false">
      <c r="A118" s="22" t="s">
        <v>10728</v>
      </c>
      <c r="B118" s="22" t="s">
        <v>10729</v>
      </c>
      <c r="C118" s="22" t="s">
        <v>8990</v>
      </c>
      <c r="D118" s="22" t="s">
        <v>8991</v>
      </c>
      <c r="E118" s="22" t="s">
        <v>10613</v>
      </c>
      <c r="F118" s="22" t="s">
        <v>10469</v>
      </c>
      <c r="G118" s="22" t="s">
        <v>1890</v>
      </c>
      <c r="H118" s="22" t="str">
        <f aca="false">IFERROR(VLOOKUP(G118,'Master Taxonomy'!$A$2:$B$1656,2,FALSE()),"")</f>
        <v>Spellblade or Gish</v>
      </c>
      <c r="I118" s="22" t="s">
        <v>1899</v>
      </c>
      <c r="J118" s="22" t="s">
        <v>1900</v>
      </c>
      <c r="K118" s="22" t="s">
        <v>10730</v>
      </c>
      <c r="L118" s="22" t="s">
        <v>10731</v>
      </c>
      <c r="M118" s="22" t="s">
        <v>10732</v>
      </c>
      <c r="N118" s="22" t="s">
        <v>10733</v>
      </c>
      <c r="O118" s="22" t="s">
        <v>9960</v>
      </c>
      <c r="P118" s="22" t="s">
        <v>9961</v>
      </c>
      <c r="Q118" s="22" t="s">
        <v>10619</v>
      </c>
      <c r="R118" s="32" t="s">
        <v>8996</v>
      </c>
      <c r="S118" s="22" t="s">
        <v>9963</v>
      </c>
    </row>
    <row r="119" customFormat="false" ht="51.75" hidden="false" customHeight="true" outlineLevel="0" collapsed="false">
      <c r="A119" s="22" t="s">
        <v>10734</v>
      </c>
      <c r="B119" s="22" t="s">
        <v>995</v>
      </c>
      <c r="C119" s="22" t="s">
        <v>8990</v>
      </c>
      <c r="D119" s="22" t="s">
        <v>8991</v>
      </c>
      <c r="E119" s="22" t="s">
        <v>10613</v>
      </c>
      <c r="F119" s="22" t="s">
        <v>10469</v>
      </c>
      <c r="G119" s="22" t="s">
        <v>994</v>
      </c>
      <c r="H119" s="22" t="str">
        <f aca="false">IFERROR(VLOOKUP(G119,'Master Taxonomy'!$A$2:$B$1656,2,FALSE()),"")</f>
        <v>Knight</v>
      </c>
      <c r="I119" s="22" t="s">
        <v>972</v>
      </c>
      <c r="J119" s="22" t="s">
        <v>973</v>
      </c>
      <c r="K119" s="22" t="s">
        <v>10735</v>
      </c>
      <c r="L119" s="22" t="s">
        <v>10736</v>
      </c>
      <c r="M119" s="22" t="s">
        <v>10737</v>
      </c>
      <c r="N119" s="22" t="s">
        <v>10738</v>
      </c>
      <c r="O119" s="22" t="s">
        <v>9960</v>
      </c>
      <c r="P119" s="22" t="s">
        <v>9961</v>
      </c>
      <c r="Q119" s="22" t="s">
        <v>10619</v>
      </c>
      <c r="R119" s="32" t="s">
        <v>8996</v>
      </c>
      <c r="S119" s="22" t="s">
        <v>9963</v>
      </c>
    </row>
    <row r="120" customFormat="false" ht="51.75" hidden="false" customHeight="true" outlineLevel="0" collapsed="false">
      <c r="A120" s="22" t="s">
        <v>10739</v>
      </c>
      <c r="B120" s="22" t="s">
        <v>10740</v>
      </c>
      <c r="C120" s="22" t="s">
        <v>8990</v>
      </c>
      <c r="D120" s="22" t="s">
        <v>8991</v>
      </c>
      <c r="E120" s="22" t="s">
        <v>10613</v>
      </c>
      <c r="F120" s="22" t="s">
        <v>10469</v>
      </c>
      <c r="G120" s="22" t="s">
        <v>1010</v>
      </c>
      <c r="H120" s="22" t="str">
        <f aca="false">IFERROR(VLOOKUP(G120,'Master Taxonomy'!$A$2:$B$1656,2,FALSE()),"")</f>
        <v>Terror Knight and Fear Warrior</v>
      </c>
      <c r="I120" s="22" t="s">
        <v>1006</v>
      </c>
      <c r="J120" s="22" t="s">
        <v>1007</v>
      </c>
      <c r="K120" s="22" t="s">
        <v>10741</v>
      </c>
      <c r="L120" s="22" t="s">
        <v>10742</v>
      </c>
      <c r="M120" s="22" t="s">
        <v>10743</v>
      </c>
      <c r="N120" s="22" t="s">
        <v>10744</v>
      </c>
      <c r="O120" s="22" t="s">
        <v>9960</v>
      </c>
      <c r="P120" s="22" t="s">
        <v>9961</v>
      </c>
      <c r="Q120" s="22" t="s">
        <v>10619</v>
      </c>
      <c r="R120" s="32" t="s">
        <v>8996</v>
      </c>
      <c r="S120" s="22" t="s">
        <v>9963</v>
      </c>
    </row>
    <row r="121" customFormat="false" ht="51.75" hidden="false" customHeight="true" outlineLevel="0" collapsed="false">
      <c r="A121" s="22" t="s">
        <v>10745</v>
      </c>
      <c r="B121" s="22" t="s">
        <v>977</v>
      </c>
      <c r="C121" s="22" t="s">
        <v>8990</v>
      </c>
      <c r="D121" s="22" t="s">
        <v>8991</v>
      </c>
      <c r="E121" s="22" t="s">
        <v>10613</v>
      </c>
      <c r="F121" s="22" t="s">
        <v>10469</v>
      </c>
      <c r="G121" s="22" t="s">
        <v>976</v>
      </c>
      <c r="H121" s="22" t="str">
        <f aca="false">IFERROR(VLOOKUP(G121,'Master Taxonomy'!$A$2:$B$1656,2,FALSE()),"")</f>
        <v>Berserker</v>
      </c>
      <c r="I121" s="22"/>
      <c r="J121" s="22"/>
      <c r="K121" s="22" t="s">
        <v>10746</v>
      </c>
      <c r="L121" s="22" t="s">
        <v>10747</v>
      </c>
      <c r="M121" s="22" t="s">
        <v>10748</v>
      </c>
      <c r="N121" s="22" t="s">
        <v>10749</v>
      </c>
      <c r="O121" s="22" t="s">
        <v>9960</v>
      </c>
      <c r="P121" s="22" t="s">
        <v>9961</v>
      </c>
      <c r="Q121" s="22" t="s">
        <v>10619</v>
      </c>
      <c r="R121" s="32" t="s">
        <v>8996</v>
      </c>
      <c r="S121" s="22" t="s">
        <v>9963</v>
      </c>
    </row>
    <row r="122" customFormat="false" ht="51.75" hidden="false" customHeight="true" outlineLevel="0" collapsed="false">
      <c r="A122" s="22" t="s">
        <v>10750</v>
      </c>
      <c r="B122" s="22" t="s">
        <v>10751</v>
      </c>
      <c r="C122" s="22" t="s">
        <v>8990</v>
      </c>
      <c r="D122" s="22" t="s">
        <v>8991</v>
      </c>
      <c r="E122" s="22" t="s">
        <v>10613</v>
      </c>
      <c r="F122" s="22" t="s">
        <v>10469</v>
      </c>
      <c r="G122" s="22" t="s">
        <v>960</v>
      </c>
      <c r="H122" s="22" t="str">
        <f aca="false">IFERROR(VLOOKUP(G122,'Master Taxonomy'!$A$2:$B$1656,2,FALSE()),"")</f>
        <v>Swordsman</v>
      </c>
      <c r="I122" s="22" t="s">
        <v>990</v>
      </c>
      <c r="J122" s="22" t="s">
        <v>991</v>
      </c>
      <c r="K122" s="22" t="s">
        <v>10752</v>
      </c>
      <c r="L122" s="22" t="s">
        <v>10753</v>
      </c>
      <c r="M122" s="22" t="s">
        <v>10754</v>
      </c>
      <c r="N122" s="22" t="s">
        <v>10755</v>
      </c>
      <c r="O122" s="22" t="s">
        <v>9960</v>
      </c>
      <c r="P122" s="22" t="s">
        <v>9961</v>
      </c>
      <c r="Q122" s="22" t="s">
        <v>10619</v>
      </c>
      <c r="R122" s="32" t="s">
        <v>8996</v>
      </c>
      <c r="S122" s="22" t="s">
        <v>9963</v>
      </c>
    </row>
    <row r="123" customFormat="false" ht="51.75" hidden="false" customHeight="true" outlineLevel="0" collapsed="false">
      <c r="A123" s="22" t="s">
        <v>10756</v>
      </c>
      <c r="B123" s="22" t="s">
        <v>10757</v>
      </c>
      <c r="C123" s="22" t="s">
        <v>8990</v>
      </c>
      <c r="D123" s="22" t="s">
        <v>8991</v>
      </c>
      <c r="E123" s="22" t="s">
        <v>10613</v>
      </c>
      <c r="F123" s="22" t="s">
        <v>10469</v>
      </c>
      <c r="G123" s="22" t="s">
        <v>1023</v>
      </c>
      <c r="H123" s="22" t="str">
        <f aca="false">IFERROR(VLOOKUP(G123,'Master Taxonomy'!$A$2:$B$1656,2,FALSE()),"")</f>
        <v>Dragoon and Leaping Lancer</v>
      </c>
      <c r="I123" s="22" t="s">
        <v>1115</v>
      </c>
      <c r="J123" s="22" t="s">
        <v>1116</v>
      </c>
      <c r="K123" s="22" t="s">
        <v>10758</v>
      </c>
      <c r="L123" s="22" t="s">
        <v>10759</v>
      </c>
      <c r="M123" s="22" t="s">
        <v>10760</v>
      </c>
      <c r="N123" s="22" t="s">
        <v>10761</v>
      </c>
      <c r="O123" s="22" t="s">
        <v>9960</v>
      </c>
      <c r="P123" s="22" t="s">
        <v>9961</v>
      </c>
      <c r="Q123" s="22" t="s">
        <v>10619</v>
      </c>
      <c r="R123" s="32" t="s">
        <v>8996</v>
      </c>
      <c r="S123" s="22" t="s">
        <v>9963</v>
      </c>
    </row>
    <row r="124" customFormat="false" ht="51.75" hidden="false" customHeight="true" outlineLevel="0" collapsed="false">
      <c r="A124" s="22" t="s">
        <v>10762</v>
      </c>
      <c r="B124" s="22" t="s">
        <v>10763</v>
      </c>
      <c r="C124" s="22" t="s">
        <v>8990</v>
      </c>
      <c r="D124" s="22" t="s">
        <v>8991</v>
      </c>
      <c r="E124" s="22" t="s">
        <v>10613</v>
      </c>
      <c r="F124" s="22" t="s">
        <v>10469</v>
      </c>
      <c r="G124" s="22" t="s">
        <v>1176</v>
      </c>
      <c r="H124" s="22" t="str">
        <f aca="false">IFERROR(VLOOKUP(G124,'Master Taxonomy'!$A$2:$B$1656,2,FALSE()),"")</f>
        <v>Ninja-Derived Operative</v>
      </c>
      <c r="I124" s="22"/>
      <c r="J124" s="22"/>
      <c r="K124" s="22" t="s">
        <v>10764</v>
      </c>
      <c r="L124" s="22" t="s">
        <v>10765</v>
      </c>
      <c r="M124" s="22" t="s">
        <v>10766</v>
      </c>
      <c r="N124" s="22" t="s">
        <v>10767</v>
      </c>
      <c r="O124" s="22" t="s">
        <v>9960</v>
      </c>
      <c r="P124" s="22" t="s">
        <v>9961</v>
      </c>
      <c r="Q124" s="22" t="s">
        <v>10619</v>
      </c>
      <c r="R124" s="32" t="s">
        <v>8996</v>
      </c>
      <c r="S124" s="22" t="s">
        <v>9963</v>
      </c>
    </row>
    <row r="125" customFormat="false" ht="51.75" hidden="false" customHeight="true" outlineLevel="0" collapsed="false">
      <c r="A125" s="22" t="s">
        <v>10768</v>
      </c>
      <c r="B125" s="22" t="s">
        <v>1157</v>
      </c>
      <c r="C125" s="22" t="s">
        <v>8990</v>
      </c>
      <c r="D125" s="22" t="s">
        <v>8991</v>
      </c>
      <c r="E125" s="22" t="s">
        <v>10613</v>
      </c>
      <c r="F125" s="22" t="s">
        <v>10769</v>
      </c>
      <c r="G125" s="22" t="s">
        <v>1156</v>
      </c>
      <c r="H125" s="22" t="str">
        <f aca="false">IFERROR(VLOOKUP(G125,'Master Taxonomy'!$A$2:$B$1656,2,FALSE()),"")</f>
        <v>Rogue</v>
      </c>
      <c r="I125" s="22"/>
      <c r="J125" s="22"/>
      <c r="K125" s="22" t="s">
        <v>10770</v>
      </c>
      <c r="L125" s="22" t="s">
        <v>10771</v>
      </c>
      <c r="M125" s="22" t="s">
        <v>10772</v>
      </c>
      <c r="N125" s="22" t="s">
        <v>10773</v>
      </c>
      <c r="O125" s="22" t="s">
        <v>9960</v>
      </c>
      <c r="P125" s="22" t="s">
        <v>9961</v>
      </c>
      <c r="Q125" s="22" t="s">
        <v>10619</v>
      </c>
      <c r="R125" s="32" t="s">
        <v>8996</v>
      </c>
      <c r="S125" s="22" t="s">
        <v>9963</v>
      </c>
    </row>
    <row r="126" customFormat="false" ht="51.75" hidden="false" customHeight="true" outlineLevel="0" collapsed="false">
      <c r="A126" s="22" t="s">
        <v>10774</v>
      </c>
      <c r="B126" s="22" t="s">
        <v>10775</v>
      </c>
      <c r="C126" s="22" t="s">
        <v>8990</v>
      </c>
      <c r="D126" s="22" t="s">
        <v>8991</v>
      </c>
      <c r="E126" s="22" t="s">
        <v>10613</v>
      </c>
      <c r="F126" s="22" t="s">
        <v>10469</v>
      </c>
      <c r="G126" s="22" t="s">
        <v>1051</v>
      </c>
      <c r="H126" s="22" t="str">
        <f aca="false">IFERROR(VLOOKUP(G126,'Master Taxonomy'!$A$2:$B$1656,2,FALSE()),"")</f>
        <v>Gunner and Fusilier</v>
      </c>
      <c r="I126" s="22"/>
      <c r="J126" s="22"/>
      <c r="K126" s="22" t="s">
        <v>10776</v>
      </c>
      <c r="L126" s="22" t="s">
        <v>10777</v>
      </c>
      <c r="M126" s="22" t="s">
        <v>10778</v>
      </c>
      <c r="N126" s="22" t="s">
        <v>10779</v>
      </c>
      <c r="O126" s="22" t="s">
        <v>9960</v>
      </c>
      <c r="P126" s="22" t="s">
        <v>9961</v>
      </c>
      <c r="Q126" s="22" t="s">
        <v>10619</v>
      </c>
      <c r="R126" s="32" t="s">
        <v>8996</v>
      </c>
      <c r="S126" s="22" t="s">
        <v>9963</v>
      </c>
    </row>
    <row r="127" customFormat="false" ht="51.75" hidden="false" customHeight="true" outlineLevel="0" collapsed="false">
      <c r="A127" s="22" t="s">
        <v>10780</v>
      </c>
      <c r="B127" s="22" t="s">
        <v>10781</v>
      </c>
      <c r="C127" s="22" t="s">
        <v>8990</v>
      </c>
      <c r="D127" s="22" t="s">
        <v>8991</v>
      </c>
      <c r="E127" s="22" t="s">
        <v>10613</v>
      </c>
      <c r="F127" s="22" t="s">
        <v>10469</v>
      </c>
      <c r="G127" s="22" t="s">
        <v>1583</v>
      </c>
      <c r="H127" s="22" t="str">
        <f aca="false">IFERROR(VLOOKUP(G127,'Master Taxonomy'!$A$2:$B$1656,2,FALSE()),"")</f>
        <v>Beastmaster and Beast Tamer</v>
      </c>
      <c r="I127" s="22" t="s">
        <v>1944</v>
      </c>
      <c r="J127" s="22" t="s">
        <v>1945</v>
      </c>
      <c r="K127" s="22" t="s">
        <v>10782</v>
      </c>
      <c r="L127" s="22" t="s">
        <v>10783</v>
      </c>
      <c r="M127" s="22" t="s">
        <v>10784</v>
      </c>
      <c r="N127" s="22" t="s">
        <v>10785</v>
      </c>
      <c r="O127" s="22" t="s">
        <v>9960</v>
      </c>
      <c r="P127" s="22" t="s">
        <v>9961</v>
      </c>
      <c r="Q127" s="22" t="s">
        <v>10619</v>
      </c>
      <c r="R127" s="32" t="s">
        <v>8996</v>
      </c>
      <c r="S127" s="22" t="s">
        <v>9963</v>
      </c>
    </row>
    <row r="128" customFormat="false" ht="51.75" hidden="false" customHeight="true" outlineLevel="0" collapsed="false">
      <c r="A128" s="22" t="s">
        <v>10786</v>
      </c>
      <c r="B128" s="22" t="s">
        <v>1248</v>
      </c>
      <c r="C128" s="22" t="s">
        <v>8990</v>
      </c>
      <c r="D128" s="22" t="s">
        <v>8991</v>
      </c>
      <c r="E128" s="22" t="s">
        <v>10613</v>
      </c>
      <c r="F128" s="22" t="s">
        <v>10469</v>
      </c>
      <c r="G128" s="22" t="s">
        <v>1247</v>
      </c>
      <c r="H128" s="22" t="str">
        <f aca="false">IFERROR(VLOOKUP(G128,'Master Taxonomy'!$A$2:$B$1656,2,FALSE()),"")</f>
        <v>Warlock</v>
      </c>
      <c r="I128" s="22" t="s">
        <v>1255</v>
      </c>
      <c r="J128" s="22" t="s">
        <v>1256</v>
      </c>
      <c r="K128" s="22" t="s">
        <v>10787</v>
      </c>
      <c r="L128" s="22" t="s">
        <v>10788</v>
      </c>
      <c r="M128" s="22" t="s">
        <v>10789</v>
      </c>
      <c r="N128" s="22" t="s">
        <v>10790</v>
      </c>
      <c r="O128" s="22" t="s">
        <v>9960</v>
      </c>
      <c r="P128" s="22" t="s">
        <v>9961</v>
      </c>
      <c r="Q128" s="22" t="s">
        <v>10619</v>
      </c>
      <c r="R128" s="32" t="s">
        <v>8996</v>
      </c>
      <c r="S128" s="22" t="s">
        <v>9963</v>
      </c>
    </row>
    <row r="129" customFormat="false" ht="51.75" hidden="false" customHeight="true" outlineLevel="0" collapsed="false">
      <c r="A129" s="22" t="s">
        <v>10791</v>
      </c>
      <c r="B129" s="22" t="s">
        <v>1292</v>
      </c>
      <c r="C129" s="22" t="s">
        <v>8990</v>
      </c>
      <c r="D129" s="22" t="s">
        <v>8991</v>
      </c>
      <c r="E129" s="22" t="s">
        <v>10613</v>
      </c>
      <c r="F129" s="22" t="s">
        <v>10469</v>
      </c>
      <c r="G129" s="22" t="s">
        <v>1291</v>
      </c>
      <c r="H129" s="22" t="str">
        <f aca="false">IFERROR(VLOOKUP(G129,'Master Taxonomy'!$A$2:$B$1656,2,FALSE()),"")</f>
        <v>Necromancer</v>
      </c>
      <c r="I129" s="22"/>
      <c r="J129" s="22"/>
      <c r="K129" s="22" t="s">
        <v>10792</v>
      </c>
      <c r="L129" s="22" t="s">
        <v>10793</v>
      </c>
      <c r="M129" s="22" t="s">
        <v>10794</v>
      </c>
      <c r="N129" s="22" t="s">
        <v>10795</v>
      </c>
      <c r="O129" s="22" t="s">
        <v>9960</v>
      </c>
      <c r="P129" s="22" t="s">
        <v>9961</v>
      </c>
      <c r="Q129" s="22" t="s">
        <v>10619</v>
      </c>
      <c r="R129" s="32" t="s">
        <v>8996</v>
      </c>
      <c r="S129" s="22" t="s">
        <v>9963</v>
      </c>
    </row>
    <row r="130" customFormat="false" ht="51.75" hidden="false" customHeight="true" outlineLevel="0" collapsed="false">
      <c r="A130" s="22" t="s">
        <v>10796</v>
      </c>
      <c r="B130" s="22" t="s">
        <v>10797</v>
      </c>
      <c r="C130" s="22" t="s">
        <v>8990</v>
      </c>
      <c r="D130" s="22" t="s">
        <v>8991</v>
      </c>
      <c r="E130" s="22" t="s">
        <v>10613</v>
      </c>
      <c r="F130" s="22" t="s">
        <v>10798</v>
      </c>
      <c r="G130" s="22" t="s">
        <v>599</v>
      </c>
      <c r="H130" s="22" t="str">
        <f aca="false">IFERROR(VLOOKUP(G130,'Master Taxonomy'!$A$2:$B$1656,2,FALSE()),"")</f>
        <v>Liches</v>
      </c>
      <c r="I130" s="22" t="s">
        <v>2799</v>
      </c>
      <c r="J130" s="22" t="s">
        <v>2800</v>
      </c>
      <c r="K130" s="22" t="s">
        <v>10799</v>
      </c>
      <c r="L130" s="22" t="s">
        <v>10800</v>
      </c>
      <c r="M130" s="22" t="s">
        <v>10801</v>
      </c>
      <c r="N130" s="22" t="s">
        <v>10802</v>
      </c>
      <c r="O130" s="22" t="s">
        <v>9960</v>
      </c>
      <c r="P130" s="22" t="s">
        <v>9961</v>
      </c>
      <c r="Q130" s="22" t="s">
        <v>10619</v>
      </c>
      <c r="R130" s="32" t="s">
        <v>8996</v>
      </c>
      <c r="S130" s="22" t="s">
        <v>9963</v>
      </c>
    </row>
    <row r="131" customFormat="false" ht="51.75" hidden="false" customHeight="true" outlineLevel="0" collapsed="false">
      <c r="A131" s="22" t="s">
        <v>10803</v>
      </c>
      <c r="B131" s="22" t="s">
        <v>10804</v>
      </c>
      <c r="C131" s="22" t="s">
        <v>8990</v>
      </c>
      <c r="D131" s="22" t="s">
        <v>8991</v>
      </c>
      <c r="E131" s="22" t="s">
        <v>10613</v>
      </c>
      <c r="F131" s="22" t="s">
        <v>10805</v>
      </c>
      <c r="G131" s="22" t="s">
        <v>1233</v>
      </c>
      <c r="H131" s="22" t="str">
        <f aca="false">IFERROR(VLOOKUP(G131,'Master Taxonomy'!$A$2:$B$1656,2,FALSE()),"")</f>
        <v>Mage and Wizard</v>
      </c>
      <c r="I131" s="22" t="s">
        <v>3113</v>
      </c>
      <c r="J131" s="22" t="s">
        <v>2988</v>
      </c>
      <c r="K131" s="22" t="s">
        <v>10806</v>
      </c>
      <c r="L131" s="22" t="s">
        <v>10807</v>
      </c>
      <c r="M131" s="22" t="s">
        <v>10808</v>
      </c>
      <c r="N131" s="22" t="s">
        <v>10809</v>
      </c>
      <c r="O131" s="22" t="s">
        <v>9960</v>
      </c>
      <c r="P131" s="22" t="s">
        <v>9961</v>
      </c>
      <c r="Q131" s="22" t="s">
        <v>10619</v>
      </c>
      <c r="R131" s="32" t="s">
        <v>8996</v>
      </c>
      <c r="S131" s="22" t="s">
        <v>9963</v>
      </c>
    </row>
    <row r="132" customFormat="false" ht="51.75" hidden="false" customHeight="true" outlineLevel="0" collapsed="false">
      <c r="A132" s="22" t="s">
        <v>10810</v>
      </c>
      <c r="B132" s="22" t="s">
        <v>10811</v>
      </c>
      <c r="C132" s="22" t="s">
        <v>8990</v>
      </c>
      <c r="D132" s="22" t="s">
        <v>8991</v>
      </c>
      <c r="E132" s="22" t="s">
        <v>10613</v>
      </c>
      <c r="F132" s="22" t="s">
        <v>10805</v>
      </c>
      <c r="G132" s="22" t="s">
        <v>948</v>
      </c>
      <c r="H132" s="22" t="str">
        <f aca="false">IFERROR(VLOOKUP(G132,'Master Taxonomy'!$A$2:$B$1656,2,FALSE()),"")</f>
        <v>Heavy Infantry</v>
      </c>
      <c r="I132" s="22" t="s">
        <v>972</v>
      </c>
      <c r="J132" s="22" t="s">
        <v>973</v>
      </c>
      <c r="K132" s="22" t="s">
        <v>10812</v>
      </c>
      <c r="L132" s="22" t="s">
        <v>10813</v>
      </c>
      <c r="M132" s="22" t="s">
        <v>10814</v>
      </c>
      <c r="N132" s="22" t="s">
        <v>10815</v>
      </c>
      <c r="O132" s="22" t="s">
        <v>9960</v>
      </c>
      <c r="P132" s="22" t="s">
        <v>9961</v>
      </c>
      <c r="Q132" s="22" t="s">
        <v>10619</v>
      </c>
      <c r="R132" s="32" t="s">
        <v>8996</v>
      </c>
      <c r="S132" s="22" t="s">
        <v>9963</v>
      </c>
    </row>
    <row r="133" customFormat="false" ht="51.75" hidden="false" customHeight="true" outlineLevel="0" collapsed="false">
      <c r="A133" s="22" t="s">
        <v>10816</v>
      </c>
      <c r="B133" s="22" t="s">
        <v>10817</v>
      </c>
      <c r="C133" s="22" t="s">
        <v>8990</v>
      </c>
      <c r="D133" s="22" t="s">
        <v>8991</v>
      </c>
      <c r="E133" s="22" t="s">
        <v>10613</v>
      </c>
      <c r="F133" s="22" t="s">
        <v>10805</v>
      </c>
      <c r="G133" s="22" t="s">
        <v>948</v>
      </c>
      <c r="H133" s="22" t="str">
        <f aca="false">IFERROR(VLOOKUP(G133,'Master Taxonomy'!$A$2:$B$1656,2,FALSE()),"")</f>
        <v>Heavy Infantry</v>
      </c>
      <c r="I133" s="22" t="s">
        <v>976</v>
      </c>
      <c r="J133" s="22" t="s">
        <v>977</v>
      </c>
      <c r="K133" s="22" t="s">
        <v>10818</v>
      </c>
      <c r="L133" s="22" t="s">
        <v>10819</v>
      </c>
      <c r="M133" s="22" t="s">
        <v>10820</v>
      </c>
      <c r="N133" s="22" t="s">
        <v>10821</v>
      </c>
      <c r="O133" s="22" t="s">
        <v>9960</v>
      </c>
      <c r="P133" s="22" t="s">
        <v>9961</v>
      </c>
      <c r="Q133" s="22" t="s">
        <v>10619</v>
      </c>
      <c r="R133" s="32" t="s">
        <v>8996</v>
      </c>
      <c r="S133" s="22" t="s">
        <v>9963</v>
      </c>
    </row>
    <row r="134" customFormat="false" ht="51.75" hidden="false" customHeight="true" outlineLevel="0" collapsed="false">
      <c r="A134" s="22" t="s">
        <v>10822</v>
      </c>
      <c r="B134" s="22" t="s">
        <v>10823</v>
      </c>
      <c r="C134" s="22" t="s">
        <v>8990</v>
      </c>
      <c r="D134" s="22" t="s">
        <v>8991</v>
      </c>
      <c r="E134" s="22" t="s">
        <v>10613</v>
      </c>
      <c r="F134" s="22" t="s">
        <v>10805</v>
      </c>
      <c r="G134" s="22" t="s">
        <v>310</v>
      </c>
      <c r="H134" s="22" t="str">
        <f aca="false">IFERROR(VLOOKUP(G134,'Master Taxonomy'!$A$2:$B$1656,2,FALSE()),"")</f>
        <v>Avian and Winged Humanoid Peoples</v>
      </c>
      <c r="I134" s="22" t="s">
        <v>934</v>
      </c>
      <c r="J134" s="22" t="s">
        <v>935</v>
      </c>
      <c r="K134" s="22" t="s">
        <v>10824</v>
      </c>
      <c r="L134" s="22" t="s">
        <v>10825</v>
      </c>
      <c r="M134" s="22" t="s">
        <v>10826</v>
      </c>
      <c r="N134" s="22" t="s">
        <v>10827</v>
      </c>
      <c r="O134" s="22" t="s">
        <v>9960</v>
      </c>
      <c r="P134" s="22" t="s">
        <v>9961</v>
      </c>
      <c r="Q134" s="22" t="s">
        <v>10619</v>
      </c>
      <c r="R134" s="32" t="s">
        <v>8996</v>
      </c>
      <c r="S134" s="22" t="s">
        <v>9963</v>
      </c>
    </row>
    <row r="135" customFormat="false" ht="51.75" hidden="false" customHeight="true" outlineLevel="0" collapsed="false">
      <c r="A135" s="22" t="s">
        <v>10828</v>
      </c>
      <c r="B135" s="22" t="s">
        <v>10829</v>
      </c>
      <c r="C135" s="22" t="s">
        <v>8990</v>
      </c>
      <c r="D135" s="22" t="s">
        <v>8991</v>
      </c>
      <c r="E135" s="22" t="s">
        <v>10613</v>
      </c>
      <c r="F135" s="22" t="s">
        <v>10805</v>
      </c>
      <c r="G135" s="22" t="s">
        <v>1233</v>
      </c>
      <c r="H135" s="22" t="str">
        <f aca="false">IFERROR(VLOOKUP(G135,'Master Taxonomy'!$A$2:$B$1656,2,FALSE()),"")</f>
        <v>Mage and Wizard</v>
      </c>
      <c r="I135" s="22" t="s">
        <v>925</v>
      </c>
      <c r="J135" s="22" t="s">
        <v>926</v>
      </c>
      <c r="K135" s="22" t="s">
        <v>10830</v>
      </c>
      <c r="L135" s="22" t="s">
        <v>10831</v>
      </c>
      <c r="M135" s="22" t="s">
        <v>10832</v>
      </c>
      <c r="N135" s="22" t="s">
        <v>10833</v>
      </c>
      <c r="O135" s="22" t="s">
        <v>9960</v>
      </c>
      <c r="P135" s="22" t="s">
        <v>9961</v>
      </c>
      <c r="Q135" s="22" t="s">
        <v>10619</v>
      </c>
      <c r="R135" s="32" t="s">
        <v>8996</v>
      </c>
      <c r="S135" s="22" t="s">
        <v>9963</v>
      </c>
    </row>
    <row r="136" customFormat="false" ht="51.75" hidden="false" customHeight="true" outlineLevel="0" collapsed="false">
      <c r="A136" s="22" t="s">
        <v>10834</v>
      </c>
      <c r="B136" s="22" t="s">
        <v>10835</v>
      </c>
      <c r="C136" s="22" t="s">
        <v>8990</v>
      </c>
      <c r="D136" s="22" t="s">
        <v>8991</v>
      </c>
      <c r="E136" s="22" t="s">
        <v>10613</v>
      </c>
      <c r="F136" s="22" t="s">
        <v>10836</v>
      </c>
      <c r="G136" s="22" t="s">
        <v>1854</v>
      </c>
      <c r="H136" s="22" t="str">
        <f aca="false">IFERROR(VLOOKUP(G136,'Master Taxonomy'!$A$2:$B$1656,2,FALSE()),"")</f>
        <v>Warlord Ruler</v>
      </c>
      <c r="I136" s="22" t="s">
        <v>934</v>
      </c>
      <c r="J136" s="22" t="s">
        <v>935</v>
      </c>
      <c r="K136" s="22" t="s">
        <v>10837</v>
      </c>
      <c r="L136" s="22" t="s">
        <v>10838</v>
      </c>
      <c r="M136" s="22" t="s">
        <v>10839</v>
      </c>
      <c r="N136" s="22" t="s">
        <v>10840</v>
      </c>
      <c r="O136" s="22" t="s">
        <v>9960</v>
      </c>
      <c r="P136" s="22" t="s">
        <v>9961</v>
      </c>
      <c r="Q136" s="22" t="s">
        <v>10619</v>
      </c>
      <c r="R136" s="32" t="s">
        <v>8996</v>
      </c>
      <c r="S136" s="22" t="s">
        <v>9963</v>
      </c>
    </row>
    <row r="137" customFormat="false" ht="51.75" hidden="false" customHeight="true" outlineLevel="0" collapsed="false">
      <c r="A137" s="22" t="s">
        <v>10841</v>
      </c>
      <c r="B137" s="22" t="s">
        <v>10842</v>
      </c>
      <c r="C137" s="22" t="s">
        <v>8990</v>
      </c>
      <c r="D137" s="22" t="s">
        <v>8991</v>
      </c>
      <c r="E137" s="22" t="s">
        <v>10613</v>
      </c>
      <c r="F137" s="22" t="s">
        <v>10836</v>
      </c>
      <c r="G137" s="22" t="s">
        <v>1798</v>
      </c>
      <c r="H137" s="22" t="str">
        <f aca="false">IFERROR(VLOOKUP(G137,'Master Taxonomy'!$A$2:$B$1656,2,FALSE()),"")</f>
        <v>Prince, Princess, and Royal Heir</v>
      </c>
      <c r="I137" s="22" t="s">
        <v>1457</v>
      </c>
      <c r="J137" s="22" t="s">
        <v>1458</v>
      </c>
      <c r="K137" s="22" t="s">
        <v>10843</v>
      </c>
      <c r="L137" s="22" t="s">
        <v>10844</v>
      </c>
      <c r="M137" s="22" t="s">
        <v>10845</v>
      </c>
      <c r="N137" s="22" t="s">
        <v>10846</v>
      </c>
      <c r="O137" s="22" t="s">
        <v>9960</v>
      </c>
      <c r="P137" s="22" t="s">
        <v>9961</v>
      </c>
      <c r="Q137" s="22" t="s">
        <v>10619</v>
      </c>
      <c r="R137" s="32" t="s">
        <v>8996</v>
      </c>
      <c r="S137" s="22" t="s">
        <v>9963</v>
      </c>
    </row>
    <row r="138" customFormat="false" ht="51.75" hidden="false" customHeight="true" outlineLevel="0" collapsed="false">
      <c r="A138" s="22" t="s">
        <v>10847</v>
      </c>
      <c r="B138" s="22" t="s">
        <v>10848</v>
      </c>
      <c r="C138" s="22" t="s">
        <v>8990</v>
      </c>
      <c r="D138" s="22" t="s">
        <v>8991</v>
      </c>
      <c r="E138" s="22" t="s">
        <v>10613</v>
      </c>
      <c r="F138" s="22" t="s">
        <v>10836</v>
      </c>
      <c r="G138" s="22" t="s">
        <v>1075</v>
      </c>
      <c r="H138" s="22" t="str">
        <f aca="false">IFERROR(VLOOKUP(G138,'Master Taxonomy'!$A$2:$B$1656,2,FALSE()),"")</f>
        <v>Pirate and Corsair</v>
      </c>
      <c r="I138" s="22" t="s">
        <v>990</v>
      </c>
      <c r="J138" s="22" t="s">
        <v>991</v>
      </c>
      <c r="K138" s="22" t="s">
        <v>10849</v>
      </c>
      <c r="L138" s="22" t="s">
        <v>10850</v>
      </c>
      <c r="M138" s="22" t="s">
        <v>10851</v>
      </c>
      <c r="N138" s="22" t="s">
        <v>10852</v>
      </c>
      <c r="O138" s="22" t="s">
        <v>9960</v>
      </c>
      <c r="P138" s="22" t="s">
        <v>9961</v>
      </c>
      <c r="Q138" s="22" t="s">
        <v>10619</v>
      </c>
      <c r="R138" s="32" t="s">
        <v>8996</v>
      </c>
      <c r="S138" s="22" t="s">
        <v>9963</v>
      </c>
    </row>
    <row r="139" customFormat="false" ht="51.75" hidden="false" customHeight="true" outlineLevel="0" collapsed="false">
      <c r="A139" s="22" t="s">
        <v>10853</v>
      </c>
      <c r="B139" s="22" t="s">
        <v>1562</v>
      </c>
      <c r="C139" s="22" t="s">
        <v>8990</v>
      </c>
      <c r="D139" s="22" t="s">
        <v>8991</v>
      </c>
      <c r="E139" s="22" t="s">
        <v>10613</v>
      </c>
      <c r="F139" s="22" t="s">
        <v>10836</v>
      </c>
      <c r="G139" s="22" t="s">
        <v>1561</v>
      </c>
      <c r="H139" s="22" t="str">
        <f aca="false">IFERROR(VLOOKUP(G139,'Master Taxonomy'!$A$2:$B$1656,2,FALSE()),"")</f>
        <v>Shaman</v>
      </c>
      <c r="I139" s="22" t="s">
        <v>2171</v>
      </c>
      <c r="J139" s="22" t="s">
        <v>2172</v>
      </c>
      <c r="K139" s="22" t="s">
        <v>10854</v>
      </c>
      <c r="L139" s="22" t="s">
        <v>10855</v>
      </c>
      <c r="M139" s="22" t="s">
        <v>10856</v>
      </c>
      <c r="N139" s="22" t="s">
        <v>10857</v>
      </c>
      <c r="O139" s="22" t="s">
        <v>9960</v>
      </c>
      <c r="P139" s="22" t="s">
        <v>9961</v>
      </c>
      <c r="Q139" s="22" t="s">
        <v>10619</v>
      </c>
      <c r="R139" s="32" t="s">
        <v>8996</v>
      </c>
      <c r="S139" s="22" t="s">
        <v>9963</v>
      </c>
    </row>
    <row r="140" customFormat="false" ht="51.75" hidden="false" customHeight="true" outlineLevel="0" collapsed="false">
      <c r="A140" s="22" t="s">
        <v>10858</v>
      </c>
      <c r="B140" s="22" t="s">
        <v>10859</v>
      </c>
      <c r="C140" s="22" t="s">
        <v>8990</v>
      </c>
      <c r="D140" s="22" t="s">
        <v>8991</v>
      </c>
      <c r="E140" s="22" t="s">
        <v>10613</v>
      </c>
      <c r="F140" s="22" t="s">
        <v>10836</v>
      </c>
      <c r="G140" s="22" t="s">
        <v>1242</v>
      </c>
      <c r="H140" s="22" t="str">
        <f aca="false">IFERROR(VLOOKUP(G140,'Master Taxonomy'!$A$2:$B$1656,2,FALSE()),"")</f>
        <v>Witch</v>
      </c>
      <c r="I140" s="22" t="s">
        <v>1396</v>
      </c>
      <c r="J140" s="22" t="s">
        <v>1397</v>
      </c>
      <c r="K140" s="22" t="s">
        <v>10860</v>
      </c>
      <c r="L140" s="22" t="s">
        <v>10861</v>
      </c>
      <c r="M140" s="22" t="s">
        <v>10862</v>
      </c>
      <c r="N140" s="22" t="s">
        <v>10863</v>
      </c>
      <c r="O140" s="22" t="s">
        <v>9960</v>
      </c>
      <c r="P140" s="22" t="s">
        <v>9961</v>
      </c>
      <c r="Q140" s="22" t="s">
        <v>10619</v>
      </c>
      <c r="R140" s="32" t="s">
        <v>8996</v>
      </c>
      <c r="S140" s="22" t="s">
        <v>9963</v>
      </c>
    </row>
    <row r="141" customFormat="false" ht="51.75" hidden="false" customHeight="true" outlineLevel="0" collapsed="false">
      <c r="A141" s="22" t="s">
        <v>10864</v>
      </c>
      <c r="B141" s="22" t="s">
        <v>1036</v>
      </c>
      <c r="C141" s="22" t="s">
        <v>8990</v>
      </c>
      <c r="D141" s="22" t="s">
        <v>8991</v>
      </c>
      <c r="E141" s="22" t="s">
        <v>10613</v>
      </c>
      <c r="F141" s="22" t="s">
        <v>10836</v>
      </c>
      <c r="G141" s="22" t="s">
        <v>1035</v>
      </c>
      <c r="H141" s="22" t="str">
        <f aca="false">IFERROR(VLOOKUP(G141,'Master Taxonomy'!$A$2:$B$1656,2,FALSE()),"")</f>
        <v>Ranger</v>
      </c>
      <c r="I141" s="22" t="s">
        <v>1156</v>
      </c>
      <c r="J141" s="22" t="s">
        <v>1157</v>
      </c>
      <c r="K141" s="22" t="s">
        <v>10865</v>
      </c>
      <c r="L141" s="22" t="s">
        <v>10866</v>
      </c>
      <c r="M141" s="22" t="s">
        <v>10867</v>
      </c>
      <c r="N141" s="22" t="s">
        <v>10868</v>
      </c>
      <c r="O141" s="22" t="s">
        <v>9960</v>
      </c>
      <c r="P141" s="22" t="s">
        <v>9961</v>
      </c>
      <c r="Q141" s="22" t="s">
        <v>10619</v>
      </c>
      <c r="R141" s="32" t="s">
        <v>8996</v>
      </c>
      <c r="S141" s="22" t="s">
        <v>9963</v>
      </c>
    </row>
    <row r="142" customFormat="false" ht="51.75" hidden="false" customHeight="true" outlineLevel="0" collapsed="false">
      <c r="A142" s="22" t="s">
        <v>10869</v>
      </c>
      <c r="B142" s="22" t="s">
        <v>10870</v>
      </c>
      <c r="C142" s="22" t="s">
        <v>8990</v>
      </c>
      <c r="D142" s="22" t="s">
        <v>8991</v>
      </c>
      <c r="E142" s="22" t="s">
        <v>10613</v>
      </c>
      <c r="F142" s="22" t="s">
        <v>10836</v>
      </c>
      <c r="G142" s="22" t="s">
        <v>1002</v>
      </c>
      <c r="H142" s="22" t="str">
        <f aca="false">IFERROR(VLOOKUP(G142,'Master Taxonomy'!$A$2:$B$1656,2,FALSE()),"")</f>
        <v>Paladin and Holy Knight</v>
      </c>
      <c r="I142" s="22" t="s">
        <v>994</v>
      </c>
      <c r="J142" s="22" t="s">
        <v>995</v>
      </c>
      <c r="K142" s="22" t="s">
        <v>10871</v>
      </c>
      <c r="L142" s="22" t="s">
        <v>10872</v>
      </c>
      <c r="M142" s="22" t="s">
        <v>10873</v>
      </c>
      <c r="N142" s="22" t="s">
        <v>10874</v>
      </c>
      <c r="O142" s="22" t="s">
        <v>9960</v>
      </c>
      <c r="P142" s="22" t="s">
        <v>9961</v>
      </c>
      <c r="Q142" s="22" t="s">
        <v>10619</v>
      </c>
      <c r="R142" s="32" t="s">
        <v>8996</v>
      </c>
      <c r="S142" s="22" t="s">
        <v>9963</v>
      </c>
    </row>
    <row r="143" customFormat="false" ht="51.75" hidden="false" customHeight="true" outlineLevel="0" collapsed="false">
      <c r="A143" s="22" t="s">
        <v>10875</v>
      </c>
      <c r="B143" s="22" t="s">
        <v>10876</v>
      </c>
      <c r="C143" s="22" t="s">
        <v>8990</v>
      </c>
      <c r="D143" s="22" t="s">
        <v>8991</v>
      </c>
      <c r="E143" s="22" t="s">
        <v>10613</v>
      </c>
      <c r="F143" s="22" t="s">
        <v>10836</v>
      </c>
      <c r="G143" s="22" t="s">
        <v>1511</v>
      </c>
      <c r="H143" s="22" t="str">
        <f aca="false">IFERROR(VLOOKUP(G143,'Master Taxonomy'!$A$2:$B$1656,2,FALSE()),"")</f>
        <v>Death Priest</v>
      </c>
      <c r="I143" s="22" t="s">
        <v>1344</v>
      </c>
      <c r="J143" s="22" t="s">
        <v>1345</v>
      </c>
      <c r="K143" s="22" t="s">
        <v>10877</v>
      </c>
      <c r="L143" s="22" t="s">
        <v>10878</v>
      </c>
      <c r="M143" s="22" t="s">
        <v>10879</v>
      </c>
      <c r="N143" s="22" t="s">
        <v>10880</v>
      </c>
      <c r="O143" s="22" t="s">
        <v>9960</v>
      </c>
      <c r="P143" s="22" t="s">
        <v>9961</v>
      </c>
      <c r="Q143" s="22" t="s">
        <v>10619</v>
      </c>
      <c r="R143" s="32" t="s">
        <v>8996</v>
      </c>
      <c r="S143" s="22" t="s">
        <v>9963</v>
      </c>
    </row>
    <row r="144" customFormat="false" ht="51.75" hidden="false" customHeight="true" outlineLevel="0" collapsed="false">
      <c r="A144" s="22" t="s">
        <v>10881</v>
      </c>
      <c r="B144" s="22" t="s">
        <v>10707</v>
      </c>
      <c r="C144" s="22" t="s">
        <v>8997</v>
      </c>
      <c r="D144" s="22" t="s">
        <v>8998</v>
      </c>
      <c r="E144" s="22" t="s">
        <v>10882</v>
      </c>
      <c r="F144" s="22" t="s">
        <v>10883</v>
      </c>
      <c r="G144" s="22" t="s">
        <v>934</v>
      </c>
      <c r="H144" s="22" t="str">
        <f aca="false">IFERROR(VLOOKUP(G144,'Master Taxonomy'!$A$2:$B$1656,2,FALSE()),"")</f>
        <v>Warrior or Fighter</v>
      </c>
      <c r="I144" s="22"/>
      <c r="J144" s="22"/>
      <c r="K144" s="22" t="s">
        <v>10884</v>
      </c>
      <c r="L144" s="22" t="s">
        <v>10885</v>
      </c>
      <c r="M144" s="22" t="s">
        <v>10886</v>
      </c>
      <c r="N144" s="22" t="s">
        <v>10887</v>
      </c>
      <c r="O144" s="22" t="s">
        <v>10888</v>
      </c>
      <c r="P144" s="22" t="s">
        <v>10889</v>
      </c>
      <c r="Q144" s="22" t="s">
        <v>10890</v>
      </c>
      <c r="R144" s="32" t="s">
        <v>9003</v>
      </c>
      <c r="S144" s="22" t="s">
        <v>9963</v>
      </c>
    </row>
    <row r="145" customFormat="false" ht="51.75" hidden="false" customHeight="true" outlineLevel="0" collapsed="false">
      <c r="A145" s="22" t="s">
        <v>10891</v>
      </c>
      <c r="B145" s="22" t="s">
        <v>10892</v>
      </c>
      <c r="C145" s="22" t="s">
        <v>8997</v>
      </c>
      <c r="D145" s="22" t="s">
        <v>8998</v>
      </c>
      <c r="E145" s="22" t="s">
        <v>10882</v>
      </c>
      <c r="F145" s="22" t="s">
        <v>10883</v>
      </c>
      <c r="G145" s="22" t="s">
        <v>1002</v>
      </c>
      <c r="H145" s="22" t="str">
        <f aca="false">IFERROR(VLOOKUP(G145,'Master Taxonomy'!$A$2:$B$1656,2,FALSE()),"")</f>
        <v>Paladin and Holy Knight</v>
      </c>
      <c r="I145" s="22" t="s">
        <v>994</v>
      </c>
      <c r="J145" s="22" t="s">
        <v>995</v>
      </c>
      <c r="K145" s="22" t="s">
        <v>10893</v>
      </c>
      <c r="L145" s="22" t="s">
        <v>10885</v>
      </c>
      <c r="M145" s="22" t="s">
        <v>10894</v>
      </c>
      <c r="N145" s="22" t="s">
        <v>10895</v>
      </c>
      <c r="O145" s="22" t="s">
        <v>10888</v>
      </c>
      <c r="P145" s="22" t="s">
        <v>10889</v>
      </c>
      <c r="Q145" s="22" t="s">
        <v>10890</v>
      </c>
      <c r="R145" s="32" t="s">
        <v>9003</v>
      </c>
      <c r="S145" s="22" t="s">
        <v>9963</v>
      </c>
    </row>
    <row r="146" customFormat="false" ht="51.75" hidden="false" customHeight="true" outlineLevel="0" collapsed="false">
      <c r="A146" s="22" t="s">
        <v>10896</v>
      </c>
      <c r="B146" s="22" t="s">
        <v>10497</v>
      </c>
      <c r="C146" s="22" t="s">
        <v>8997</v>
      </c>
      <c r="D146" s="22" t="s">
        <v>8998</v>
      </c>
      <c r="E146" s="22" t="s">
        <v>10882</v>
      </c>
      <c r="F146" s="22" t="s">
        <v>10883</v>
      </c>
      <c r="G146" s="22" t="s">
        <v>1027</v>
      </c>
      <c r="H146" s="22" t="str">
        <f aca="false">IFERROR(VLOOKUP(G146,'Master Taxonomy'!$A$2:$B$1656,2,FALSE()),"")</f>
        <v>Monk and Martial Artist</v>
      </c>
      <c r="I146" s="22"/>
      <c r="J146" s="22"/>
      <c r="K146" s="22" t="s">
        <v>10897</v>
      </c>
      <c r="L146" s="22" t="s">
        <v>10885</v>
      </c>
      <c r="M146" s="22" t="s">
        <v>10898</v>
      </c>
      <c r="N146" s="22" t="s">
        <v>10899</v>
      </c>
      <c r="O146" s="22" t="s">
        <v>10888</v>
      </c>
      <c r="P146" s="22" t="s">
        <v>10889</v>
      </c>
      <c r="Q146" s="22" t="s">
        <v>10890</v>
      </c>
      <c r="R146" s="32" t="s">
        <v>9003</v>
      </c>
      <c r="S146" s="22" t="s">
        <v>9963</v>
      </c>
    </row>
    <row r="147" customFormat="false" ht="51.75" hidden="false" customHeight="true" outlineLevel="0" collapsed="false">
      <c r="A147" s="22" t="s">
        <v>10900</v>
      </c>
      <c r="B147" s="22" t="s">
        <v>1140</v>
      </c>
      <c r="C147" s="22" t="s">
        <v>8997</v>
      </c>
      <c r="D147" s="22" t="s">
        <v>8998</v>
      </c>
      <c r="E147" s="22" t="s">
        <v>10882</v>
      </c>
      <c r="F147" s="22" t="s">
        <v>10883</v>
      </c>
      <c r="G147" s="22" t="s">
        <v>1139</v>
      </c>
      <c r="H147" s="22" t="str">
        <f aca="false">IFERROR(VLOOKUP(G147,'Master Taxonomy'!$A$2:$B$1656,2,FALSE()),"")</f>
        <v>Thief</v>
      </c>
      <c r="I147" s="22" t="s">
        <v>1156</v>
      </c>
      <c r="J147" s="22" t="s">
        <v>1157</v>
      </c>
      <c r="K147" s="22" t="s">
        <v>10901</v>
      </c>
      <c r="L147" s="22" t="s">
        <v>10885</v>
      </c>
      <c r="M147" s="22" t="s">
        <v>10902</v>
      </c>
      <c r="N147" s="22" t="s">
        <v>10903</v>
      </c>
      <c r="O147" s="22" t="s">
        <v>10888</v>
      </c>
      <c r="P147" s="22" t="s">
        <v>10889</v>
      </c>
      <c r="Q147" s="22" t="s">
        <v>10890</v>
      </c>
      <c r="R147" s="32" t="s">
        <v>9003</v>
      </c>
      <c r="S147" s="22" t="s">
        <v>9963</v>
      </c>
    </row>
    <row r="148" customFormat="false" ht="51.75" hidden="false" customHeight="true" outlineLevel="0" collapsed="false">
      <c r="A148" s="22" t="s">
        <v>10904</v>
      </c>
      <c r="B148" s="22" t="s">
        <v>10905</v>
      </c>
      <c r="C148" s="22" t="s">
        <v>8997</v>
      </c>
      <c r="D148" s="22" t="s">
        <v>8998</v>
      </c>
      <c r="E148" s="22" t="s">
        <v>10882</v>
      </c>
      <c r="F148" s="22" t="s">
        <v>10883</v>
      </c>
      <c r="G148" s="22" t="s">
        <v>1176</v>
      </c>
      <c r="H148" s="22" t="str">
        <f aca="false">IFERROR(VLOOKUP(G148,'Master Taxonomy'!$A$2:$B$1656,2,FALSE()),"")</f>
        <v>Ninja-Derived Operative</v>
      </c>
      <c r="I148" s="22"/>
      <c r="J148" s="22"/>
      <c r="K148" s="22" t="s">
        <v>10906</v>
      </c>
      <c r="L148" s="22" t="s">
        <v>10885</v>
      </c>
      <c r="M148" s="22" t="s">
        <v>10907</v>
      </c>
      <c r="N148" s="22" t="s">
        <v>10908</v>
      </c>
      <c r="O148" s="22" t="s">
        <v>10888</v>
      </c>
      <c r="P148" s="22" t="s">
        <v>10889</v>
      </c>
      <c r="Q148" s="22" t="s">
        <v>10890</v>
      </c>
      <c r="R148" s="32" t="s">
        <v>9003</v>
      </c>
      <c r="S148" s="22" t="s">
        <v>9963</v>
      </c>
    </row>
    <row r="149" customFormat="false" ht="51.75" hidden="false" customHeight="true" outlineLevel="0" collapsed="false">
      <c r="A149" s="22" t="s">
        <v>10909</v>
      </c>
      <c r="B149" s="22" t="s">
        <v>10910</v>
      </c>
      <c r="C149" s="22" t="s">
        <v>8997</v>
      </c>
      <c r="D149" s="22" t="s">
        <v>8998</v>
      </c>
      <c r="E149" s="22" t="s">
        <v>10882</v>
      </c>
      <c r="F149" s="22" t="s">
        <v>10883</v>
      </c>
      <c r="G149" s="22" t="s">
        <v>1014</v>
      </c>
      <c r="H149" s="22" t="str">
        <f aca="false">IFERROR(VLOOKUP(G149,'Master Taxonomy'!$A$2:$B$1656,2,FALSE()),"")</f>
        <v>Samurai-Derived Warrior</v>
      </c>
      <c r="I149" s="22"/>
      <c r="J149" s="22"/>
      <c r="K149" s="22" t="s">
        <v>10911</v>
      </c>
      <c r="L149" s="22" t="s">
        <v>10885</v>
      </c>
      <c r="M149" s="22" t="s">
        <v>10912</v>
      </c>
      <c r="N149" s="22" t="s">
        <v>10913</v>
      </c>
      <c r="O149" s="22" t="s">
        <v>10888</v>
      </c>
      <c r="P149" s="22" t="s">
        <v>10889</v>
      </c>
      <c r="Q149" s="22" t="s">
        <v>10890</v>
      </c>
      <c r="R149" s="32" t="s">
        <v>9003</v>
      </c>
      <c r="S149" s="22" t="s">
        <v>9963</v>
      </c>
    </row>
    <row r="150" customFormat="false" ht="51.75" hidden="false" customHeight="true" outlineLevel="0" collapsed="false">
      <c r="A150" s="22" t="s">
        <v>10914</v>
      </c>
      <c r="B150" s="22" t="s">
        <v>10757</v>
      </c>
      <c r="C150" s="22" t="s">
        <v>8997</v>
      </c>
      <c r="D150" s="22" t="s">
        <v>8998</v>
      </c>
      <c r="E150" s="22" t="s">
        <v>10882</v>
      </c>
      <c r="F150" s="22" t="s">
        <v>10883</v>
      </c>
      <c r="G150" s="22" t="s">
        <v>1023</v>
      </c>
      <c r="H150" s="22" t="str">
        <f aca="false">IFERROR(VLOOKUP(G150,'Master Taxonomy'!$A$2:$B$1656,2,FALSE()),"")</f>
        <v>Dragoon and Leaping Lancer</v>
      </c>
      <c r="I150" s="22"/>
      <c r="J150" s="22"/>
      <c r="K150" s="22" t="s">
        <v>10915</v>
      </c>
      <c r="L150" s="22" t="s">
        <v>10885</v>
      </c>
      <c r="M150" s="22" t="s">
        <v>10916</v>
      </c>
      <c r="N150" s="22" t="s">
        <v>10917</v>
      </c>
      <c r="O150" s="22" t="s">
        <v>10888</v>
      </c>
      <c r="P150" s="22" t="s">
        <v>10889</v>
      </c>
      <c r="Q150" s="22" t="s">
        <v>10890</v>
      </c>
      <c r="R150" s="32" t="s">
        <v>9003</v>
      </c>
      <c r="S150" s="22" t="s">
        <v>9963</v>
      </c>
    </row>
    <row r="151" customFormat="false" ht="51.75" hidden="false" customHeight="true" outlineLevel="0" collapsed="false">
      <c r="A151" s="22" t="s">
        <v>10918</v>
      </c>
      <c r="B151" s="22" t="s">
        <v>10919</v>
      </c>
      <c r="C151" s="22" t="s">
        <v>8997</v>
      </c>
      <c r="D151" s="22" t="s">
        <v>8998</v>
      </c>
      <c r="E151" s="22" t="s">
        <v>10882</v>
      </c>
      <c r="F151" s="22" t="s">
        <v>10883</v>
      </c>
      <c r="G151" s="22" t="s">
        <v>1006</v>
      </c>
      <c r="H151" s="22" t="str">
        <f aca="false">IFERROR(VLOOKUP(G151,'Master Taxonomy'!$A$2:$B$1656,2,FALSE()),"")</f>
        <v>Dark Knight and Blackguard</v>
      </c>
      <c r="I151" s="22"/>
      <c r="J151" s="22"/>
      <c r="K151" s="22" t="s">
        <v>10920</v>
      </c>
      <c r="L151" s="22" t="s">
        <v>10885</v>
      </c>
      <c r="M151" s="22" t="s">
        <v>10921</v>
      </c>
      <c r="N151" s="22" t="s">
        <v>10922</v>
      </c>
      <c r="O151" s="22" t="s">
        <v>10888</v>
      </c>
      <c r="P151" s="22" t="s">
        <v>10889</v>
      </c>
      <c r="Q151" s="22" t="s">
        <v>10890</v>
      </c>
      <c r="R151" s="32" t="s">
        <v>9003</v>
      </c>
      <c r="S151" s="22" t="s">
        <v>9963</v>
      </c>
    </row>
    <row r="152" customFormat="false" ht="51.75" hidden="false" customHeight="true" outlineLevel="0" collapsed="false">
      <c r="A152" s="22" t="s">
        <v>10923</v>
      </c>
      <c r="B152" s="22" t="s">
        <v>10924</v>
      </c>
      <c r="C152" s="22" t="s">
        <v>8997</v>
      </c>
      <c r="D152" s="22" t="s">
        <v>8998</v>
      </c>
      <c r="E152" s="22" t="s">
        <v>10882</v>
      </c>
      <c r="F152" s="22" t="s">
        <v>10883</v>
      </c>
      <c r="G152" s="22" t="s">
        <v>1408</v>
      </c>
      <c r="H152" s="22" t="str">
        <f aca="false">IFERROR(VLOOKUP(G152,'Master Taxonomy'!$A$2:$B$1656,2,FALSE()),"")</f>
        <v>White Mage and Restorative Caster</v>
      </c>
      <c r="I152" s="22" t="s">
        <v>4685</v>
      </c>
      <c r="J152" s="22" t="s">
        <v>1632</v>
      </c>
      <c r="K152" s="22" t="s">
        <v>10925</v>
      </c>
      <c r="L152" s="22" t="s">
        <v>10885</v>
      </c>
      <c r="M152" s="22" t="s">
        <v>10926</v>
      </c>
      <c r="N152" s="22" t="s">
        <v>10927</v>
      </c>
      <c r="O152" s="22" t="s">
        <v>10888</v>
      </c>
      <c r="P152" s="22" t="s">
        <v>10889</v>
      </c>
      <c r="Q152" s="22" t="s">
        <v>10890</v>
      </c>
      <c r="R152" s="32" t="s">
        <v>9003</v>
      </c>
      <c r="S152" s="22" t="s">
        <v>9963</v>
      </c>
    </row>
    <row r="153" customFormat="false" ht="51.75" hidden="false" customHeight="true" outlineLevel="0" collapsed="false">
      <c r="A153" s="22" t="s">
        <v>10928</v>
      </c>
      <c r="B153" s="22" t="s">
        <v>10929</v>
      </c>
      <c r="C153" s="22" t="s">
        <v>8997</v>
      </c>
      <c r="D153" s="22" t="s">
        <v>8998</v>
      </c>
      <c r="E153" s="22" t="s">
        <v>10882</v>
      </c>
      <c r="F153" s="22" t="s">
        <v>10883</v>
      </c>
      <c r="G153" s="22" t="s">
        <v>1404</v>
      </c>
      <c r="H153" s="22" t="str">
        <f aca="false">IFERROR(VLOOKUP(G153,'Master Taxonomy'!$A$2:$B$1656,2,FALSE()),"")</f>
        <v>Black Mage and Destructive Caster</v>
      </c>
      <c r="I153" s="22"/>
      <c r="J153" s="22"/>
      <c r="K153" s="22" t="s">
        <v>10930</v>
      </c>
      <c r="L153" s="22" t="s">
        <v>10885</v>
      </c>
      <c r="M153" s="22" t="s">
        <v>10931</v>
      </c>
      <c r="N153" s="22" t="s">
        <v>10932</v>
      </c>
      <c r="O153" s="22" t="s">
        <v>10888</v>
      </c>
      <c r="P153" s="22" t="s">
        <v>10889</v>
      </c>
      <c r="Q153" s="22" t="s">
        <v>10890</v>
      </c>
      <c r="R153" s="32" t="s">
        <v>9003</v>
      </c>
      <c r="S153" s="22" t="s">
        <v>9963</v>
      </c>
    </row>
    <row r="154" customFormat="false" ht="51.75" hidden="false" customHeight="true" outlineLevel="0" collapsed="false">
      <c r="A154" s="22" t="s">
        <v>10933</v>
      </c>
      <c r="B154" s="22" t="s">
        <v>10934</v>
      </c>
      <c r="C154" s="22" t="s">
        <v>8997</v>
      </c>
      <c r="D154" s="22" t="s">
        <v>8998</v>
      </c>
      <c r="E154" s="22" t="s">
        <v>10882</v>
      </c>
      <c r="F154" s="22" t="s">
        <v>10883</v>
      </c>
      <c r="G154" s="22" t="s">
        <v>1400</v>
      </c>
      <c r="H154" s="22" t="str">
        <f aca="false">IFERROR(VLOOKUP(G154,'Master Taxonomy'!$A$2:$B$1656,2,FALSE()),"")</f>
        <v>Red Mage and Versatile Battlemage</v>
      </c>
      <c r="I154" s="22" t="s">
        <v>1890</v>
      </c>
      <c r="J154" s="22" t="s">
        <v>1891</v>
      </c>
      <c r="K154" s="22" t="s">
        <v>10935</v>
      </c>
      <c r="L154" s="22" t="s">
        <v>10885</v>
      </c>
      <c r="M154" s="22" t="s">
        <v>10936</v>
      </c>
      <c r="N154" s="22" t="s">
        <v>10937</v>
      </c>
      <c r="O154" s="22" t="s">
        <v>10888</v>
      </c>
      <c r="P154" s="22" t="s">
        <v>10889</v>
      </c>
      <c r="Q154" s="22" t="s">
        <v>10890</v>
      </c>
      <c r="R154" s="32" t="s">
        <v>9003</v>
      </c>
      <c r="S154" s="22" t="s">
        <v>9963</v>
      </c>
    </row>
    <row r="155" customFormat="false" ht="51.75" hidden="false" customHeight="true" outlineLevel="0" collapsed="false">
      <c r="A155" s="22" t="s">
        <v>10938</v>
      </c>
      <c r="B155" s="22" t="s">
        <v>10939</v>
      </c>
      <c r="C155" s="22" t="s">
        <v>8997</v>
      </c>
      <c r="D155" s="22" t="s">
        <v>8998</v>
      </c>
      <c r="E155" s="22" t="s">
        <v>10882</v>
      </c>
      <c r="F155" s="22" t="s">
        <v>10883</v>
      </c>
      <c r="G155" s="22" t="s">
        <v>1396</v>
      </c>
      <c r="H155" s="22" t="str">
        <f aca="false">IFERROR(VLOOKUP(G155,'Master Taxonomy'!$A$2:$B$1656,2,FALSE()),"")</f>
        <v>Blue Mage and Mimic Caster</v>
      </c>
      <c r="I155" s="22" t="s">
        <v>1964</v>
      </c>
      <c r="J155" s="22" t="s">
        <v>1965</v>
      </c>
      <c r="K155" s="22" t="s">
        <v>10940</v>
      </c>
      <c r="L155" s="22" t="s">
        <v>10885</v>
      </c>
      <c r="M155" s="22" t="s">
        <v>10941</v>
      </c>
      <c r="N155" s="22" t="s">
        <v>10942</v>
      </c>
      <c r="O155" s="22" t="s">
        <v>10888</v>
      </c>
      <c r="P155" s="22" t="s">
        <v>10889</v>
      </c>
      <c r="Q155" s="22" t="s">
        <v>10890</v>
      </c>
      <c r="R155" s="32" t="s">
        <v>9003</v>
      </c>
      <c r="S155" s="22" t="s">
        <v>9963</v>
      </c>
    </row>
    <row r="156" customFormat="false" ht="51.75" hidden="false" customHeight="true" outlineLevel="0" collapsed="false">
      <c r="A156" s="22" t="s">
        <v>10943</v>
      </c>
      <c r="B156" s="22" t="s">
        <v>10944</v>
      </c>
      <c r="C156" s="22" t="s">
        <v>8997</v>
      </c>
      <c r="D156" s="22" t="s">
        <v>8998</v>
      </c>
      <c r="E156" s="22" t="s">
        <v>10882</v>
      </c>
      <c r="F156" s="22" t="s">
        <v>10883</v>
      </c>
      <c r="G156" s="22" t="s">
        <v>1412</v>
      </c>
      <c r="H156" s="22" t="str">
        <f aca="false">IFERROR(VLOOKUP(G156,'Master Taxonomy'!$A$2:$B$1656,2,FALSE()),"")</f>
        <v>Green Mage and Support Caster</v>
      </c>
      <c r="I156" s="22"/>
      <c r="J156" s="22"/>
      <c r="K156" s="22" t="s">
        <v>10945</v>
      </c>
      <c r="L156" s="22" t="s">
        <v>10885</v>
      </c>
      <c r="M156" s="22" t="s">
        <v>10946</v>
      </c>
      <c r="N156" s="22" t="s">
        <v>10947</v>
      </c>
      <c r="O156" s="22" t="s">
        <v>10888</v>
      </c>
      <c r="P156" s="22" t="s">
        <v>10889</v>
      </c>
      <c r="Q156" s="22" t="s">
        <v>10890</v>
      </c>
      <c r="R156" s="32" t="s">
        <v>9003</v>
      </c>
      <c r="S156" s="22" t="s">
        <v>9963</v>
      </c>
    </row>
    <row r="157" customFormat="false" ht="51.75" hidden="false" customHeight="true" outlineLevel="0" collapsed="false">
      <c r="A157" s="22" t="s">
        <v>10948</v>
      </c>
      <c r="B157" s="22" t="s">
        <v>1417</v>
      </c>
      <c r="C157" s="22" t="s">
        <v>8997</v>
      </c>
      <c r="D157" s="22" t="s">
        <v>8998</v>
      </c>
      <c r="E157" s="22" t="s">
        <v>10882</v>
      </c>
      <c r="F157" s="22" t="s">
        <v>10883</v>
      </c>
      <c r="G157" s="22" t="s">
        <v>1416</v>
      </c>
      <c r="H157" s="22" t="str">
        <f aca="false">IFERROR(VLOOKUP(G157,'Master Taxonomy'!$A$2:$B$1656,2,FALSE()),"")</f>
        <v>Time Mage</v>
      </c>
      <c r="I157" s="22"/>
      <c r="J157" s="22"/>
      <c r="K157" s="22" t="s">
        <v>10949</v>
      </c>
      <c r="L157" s="22" t="s">
        <v>10885</v>
      </c>
      <c r="M157" s="22" t="s">
        <v>10950</v>
      </c>
      <c r="N157" s="22" t="s">
        <v>10951</v>
      </c>
      <c r="O157" s="22" t="s">
        <v>10888</v>
      </c>
      <c r="P157" s="22" t="s">
        <v>10889</v>
      </c>
      <c r="Q157" s="22" t="s">
        <v>10890</v>
      </c>
      <c r="R157" s="32" t="s">
        <v>9003</v>
      </c>
      <c r="S157" s="22" t="s">
        <v>9963</v>
      </c>
    </row>
    <row r="158" customFormat="false" ht="51.75" hidden="false" customHeight="true" outlineLevel="0" collapsed="false">
      <c r="A158" s="22" t="s">
        <v>10952</v>
      </c>
      <c r="B158" s="22" t="s">
        <v>1288</v>
      </c>
      <c r="C158" s="22" t="s">
        <v>8997</v>
      </c>
      <c r="D158" s="22" t="s">
        <v>8998</v>
      </c>
      <c r="E158" s="22" t="s">
        <v>10882</v>
      </c>
      <c r="F158" s="22" t="s">
        <v>10883</v>
      </c>
      <c r="G158" s="22" t="s">
        <v>1287</v>
      </c>
      <c r="H158" s="22" t="str">
        <f aca="false">IFERROR(VLOOKUP(G158,'Master Taxonomy'!$A$2:$B$1656,2,FALSE()),"")</f>
        <v>Summoner</v>
      </c>
      <c r="I158" s="22" t="s">
        <v>1956</v>
      </c>
      <c r="J158" s="22" t="s">
        <v>1957</v>
      </c>
      <c r="K158" s="22" t="s">
        <v>10953</v>
      </c>
      <c r="L158" s="22" t="s">
        <v>10885</v>
      </c>
      <c r="M158" s="22" t="s">
        <v>10954</v>
      </c>
      <c r="N158" s="22" t="s">
        <v>10955</v>
      </c>
      <c r="O158" s="22" t="s">
        <v>10888</v>
      </c>
      <c r="P158" s="22" t="s">
        <v>10889</v>
      </c>
      <c r="Q158" s="22" t="s">
        <v>10890</v>
      </c>
      <c r="R158" s="32" t="s">
        <v>9003</v>
      </c>
      <c r="S158" s="22" t="s">
        <v>9963</v>
      </c>
    </row>
    <row r="159" customFormat="false" ht="51.75" hidden="false" customHeight="true" outlineLevel="0" collapsed="false">
      <c r="A159" s="22" t="s">
        <v>10956</v>
      </c>
      <c r="B159" s="22" t="s">
        <v>1328</v>
      </c>
      <c r="C159" s="22" t="s">
        <v>8997</v>
      </c>
      <c r="D159" s="22" t="s">
        <v>8998</v>
      </c>
      <c r="E159" s="22" t="s">
        <v>10882</v>
      </c>
      <c r="F159" s="22" t="s">
        <v>10883</v>
      </c>
      <c r="G159" s="22" t="s">
        <v>1327</v>
      </c>
      <c r="H159" s="22" t="str">
        <f aca="false">IFERROR(VLOOKUP(G159,'Master Taxonomy'!$A$2:$B$1656,2,FALSE()),"")</f>
        <v>Geomancer</v>
      </c>
      <c r="I159" s="22"/>
      <c r="J159" s="22"/>
      <c r="K159" s="22" t="s">
        <v>10957</v>
      </c>
      <c r="L159" s="22" t="s">
        <v>10885</v>
      </c>
      <c r="M159" s="22" t="s">
        <v>10958</v>
      </c>
      <c r="N159" s="22" t="s">
        <v>10959</v>
      </c>
      <c r="O159" s="22" t="s">
        <v>10888</v>
      </c>
      <c r="P159" s="22" t="s">
        <v>10889</v>
      </c>
      <c r="Q159" s="22" t="s">
        <v>10890</v>
      </c>
      <c r="R159" s="32" t="s">
        <v>9003</v>
      </c>
      <c r="S159" s="22" t="s">
        <v>9963</v>
      </c>
    </row>
    <row r="160" customFormat="false" ht="51.75" hidden="false" customHeight="true" outlineLevel="0" collapsed="false">
      <c r="A160" s="22" t="s">
        <v>10960</v>
      </c>
      <c r="B160" s="22" t="s">
        <v>10961</v>
      </c>
      <c r="C160" s="22" t="s">
        <v>8997</v>
      </c>
      <c r="D160" s="22" t="s">
        <v>8998</v>
      </c>
      <c r="E160" s="22" t="s">
        <v>10882</v>
      </c>
      <c r="F160" s="22" t="s">
        <v>10883</v>
      </c>
      <c r="G160" s="22" t="s">
        <v>1583</v>
      </c>
      <c r="H160" s="22" t="str">
        <f aca="false">IFERROR(VLOOKUP(G160,'Master Taxonomy'!$A$2:$B$1656,2,FALSE()),"")</f>
        <v>Beastmaster and Beast Tamer</v>
      </c>
      <c r="I160" s="22"/>
      <c r="J160" s="22"/>
      <c r="K160" s="22" t="s">
        <v>10962</v>
      </c>
      <c r="L160" s="22" t="s">
        <v>10885</v>
      </c>
      <c r="M160" s="22" t="s">
        <v>10963</v>
      </c>
      <c r="N160" s="22" t="s">
        <v>10964</v>
      </c>
      <c r="O160" s="22" t="s">
        <v>10888</v>
      </c>
      <c r="P160" s="22" t="s">
        <v>10889</v>
      </c>
      <c r="Q160" s="22" t="s">
        <v>10890</v>
      </c>
      <c r="R160" s="32" t="s">
        <v>9003</v>
      </c>
      <c r="S160" s="22" t="s">
        <v>9963</v>
      </c>
    </row>
    <row r="161" customFormat="false" ht="51.75" hidden="false" customHeight="true" outlineLevel="0" collapsed="false">
      <c r="A161" s="22" t="s">
        <v>10965</v>
      </c>
      <c r="B161" s="22" t="s">
        <v>1653</v>
      </c>
      <c r="C161" s="22" t="s">
        <v>8997</v>
      </c>
      <c r="D161" s="22" t="s">
        <v>8998</v>
      </c>
      <c r="E161" s="22" t="s">
        <v>10882</v>
      </c>
      <c r="F161" s="22" t="s">
        <v>10883</v>
      </c>
      <c r="G161" s="22" t="s">
        <v>1652</v>
      </c>
      <c r="H161" s="22" t="str">
        <f aca="false">IFERROR(VLOOKUP(G161,'Master Taxonomy'!$A$2:$B$1656,2,FALSE()),"")</f>
        <v>Bard</v>
      </c>
      <c r="I161" s="22"/>
      <c r="J161" s="22"/>
      <c r="K161" s="22" t="s">
        <v>10966</v>
      </c>
      <c r="L161" s="22" t="s">
        <v>10885</v>
      </c>
      <c r="M161" s="22" t="s">
        <v>10967</v>
      </c>
      <c r="N161" s="22" t="s">
        <v>10968</v>
      </c>
      <c r="O161" s="22" t="s">
        <v>10888</v>
      </c>
      <c r="P161" s="22" t="s">
        <v>10889</v>
      </c>
      <c r="Q161" s="22" t="s">
        <v>10890</v>
      </c>
      <c r="R161" s="32" t="s">
        <v>9003</v>
      </c>
      <c r="S161" s="22" t="s">
        <v>9963</v>
      </c>
    </row>
    <row r="162" customFormat="false" ht="51.75" hidden="false" customHeight="true" outlineLevel="0" collapsed="false">
      <c r="A162" s="22" t="s">
        <v>10969</v>
      </c>
      <c r="B162" s="22" t="s">
        <v>1661</v>
      </c>
      <c r="C162" s="22" t="s">
        <v>8997</v>
      </c>
      <c r="D162" s="22" t="s">
        <v>8998</v>
      </c>
      <c r="E162" s="22" t="s">
        <v>10882</v>
      </c>
      <c r="F162" s="22" t="s">
        <v>10883</v>
      </c>
      <c r="G162" s="22" t="s">
        <v>1660</v>
      </c>
      <c r="H162" s="22" t="str">
        <f aca="false">IFERROR(VLOOKUP(G162,'Master Taxonomy'!$A$2:$B$1656,2,FALSE()),"")</f>
        <v>Dancer</v>
      </c>
      <c r="I162" s="22" t="s">
        <v>1976</v>
      </c>
      <c r="J162" s="22" t="s">
        <v>1977</v>
      </c>
      <c r="K162" s="22" t="s">
        <v>10970</v>
      </c>
      <c r="L162" s="22" t="s">
        <v>10885</v>
      </c>
      <c r="M162" s="22" t="s">
        <v>10971</v>
      </c>
      <c r="N162" s="22" t="s">
        <v>10972</v>
      </c>
      <c r="O162" s="22" t="s">
        <v>10888</v>
      </c>
      <c r="P162" s="22" t="s">
        <v>10889</v>
      </c>
      <c r="Q162" s="22" t="s">
        <v>10890</v>
      </c>
      <c r="R162" s="32" t="s">
        <v>9003</v>
      </c>
      <c r="S162" s="22" t="s">
        <v>9963</v>
      </c>
    </row>
    <row r="163" customFormat="false" ht="51.75" hidden="false" customHeight="true" outlineLevel="0" collapsed="false">
      <c r="A163" s="22" t="s">
        <v>10973</v>
      </c>
      <c r="B163" s="22" t="s">
        <v>10974</v>
      </c>
      <c r="C163" s="22" t="s">
        <v>8997</v>
      </c>
      <c r="D163" s="22" t="s">
        <v>8998</v>
      </c>
      <c r="E163" s="22" t="s">
        <v>10882</v>
      </c>
      <c r="F163" s="22" t="s">
        <v>10883</v>
      </c>
      <c r="G163" s="22" t="s">
        <v>1051</v>
      </c>
      <c r="H163" s="22" t="str">
        <f aca="false">IFERROR(VLOOKUP(G163,'Master Taxonomy'!$A$2:$B$1656,2,FALSE()),"")</f>
        <v>Gunner and Fusilier</v>
      </c>
      <c r="I163" s="22" t="s">
        <v>10975</v>
      </c>
      <c r="J163" s="22" t="s">
        <v>10976</v>
      </c>
      <c r="K163" s="22" t="s">
        <v>10977</v>
      </c>
      <c r="L163" s="22" t="s">
        <v>10885</v>
      </c>
      <c r="M163" s="22" t="s">
        <v>10978</v>
      </c>
      <c r="N163" s="22" t="s">
        <v>10979</v>
      </c>
      <c r="O163" s="22" t="s">
        <v>10888</v>
      </c>
      <c r="P163" s="22" t="s">
        <v>10889</v>
      </c>
      <c r="Q163" s="22" t="s">
        <v>10890</v>
      </c>
      <c r="R163" s="32" t="s">
        <v>9003</v>
      </c>
      <c r="S163" s="22" t="s">
        <v>9963</v>
      </c>
    </row>
    <row r="164" customFormat="false" ht="51.75" hidden="false" customHeight="true" outlineLevel="0" collapsed="false">
      <c r="A164" s="22" t="s">
        <v>10980</v>
      </c>
      <c r="B164" s="22" t="s">
        <v>1726</v>
      </c>
      <c r="C164" s="22" t="s">
        <v>8997</v>
      </c>
      <c r="D164" s="22" t="s">
        <v>8998</v>
      </c>
      <c r="E164" s="22" t="s">
        <v>10882</v>
      </c>
      <c r="F164" s="22" t="s">
        <v>10883</v>
      </c>
      <c r="G164" s="22" t="s">
        <v>2020</v>
      </c>
      <c r="H164" s="22" t="str">
        <f aca="false">IFERROR(VLOOKUP(G164,'Master Taxonomy'!$A$2:$B$1656,2,FALSE()),"")</f>
        <v>Scholar-Healer</v>
      </c>
      <c r="I164" s="22" t="s">
        <v>1255</v>
      </c>
      <c r="J164" s="22" t="s">
        <v>1256</v>
      </c>
      <c r="K164" s="22" t="s">
        <v>10981</v>
      </c>
      <c r="L164" s="22" t="s">
        <v>10885</v>
      </c>
      <c r="M164" s="22" t="s">
        <v>10982</v>
      </c>
      <c r="N164" s="22" t="s">
        <v>10983</v>
      </c>
      <c r="O164" s="22" t="s">
        <v>10888</v>
      </c>
      <c r="P164" s="22" t="s">
        <v>10889</v>
      </c>
      <c r="Q164" s="22" t="s">
        <v>10890</v>
      </c>
      <c r="R164" s="32" t="s">
        <v>9003</v>
      </c>
      <c r="S164" s="22" t="s">
        <v>9963</v>
      </c>
    </row>
    <row r="165" customFormat="false" ht="51.75" hidden="false" customHeight="true" outlineLevel="0" collapsed="false">
      <c r="A165" s="22" t="s">
        <v>10984</v>
      </c>
      <c r="B165" s="22" t="s">
        <v>1260</v>
      </c>
      <c r="C165" s="22" t="s">
        <v>8997</v>
      </c>
      <c r="D165" s="22" t="s">
        <v>8998</v>
      </c>
      <c r="E165" s="22" t="s">
        <v>10882</v>
      </c>
      <c r="F165" s="22" t="s">
        <v>10883</v>
      </c>
      <c r="G165" s="22" t="s">
        <v>1259</v>
      </c>
      <c r="H165" s="22" t="str">
        <f aca="false">IFERROR(VLOOKUP(G165,'Master Taxonomy'!$A$2:$B$1656,2,FALSE()),"")</f>
        <v>Sage</v>
      </c>
      <c r="I165" s="22"/>
      <c r="J165" s="22"/>
      <c r="K165" s="22" t="s">
        <v>10985</v>
      </c>
      <c r="L165" s="22" t="s">
        <v>10885</v>
      </c>
      <c r="M165" s="22" t="s">
        <v>10986</v>
      </c>
      <c r="N165" s="22" t="s">
        <v>10987</v>
      </c>
      <c r="O165" s="22" t="s">
        <v>10888</v>
      </c>
      <c r="P165" s="22" t="s">
        <v>10889</v>
      </c>
      <c r="Q165" s="22" t="s">
        <v>10890</v>
      </c>
      <c r="R165" s="32" t="s">
        <v>9003</v>
      </c>
      <c r="S165" s="22" t="s">
        <v>9963</v>
      </c>
    </row>
    <row r="166" customFormat="false" ht="51.75" hidden="false" customHeight="true" outlineLevel="0" collapsed="false">
      <c r="A166" s="22" t="s">
        <v>10988</v>
      </c>
      <c r="B166" s="22" t="s">
        <v>10989</v>
      </c>
      <c r="C166" s="22" t="s">
        <v>8997</v>
      </c>
      <c r="D166" s="22" t="s">
        <v>8998</v>
      </c>
      <c r="E166" s="22" t="s">
        <v>10882</v>
      </c>
      <c r="F166" s="22" t="s">
        <v>10883</v>
      </c>
      <c r="G166" s="22" t="s">
        <v>2016</v>
      </c>
      <c r="H166" s="22" t="str">
        <f aca="false">IFERROR(VLOOKUP(G166,'Master Taxonomy'!$A$2:$B$1656,2,FALSE()),"")</f>
        <v>Astrologian Healer</v>
      </c>
      <c r="I166" s="22" t="s">
        <v>1299</v>
      </c>
      <c r="J166" s="22" t="s">
        <v>1300</v>
      </c>
      <c r="K166" s="22" t="s">
        <v>10990</v>
      </c>
      <c r="L166" s="22" t="s">
        <v>10885</v>
      </c>
      <c r="M166" s="22" t="s">
        <v>10991</v>
      </c>
      <c r="N166" s="22" t="s">
        <v>10992</v>
      </c>
      <c r="O166" s="22" t="s">
        <v>10888</v>
      </c>
      <c r="P166" s="22" t="s">
        <v>10889</v>
      </c>
      <c r="Q166" s="22" t="s">
        <v>10890</v>
      </c>
      <c r="R166" s="32" t="s">
        <v>9003</v>
      </c>
      <c r="S166" s="22" t="s">
        <v>9963</v>
      </c>
    </row>
    <row r="167" customFormat="false" ht="51.75" hidden="false" customHeight="true" outlineLevel="0" collapsed="false">
      <c r="A167" s="22" t="s">
        <v>10993</v>
      </c>
      <c r="B167" s="22" t="s">
        <v>2013</v>
      </c>
      <c r="C167" s="22" t="s">
        <v>8997</v>
      </c>
      <c r="D167" s="22" t="s">
        <v>8998</v>
      </c>
      <c r="E167" s="22" t="s">
        <v>10882</v>
      </c>
      <c r="F167" s="22" t="s">
        <v>10883</v>
      </c>
      <c r="G167" s="22" t="s">
        <v>2012</v>
      </c>
      <c r="H167" s="22" t="str">
        <f aca="false">IFERROR(VLOOKUP(G167,'Master Taxonomy'!$A$2:$B$1656,2,FALSE()),"")</f>
        <v>Reaper</v>
      </c>
      <c r="I167" s="22"/>
      <c r="J167" s="22"/>
      <c r="K167" s="22" t="s">
        <v>10994</v>
      </c>
      <c r="L167" s="22" t="s">
        <v>10885</v>
      </c>
      <c r="M167" s="22" t="s">
        <v>10995</v>
      </c>
      <c r="N167" s="22" t="s">
        <v>10996</v>
      </c>
      <c r="O167" s="22" t="s">
        <v>10888</v>
      </c>
      <c r="P167" s="22" t="s">
        <v>10889</v>
      </c>
      <c r="Q167" s="22" t="s">
        <v>10890</v>
      </c>
      <c r="R167" s="32" t="s">
        <v>9003</v>
      </c>
      <c r="S167" s="22" t="s">
        <v>9963</v>
      </c>
    </row>
    <row r="168" customFormat="false" ht="51.75" hidden="false" customHeight="true" outlineLevel="0" collapsed="false">
      <c r="A168" s="22" t="s">
        <v>10997</v>
      </c>
      <c r="B168" s="22" t="s">
        <v>10998</v>
      </c>
      <c r="C168" s="22" t="s">
        <v>8997</v>
      </c>
      <c r="D168" s="22" t="s">
        <v>8998</v>
      </c>
      <c r="E168" s="22" t="s">
        <v>10882</v>
      </c>
      <c r="F168" s="22" t="s">
        <v>10883</v>
      </c>
      <c r="G168" s="22" t="s">
        <v>2587</v>
      </c>
      <c r="H168" s="22" t="str">
        <f aca="false">IFERROR(VLOOKUP(G168,'Master Taxonomy'!$A$2:$B$1656,2,FALSE()),"")</f>
        <v>Visual Art and Painting Magic</v>
      </c>
      <c r="I168" s="22"/>
      <c r="J168" s="22"/>
      <c r="K168" s="22" t="s">
        <v>10999</v>
      </c>
      <c r="L168" s="22" t="s">
        <v>10885</v>
      </c>
      <c r="M168" s="22" t="s">
        <v>11000</v>
      </c>
      <c r="N168" s="22" t="s">
        <v>11001</v>
      </c>
      <c r="O168" s="22" t="s">
        <v>10888</v>
      </c>
      <c r="P168" s="22" t="s">
        <v>10889</v>
      </c>
      <c r="Q168" s="22" t="s">
        <v>10890</v>
      </c>
      <c r="R168" s="32" t="s">
        <v>9003</v>
      </c>
      <c r="S168" s="22" t="s">
        <v>9963</v>
      </c>
    </row>
    <row r="169" customFormat="false" ht="51.75" hidden="false" customHeight="true" outlineLevel="0" collapsed="false">
      <c r="A169" s="22" t="s">
        <v>11002</v>
      </c>
      <c r="B169" s="22" t="s">
        <v>11003</v>
      </c>
      <c r="C169" s="22" t="s">
        <v>8997</v>
      </c>
      <c r="D169" s="22" t="s">
        <v>8998</v>
      </c>
      <c r="E169" s="22" t="s">
        <v>10882</v>
      </c>
      <c r="F169" s="22" t="s">
        <v>10883</v>
      </c>
      <c r="G169" s="22" t="s">
        <v>1420</v>
      </c>
      <c r="H169" s="22" t="str">
        <f aca="false">IFERROR(VLOOKUP(G169,'Master Taxonomy'!$A$2:$B$1656,2,FALSE()),"")</f>
        <v>Calculator and Arithmetician</v>
      </c>
      <c r="I169" s="22"/>
      <c r="J169" s="22"/>
      <c r="K169" s="22" t="s">
        <v>11004</v>
      </c>
      <c r="L169" s="22" t="s">
        <v>10885</v>
      </c>
      <c r="M169" s="22" t="s">
        <v>11005</v>
      </c>
      <c r="N169" s="22" t="s">
        <v>11006</v>
      </c>
      <c r="O169" s="22" t="s">
        <v>10888</v>
      </c>
      <c r="P169" s="22" t="s">
        <v>10889</v>
      </c>
      <c r="Q169" s="22" t="s">
        <v>10890</v>
      </c>
      <c r="R169" s="32" t="s">
        <v>9003</v>
      </c>
      <c r="S169" s="22" t="s">
        <v>9963</v>
      </c>
    </row>
    <row r="170" customFormat="false" ht="51.75" hidden="false" customHeight="true" outlineLevel="0" collapsed="false">
      <c r="A170" s="22" t="s">
        <v>11007</v>
      </c>
      <c r="B170" s="22" t="s">
        <v>1969</v>
      </c>
      <c r="C170" s="22" t="s">
        <v>8997</v>
      </c>
      <c r="D170" s="22" t="s">
        <v>8998</v>
      </c>
      <c r="E170" s="22" t="s">
        <v>10882</v>
      </c>
      <c r="F170" s="22" t="s">
        <v>10883</v>
      </c>
      <c r="G170" s="22" t="s">
        <v>1968</v>
      </c>
      <c r="H170" s="22" t="str">
        <f aca="false">IFERROR(VLOOKUP(G170,'Master Taxonomy'!$A$2:$B$1656,2,FALSE()),"")</f>
        <v>Mime</v>
      </c>
      <c r="I170" s="22"/>
      <c r="J170" s="22"/>
      <c r="K170" s="22" t="s">
        <v>11008</v>
      </c>
      <c r="L170" s="22" t="s">
        <v>10885</v>
      </c>
      <c r="M170" s="22" t="s">
        <v>11009</v>
      </c>
      <c r="N170" s="22" t="s">
        <v>11010</v>
      </c>
      <c r="O170" s="22" t="s">
        <v>10888</v>
      </c>
      <c r="P170" s="22" t="s">
        <v>10889</v>
      </c>
      <c r="Q170" s="22" t="s">
        <v>10890</v>
      </c>
      <c r="R170" s="32" t="s">
        <v>9003</v>
      </c>
      <c r="S170" s="22" t="s">
        <v>9963</v>
      </c>
    </row>
    <row r="171" customFormat="false" ht="51.75" hidden="false" customHeight="true" outlineLevel="0" collapsed="false">
      <c r="A171" s="22" t="s">
        <v>11011</v>
      </c>
      <c r="B171" s="22" t="s">
        <v>11012</v>
      </c>
      <c r="C171" s="22" t="s">
        <v>8997</v>
      </c>
      <c r="D171" s="22" t="s">
        <v>8998</v>
      </c>
      <c r="E171" s="22" t="s">
        <v>10882</v>
      </c>
      <c r="F171" s="22" t="s">
        <v>10883</v>
      </c>
      <c r="G171" s="22" t="s">
        <v>1972</v>
      </c>
      <c r="H171" s="22" t="str">
        <f aca="false">IFERROR(VLOOKUP(G171,'Master Taxonomy'!$A$2:$B$1656,2,FALSE()),"")</f>
        <v>Freelancer and Job Generalist</v>
      </c>
      <c r="I171" s="22" t="s">
        <v>4900</v>
      </c>
      <c r="J171" s="22" t="s">
        <v>4901</v>
      </c>
      <c r="K171" s="22" t="s">
        <v>11013</v>
      </c>
      <c r="L171" s="22" t="s">
        <v>10885</v>
      </c>
      <c r="M171" s="22" t="s">
        <v>11014</v>
      </c>
      <c r="N171" s="22" t="s">
        <v>11015</v>
      </c>
      <c r="O171" s="22" t="s">
        <v>10888</v>
      </c>
      <c r="P171" s="22" t="s">
        <v>10889</v>
      </c>
      <c r="Q171" s="22" t="s">
        <v>10890</v>
      </c>
      <c r="R171" s="32" t="s">
        <v>9003</v>
      </c>
      <c r="S171" s="22" t="s">
        <v>9963</v>
      </c>
    </row>
    <row r="172" customFormat="false" ht="51.75" hidden="false" customHeight="true" outlineLevel="0" collapsed="false">
      <c r="A172" s="22" t="s">
        <v>11016</v>
      </c>
      <c r="B172" s="22" t="s">
        <v>11017</v>
      </c>
      <c r="C172" s="22" t="s">
        <v>8997</v>
      </c>
      <c r="D172" s="22" t="s">
        <v>8998</v>
      </c>
      <c r="E172" s="22" t="s">
        <v>10882</v>
      </c>
      <c r="F172" s="22" t="s">
        <v>10883</v>
      </c>
      <c r="G172" s="22" t="s">
        <v>2024</v>
      </c>
      <c r="H172" s="22" t="str">
        <f aca="false">IFERROR(VLOOKUP(G172,'Master Taxonomy'!$A$2:$B$1656,2,FALSE()),"")</f>
        <v>Gunbreaker and Explosive Blade Knight</v>
      </c>
      <c r="I172" s="22"/>
      <c r="J172" s="22"/>
      <c r="K172" s="22" t="s">
        <v>11018</v>
      </c>
      <c r="L172" s="22" t="s">
        <v>10885</v>
      </c>
      <c r="M172" s="22" t="s">
        <v>11019</v>
      </c>
      <c r="N172" s="22" t="s">
        <v>11020</v>
      </c>
      <c r="O172" s="22" t="s">
        <v>10888</v>
      </c>
      <c r="P172" s="22" t="s">
        <v>10889</v>
      </c>
      <c r="Q172" s="22" t="s">
        <v>10890</v>
      </c>
      <c r="R172" s="32" t="s">
        <v>9003</v>
      </c>
      <c r="S172" s="22" t="s">
        <v>9963</v>
      </c>
    </row>
    <row r="173" customFormat="false" ht="51.75" hidden="false" customHeight="true" outlineLevel="0" collapsed="false">
      <c r="A173" s="22" t="s">
        <v>11021</v>
      </c>
      <c r="B173" s="22" t="s">
        <v>11022</v>
      </c>
      <c r="C173" s="22" t="s">
        <v>9011</v>
      </c>
      <c r="D173" s="22" t="s">
        <v>9012</v>
      </c>
      <c r="E173" s="22" t="s">
        <v>11023</v>
      </c>
      <c r="F173" s="22" t="s">
        <v>11024</v>
      </c>
      <c r="G173" s="22" t="s">
        <v>247</v>
      </c>
      <c r="H173" s="22" t="str">
        <f aca="false">IFERROR(VLOOKUP(G173,'Master Taxonomy'!$A$2:$B$1656,2,FALSE()),"")</f>
        <v>Human and Near-Human Peoples</v>
      </c>
      <c r="I173" s="22"/>
      <c r="J173" s="22"/>
      <c r="K173" s="22" t="s">
        <v>11025</v>
      </c>
      <c r="L173" s="22" t="s">
        <v>11026</v>
      </c>
      <c r="M173" s="22" t="s">
        <v>11027</v>
      </c>
      <c r="N173" s="22" t="s">
        <v>11028</v>
      </c>
      <c r="O173" s="22" t="s">
        <v>9960</v>
      </c>
      <c r="P173" s="22" t="s">
        <v>9961</v>
      </c>
      <c r="Q173" s="22" t="s">
        <v>11029</v>
      </c>
      <c r="R173" s="32" t="s">
        <v>9018</v>
      </c>
      <c r="S173" s="22" t="s">
        <v>9963</v>
      </c>
    </row>
    <row r="174" customFormat="false" ht="51.75" hidden="false" customHeight="true" outlineLevel="0" collapsed="false">
      <c r="A174" s="22" t="s">
        <v>11030</v>
      </c>
      <c r="B174" s="22" t="s">
        <v>11031</v>
      </c>
      <c r="C174" s="22" t="s">
        <v>9011</v>
      </c>
      <c r="D174" s="22" t="s">
        <v>9012</v>
      </c>
      <c r="E174" s="22" t="s">
        <v>11023</v>
      </c>
      <c r="F174" s="22" t="s">
        <v>11024</v>
      </c>
      <c r="G174" s="22" t="s">
        <v>254</v>
      </c>
      <c r="H174" s="22" t="str">
        <f aca="false">IFERROR(VLOOKUP(G174,'Master Taxonomy'!$A$2:$B$1656,2,FALSE()),"")</f>
        <v>Elf-Derived Peoples</v>
      </c>
      <c r="I174" s="22"/>
      <c r="J174" s="22"/>
      <c r="K174" s="22" t="s">
        <v>11032</v>
      </c>
      <c r="L174" s="22" t="s">
        <v>11033</v>
      </c>
      <c r="M174" s="22" t="s">
        <v>11034</v>
      </c>
      <c r="N174" s="22" t="s">
        <v>11035</v>
      </c>
      <c r="O174" s="22" t="s">
        <v>9960</v>
      </c>
      <c r="P174" s="22" t="s">
        <v>9961</v>
      </c>
      <c r="Q174" s="22" t="s">
        <v>11029</v>
      </c>
      <c r="R174" s="32" t="s">
        <v>9018</v>
      </c>
      <c r="S174" s="22" t="s">
        <v>9963</v>
      </c>
    </row>
    <row r="175" customFormat="false" ht="51.75" hidden="false" customHeight="true" outlineLevel="0" collapsed="false">
      <c r="A175" s="22" t="s">
        <v>11036</v>
      </c>
      <c r="B175" s="22" t="s">
        <v>11037</v>
      </c>
      <c r="C175" s="22" t="s">
        <v>9011</v>
      </c>
      <c r="D175" s="22" t="s">
        <v>9012</v>
      </c>
      <c r="E175" s="22" t="s">
        <v>11023</v>
      </c>
      <c r="F175" s="22" t="s">
        <v>11024</v>
      </c>
      <c r="G175" s="22" t="s">
        <v>263</v>
      </c>
      <c r="H175" s="22" t="str">
        <f aca="false">IFERROR(VLOOKUP(G175,'Master Taxonomy'!$A$2:$B$1656,2,FALSE()),"")</f>
        <v>Halfling and Smallfolk Peoples</v>
      </c>
      <c r="I175" s="22"/>
      <c r="J175" s="22"/>
      <c r="K175" s="22" t="s">
        <v>11038</v>
      </c>
      <c r="L175" s="22" t="s">
        <v>11039</v>
      </c>
      <c r="M175" s="22" t="s">
        <v>11040</v>
      </c>
      <c r="N175" s="22" t="s">
        <v>11041</v>
      </c>
      <c r="O175" s="22" t="s">
        <v>9960</v>
      </c>
      <c r="P175" s="22" t="s">
        <v>9961</v>
      </c>
      <c r="Q175" s="22" t="s">
        <v>11029</v>
      </c>
      <c r="R175" s="32" t="s">
        <v>9018</v>
      </c>
      <c r="S175" s="22" t="s">
        <v>9963</v>
      </c>
    </row>
    <row r="176" customFormat="false" ht="51.75" hidden="false" customHeight="true" outlineLevel="0" collapsed="false">
      <c r="A176" s="22" t="s">
        <v>11042</v>
      </c>
      <c r="B176" s="22" t="s">
        <v>11043</v>
      </c>
      <c r="C176" s="22" t="s">
        <v>9011</v>
      </c>
      <c r="D176" s="22" t="s">
        <v>9012</v>
      </c>
      <c r="E176" s="22" t="s">
        <v>11023</v>
      </c>
      <c r="F176" s="22" t="s">
        <v>11024</v>
      </c>
      <c r="G176" s="22" t="s">
        <v>334</v>
      </c>
      <c r="H176" s="22" t="str">
        <f aca="false">IFERROR(VLOOKUP(G176,'Master Taxonomy'!$A$2:$B$1656,2,FALSE()),"")</f>
        <v>Feline Beastfolk</v>
      </c>
      <c r="I176" s="22"/>
      <c r="J176" s="22"/>
      <c r="K176" s="22" t="s">
        <v>11044</v>
      </c>
      <c r="L176" s="22" t="s">
        <v>11045</v>
      </c>
      <c r="M176" s="22" t="s">
        <v>11046</v>
      </c>
      <c r="N176" s="22" t="s">
        <v>11047</v>
      </c>
      <c r="O176" s="22" t="s">
        <v>9960</v>
      </c>
      <c r="P176" s="22" t="s">
        <v>9961</v>
      </c>
      <c r="Q176" s="22" t="s">
        <v>11029</v>
      </c>
      <c r="R176" s="32" t="s">
        <v>9018</v>
      </c>
      <c r="S176" s="22" t="s">
        <v>9963</v>
      </c>
    </row>
    <row r="177" customFormat="false" ht="51.75" hidden="false" customHeight="true" outlineLevel="0" collapsed="false">
      <c r="A177" s="22" t="s">
        <v>11048</v>
      </c>
      <c r="B177" s="22" t="s">
        <v>11049</v>
      </c>
      <c r="C177" s="22" t="s">
        <v>9011</v>
      </c>
      <c r="D177" s="22" t="s">
        <v>9012</v>
      </c>
      <c r="E177" s="22" t="s">
        <v>11023</v>
      </c>
      <c r="F177" s="22" t="s">
        <v>11024</v>
      </c>
      <c r="G177" s="22" t="s">
        <v>280</v>
      </c>
      <c r="H177" s="22" t="str">
        <f aca="false">IFERROR(VLOOKUP(G177,'Master Taxonomy'!$A$2:$B$1656,2,FALSE()),"")</f>
        <v>Giantkin Peoples</v>
      </c>
      <c r="I177" s="22"/>
      <c r="J177" s="22"/>
      <c r="K177" s="22" t="s">
        <v>11050</v>
      </c>
      <c r="L177" s="22" t="s">
        <v>10616</v>
      </c>
      <c r="M177" s="22" t="s">
        <v>11051</v>
      </c>
      <c r="N177" s="22" t="s">
        <v>11052</v>
      </c>
      <c r="O177" s="22" t="s">
        <v>9960</v>
      </c>
      <c r="P177" s="22" t="s">
        <v>9961</v>
      </c>
      <c r="Q177" s="22" t="s">
        <v>11029</v>
      </c>
      <c r="R177" s="32" t="s">
        <v>9018</v>
      </c>
      <c r="S177" s="22" t="s">
        <v>9963</v>
      </c>
    </row>
    <row r="178" customFormat="false" ht="51.75" hidden="false" customHeight="true" outlineLevel="0" collapsed="false">
      <c r="A178" s="22" t="s">
        <v>11053</v>
      </c>
      <c r="B178" s="22" t="s">
        <v>11054</v>
      </c>
      <c r="C178" s="22" t="s">
        <v>9011</v>
      </c>
      <c r="D178" s="22" t="s">
        <v>9012</v>
      </c>
      <c r="E178" s="22" t="s">
        <v>11023</v>
      </c>
      <c r="F178" s="22" t="s">
        <v>11024</v>
      </c>
      <c r="G178" s="22" t="s">
        <v>306</v>
      </c>
      <c r="H178" s="22" t="str">
        <f aca="false">IFERROR(VLOOKUP(G178,'Master Taxonomy'!$A$2:$B$1656,2,FALSE()),"")</f>
        <v>Draconic Humanoid Peoples</v>
      </c>
      <c r="I178" s="22"/>
      <c r="J178" s="22"/>
      <c r="K178" s="22" t="s">
        <v>11055</v>
      </c>
      <c r="L178" s="22" t="s">
        <v>11056</v>
      </c>
      <c r="M178" s="22" t="s">
        <v>11057</v>
      </c>
      <c r="N178" s="22" t="s">
        <v>11058</v>
      </c>
      <c r="O178" s="22" t="s">
        <v>9960</v>
      </c>
      <c r="P178" s="22" t="s">
        <v>9961</v>
      </c>
      <c r="Q178" s="22" t="s">
        <v>11029</v>
      </c>
      <c r="R178" s="32" t="s">
        <v>9018</v>
      </c>
      <c r="S178" s="22" t="s">
        <v>9963</v>
      </c>
    </row>
    <row r="179" customFormat="false" ht="51.75" hidden="false" customHeight="true" outlineLevel="0" collapsed="false">
      <c r="A179" s="22" t="s">
        <v>11059</v>
      </c>
      <c r="B179" s="22" t="s">
        <v>11060</v>
      </c>
      <c r="C179" s="22" t="s">
        <v>9011</v>
      </c>
      <c r="D179" s="22" t="s">
        <v>9012</v>
      </c>
      <c r="E179" s="22" t="s">
        <v>11023</v>
      </c>
      <c r="F179" s="22" t="s">
        <v>11024</v>
      </c>
      <c r="G179" s="22" t="s">
        <v>334</v>
      </c>
      <c r="H179" s="22" t="str">
        <f aca="false">IFERROR(VLOOKUP(G179,'Master Taxonomy'!$A$2:$B$1656,2,FALSE()),"")</f>
        <v>Feline Beastfolk</v>
      </c>
      <c r="I179" s="22"/>
      <c r="J179" s="22"/>
      <c r="K179" s="22" t="s">
        <v>11061</v>
      </c>
      <c r="L179" s="22" t="s">
        <v>11062</v>
      </c>
      <c r="M179" s="22" t="s">
        <v>11063</v>
      </c>
      <c r="N179" s="22" t="s">
        <v>11064</v>
      </c>
      <c r="O179" s="22" t="s">
        <v>9960</v>
      </c>
      <c r="P179" s="22" t="s">
        <v>9961</v>
      </c>
      <c r="Q179" s="22" t="s">
        <v>11029</v>
      </c>
      <c r="R179" s="32" t="s">
        <v>9018</v>
      </c>
      <c r="S179" s="22" t="s">
        <v>9963</v>
      </c>
    </row>
    <row r="180" customFormat="false" ht="51.75" hidden="false" customHeight="true" outlineLevel="0" collapsed="false">
      <c r="A180" s="22" t="s">
        <v>11065</v>
      </c>
      <c r="B180" s="22" t="s">
        <v>11066</v>
      </c>
      <c r="C180" s="22" t="s">
        <v>9011</v>
      </c>
      <c r="D180" s="22" t="s">
        <v>9012</v>
      </c>
      <c r="E180" s="22" t="s">
        <v>11023</v>
      </c>
      <c r="F180" s="22" t="s">
        <v>11024</v>
      </c>
      <c r="G180" s="22" t="s">
        <v>354</v>
      </c>
      <c r="H180" s="22" t="str">
        <f aca="false">IFERROR(VLOOKUP(G180,'Master Taxonomy'!$A$2:$B$1656,2,FALSE()),"")</f>
        <v>Rodent and Lagomorph Peoples</v>
      </c>
      <c r="I180" s="22"/>
      <c r="J180" s="22"/>
      <c r="K180" s="22" t="s">
        <v>11067</v>
      </c>
      <c r="L180" s="22" t="s">
        <v>11068</v>
      </c>
      <c r="M180" s="22" t="s">
        <v>11069</v>
      </c>
      <c r="N180" s="22" t="s">
        <v>11070</v>
      </c>
      <c r="O180" s="22" t="s">
        <v>9960</v>
      </c>
      <c r="P180" s="22" t="s">
        <v>9961</v>
      </c>
      <c r="Q180" s="22" t="s">
        <v>11029</v>
      </c>
      <c r="R180" s="32" t="s">
        <v>9018</v>
      </c>
      <c r="S180" s="22" t="s">
        <v>9963</v>
      </c>
    </row>
    <row r="181" customFormat="false" ht="51.75" hidden="false" customHeight="true" outlineLevel="0" collapsed="false">
      <c r="A181" s="22" t="s">
        <v>11071</v>
      </c>
      <c r="B181" s="22" t="s">
        <v>11072</v>
      </c>
      <c r="C181" s="22" t="s">
        <v>9011</v>
      </c>
      <c r="D181" s="22" t="s">
        <v>9012</v>
      </c>
      <c r="E181" s="22" t="s">
        <v>11023</v>
      </c>
      <c r="F181" s="22" t="s">
        <v>11073</v>
      </c>
      <c r="G181" s="22" t="s">
        <v>4900</v>
      </c>
      <c r="H181" s="22" t="str">
        <f aca="false">IFERROR(VLOOKUP(G181,'Master Taxonomy'!$A$2:$B$1656,2,FALSE()),"")</f>
        <v>Class Change or Job System</v>
      </c>
      <c r="I181" s="22"/>
      <c r="J181" s="22"/>
      <c r="K181" s="22" t="s">
        <v>11074</v>
      </c>
      <c r="L181" s="22" t="s">
        <v>11075</v>
      </c>
      <c r="M181" s="22" t="s">
        <v>11076</v>
      </c>
      <c r="N181" s="22" t="s">
        <v>11077</v>
      </c>
      <c r="O181" s="22" t="s">
        <v>9960</v>
      </c>
      <c r="P181" s="22" t="s">
        <v>9961</v>
      </c>
      <c r="Q181" s="22" t="s">
        <v>11029</v>
      </c>
      <c r="R181" s="32" t="s">
        <v>9018</v>
      </c>
      <c r="S181" s="22" t="s">
        <v>9963</v>
      </c>
    </row>
    <row r="182" customFormat="false" ht="51.75" hidden="false" customHeight="true" outlineLevel="0" collapsed="false">
      <c r="A182" s="22" t="s">
        <v>11078</v>
      </c>
      <c r="B182" s="22" t="s">
        <v>11079</v>
      </c>
      <c r="C182" s="22" t="s">
        <v>9011</v>
      </c>
      <c r="D182" s="22" t="s">
        <v>9012</v>
      </c>
      <c r="E182" s="22" t="s">
        <v>11023</v>
      </c>
      <c r="F182" s="22" t="s">
        <v>11080</v>
      </c>
      <c r="G182" s="22" t="s">
        <v>4639</v>
      </c>
      <c r="H182" s="22" t="str">
        <f aca="false">IFERROR(VLOOKUP(G182,'Master Taxonomy'!$A$2:$B$1656,2,FALSE()),"")</f>
        <v>Tank</v>
      </c>
      <c r="I182" s="22" t="s">
        <v>4645</v>
      </c>
      <c r="J182" s="22" t="s">
        <v>4646</v>
      </c>
      <c r="K182" s="22" t="s">
        <v>11081</v>
      </c>
      <c r="L182" s="22" t="s">
        <v>11082</v>
      </c>
      <c r="M182" s="22" t="s">
        <v>11083</v>
      </c>
      <c r="N182" s="22" t="s">
        <v>11084</v>
      </c>
      <c r="O182" s="22" t="s">
        <v>9960</v>
      </c>
      <c r="P182" s="22" t="s">
        <v>9961</v>
      </c>
      <c r="Q182" s="22" t="s">
        <v>11029</v>
      </c>
      <c r="R182" s="32" t="s">
        <v>9018</v>
      </c>
      <c r="S182" s="22" t="s">
        <v>9963</v>
      </c>
    </row>
    <row r="183" customFormat="false" ht="51.75" hidden="false" customHeight="true" outlineLevel="0" collapsed="false">
      <c r="A183" s="22" t="s">
        <v>11085</v>
      </c>
      <c r="B183" s="22" t="s">
        <v>11086</v>
      </c>
      <c r="C183" s="22" t="s">
        <v>9011</v>
      </c>
      <c r="D183" s="22" t="s">
        <v>9012</v>
      </c>
      <c r="E183" s="22" t="s">
        <v>11023</v>
      </c>
      <c r="F183" s="22" t="s">
        <v>11080</v>
      </c>
      <c r="G183" s="22" t="s">
        <v>4685</v>
      </c>
      <c r="H183" s="22" t="str">
        <f aca="false">IFERROR(VLOOKUP(G183,'Master Taxonomy'!$A$2:$B$1656,2,FALSE()),"")</f>
        <v>Healer</v>
      </c>
      <c r="I183" s="22" t="s">
        <v>11087</v>
      </c>
      <c r="J183" s="22" t="s">
        <v>11088</v>
      </c>
      <c r="K183" s="22" t="s">
        <v>11089</v>
      </c>
      <c r="L183" s="22" t="s">
        <v>11090</v>
      </c>
      <c r="M183" s="22" t="s">
        <v>11091</v>
      </c>
      <c r="N183" s="22" t="s">
        <v>11092</v>
      </c>
      <c r="O183" s="22" t="s">
        <v>9960</v>
      </c>
      <c r="P183" s="22" t="s">
        <v>9961</v>
      </c>
      <c r="Q183" s="22" t="s">
        <v>11029</v>
      </c>
      <c r="R183" s="32" t="s">
        <v>9018</v>
      </c>
      <c r="S183" s="22" t="s">
        <v>9963</v>
      </c>
    </row>
    <row r="184" customFormat="false" ht="51.75" hidden="false" customHeight="true" outlineLevel="0" collapsed="false">
      <c r="A184" s="22" t="s">
        <v>11093</v>
      </c>
      <c r="B184" s="22" t="s">
        <v>11094</v>
      </c>
      <c r="C184" s="22" t="s">
        <v>9011</v>
      </c>
      <c r="D184" s="22" t="s">
        <v>9012</v>
      </c>
      <c r="E184" s="22" t="s">
        <v>11023</v>
      </c>
      <c r="F184" s="22" t="s">
        <v>11080</v>
      </c>
      <c r="G184" s="22" t="s">
        <v>4657</v>
      </c>
      <c r="H184" s="22" t="str">
        <f aca="false">IFERROR(VLOOKUP(G184,'Master Taxonomy'!$A$2:$B$1656,2,FALSE()),"")</f>
        <v>Melee Striker</v>
      </c>
      <c r="I184" s="22"/>
      <c r="J184" s="22"/>
      <c r="K184" s="22" t="s">
        <v>11095</v>
      </c>
      <c r="L184" s="22" t="s">
        <v>11096</v>
      </c>
      <c r="M184" s="22" t="s">
        <v>11097</v>
      </c>
      <c r="N184" s="22" t="s">
        <v>11098</v>
      </c>
      <c r="O184" s="22" t="s">
        <v>9960</v>
      </c>
      <c r="P184" s="22" t="s">
        <v>9961</v>
      </c>
      <c r="Q184" s="22" t="s">
        <v>11029</v>
      </c>
      <c r="R184" s="32" t="s">
        <v>9018</v>
      </c>
      <c r="S184" s="22" t="s">
        <v>9963</v>
      </c>
    </row>
    <row r="185" customFormat="false" ht="51.75" hidden="false" customHeight="true" outlineLevel="0" collapsed="false">
      <c r="A185" s="22" t="s">
        <v>11099</v>
      </c>
      <c r="B185" s="22" t="s">
        <v>11100</v>
      </c>
      <c r="C185" s="22" t="s">
        <v>9011</v>
      </c>
      <c r="D185" s="22" t="s">
        <v>9012</v>
      </c>
      <c r="E185" s="22" t="s">
        <v>11023</v>
      </c>
      <c r="F185" s="22" t="s">
        <v>11080</v>
      </c>
      <c r="G185" s="22" t="s">
        <v>4661</v>
      </c>
      <c r="H185" s="22" t="str">
        <f aca="false">IFERROR(VLOOKUP(G185,'Master Taxonomy'!$A$2:$B$1656,2,FALSE()),"")</f>
        <v>Ranged Striker</v>
      </c>
      <c r="I185" s="22"/>
      <c r="J185" s="22"/>
      <c r="K185" s="22" t="s">
        <v>11101</v>
      </c>
      <c r="L185" s="22" t="s">
        <v>11102</v>
      </c>
      <c r="M185" s="22" t="s">
        <v>11103</v>
      </c>
      <c r="N185" s="22" t="s">
        <v>11104</v>
      </c>
      <c r="O185" s="22" t="s">
        <v>9960</v>
      </c>
      <c r="P185" s="22" t="s">
        <v>9961</v>
      </c>
      <c r="Q185" s="22" t="s">
        <v>11029</v>
      </c>
      <c r="R185" s="32" t="s">
        <v>9018</v>
      </c>
      <c r="S185" s="22" t="s">
        <v>9963</v>
      </c>
    </row>
    <row r="186" customFormat="false" ht="51.75" hidden="false" customHeight="true" outlineLevel="0" collapsed="false">
      <c r="A186" s="22" t="s">
        <v>11105</v>
      </c>
      <c r="B186" s="22" t="s">
        <v>11106</v>
      </c>
      <c r="C186" s="22" t="s">
        <v>9011</v>
      </c>
      <c r="D186" s="22" t="s">
        <v>9012</v>
      </c>
      <c r="E186" s="22" t="s">
        <v>11023</v>
      </c>
      <c r="F186" s="22" t="s">
        <v>11080</v>
      </c>
      <c r="G186" s="22" t="s">
        <v>4661</v>
      </c>
      <c r="H186" s="22" t="str">
        <f aca="false">IFERROR(VLOOKUP(G186,'Master Taxonomy'!$A$2:$B$1656,2,FALSE()),"")</f>
        <v>Ranged Striker</v>
      </c>
      <c r="I186" s="22" t="s">
        <v>4665</v>
      </c>
      <c r="J186" s="22" t="s">
        <v>4666</v>
      </c>
      <c r="K186" s="22" t="s">
        <v>11107</v>
      </c>
      <c r="L186" s="22" t="s">
        <v>11108</v>
      </c>
      <c r="M186" s="22" t="s">
        <v>11109</v>
      </c>
      <c r="N186" s="22" t="s">
        <v>11110</v>
      </c>
      <c r="O186" s="22" t="s">
        <v>9960</v>
      </c>
      <c r="P186" s="22" t="s">
        <v>9961</v>
      </c>
      <c r="Q186" s="22" t="s">
        <v>11029</v>
      </c>
      <c r="R186" s="32" t="s">
        <v>9018</v>
      </c>
      <c r="S186" s="22" t="s">
        <v>9963</v>
      </c>
    </row>
    <row r="187" customFormat="false" ht="51.75" hidden="false" customHeight="true" outlineLevel="0" collapsed="false">
      <c r="A187" s="22" t="s">
        <v>11111</v>
      </c>
      <c r="B187" s="22" t="s">
        <v>11112</v>
      </c>
      <c r="C187" s="22" t="s">
        <v>9011</v>
      </c>
      <c r="D187" s="22" t="s">
        <v>9012</v>
      </c>
      <c r="E187" s="22" t="s">
        <v>11023</v>
      </c>
      <c r="F187" s="22" t="s">
        <v>11113</v>
      </c>
      <c r="G187" s="22" t="s">
        <v>1396</v>
      </c>
      <c r="H187" s="22" t="str">
        <f aca="false">IFERROR(VLOOKUP(G187,'Master Taxonomy'!$A$2:$B$1656,2,FALSE()),"")</f>
        <v>Blue Mage and Mimic Caster</v>
      </c>
      <c r="I187" s="22" t="s">
        <v>1964</v>
      </c>
      <c r="J187" s="22" t="s">
        <v>1965</v>
      </c>
      <c r="K187" s="22" t="s">
        <v>11114</v>
      </c>
      <c r="L187" s="22" t="s">
        <v>11115</v>
      </c>
      <c r="M187" s="22" t="s">
        <v>11116</v>
      </c>
      <c r="N187" s="22" t="s">
        <v>11117</v>
      </c>
      <c r="O187" s="22" t="s">
        <v>9960</v>
      </c>
      <c r="P187" s="22" t="s">
        <v>9961</v>
      </c>
      <c r="Q187" s="22" t="s">
        <v>11029</v>
      </c>
      <c r="R187" s="32" t="s">
        <v>9018</v>
      </c>
      <c r="S187" s="22" t="s">
        <v>9963</v>
      </c>
    </row>
    <row r="188" customFormat="false" ht="51.75" hidden="false" customHeight="true" outlineLevel="0" collapsed="false">
      <c r="A188" s="22" t="s">
        <v>11118</v>
      </c>
      <c r="B188" s="22" t="s">
        <v>11119</v>
      </c>
      <c r="C188" s="22" t="s">
        <v>9011</v>
      </c>
      <c r="D188" s="22" t="s">
        <v>9012</v>
      </c>
      <c r="E188" s="22" t="s">
        <v>11023</v>
      </c>
      <c r="F188" s="22" t="s">
        <v>11120</v>
      </c>
      <c r="G188" s="22" t="s">
        <v>3069</v>
      </c>
      <c r="H188" s="22" t="str">
        <f aca="false">IFERROR(VLOOKUP(G188,'Master Taxonomy'!$A$2:$B$1656,2,FALSE()),"")</f>
        <v>Relic Bearer</v>
      </c>
      <c r="I188" s="22" t="s">
        <v>4900</v>
      </c>
      <c r="J188" s="22" t="s">
        <v>4901</v>
      </c>
      <c r="K188" s="22" t="s">
        <v>11121</v>
      </c>
      <c r="L188" s="22" t="s">
        <v>11122</v>
      </c>
      <c r="M188" s="22" t="s">
        <v>11123</v>
      </c>
      <c r="N188" s="22" t="s">
        <v>11124</v>
      </c>
      <c r="O188" s="22" t="s">
        <v>9960</v>
      </c>
      <c r="P188" s="22" t="s">
        <v>9961</v>
      </c>
      <c r="Q188" s="22" t="s">
        <v>11029</v>
      </c>
      <c r="R188" s="32" t="s">
        <v>9018</v>
      </c>
      <c r="S188" s="22" t="s">
        <v>9963</v>
      </c>
    </row>
    <row r="189" customFormat="false" ht="51.75" hidden="false" customHeight="true" outlineLevel="0" collapsed="false">
      <c r="A189" s="22" t="s">
        <v>11125</v>
      </c>
      <c r="B189" s="22" t="s">
        <v>11126</v>
      </c>
      <c r="C189" s="22" t="s">
        <v>9032</v>
      </c>
      <c r="D189" s="22" t="s">
        <v>9033</v>
      </c>
      <c r="E189" s="22" t="s">
        <v>11127</v>
      </c>
      <c r="F189" s="22" t="s">
        <v>9966</v>
      </c>
      <c r="G189" s="22" t="s">
        <v>254</v>
      </c>
      <c r="H189" s="22" t="str">
        <f aca="false">IFERROR(VLOOKUP(G189,'Master Taxonomy'!$A$2:$B$1656,2,FALSE()),"")</f>
        <v>Elf-Derived Peoples</v>
      </c>
      <c r="I189" s="22"/>
      <c r="J189" s="22"/>
      <c r="K189" s="22" t="s">
        <v>11128</v>
      </c>
      <c r="L189" s="22" t="s">
        <v>11129</v>
      </c>
      <c r="M189" s="22" t="s">
        <v>11130</v>
      </c>
      <c r="N189" s="22" t="s">
        <v>11131</v>
      </c>
      <c r="O189" s="22" t="s">
        <v>9960</v>
      </c>
      <c r="P189" s="22" t="s">
        <v>10889</v>
      </c>
      <c r="Q189" s="22" t="s">
        <v>11132</v>
      </c>
      <c r="R189" s="32" t="s">
        <v>9038</v>
      </c>
      <c r="S189" s="22" t="s">
        <v>9963</v>
      </c>
    </row>
    <row r="190" customFormat="false" ht="51.75" hidden="false" customHeight="true" outlineLevel="0" collapsed="false">
      <c r="A190" s="22" t="s">
        <v>11133</v>
      </c>
      <c r="B190" s="22" t="s">
        <v>11134</v>
      </c>
      <c r="C190" s="22" t="s">
        <v>9032</v>
      </c>
      <c r="D190" s="22" t="s">
        <v>9033</v>
      </c>
      <c r="E190" s="22" t="s">
        <v>11127</v>
      </c>
      <c r="F190" s="22" t="s">
        <v>9966</v>
      </c>
      <c r="G190" s="22" t="s">
        <v>254</v>
      </c>
      <c r="H190" s="22" t="str">
        <f aca="false">IFERROR(VLOOKUP(G190,'Master Taxonomy'!$A$2:$B$1656,2,FALSE()),"")</f>
        <v>Elf-Derived Peoples</v>
      </c>
      <c r="I190" s="22" t="s">
        <v>4329</v>
      </c>
      <c r="J190" s="22" t="s">
        <v>4330</v>
      </c>
      <c r="K190" s="22" t="s">
        <v>11135</v>
      </c>
      <c r="L190" s="22" t="s">
        <v>11136</v>
      </c>
      <c r="M190" s="22" t="s">
        <v>11137</v>
      </c>
      <c r="N190" s="22" t="s">
        <v>11138</v>
      </c>
      <c r="O190" s="22" t="s">
        <v>9960</v>
      </c>
      <c r="P190" s="22" t="s">
        <v>10889</v>
      </c>
      <c r="Q190" s="22" t="s">
        <v>11132</v>
      </c>
      <c r="R190" s="32" t="s">
        <v>9038</v>
      </c>
      <c r="S190" s="22" t="s">
        <v>9963</v>
      </c>
    </row>
    <row r="191" customFormat="false" ht="51.75" hidden="false" customHeight="true" outlineLevel="0" collapsed="false">
      <c r="A191" s="22" t="s">
        <v>11139</v>
      </c>
      <c r="B191" s="22" t="s">
        <v>11140</v>
      </c>
      <c r="C191" s="22" t="s">
        <v>9032</v>
      </c>
      <c r="D191" s="22" t="s">
        <v>9033</v>
      </c>
      <c r="E191" s="22" t="s">
        <v>11127</v>
      </c>
      <c r="F191" s="22" t="s">
        <v>9966</v>
      </c>
      <c r="G191" s="22" t="s">
        <v>254</v>
      </c>
      <c r="H191" s="22" t="str">
        <f aca="false">IFERROR(VLOOKUP(G191,'Master Taxonomy'!$A$2:$B$1656,2,FALSE()),"")</f>
        <v>Elf-Derived Peoples</v>
      </c>
      <c r="I191" s="22"/>
      <c r="J191" s="22"/>
      <c r="K191" s="22" t="s">
        <v>11141</v>
      </c>
      <c r="L191" s="22" t="s">
        <v>11142</v>
      </c>
      <c r="M191" s="22" t="s">
        <v>11143</v>
      </c>
      <c r="N191" s="22" t="s">
        <v>11144</v>
      </c>
      <c r="O191" s="22" t="s">
        <v>9960</v>
      </c>
      <c r="P191" s="22" t="s">
        <v>10889</v>
      </c>
      <c r="Q191" s="22" t="s">
        <v>11132</v>
      </c>
      <c r="R191" s="32" t="s">
        <v>9038</v>
      </c>
      <c r="S191" s="22" t="s">
        <v>9963</v>
      </c>
    </row>
    <row r="192" customFormat="false" ht="51.75" hidden="false" customHeight="true" outlineLevel="0" collapsed="false">
      <c r="A192" s="22" t="s">
        <v>11145</v>
      </c>
      <c r="B192" s="22" t="s">
        <v>11146</v>
      </c>
      <c r="C192" s="22" t="s">
        <v>9032</v>
      </c>
      <c r="D192" s="22" t="s">
        <v>9033</v>
      </c>
      <c r="E192" s="22" t="s">
        <v>11127</v>
      </c>
      <c r="F192" s="22" t="s">
        <v>11147</v>
      </c>
      <c r="G192" s="22" t="s">
        <v>271</v>
      </c>
      <c r="H192" s="22" t="str">
        <f aca="false">IFERROR(VLOOKUP(G192,'Master Taxonomy'!$A$2:$B$1656,2,FALSE()),"")</f>
        <v>Orc-Derived Peoples</v>
      </c>
      <c r="I192" s="22" t="s">
        <v>254</v>
      </c>
      <c r="J192" s="22" t="s">
        <v>255</v>
      </c>
      <c r="K192" s="22" t="s">
        <v>11148</v>
      </c>
      <c r="L192" s="22" t="s">
        <v>11149</v>
      </c>
      <c r="M192" s="22" t="s">
        <v>11150</v>
      </c>
      <c r="N192" s="22" t="s">
        <v>11151</v>
      </c>
      <c r="O192" s="22" t="s">
        <v>9960</v>
      </c>
      <c r="P192" s="22" t="s">
        <v>10889</v>
      </c>
      <c r="Q192" s="22" t="s">
        <v>11132</v>
      </c>
      <c r="R192" s="32" t="s">
        <v>9038</v>
      </c>
      <c r="S192" s="22" t="s">
        <v>9963</v>
      </c>
    </row>
    <row r="193" customFormat="false" ht="51.75" hidden="false" customHeight="true" outlineLevel="0" collapsed="false">
      <c r="A193" s="22" t="s">
        <v>11152</v>
      </c>
      <c r="B193" s="22" t="s">
        <v>11153</v>
      </c>
      <c r="C193" s="22" t="s">
        <v>9032</v>
      </c>
      <c r="D193" s="22" t="s">
        <v>9033</v>
      </c>
      <c r="E193" s="22" t="s">
        <v>11127</v>
      </c>
      <c r="F193" s="22" t="s">
        <v>11154</v>
      </c>
      <c r="G193" s="22" t="s">
        <v>259</v>
      </c>
      <c r="H193" s="22" t="str">
        <f aca="false">IFERROR(VLOOKUP(G193,'Master Taxonomy'!$A$2:$B$1656,2,FALSE()),"")</f>
        <v>Dwarf-Derived Peoples</v>
      </c>
      <c r="I193" s="22" t="s">
        <v>11155</v>
      </c>
      <c r="J193" s="22" t="s">
        <v>11156</v>
      </c>
      <c r="K193" s="22" t="s">
        <v>11157</v>
      </c>
      <c r="L193" s="22" t="s">
        <v>11158</v>
      </c>
      <c r="M193" s="22" t="s">
        <v>11159</v>
      </c>
      <c r="N193" s="22" t="s">
        <v>11160</v>
      </c>
      <c r="O193" s="22" t="s">
        <v>9960</v>
      </c>
      <c r="P193" s="22" t="s">
        <v>10889</v>
      </c>
      <c r="Q193" s="22" t="s">
        <v>11132</v>
      </c>
      <c r="R193" s="32" t="s">
        <v>9038</v>
      </c>
      <c r="S193" s="22" t="s">
        <v>9963</v>
      </c>
    </row>
    <row r="194" customFormat="false" ht="51.75" hidden="false" customHeight="true" outlineLevel="0" collapsed="false">
      <c r="A194" s="22" t="s">
        <v>11161</v>
      </c>
      <c r="B194" s="22" t="s">
        <v>11162</v>
      </c>
      <c r="C194" s="22" t="s">
        <v>9032</v>
      </c>
      <c r="D194" s="22" t="s">
        <v>9033</v>
      </c>
      <c r="E194" s="22" t="s">
        <v>11127</v>
      </c>
      <c r="F194" s="22" t="s">
        <v>11163</v>
      </c>
      <c r="G194" s="22" t="s">
        <v>247</v>
      </c>
      <c r="H194" s="22" t="str">
        <f aca="false">IFERROR(VLOOKUP(G194,'Master Taxonomy'!$A$2:$B$1656,2,FALSE()),"")</f>
        <v>Human and Near-Human Peoples</v>
      </c>
      <c r="I194" s="22" t="s">
        <v>4367</v>
      </c>
      <c r="J194" s="22" t="s">
        <v>4368</v>
      </c>
      <c r="K194" s="22" t="s">
        <v>11164</v>
      </c>
      <c r="L194" s="22" t="s">
        <v>11165</v>
      </c>
      <c r="M194" s="22" t="s">
        <v>11166</v>
      </c>
      <c r="N194" s="22" t="s">
        <v>11167</v>
      </c>
      <c r="O194" s="22" t="s">
        <v>9960</v>
      </c>
      <c r="P194" s="22" t="s">
        <v>10889</v>
      </c>
      <c r="Q194" s="22" t="s">
        <v>11132</v>
      </c>
      <c r="R194" s="32" t="s">
        <v>9038</v>
      </c>
      <c r="S194" s="22" t="s">
        <v>9963</v>
      </c>
    </row>
    <row r="195" customFormat="false" ht="51.75" hidden="false" customHeight="true" outlineLevel="0" collapsed="false">
      <c r="A195" s="22" t="s">
        <v>11168</v>
      </c>
      <c r="B195" s="22" t="s">
        <v>11169</v>
      </c>
      <c r="C195" s="22" t="s">
        <v>9032</v>
      </c>
      <c r="D195" s="22" t="s">
        <v>9033</v>
      </c>
      <c r="E195" s="22" t="s">
        <v>11127</v>
      </c>
      <c r="F195" s="22" t="s">
        <v>11170</v>
      </c>
      <c r="G195" s="22" t="s">
        <v>247</v>
      </c>
      <c r="H195" s="22" t="str">
        <f aca="false">IFERROR(VLOOKUP(G195,'Master Taxonomy'!$A$2:$B$1656,2,FALSE()),"")</f>
        <v>Human and Near-Human Peoples</v>
      </c>
      <c r="I195" s="22" t="s">
        <v>4577</v>
      </c>
      <c r="J195" s="22" t="s">
        <v>4578</v>
      </c>
      <c r="K195" s="22" t="s">
        <v>11171</v>
      </c>
      <c r="L195" s="22" t="s">
        <v>11172</v>
      </c>
      <c r="M195" s="22" t="s">
        <v>11173</v>
      </c>
      <c r="N195" s="22" t="s">
        <v>11174</v>
      </c>
      <c r="O195" s="22" t="s">
        <v>9960</v>
      </c>
      <c r="P195" s="22" t="s">
        <v>10889</v>
      </c>
      <c r="Q195" s="22" t="s">
        <v>11132</v>
      </c>
      <c r="R195" s="32" t="s">
        <v>9038</v>
      </c>
      <c r="S195" s="22" t="s">
        <v>9963</v>
      </c>
    </row>
    <row r="196" customFormat="false" ht="51.75" hidden="false" customHeight="true" outlineLevel="0" collapsed="false">
      <c r="A196" s="22" t="s">
        <v>11175</v>
      </c>
      <c r="B196" s="22" t="s">
        <v>11176</v>
      </c>
      <c r="C196" s="22" t="s">
        <v>9032</v>
      </c>
      <c r="D196" s="22" t="s">
        <v>9033</v>
      </c>
      <c r="E196" s="22" t="s">
        <v>11127</v>
      </c>
      <c r="F196" s="22" t="s">
        <v>11177</v>
      </c>
      <c r="G196" s="22" t="s">
        <v>827</v>
      </c>
      <c r="H196" s="22" t="str">
        <f aca="false">IFERROR(VLOOKUP(G196,'Master Taxonomy'!$A$2:$B$1656,2,FALSE()),"")</f>
        <v>Mixed-Ancestry and Half-Blood Peoples</v>
      </c>
      <c r="I196" s="22" t="s">
        <v>247</v>
      </c>
      <c r="J196" s="22" t="s">
        <v>248</v>
      </c>
      <c r="K196" s="22" t="s">
        <v>11178</v>
      </c>
      <c r="L196" s="22" t="s">
        <v>11179</v>
      </c>
      <c r="M196" s="22" t="s">
        <v>11180</v>
      </c>
      <c r="N196" s="22" t="s">
        <v>11181</v>
      </c>
      <c r="O196" s="22" t="s">
        <v>9960</v>
      </c>
      <c r="P196" s="22" t="s">
        <v>10889</v>
      </c>
      <c r="Q196" s="22" t="s">
        <v>11132</v>
      </c>
      <c r="R196" s="32" t="s">
        <v>9038</v>
      </c>
      <c r="S196" s="22" t="s">
        <v>9963</v>
      </c>
    </row>
    <row r="197" customFormat="false" ht="51.75" hidden="false" customHeight="true" outlineLevel="0" collapsed="false">
      <c r="A197" s="22" t="s">
        <v>11182</v>
      </c>
      <c r="B197" s="22" t="s">
        <v>11183</v>
      </c>
      <c r="C197" s="22" t="s">
        <v>9032</v>
      </c>
      <c r="D197" s="22" t="s">
        <v>9033</v>
      </c>
      <c r="E197" s="22" t="s">
        <v>11127</v>
      </c>
      <c r="F197" s="22" t="s">
        <v>11170</v>
      </c>
      <c r="G197" s="22" t="s">
        <v>247</v>
      </c>
      <c r="H197" s="22" t="str">
        <f aca="false">IFERROR(VLOOKUP(G197,'Master Taxonomy'!$A$2:$B$1656,2,FALSE()),"")</f>
        <v>Human and Near-Human Peoples</v>
      </c>
      <c r="I197" s="22" t="s">
        <v>1014</v>
      </c>
      <c r="J197" s="22" t="s">
        <v>1015</v>
      </c>
      <c r="K197" s="22" t="s">
        <v>11184</v>
      </c>
      <c r="L197" s="22" t="s">
        <v>11185</v>
      </c>
      <c r="M197" s="22" t="s">
        <v>11186</v>
      </c>
      <c r="N197" s="22" t="s">
        <v>11187</v>
      </c>
      <c r="O197" s="22" t="s">
        <v>9960</v>
      </c>
      <c r="P197" s="22" t="s">
        <v>10889</v>
      </c>
      <c r="Q197" s="22" t="s">
        <v>11132</v>
      </c>
      <c r="R197" s="32" t="s">
        <v>9038</v>
      </c>
      <c r="S197" s="22" t="s">
        <v>9963</v>
      </c>
    </row>
    <row r="198" customFormat="false" ht="51.75" hidden="false" customHeight="true" outlineLevel="0" collapsed="false">
      <c r="A198" s="22" t="s">
        <v>11188</v>
      </c>
      <c r="B198" s="22" t="s">
        <v>11189</v>
      </c>
      <c r="C198" s="22" t="s">
        <v>9032</v>
      </c>
      <c r="D198" s="22" t="s">
        <v>9033</v>
      </c>
      <c r="E198" s="22" t="s">
        <v>11127</v>
      </c>
      <c r="F198" s="22" t="s">
        <v>11190</v>
      </c>
      <c r="G198" s="22" t="s">
        <v>334</v>
      </c>
      <c r="H198" s="22" t="str">
        <f aca="false">IFERROR(VLOOKUP(G198,'Master Taxonomy'!$A$2:$B$1656,2,FALSE()),"")</f>
        <v>Feline Beastfolk</v>
      </c>
      <c r="I198" s="22" t="s">
        <v>844</v>
      </c>
      <c r="J198" s="22" t="s">
        <v>845</v>
      </c>
      <c r="K198" s="22" t="s">
        <v>11191</v>
      </c>
      <c r="L198" s="22" t="s">
        <v>11192</v>
      </c>
      <c r="M198" s="22" t="s">
        <v>11193</v>
      </c>
      <c r="N198" s="22" t="s">
        <v>11194</v>
      </c>
      <c r="O198" s="22" t="s">
        <v>9960</v>
      </c>
      <c r="P198" s="22" t="s">
        <v>10889</v>
      </c>
      <c r="Q198" s="22" t="s">
        <v>11132</v>
      </c>
      <c r="R198" s="32" t="s">
        <v>9038</v>
      </c>
      <c r="S198" s="22" t="s">
        <v>9963</v>
      </c>
    </row>
    <row r="199" customFormat="false" ht="51.75" hidden="false" customHeight="true" outlineLevel="0" collapsed="false">
      <c r="A199" s="22" t="s">
        <v>11195</v>
      </c>
      <c r="B199" s="22" t="s">
        <v>11196</v>
      </c>
      <c r="C199" s="22" t="s">
        <v>9032</v>
      </c>
      <c r="D199" s="22" t="s">
        <v>9033</v>
      </c>
      <c r="E199" s="22" t="s">
        <v>11127</v>
      </c>
      <c r="F199" s="22" t="s">
        <v>11197</v>
      </c>
      <c r="G199" s="22" t="s">
        <v>297</v>
      </c>
      <c r="H199" s="22" t="str">
        <f aca="false">IFERROR(VLOOKUP(G199,'Master Taxonomy'!$A$2:$B$1656,2,FALSE()),"")</f>
        <v>Lizardfolk and Reptilian Peoples</v>
      </c>
      <c r="I199" s="22" t="s">
        <v>400</v>
      </c>
      <c r="J199" s="22" t="s">
        <v>401</v>
      </c>
      <c r="K199" s="22" t="s">
        <v>11198</v>
      </c>
      <c r="L199" s="22" t="s">
        <v>11199</v>
      </c>
      <c r="M199" s="22" t="s">
        <v>11200</v>
      </c>
      <c r="N199" s="22" t="s">
        <v>11201</v>
      </c>
      <c r="O199" s="22" t="s">
        <v>9960</v>
      </c>
      <c r="P199" s="22" t="s">
        <v>10889</v>
      </c>
      <c r="Q199" s="22" t="s">
        <v>11132</v>
      </c>
      <c r="R199" s="32" t="s">
        <v>9038</v>
      </c>
      <c r="S199" s="22" t="s">
        <v>9963</v>
      </c>
    </row>
    <row r="200" customFormat="false" ht="51.75" hidden="false" customHeight="true" outlineLevel="0" collapsed="false">
      <c r="A200" s="22" t="s">
        <v>11202</v>
      </c>
      <c r="B200" s="22" t="s">
        <v>11203</v>
      </c>
      <c r="C200" s="22" t="s">
        <v>9032</v>
      </c>
      <c r="D200" s="22" t="s">
        <v>9033</v>
      </c>
      <c r="E200" s="22" t="s">
        <v>11204</v>
      </c>
      <c r="F200" s="22" t="s">
        <v>11205</v>
      </c>
      <c r="G200" s="22" t="s">
        <v>481</v>
      </c>
      <c r="H200" s="22" t="str">
        <f aca="false">IFERROR(VLOOKUP(G200,'Master Taxonomy'!$A$2:$B$1656,2,FALSE()),"")</f>
        <v>Deities</v>
      </c>
      <c r="I200" s="22" t="s">
        <v>215</v>
      </c>
      <c r="J200" s="22" t="s">
        <v>216</v>
      </c>
      <c r="K200" s="22" t="s">
        <v>11206</v>
      </c>
      <c r="L200" s="22" t="s">
        <v>11207</v>
      </c>
      <c r="M200" s="22" t="s">
        <v>11208</v>
      </c>
      <c r="N200" s="22" t="s">
        <v>11209</v>
      </c>
      <c r="O200" s="22" t="s">
        <v>9960</v>
      </c>
      <c r="P200" s="22" t="s">
        <v>10889</v>
      </c>
      <c r="Q200" s="22" t="s">
        <v>11132</v>
      </c>
      <c r="R200" s="32" t="s">
        <v>9038</v>
      </c>
      <c r="S200" s="22" t="s">
        <v>9963</v>
      </c>
    </row>
    <row r="201" customFormat="false" ht="51.75" hidden="false" customHeight="true" outlineLevel="0" collapsed="false">
      <c r="A201" s="22" t="s">
        <v>11210</v>
      </c>
      <c r="B201" s="22" t="s">
        <v>11211</v>
      </c>
      <c r="C201" s="22" t="s">
        <v>9032</v>
      </c>
      <c r="D201" s="22" t="s">
        <v>9033</v>
      </c>
      <c r="E201" s="22" t="s">
        <v>11204</v>
      </c>
      <c r="F201" s="22" t="s">
        <v>11212</v>
      </c>
      <c r="G201" s="22" t="s">
        <v>481</v>
      </c>
      <c r="H201" s="22" t="str">
        <f aca="false">IFERROR(VLOOKUP(G201,'Master Taxonomy'!$A$2:$B$1656,2,FALSE()),"")</f>
        <v>Deities</v>
      </c>
      <c r="I201" s="22" t="s">
        <v>861</v>
      </c>
      <c r="J201" s="22" t="s">
        <v>862</v>
      </c>
      <c r="K201" s="22" t="s">
        <v>11213</v>
      </c>
      <c r="L201" s="22" t="s">
        <v>11214</v>
      </c>
      <c r="M201" s="22" t="s">
        <v>11215</v>
      </c>
      <c r="N201" s="22" t="s">
        <v>11216</v>
      </c>
      <c r="O201" s="22" t="s">
        <v>9960</v>
      </c>
      <c r="P201" s="22" t="s">
        <v>10889</v>
      </c>
      <c r="Q201" s="22" t="s">
        <v>11132</v>
      </c>
      <c r="R201" s="32" t="s">
        <v>9038</v>
      </c>
      <c r="S201" s="22" t="s">
        <v>9963</v>
      </c>
    </row>
    <row r="202" customFormat="false" ht="51.75" hidden="false" customHeight="true" outlineLevel="0" collapsed="false">
      <c r="A202" s="22" t="s">
        <v>11217</v>
      </c>
      <c r="B202" s="22" t="s">
        <v>11218</v>
      </c>
      <c r="C202" s="22" t="s">
        <v>9032</v>
      </c>
      <c r="D202" s="22" t="s">
        <v>9033</v>
      </c>
      <c r="E202" s="22" t="s">
        <v>11204</v>
      </c>
      <c r="F202" s="22" t="s">
        <v>11219</v>
      </c>
      <c r="G202" s="22" t="s">
        <v>861</v>
      </c>
      <c r="H202" s="22" t="str">
        <f aca="false">IFERROR(VLOOKUP(G202,'Master Taxonomy'!$A$2:$B$1656,2,FALSE()),"")</f>
        <v>Alien and Otherworlder Peoples</v>
      </c>
      <c r="I202" s="22"/>
      <c r="J202" s="22"/>
      <c r="K202" s="22" t="s">
        <v>11220</v>
      </c>
      <c r="L202" s="22" t="s">
        <v>11221</v>
      </c>
      <c r="M202" s="22" t="s">
        <v>11222</v>
      </c>
      <c r="N202" s="22" t="s">
        <v>11223</v>
      </c>
      <c r="O202" s="22" t="s">
        <v>9960</v>
      </c>
      <c r="P202" s="22" t="s">
        <v>10889</v>
      </c>
      <c r="Q202" s="22" t="s">
        <v>11132</v>
      </c>
      <c r="R202" s="32" t="s">
        <v>9038</v>
      </c>
      <c r="S202" s="22" t="s">
        <v>9963</v>
      </c>
    </row>
    <row r="203" customFormat="false" ht="51.75" hidden="false" customHeight="true" outlineLevel="0" collapsed="false">
      <c r="A203" s="22" t="s">
        <v>11224</v>
      </c>
      <c r="B203" s="22" t="s">
        <v>10075</v>
      </c>
      <c r="C203" s="22" t="s">
        <v>9032</v>
      </c>
      <c r="D203" s="22" t="s">
        <v>9033</v>
      </c>
      <c r="E203" s="22" t="s">
        <v>11127</v>
      </c>
      <c r="F203" s="22" t="s">
        <v>11225</v>
      </c>
      <c r="G203" s="22" t="s">
        <v>683</v>
      </c>
      <c r="H203" s="22" t="str">
        <f aca="false">IFERROR(VLOOKUP(G203,'Master Taxonomy'!$A$2:$B$1656,2,FALSE()),"")</f>
        <v>True Dragons</v>
      </c>
      <c r="I203" s="22" t="s">
        <v>514</v>
      </c>
      <c r="J203" s="22" t="s">
        <v>515</v>
      </c>
      <c r="K203" s="22" t="s">
        <v>11226</v>
      </c>
      <c r="L203" s="22" t="s">
        <v>11227</v>
      </c>
      <c r="M203" s="22" t="s">
        <v>11228</v>
      </c>
      <c r="N203" s="22" t="s">
        <v>11229</v>
      </c>
      <c r="O203" s="22" t="s">
        <v>9960</v>
      </c>
      <c r="P203" s="22" t="s">
        <v>10889</v>
      </c>
      <c r="Q203" s="22" t="s">
        <v>11132</v>
      </c>
      <c r="R203" s="32" t="s">
        <v>9038</v>
      </c>
      <c r="S203" s="22" t="s">
        <v>9963</v>
      </c>
    </row>
    <row r="204" customFormat="false" ht="51.75" hidden="false" customHeight="true" outlineLevel="0" collapsed="false">
      <c r="A204" s="22" t="s">
        <v>11230</v>
      </c>
      <c r="B204" s="22" t="s">
        <v>10542</v>
      </c>
      <c r="C204" s="22" t="s">
        <v>9032</v>
      </c>
      <c r="D204" s="22" t="s">
        <v>9033</v>
      </c>
      <c r="E204" s="22" t="s">
        <v>11127</v>
      </c>
      <c r="F204" s="22" t="s">
        <v>11231</v>
      </c>
      <c r="G204" s="22" t="s">
        <v>3592</v>
      </c>
      <c r="H204" s="22" t="str">
        <f aca="false">IFERROR(VLOOKUP(G204,'Master Taxonomy'!$A$2:$B$1656,2,FALSE()),"")</f>
        <v>Chosen One</v>
      </c>
      <c r="I204" s="22" t="s">
        <v>11232</v>
      </c>
      <c r="J204" s="22" t="s">
        <v>11233</v>
      </c>
      <c r="K204" s="22" t="s">
        <v>11234</v>
      </c>
      <c r="L204" s="22" t="s">
        <v>11235</v>
      </c>
      <c r="M204" s="22" t="s">
        <v>11236</v>
      </c>
      <c r="N204" s="22" t="s">
        <v>11237</v>
      </c>
      <c r="O204" s="22" t="s">
        <v>9960</v>
      </c>
      <c r="P204" s="22" t="s">
        <v>10889</v>
      </c>
      <c r="Q204" s="22" t="s">
        <v>11132</v>
      </c>
      <c r="R204" s="32" t="s">
        <v>9038</v>
      </c>
      <c r="S204" s="22" t="s">
        <v>9963</v>
      </c>
    </row>
    <row r="205" customFormat="false" ht="51.75" hidden="false" customHeight="true" outlineLevel="0" collapsed="false">
      <c r="A205" s="22" t="s">
        <v>11238</v>
      </c>
      <c r="B205" s="22" t="s">
        <v>11239</v>
      </c>
      <c r="C205" s="22" t="s">
        <v>9032</v>
      </c>
      <c r="D205" s="22" t="s">
        <v>9033</v>
      </c>
      <c r="E205" s="22" t="s">
        <v>11127</v>
      </c>
      <c r="F205" s="22" t="s">
        <v>11240</v>
      </c>
      <c r="G205" s="22" t="s">
        <v>2554</v>
      </c>
      <c r="H205" s="22" t="str">
        <f aca="false">IFERROR(VLOOKUP(G205,'Master Taxonomy'!$A$2:$B$1656,2,FALSE()),"")</f>
        <v>True Names and Naming</v>
      </c>
      <c r="I205" s="22" t="s">
        <v>2342</v>
      </c>
      <c r="J205" s="22" t="s">
        <v>2343</v>
      </c>
      <c r="K205" s="22" t="s">
        <v>11241</v>
      </c>
      <c r="L205" s="22" t="s">
        <v>11242</v>
      </c>
      <c r="M205" s="22" t="s">
        <v>11243</v>
      </c>
      <c r="N205" s="22" t="s">
        <v>11244</v>
      </c>
      <c r="O205" s="22" t="s">
        <v>9960</v>
      </c>
      <c r="P205" s="22" t="s">
        <v>10889</v>
      </c>
      <c r="Q205" s="22" t="s">
        <v>11132</v>
      </c>
      <c r="R205" s="32" t="s">
        <v>9038</v>
      </c>
      <c r="S205" s="22" t="s">
        <v>9963</v>
      </c>
    </row>
    <row r="206" customFormat="false" ht="51.75" hidden="false" customHeight="true" outlineLevel="0" collapsed="false">
      <c r="A206" s="22" t="s">
        <v>11245</v>
      </c>
      <c r="B206" s="22" t="s">
        <v>11246</v>
      </c>
      <c r="C206" s="22" t="s">
        <v>9032</v>
      </c>
      <c r="D206" s="22" t="s">
        <v>9033</v>
      </c>
      <c r="E206" s="22" t="s">
        <v>11247</v>
      </c>
      <c r="F206" s="22" t="s">
        <v>11248</v>
      </c>
      <c r="G206" s="22" t="s">
        <v>3418</v>
      </c>
      <c r="H206" s="22" t="str">
        <f aca="false">IFERROR(VLOOKUP(G206,'Master Taxonomy'!$A$2:$B$1656,2,FALSE()),"")</f>
        <v>Monastery</v>
      </c>
      <c r="I206" s="22" t="s">
        <v>1741</v>
      </c>
      <c r="J206" s="22" t="s">
        <v>1742</v>
      </c>
      <c r="K206" s="22" t="s">
        <v>11249</v>
      </c>
      <c r="L206" s="22" t="s">
        <v>11250</v>
      </c>
      <c r="M206" s="22" t="s">
        <v>11251</v>
      </c>
      <c r="N206" s="22" t="s">
        <v>11252</v>
      </c>
      <c r="O206" s="22" t="s">
        <v>9960</v>
      </c>
      <c r="P206" s="22" t="s">
        <v>10889</v>
      </c>
      <c r="Q206" s="22" t="s">
        <v>11132</v>
      </c>
      <c r="R206" s="32" t="s">
        <v>9038</v>
      </c>
      <c r="S206" s="22" t="s">
        <v>9963</v>
      </c>
    </row>
    <row r="207" customFormat="false" ht="51.75" hidden="false" customHeight="true" outlineLevel="0" collapsed="false">
      <c r="A207" s="22" t="s">
        <v>11253</v>
      </c>
      <c r="B207" s="22" t="s">
        <v>11254</v>
      </c>
      <c r="C207" s="22" t="s">
        <v>9032</v>
      </c>
      <c r="D207" s="22" t="s">
        <v>9033</v>
      </c>
      <c r="E207" s="22" t="s">
        <v>11127</v>
      </c>
      <c r="F207" s="22" t="s">
        <v>11255</v>
      </c>
      <c r="G207" s="22" t="s">
        <v>3483</v>
      </c>
      <c r="H207" s="22" t="str">
        <f aca="false">IFERROR(VLOOKUP(G207,'Master Taxonomy'!$A$2:$B$1656,2,FALSE()),"")</f>
        <v>Secret Magical Society</v>
      </c>
      <c r="I207" s="22" t="s">
        <v>1255</v>
      </c>
      <c r="J207" s="22" t="s">
        <v>1256</v>
      </c>
      <c r="K207" s="22" t="s">
        <v>11256</v>
      </c>
      <c r="L207" s="22" t="s">
        <v>11257</v>
      </c>
      <c r="M207" s="22" t="s">
        <v>11258</v>
      </c>
      <c r="N207" s="22" t="s">
        <v>11259</v>
      </c>
      <c r="O207" s="22" t="s">
        <v>9960</v>
      </c>
      <c r="P207" s="22" t="s">
        <v>10889</v>
      </c>
      <c r="Q207" s="22" t="s">
        <v>11132</v>
      </c>
      <c r="R207" s="32" t="s">
        <v>9038</v>
      </c>
      <c r="S207" s="22" t="s">
        <v>9963</v>
      </c>
    </row>
    <row r="208" customFormat="false" ht="51.75" hidden="false" customHeight="true" outlineLevel="0" collapsed="false">
      <c r="A208" s="22" t="s">
        <v>11260</v>
      </c>
      <c r="B208" s="22" t="s">
        <v>11261</v>
      </c>
      <c r="C208" s="22" t="s">
        <v>9032</v>
      </c>
      <c r="D208" s="22" t="s">
        <v>9033</v>
      </c>
      <c r="E208" s="22" t="s">
        <v>11127</v>
      </c>
      <c r="F208" s="22" t="s">
        <v>11262</v>
      </c>
      <c r="G208" s="22" t="s">
        <v>3266</v>
      </c>
      <c r="H208" s="22" t="str">
        <f aca="false">IFERROR(VLOOKUP(G208,'Master Taxonomy'!$A$2:$B$1656,2,FALSE()),"")</f>
        <v>Mage Guild</v>
      </c>
      <c r="I208" s="22" t="s">
        <v>3434</v>
      </c>
      <c r="J208" s="22" t="s">
        <v>3435</v>
      </c>
      <c r="K208" s="22" t="s">
        <v>11263</v>
      </c>
      <c r="L208" s="22" t="s">
        <v>11264</v>
      </c>
      <c r="M208" s="22" t="s">
        <v>11265</v>
      </c>
      <c r="N208" s="22" t="s">
        <v>11266</v>
      </c>
      <c r="O208" s="22" t="s">
        <v>9960</v>
      </c>
      <c r="P208" s="22" t="s">
        <v>10889</v>
      </c>
      <c r="Q208" s="22" t="s">
        <v>11132</v>
      </c>
      <c r="R208" s="32" t="s">
        <v>9038</v>
      </c>
      <c r="S208" s="22" t="s">
        <v>9963</v>
      </c>
    </row>
    <row r="209" customFormat="false" ht="51.75" hidden="false" customHeight="true" outlineLevel="0" collapsed="false">
      <c r="A209" s="22" t="s">
        <v>11267</v>
      </c>
      <c r="B209" s="22" t="s">
        <v>11268</v>
      </c>
      <c r="C209" s="22" t="s">
        <v>9032</v>
      </c>
      <c r="D209" s="22" t="s">
        <v>9033</v>
      </c>
      <c r="E209" s="22" t="s">
        <v>11127</v>
      </c>
      <c r="F209" s="22" t="s">
        <v>11269</v>
      </c>
      <c r="G209" s="22" t="s">
        <v>3364</v>
      </c>
      <c r="H209" s="22" t="str">
        <f aca="false">IFERROR(VLOOKUP(G209,'Master Taxonomy'!$A$2:$B$1656,2,FALSE()),"")</f>
        <v>Assassin Order</v>
      </c>
      <c r="I209" s="22" t="s">
        <v>2028</v>
      </c>
      <c r="J209" s="22" t="s">
        <v>2029</v>
      </c>
      <c r="K209" s="22" t="s">
        <v>11270</v>
      </c>
      <c r="L209" s="22" t="s">
        <v>11271</v>
      </c>
      <c r="M209" s="22" t="s">
        <v>11272</v>
      </c>
      <c r="N209" s="22" t="s">
        <v>11273</v>
      </c>
      <c r="O209" s="22" t="s">
        <v>9960</v>
      </c>
      <c r="P209" s="22" t="s">
        <v>10889</v>
      </c>
      <c r="Q209" s="22" t="s">
        <v>11132</v>
      </c>
      <c r="R209" s="32" t="s">
        <v>9038</v>
      </c>
      <c r="S209" s="22" t="s">
        <v>9963</v>
      </c>
    </row>
    <row r="210" customFormat="false" ht="51.75" hidden="false" customHeight="true" outlineLevel="0" collapsed="false">
      <c r="A210" s="22" t="s">
        <v>11274</v>
      </c>
      <c r="B210" s="22" t="s">
        <v>11275</v>
      </c>
      <c r="C210" s="22" t="s">
        <v>9032</v>
      </c>
      <c r="D210" s="22" t="s">
        <v>9033</v>
      </c>
      <c r="E210" s="22" t="s">
        <v>11127</v>
      </c>
      <c r="F210" s="22" t="s">
        <v>11276</v>
      </c>
      <c r="G210" s="22" t="s">
        <v>3270</v>
      </c>
      <c r="H210" s="22" t="str">
        <f aca="false">IFERROR(VLOOKUP(G210,'Master Taxonomy'!$A$2:$B$1656,2,FALSE()),"")</f>
        <v>Thieves' Guild</v>
      </c>
      <c r="I210" s="22" t="s">
        <v>1156</v>
      </c>
      <c r="J210" s="22" t="s">
        <v>1157</v>
      </c>
      <c r="K210" s="22" t="s">
        <v>11277</v>
      </c>
      <c r="L210" s="22" t="s">
        <v>11278</v>
      </c>
      <c r="M210" s="22" t="s">
        <v>11279</v>
      </c>
      <c r="N210" s="22" t="s">
        <v>11280</v>
      </c>
      <c r="O210" s="22" t="s">
        <v>9960</v>
      </c>
      <c r="P210" s="22" t="s">
        <v>10889</v>
      </c>
      <c r="Q210" s="22" t="s">
        <v>11132</v>
      </c>
      <c r="R210" s="32" t="s">
        <v>9038</v>
      </c>
      <c r="S210" s="22" t="s">
        <v>9963</v>
      </c>
    </row>
    <row r="211" customFormat="false" ht="51.75" hidden="false" customHeight="true" outlineLevel="0" collapsed="false">
      <c r="A211" s="22" t="s">
        <v>11281</v>
      </c>
      <c r="B211" s="22" t="s">
        <v>595</v>
      </c>
      <c r="C211" s="22" t="s">
        <v>9032</v>
      </c>
      <c r="D211" s="22" t="s">
        <v>9033</v>
      </c>
      <c r="E211" s="22" t="s">
        <v>11127</v>
      </c>
      <c r="F211" s="22" t="s">
        <v>11282</v>
      </c>
      <c r="G211" s="22" t="s">
        <v>594</v>
      </c>
      <c r="H211" s="22" t="str">
        <f aca="false">IFERROR(VLOOKUP(G211,'Master Taxonomy'!$A$2:$B$1656,2,FALSE()),"")</f>
        <v>Vampires</v>
      </c>
      <c r="I211" s="22" t="s">
        <v>2999</v>
      </c>
      <c r="J211" s="22" t="s">
        <v>3000</v>
      </c>
      <c r="K211" s="22" t="s">
        <v>11283</v>
      </c>
      <c r="L211" s="22" t="s">
        <v>11284</v>
      </c>
      <c r="M211" s="22" t="s">
        <v>11285</v>
      </c>
      <c r="N211" s="22" t="s">
        <v>11286</v>
      </c>
      <c r="O211" s="22" t="s">
        <v>9960</v>
      </c>
      <c r="P211" s="22" t="s">
        <v>10889</v>
      </c>
      <c r="Q211" s="22" t="s">
        <v>11132</v>
      </c>
      <c r="R211" s="32" t="s">
        <v>9038</v>
      </c>
      <c r="S211" s="22" t="s">
        <v>9963</v>
      </c>
    </row>
    <row r="212" customFormat="false" ht="51.75" hidden="false" customHeight="true" outlineLevel="0" collapsed="false">
      <c r="A212" s="22" t="s">
        <v>11287</v>
      </c>
      <c r="B212" s="22" t="s">
        <v>11288</v>
      </c>
      <c r="C212" s="22" t="s">
        <v>9032</v>
      </c>
      <c r="D212" s="22" t="s">
        <v>9033</v>
      </c>
      <c r="E212" s="22" t="s">
        <v>11127</v>
      </c>
      <c r="F212" s="22" t="s">
        <v>11289</v>
      </c>
      <c r="G212" s="22" t="s">
        <v>815</v>
      </c>
      <c r="H212" s="22" t="str">
        <f aca="false">IFERROR(VLOOKUP(G212,'Master Taxonomy'!$A$2:$B$1656,2,FALSE()),"")</f>
        <v>Therianthropes</v>
      </c>
      <c r="I212" s="22" t="s">
        <v>2838</v>
      </c>
      <c r="J212" s="22" t="s">
        <v>2839</v>
      </c>
      <c r="K212" s="22" t="s">
        <v>11290</v>
      </c>
      <c r="L212" s="22" t="s">
        <v>11291</v>
      </c>
      <c r="M212" s="22" t="s">
        <v>11292</v>
      </c>
      <c r="N212" s="22" t="s">
        <v>11293</v>
      </c>
      <c r="O212" s="22" t="s">
        <v>9960</v>
      </c>
      <c r="P212" s="22" t="s">
        <v>10889</v>
      </c>
      <c r="Q212" s="22" t="s">
        <v>11132</v>
      </c>
      <c r="R212" s="32" t="s">
        <v>9038</v>
      </c>
      <c r="S212" s="22" t="s">
        <v>9963</v>
      </c>
    </row>
    <row r="213" customFormat="false" ht="51.75" hidden="false" customHeight="true" outlineLevel="0" collapsed="false">
      <c r="A213" s="22" t="s">
        <v>11294</v>
      </c>
      <c r="B213" s="22" t="s">
        <v>10291</v>
      </c>
      <c r="C213" s="22" t="s">
        <v>9039</v>
      </c>
      <c r="D213" s="22" t="s">
        <v>9040</v>
      </c>
      <c r="E213" s="22" t="s">
        <v>11295</v>
      </c>
      <c r="F213" s="22" t="s">
        <v>11296</v>
      </c>
      <c r="G213" s="22" t="s">
        <v>247</v>
      </c>
      <c r="H213" s="22" t="str">
        <f aca="false">IFERROR(VLOOKUP(G213,'Master Taxonomy'!$A$2:$B$1656,2,FALSE()),"")</f>
        <v>Human and Near-Human Peoples</v>
      </c>
      <c r="I213" s="22"/>
      <c r="J213" s="22"/>
      <c r="K213" s="22" t="s">
        <v>11297</v>
      </c>
      <c r="L213" s="22" t="s">
        <v>11298</v>
      </c>
      <c r="M213" s="22" t="s">
        <v>11299</v>
      </c>
      <c r="N213" s="22" t="s">
        <v>11300</v>
      </c>
      <c r="O213" s="22" t="s">
        <v>9960</v>
      </c>
      <c r="P213" s="22" t="s">
        <v>9961</v>
      </c>
      <c r="Q213" s="22" t="s">
        <v>11301</v>
      </c>
      <c r="R213" s="32" t="s">
        <v>9046</v>
      </c>
      <c r="S213" s="22" t="s">
        <v>9963</v>
      </c>
    </row>
    <row r="214" customFormat="false" ht="51.75" hidden="false" customHeight="true" outlineLevel="0" collapsed="false">
      <c r="A214" s="22" t="s">
        <v>11302</v>
      </c>
      <c r="B214" s="22" t="s">
        <v>11303</v>
      </c>
      <c r="C214" s="22" t="s">
        <v>9039</v>
      </c>
      <c r="D214" s="22" t="s">
        <v>9040</v>
      </c>
      <c r="E214" s="22" t="s">
        <v>11295</v>
      </c>
      <c r="F214" s="22" t="s">
        <v>11296</v>
      </c>
      <c r="G214" s="22" t="s">
        <v>254</v>
      </c>
      <c r="H214" s="22" t="str">
        <f aca="false">IFERROR(VLOOKUP(G214,'Master Taxonomy'!$A$2:$B$1656,2,FALSE()),"")</f>
        <v>Elf-Derived Peoples</v>
      </c>
      <c r="I214" s="22" t="s">
        <v>4329</v>
      </c>
      <c r="J214" s="22" t="s">
        <v>4330</v>
      </c>
      <c r="K214" s="22" t="s">
        <v>11304</v>
      </c>
      <c r="L214" s="22" t="s">
        <v>11305</v>
      </c>
      <c r="M214" s="22" t="s">
        <v>11306</v>
      </c>
      <c r="N214" s="22" t="s">
        <v>11307</v>
      </c>
      <c r="O214" s="22" t="s">
        <v>9960</v>
      </c>
      <c r="P214" s="22" t="s">
        <v>9961</v>
      </c>
      <c r="Q214" s="22" t="s">
        <v>11301</v>
      </c>
      <c r="R214" s="32" t="s">
        <v>9046</v>
      </c>
      <c r="S214" s="22" t="s">
        <v>9963</v>
      </c>
    </row>
    <row r="215" customFormat="false" ht="51.75" hidden="false" customHeight="true" outlineLevel="0" collapsed="false">
      <c r="A215" s="22" t="s">
        <v>11308</v>
      </c>
      <c r="B215" s="22" t="s">
        <v>11309</v>
      </c>
      <c r="C215" s="22" t="s">
        <v>9039</v>
      </c>
      <c r="D215" s="22" t="s">
        <v>9040</v>
      </c>
      <c r="E215" s="22" t="s">
        <v>11295</v>
      </c>
      <c r="F215" s="22" t="s">
        <v>11296</v>
      </c>
      <c r="G215" s="22" t="s">
        <v>254</v>
      </c>
      <c r="H215" s="22" t="str">
        <f aca="false">IFERROR(VLOOKUP(G215,'Master Taxonomy'!$A$2:$B$1656,2,FALSE()),"")</f>
        <v>Elf-Derived Peoples</v>
      </c>
      <c r="I215" s="22" t="s">
        <v>4476</v>
      </c>
      <c r="J215" s="22" t="s">
        <v>4477</v>
      </c>
      <c r="K215" s="22" t="s">
        <v>11310</v>
      </c>
      <c r="L215" s="22" t="s">
        <v>11311</v>
      </c>
      <c r="M215" s="22" t="s">
        <v>11312</v>
      </c>
      <c r="N215" s="22" t="s">
        <v>11313</v>
      </c>
      <c r="O215" s="22" t="s">
        <v>9960</v>
      </c>
      <c r="P215" s="22" t="s">
        <v>9961</v>
      </c>
      <c r="Q215" s="22" t="s">
        <v>11301</v>
      </c>
      <c r="R215" s="32" t="s">
        <v>9046</v>
      </c>
      <c r="S215" s="22" t="s">
        <v>9963</v>
      </c>
    </row>
    <row r="216" customFormat="false" ht="51.75" hidden="false" customHeight="true" outlineLevel="0" collapsed="false">
      <c r="A216" s="22" t="s">
        <v>11314</v>
      </c>
      <c r="B216" s="22" t="s">
        <v>11315</v>
      </c>
      <c r="C216" s="22" t="s">
        <v>9039</v>
      </c>
      <c r="D216" s="22" t="s">
        <v>9040</v>
      </c>
      <c r="E216" s="22" t="s">
        <v>11295</v>
      </c>
      <c r="F216" s="22" t="s">
        <v>11316</v>
      </c>
      <c r="G216" s="22" t="s">
        <v>254</v>
      </c>
      <c r="H216" s="22" t="str">
        <f aca="false">IFERROR(VLOOKUP(G216,'Master Taxonomy'!$A$2:$B$1656,2,FALSE()),"")</f>
        <v>Elf-Derived Peoples</v>
      </c>
      <c r="I216" s="22" t="s">
        <v>3144</v>
      </c>
      <c r="J216" s="22" t="s">
        <v>3145</v>
      </c>
      <c r="K216" s="22" t="s">
        <v>11317</v>
      </c>
      <c r="L216" s="22" t="s">
        <v>11318</v>
      </c>
      <c r="M216" s="22" t="s">
        <v>11319</v>
      </c>
      <c r="N216" s="22" t="s">
        <v>11320</v>
      </c>
      <c r="O216" s="22" t="s">
        <v>9960</v>
      </c>
      <c r="P216" s="22" t="s">
        <v>9961</v>
      </c>
      <c r="Q216" s="22" t="s">
        <v>11301</v>
      </c>
      <c r="R216" s="32" t="s">
        <v>9046</v>
      </c>
      <c r="S216" s="22" t="s">
        <v>9963</v>
      </c>
    </row>
    <row r="217" customFormat="false" ht="51.75" hidden="false" customHeight="true" outlineLevel="0" collapsed="false">
      <c r="A217" s="22" t="s">
        <v>11321</v>
      </c>
      <c r="B217" s="22" t="s">
        <v>10313</v>
      </c>
      <c r="C217" s="22" t="s">
        <v>9039</v>
      </c>
      <c r="D217" s="22" t="s">
        <v>9040</v>
      </c>
      <c r="E217" s="22" t="s">
        <v>11295</v>
      </c>
      <c r="F217" s="22" t="s">
        <v>11296</v>
      </c>
      <c r="G217" s="22" t="s">
        <v>259</v>
      </c>
      <c r="H217" s="22" t="str">
        <f aca="false">IFERROR(VLOOKUP(G217,'Master Taxonomy'!$A$2:$B$1656,2,FALSE()),"")</f>
        <v>Dwarf-Derived Peoples</v>
      </c>
      <c r="I217" s="22"/>
      <c r="J217" s="22"/>
      <c r="K217" s="22" t="s">
        <v>11322</v>
      </c>
      <c r="L217" s="22" t="s">
        <v>11323</v>
      </c>
      <c r="M217" s="22" t="s">
        <v>11324</v>
      </c>
      <c r="N217" s="22" t="s">
        <v>11325</v>
      </c>
      <c r="O217" s="22" t="s">
        <v>9960</v>
      </c>
      <c r="P217" s="22" t="s">
        <v>9961</v>
      </c>
      <c r="Q217" s="22" t="s">
        <v>11301</v>
      </c>
      <c r="R217" s="32" t="s">
        <v>9046</v>
      </c>
      <c r="S217" s="22" t="s">
        <v>9963</v>
      </c>
    </row>
    <row r="218" customFormat="false" ht="51.75" hidden="false" customHeight="true" outlineLevel="0" collapsed="false">
      <c r="A218" s="22" t="s">
        <v>11326</v>
      </c>
      <c r="B218" s="22" t="s">
        <v>10319</v>
      </c>
      <c r="C218" s="22" t="s">
        <v>9039</v>
      </c>
      <c r="D218" s="22" t="s">
        <v>9040</v>
      </c>
      <c r="E218" s="22" t="s">
        <v>11295</v>
      </c>
      <c r="F218" s="22" t="s">
        <v>11296</v>
      </c>
      <c r="G218" s="22" t="s">
        <v>267</v>
      </c>
      <c r="H218" s="22" t="str">
        <f aca="false">IFERROR(VLOOKUP(G218,'Master Taxonomy'!$A$2:$B$1656,2,FALSE()),"")</f>
        <v>Gnome and Tinkerfolk Peoples</v>
      </c>
      <c r="I218" s="22" t="s">
        <v>4476</v>
      </c>
      <c r="J218" s="22" t="s">
        <v>4477</v>
      </c>
      <c r="K218" s="22" t="s">
        <v>11327</v>
      </c>
      <c r="L218" s="22" t="s">
        <v>11328</v>
      </c>
      <c r="M218" s="22" t="s">
        <v>11329</v>
      </c>
      <c r="N218" s="22" t="s">
        <v>11330</v>
      </c>
      <c r="O218" s="22" t="s">
        <v>9960</v>
      </c>
      <c r="P218" s="22" t="s">
        <v>9961</v>
      </c>
      <c r="Q218" s="22" t="s">
        <v>11301</v>
      </c>
      <c r="R218" s="32" t="s">
        <v>9046</v>
      </c>
      <c r="S218" s="22" t="s">
        <v>9963</v>
      </c>
    </row>
    <row r="219" customFormat="false" ht="51.75" hidden="false" customHeight="true" outlineLevel="0" collapsed="false">
      <c r="A219" s="22" t="s">
        <v>11331</v>
      </c>
      <c r="B219" s="22" t="s">
        <v>10054</v>
      </c>
      <c r="C219" s="22" t="s">
        <v>9039</v>
      </c>
      <c r="D219" s="22" t="s">
        <v>9040</v>
      </c>
      <c r="E219" s="22" t="s">
        <v>11295</v>
      </c>
      <c r="F219" s="22" t="s">
        <v>11296</v>
      </c>
      <c r="G219" s="22" t="s">
        <v>271</v>
      </c>
      <c r="H219" s="22" t="str">
        <f aca="false">IFERROR(VLOOKUP(G219,'Master Taxonomy'!$A$2:$B$1656,2,FALSE()),"")</f>
        <v>Orc-Derived Peoples</v>
      </c>
      <c r="I219" s="22"/>
      <c r="J219" s="22"/>
      <c r="K219" s="22" t="s">
        <v>11332</v>
      </c>
      <c r="L219" s="22" t="s">
        <v>11333</v>
      </c>
      <c r="M219" s="22" t="s">
        <v>11334</v>
      </c>
      <c r="N219" s="22" t="s">
        <v>11335</v>
      </c>
      <c r="O219" s="22" t="s">
        <v>9960</v>
      </c>
      <c r="P219" s="22" t="s">
        <v>9961</v>
      </c>
      <c r="Q219" s="22" t="s">
        <v>11301</v>
      </c>
      <c r="R219" s="32" t="s">
        <v>9046</v>
      </c>
      <c r="S219" s="22" t="s">
        <v>9963</v>
      </c>
    </row>
    <row r="220" customFormat="false" ht="51.75" hidden="false" customHeight="true" outlineLevel="0" collapsed="false">
      <c r="A220" s="22" t="s">
        <v>11336</v>
      </c>
      <c r="B220" s="22" t="s">
        <v>10061</v>
      </c>
      <c r="C220" s="22" t="s">
        <v>9039</v>
      </c>
      <c r="D220" s="22" t="s">
        <v>9040</v>
      </c>
      <c r="E220" s="22" t="s">
        <v>11295</v>
      </c>
      <c r="F220" s="22" t="s">
        <v>11296</v>
      </c>
      <c r="G220" s="22" t="s">
        <v>288</v>
      </c>
      <c r="H220" s="22" t="str">
        <f aca="false">IFERROR(VLOOKUP(G220,'Master Taxonomy'!$A$2:$B$1656,2,FALSE()),"")</f>
        <v>Trollkin Peoples</v>
      </c>
      <c r="I220" s="22"/>
      <c r="J220" s="22"/>
      <c r="K220" s="22" t="s">
        <v>11337</v>
      </c>
      <c r="L220" s="22" t="s">
        <v>11338</v>
      </c>
      <c r="M220" s="22" t="s">
        <v>11339</v>
      </c>
      <c r="N220" s="22" t="s">
        <v>11340</v>
      </c>
      <c r="O220" s="22" t="s">
        <v>9960</v>
      </c>
      <c r="P220" s="22" t="s">
        <v>9961</v>
      </c>
      <c r="Q220" s="22" t="s">
        <v>11301</v>
      </c>
      <c r="R220" s="32" t="s">
        <v>9046</v>
      </c>
      <c r="S220" s="22" t="s">
        <v>9963</v>
      </c>
    </row>
    <row r="221" customFormat="false" ht="51.75" hidden="false" customHeight="true" outlineLevel="0" collapsed="false">
      <c r="A221" s="22" t="s">
        <v>11341</v>
      </c>
      <c r="B221" s="22" t="s">
        <v>11342</v>
      </c>
      <c r="C221" s="22" t="s">
        <v>9039</v>
      </c>
      <c r="D221" s="22" t="s">
        <v>9040</v>
      </c>
      <c r="E221" s="22" t="s">
        <v>11295</v>
      </c>
      <c r="F221" s="22" t="s">
        <v>11296</v>
      </c>
      <c r="G221" s="22" t="s">
        <v>342</v>
      </c>
      <c r="H221" s="22" t="str">
        <f aca="false">IFERROR(VLOOKUP(G221,'Master Taxonomy'!$A$2:$B$1656,2,FALSE()),"")</f>
        <v>Bovine and Caprine Beastfolk</v>
      </c>
      <c r="I221" s="22" t="s">
        <v>4346</v>
      </c>
      <c r="J221" s="22" t="s">
        <v>4347</v>
      </c>
      <c r="K221" s="22" t="s">
        <v>11343</v>
      </c>
      <c r="L221" s="22" t="s">
        <v>11344</v>
      </c>
      <c r="M221" s="22" t="s">
        <v>11345</v>
      </c>
      <c r="N221" s="22" t="s">
        <v>11346</v>
      </c>
      <c r="O221" s="22" t="s">
        <v>9960</v>
      </c>
      <c r="P221" s="22" t="s">
        <v>9961</v>
      </c>
      <c r="Q221" s="22" t="s">
        <v>11301</v>
      </c>
      <c r="R221" s="32" t="s">
        <v>9046</v>
      </c>
      <c r="S221" s="22" t="s">
        <v>9963</v>
      </c>
    </row>
    <row r="222" customFormat="false" ht="51.75" hidden="false" customHeight="true" outlineLevel="0" collapsed="false">
      <c r="A222" s="22" t="s">
        <v>11347</v>
      </c>
      <c r="B222" s="22" t="s">
        <v>11348</v>
      </c>
      <c r="C222" s="22" t="s">
        <v>9039</v>
      </c>
      <c r="D222" s="22" t="s">
        <v>9040</v>
      </c>
      <c r="E222" s="22" t="s">
        <v>11295</v>
      </c>
      <c r="F222" s="22" t="s">
        <v>11349</v>
      </c>
      <c r="G222" s="22" t="s">
        <v>628</v>
      </c>
      <c r="H222" s="22" t="str">
        <f aca="false">IFERROR(VLOOKUP(G222,'Master Taxonomy'!$A$2:$B$1656,2,FALSE()),"")</f>
        <v>Intelligent Undead Peoples</v>
      </c>
      <c r="I222" s="22" t="s">
        <v>2830</v>
      </c>
      <c r="J222" s="22" t="s">
        <v>2831</v>
      </c>
      <c r="K222" s="22" t="s">
        <v>11350</v>
      </c>
      <c r="L222" s="22" t="s">
        <v>11351</v>
      </c>
      <c r="M222" s="22" t="s">
        <v>11352</v>
      </c>
      <c r="N222" s="22" t="s">
        <v>11353</v>
      </c>
      <c r="O222" s="22" t="s">
        <v>9960</v>
      </c>
      <c r="P222" s="22" t="s">
        <v>9961</v>
      </c>
      <c r="Q222" s="22" t="s">
        <v>11301</v>
      </c>
      <c r="R222" s="32" t="s">
        <v>9046</v>
      </c>
      <c r="S222" s="22" t="s">
        <v>9963</v>
      </c>
    </row>
    <row r="223" customFormat="false" ht="51.75" hidden="false" customHeight="true" outlineLevel="0" collapsed="false">
      <c r="A223" s="22" t="s">
        <v>11354</v>
      </c>
      <c r="B223" s="22" t="s">
        <v>11355</v>
      </c>
      <c r="C223" s="22" t="s">
        <v>9039</v>
      </c>
      <c r="D223" s="22" t="s">
        <v>9040</v>
      </c>
      <c r="E223" s="22" t="s">
        <v>11295</v>
      </c>
      <c r="F223" s="22" t="s">
        <v>11356</v>
      </c>
      <c r="G223" s="22" t="s">
        <v>861</v>
      </c>
      <c r="H223" s="22" t="str">
        <f aca="false">IFERROR(VLOOKUP(G223,'Master Taxonomy'!$A$2:$B$1656,2,FALSE()),"")</f>
        <v>Alien and Otherworlder Peoples</v>
      </c>
      <c r="I223" s="22" t="s">
        <v>215</v>
      </c>
      <c r="J223" s="22" t="s">
        <v>216</v>
      </c>
      <c r="K223" s="22" t="s">
        <v>11357</v>
      </c>
      <c r="L223" s="22" t="s">
        <v>11358</v>
      </c>
      <c r="M223" s="22" t="s">
        <v>11359</v>
      </c>
      <c r="N223" s="22" t="s">
        <v>11360</v>
      </c>
      <c r="O223" s="22" t="s">
        <v>9960</v>
      </c>
      <c r="P223" s="22" t="s">
        <v>9961</v>
      </c>
      <c r="Q223" s="22" t="s">
        <v>11301</v>
      </c>
      <c r="R223" s="32" t="s">
        <v>9046</v>
      </c>
      <c r="S223" s="22" t="s">
        <v>9963</v>
      </c>
    </row>
    <row r="224" customFormat="false" ht="51.75" hidden="false" customHeight="true" outlineLevel="0" collapsed="false">
      <c r="A224" s="22" t="s">
        <v>11361</v>
      </c>
      <c r="B224" s="22" t="s">
        <v>11362</v>
      </c>
      <c r="C224" s="22" t="s">
        <v>9039</v>
      </c>
      <c r="D224" s="22" t="s">
        <v>9040</v>
      </c>
      <c r="E224" s="22" t="s">
        <v>11295</v>
      </c>
      <c r="F224" s="22" t="s">
        <v>11363</v>
      </c>
      <c r="G224" s="22" t="s">
        <v>338</v>
      </c>
      <c r="H224" s="22" t="str">
        <f aca="false">IFERROR(VLOOKUP(G224,'Master Taxonomy'!$A$2:$B$1656,2,FALSE()),"")</f>
        <v>Ursine Beastfolk</v>
      </c>
      <c r="I224" s="22"/>
      <c r="J224" s="22"/>
      <c r="K224" s="22" t="s">
        <v>11364</v>
      </c>
      <c r="L224" s="22" t="s">
        <v>11365</v>
      </c>
      <c r="M224" s="22" t="s">
        <v>11366</v>
      </c>
      <c r="N224" s="22" t="s">
        <v>11367</v>
      </c>
      <c r="O224" s="22" t="s">
        <v>9960</v>
      </c>
      <c r="P224" s="22" t="s">
        <v>9961</v>
      </c>
      <c r="Q224" s="22" t="s">
        <v>11301</v>
      </c>
      <c r="R224" s="32" t="s">
        <v>9046</v>
      </c>
      <c r="S224" s="22" t="s">
        <v>9963</v>
      </c>
    </row>
    <row r="225" customFormat="false" ht="51.75" hidden="false" customHeight="true" outlineLevel="0" collapsed="false">
      <c r="A225" s="22" t="s">
        <v>11368</v>
      </c>
      <c r="B225" s="22" t="s">
        <v>11369</v>
      </c>
      <c r="C225" s="22" t="s">
        <v>9039</v>
      </c>
      <c r="D225" s="22" t="s">
        <v>9040</v>
      </c>
      <c r="E225" s="22" t="s">
        <v>11295</v>
      </c>
      <c r="F225" s="22" t="s">
        <v>10614</v>
      </c>
      <c r="G225" s="22" t="s">
        <v>276</v>
      </c>
      <c r="H225" s="22" t="str">
        <f aca="false">IFERROR(VLOOKUP(G225,'Master Taxonomy'!$A$2:$B$1656,2,FALSE()),"")</f>
        <v>Goblinoid Peoples</v>
      </c>
      <c r="I225" s="22" t="s">
        <v>4431</v>
      </c>
      <c r="J225" s="22" t="s">
        <v>4432</v>
      </c>
      <c r="K225" s="22" t="s">
        <v>11370</v>
      </c>
      <c r="L225" s="22" t="s">
        <v>11371</v>
      </c>
      <c r="M225" s="22" t="s">
        <v>11372</v>
      </c>
      <c r="N225" s="22" t="s">
        <v>11373</v>
      </c>
      <c r="O225" s="22" t="s">
        <v>9960</v>
      </c>
      <c r="P225" s="22" t="s">
        <v>9961</v>
      </c>
      <c r="Q225" s="22" t="s">
        <v>11301</v>
      </c>
      <c r="R225" s="32" t="s">
        <v>9046</v>
      </c>
      <c r="S225" s="22" t="s">
        <v>9963</v>
      </c>
    </row>
    <row r="226" customFormat="false" ht="51.75" hidden="false" customHeight="true" outlineLevel="0" collapsed="false">
      <c r="A226" s="22" t="s">
        <v>11374</v>
      </c>
      <c r="B226" s="22" t="s">
        <v>11375</v>
      </c>
      <c r="C226" s="22" t="s">
        <v>9039</v>
      </c>
      <c r="D226" s="22" t="s">
        <v>9040</v>
      </c>
      <c r="E226" s="22" t="s">
        <v>11295</v>
      </c>
      <c r="F226" s="22" t="s">
        <v>11376</v>
      </c>
      <c r="G226" s="22" t="s">
        <v>815</v>
      </c>
      <c r="H226" s="22" t="str">
        <f aca="false">IFERROR(VLOOKUP(G226,'Master Taxonomy'!$A$2:$B$1656,2,FALSE()),"")</f>
        <v>Therianthropes</v>
      </c>
      <c r="I226" s="22" t="s">
        <v>2838</v>
      </c>
      <c r="J226" s="22" t="s">
        <v>2839</v>
      </c>
      <c r="K226" s="22" t="s">
        <v>11377</v>
      </c>
      <c r="L226" s="22" t="s">
        <v>11378</v>
      </c>
      <c r="M226" s="22" t="s">
        <v>11379</v>
      </c>
      <c r="N226" s="22" t="s">
        <v>11380</v>
      </c>
      <c r="O226" s="22" t="s">
        <v>9960</v>
      </c>
      <c r="P226" s="22" t="s">
        <v>9961</v>
      </c>
      <c r="Q226" s="22" t="s">
        <v>11301</v>
      </c>
      <c r="R226" s="32" t="s">
        <v>9046</v>
      </c>
      <c r="S226" s="22" t="s">
        <v>9963</v>
      </c>
    </row>
    <row r="227" customFormat="false" ht="51.75" hidden="false" customHeight="true" outlineLevel="0" collapsed="false">
      <c r="A227" s="22" t="s">
        <v>11381</v>
      </c>
      <c r="B227" s="22" t="s">
        <v>11382</v>
      </c>
      <c r="C227" s="22" t="s">
        <v>9039</v>
      </c>
      <c r="D227" s="22" t="s">
        <v>9040</v>
      </c>
      <c r="E227" s="22" t="s">
        <v>11295</v>
      </c>
      <c r="F227" s="22" t="s">
        <v>11383</v>
      </c>
      <c r="G227" s="22" t="s">
        <v>306</v>
      </c>
      <c r="H227" s="22" t="str">
        <f aca="false">IFERROR(VLOOKUP(G227,'Master Taxonomy'!$A$2:$B$1656,2,FALSE()),"")</f>
        <v>Draconic Humanoid Peoples</v>
      </c>
      <c r="I227" s="22" t="s">
        <v>667</v>
      </c>
      <c r="J227" s="22" t="s">
        <v>668</v>
      </c>
      <c r="K227" s="22" t="s">
        <v>11384</v>
      </c>
      <c r="L227" s="22" t="s">
        <v>11385</v>
      </c>
      <c r="M227" s="22" t="s">
        <v>11386</v>
      </c>
      <c r="N227" s="22" t="s">
        <v>11387</v>
      </c>
      <c r="O227" s="22" t="s">
        <v>9960</v>
      </c>
      <c r="P227" s="22" t="s">
        <v>9961</v>
      </c>
      <c r="Q227" s="22" t="s">
        <v>11301</v>
      </c>
      <c r="R227" s="32" t="s">
        <v>9046</v>
      </c>
      <c r="S227" s="22" t="s">
        <v>9963</v>
      </c>
    </row>
    <row r="228" customFormat="false" ht="51.75" hidden="false" customHeight="true" outlineLevel="0" collapsed="false">
      <c r="A228" s="22" t="s">
        <v>11388</v>
      </c>
      <c r="B228" s="22" t="s">
        <v>10707</v>
      </c>
      <c r="C228" s="22" t="s">
        <v>9039</v>
      </c>
      <c r="D228" s="22" t="s">
        <v>9040</v>
      </c>
      <c r="E228" s="22" t="s">
        <v>11389</v>
      </c>
      <c r="F228" s="22" t="s">
        <v>10469</v>
      </c>
      <c r="G228" s="22" t="s">
        <v>934</v>
      </c>
      <c r="H228" s="22" t="str">
        <f aca="false">IFERROR(VLOOKUP(G228,'Master Taxonomy'!$A$2:$B$1656,2,FALSE()),"")</f>
        <v>Warrior or Fighter</v>
      </c>
      <c r="I228" s="22" t="s">
        <v>4639</v>
      </c>
      <c r="J228" s="22" t="s">
        <v>4640</v>
      </c>
      <c r="K228" s="22" t="s">
        <v>11390</v>
      </c>
      <c r="L228" s="22" t="s">
        <v>11391</v>
      </c>
      <c r="M228" s="22" t="s">
        <v>11392</v>
      </c>
      <c r="N228" s="22" t="s">
        <v>11393</v>
      </c>
      <c r="O228" s="22" t="s">
        <v>9960</v>
      </c>
      <c r="P228" s="22" t="s">
        <v>9961</v>
      </c>
      <c r="Q228" s="22" t="s">
        <v>11301</v>
      </c>
      <c r="R228" s="32" t="s">
        <v>9046</v>
      </c>
      <c r="S228" s="22" t="s">
        <v>9963</v>
      </c>
    </row>
    <row r="229" customFormat="false" ht="51.75" hidden="false" customHeight="true" outlineLevel="0" collapsed="false">
      <c r="A229" s="22" t="s">
        <v>11394</v>
      </c>
      <c r="B229" s="22" t="s">
        <v>1040</v>
      </c>
      <c r="C229" s="22" t="s">
        <v>9039</v>
      </c>
      <c r="D229" s="22" t="s">
        <v>9040</v>
      </c>
      <c r="E229" s="22" t="s">
        <v>11389</v>
      </c>
      <c r="F229" s="22" t="s">
        <v>10469</v>
      </c>
      <c r="G229" s="22" t="s">
        <v>1039</v>
      </c>
      <c r="H229" s="22" t="str">
        <f aca="false">IFERROR(VLOOKUP(G229,'Master Taxonomy'!$A$2:$B$1656,2,FALSE()),"")</f>
        <v>Hunter</v>
      </c>
      <c r="I229" s="22" t="s">
        <v>4770</v>
      </c>
      <c r="J229" s="22" t="s">
        <v>4771</v>
      </c>
      <c r="K229" s="22" t="s">
        <v>11395</v>
      </c>
      <c r="L229" s="22" t="s">
        <v>11396</v>
      </c>
      <c r="M229" s="22" t="s">
        <v>11397</v>
      </c>
      <c r="N229" s="22" t="s">
        <v>11398</v>
      </c>
      <c r="O229" s="22" t="s">
        <v>9960</v>
      </c>
      <c r="P229" s="22" t="s">
        <v>9961</v>
      </c>
      <c r="Q229" s="22" t="s">
        <v>11301</v>
      </c>
      <c r="R229" s="32" t="s">
        <v>9046</v>
      </c>
      <c r="S229" s="22" t="s">
        <v>9963</v>
      </c>
    </row>
    <row r="230" customFormat="false" ht="51.75" hidden="false" customHeight="true" outlineLevel="0" collapsed="false">
      <c r="A230" s="22" t="s">
        <v>11399</v>
      </c>
      <c r="B230" s="22" t="s">
        <v>1453</v>
      </c>
      <c r="C230" s="22" t="s">
        <v>9039</v>
      </c>
      <c r="D230" s="22" t="s">
        <v>9040</v>
      </c>
      <c r="E230" s="22" t="s">
        <v>11389</v>
      </c>
      <c r="F230" s="22" t="s">
        <v>10469</v>
      </c>
      <c r="G230" s="22" t="s">
        <v>1452</v>
      </c>
      <c r="H230" s="22" t="str">
        <f aca="false">IFERROR(VLOOKUP(G230,'Master Taxonomy'!$A$2:$B$1656,2,FALSE()),"")</f>
        <v>Priest</v>
      </c>
      <c r="I230" s="22" t="s">
        <v>4685</v>
      </c>
      <c r="J230" s="22" t="s">
        <v>1632</v>
      </c>
      <c r="K230" s="22" t="s">
        <v>11400</v>
      </c>
      <c r="L230" s="22" t="s">
        <v>11401</v>
      </c>
      <c r="M230" s="22" t="s">
        <v>11402</v>
      </c>
      <c r="N230" s="22" t="s">
        <v>11403</v>
      </c>
      <c r="O230" s="22" t="s">
        <v>9960</v>
      </c>
      <c r="P230" s="22" t="s">
        <v>9961</v>
      </c>
      <c r="Q230" s="22" t="s">
        <v>11301</v>
      </c>
      <c r="R230" s="32" t="s">
        <v>9046</v>
      </c>
      <c r="S230" s="22" t="s">
        <v>9963</v>
      </c>
    </row>
    <row r="231" customFormat="false" ht="51.75" hidden="false" customHeight="true" outlineLevel="0" collapsed="false">
      <c r="A231" s="22" t="s">
        <v>11404</v>
      </c>
      <c r="B231" s="22" t="s">
        <v>11405</v>
      </c>
      <c r="C231" s="22" t="s">
        <v>9039</v>
      </c>
      <c r="D231" s="22" t="s">
        <v>9040</v>
      </c>
      <c r="E231" s="22" t="s">
        <v>11389</v>
      </c>
      <c r="F231" s="22" t="s">
        <v>10469</v>
      </c>
      <c r="G231" s="22" t="s">
        <v>1233</v>
      </c>
      <c r="H231" s="22" t="str">
        <f aca="false">IFERROR(VLOOKUP(G231,'Master Taxonomy'!$A$2:$B$1656,2,FALSE()),"")</f>
        <v>Mage and Wizard</v>
      </c>
      <c r="I231" s="22" t="s">
        <v>1311</v>
      </c>
      <c r="J231" s="22" t="s">
        <v>1312</v>
      </c>
      <c r="K231" s="22" t="s">
        <v>11406</v>
      </c>
      <c r="L231" s="22" t="s">
        <v>11407</v>
      </c>
      <c r="M231" s="22" t="s">
        <v>11408</v>
      </c>
      <c r="N231" s="22" t="s">
        <v>11409</v>
      </c>
      <c r="O231" s="22" t="s">
        <v>9960</v>
      </c>
      <c r="P231" s="22" t="s">
        <v>9961</v>
      </c>
      <c r="Q231" s="22" t="s">
        <v>11301</v>
      </c>
      <c r="R231" s="32" t="s">
        <v>9046</v>
      </c>
      <c r="S231" s="22" t="s">
        <v>9963</v>
      </c>
    </row>
    <row r="232" customFormat="false" ht="51.75" hidden="false" customHeight="true" outlineLevel="0" collapsed="false">
      <c r="A232" s="22" t="s">
        <v>11410</v>
      </c>
      <c r="B232" s="22" t="s">
        <v>10497</v>
      </c>
      <c r="C232" s="22" t="s">
        <v>9039</v>
      </c>
      <c r="D232" s="22" t="s">
        <v>9040</v>
      </c>
      <c r="E232" s="22" t="s">
        <v>11389</v>
      </c>
      <c r="F232" s="22" t="s">
        <v>10469</v>
      </c>
      <c r="G232" s="22" t="s">
        <v>1027</v>
      </c>
      <c r="H232" s="22" t="str">
        <f aca="false">IFERROR(VLOOKUP(G232,'Master Taxonomy'!$A$2:$B$1656,2,FALSE()),"")</f>
        <v>Monk and Martial Artist</v>
      </c>
      <c r="I232" s="22" t="s">
        <v>4685</v>
      </c>
      <c r="J232" s="22" t="s">
        <v>1632</v>
      </c>
      <c r="K232" s="22" t="s">
        <v>11411</v>
      </c>
      <c r="L232" s="22" t="s">
        <v>11412</v>
      </c>
      <c r="M232" s="22" t="s">
        <v>11413</v>
      </c>
      <c r="N232" s="22" t="s">
        <v>11414</v>
      </c>
      <c r="O232" s="22" t="s">
        <v>9960</v>
      </c>
      <c r="P232" s="22" t="s">
        <v>9961</v>
      </c>
      <c r="Q232" s="22" t="s">
        <v>11301</v>
      </c>
      <c r="R232" s="32" t="s">
        <v>9046</v>
      </c>
      <c r="S232" s="22" t="s">
        <v>9963</v>
      </c>
    </row>
    <row r="233" customFormat="false" ht="51.75" hidden="false" customHeight="true" outlineLevel="0" collapsed="false">
      <c r="A233" s="22" t="s">
        <v>11415</v>
      </c>
      <c r="B233" s="22" t="s">
        <v>1556</v>
      </c>
      <c r="C233" s="22" t="s">
        <v>9039</v>
      </c>
      <c r="D233" s="22" t="s">
        <v>9040</v>
      </c>
      <c r="E233" s="22" t="s">
        <v>11389</v>
      </c>
      <c r="F233" s="22" t="s">
        <v>10469</v>
      </c>
      <c r="G233" s="22" t="s">
        <v>1555</v>
      </c>
      <c r="H233" s="22" t="str">
        <f aca="false">IFERROR(VLOOKUP(G233,'Master Taxonomy'!$A$2:$B$1656,2,FALSE()),"")</f>
        <v>Druid</v>
      </c>
      <c r="I233" s="22" t="s">
        <v>1599</v>
      </c>
      <c r="J233" s="22" t="s">
        <v>1600</v>
      </c>
      <c r="K233" s="22" t="s">
        <v>11416</v>
      </c>
      <c r="L233" s="22" t="s">
        <v>11417</v>
      </c>
      <c r="M233" s="22" t="s">
        <v>11418</v>
      </c>
      <c r="N233" s="22" t="s">
        <v>11419</v>
      </c>
      <c r="O233" s="22" t="s">
        <v>9960</v>
      </c>
      <c r="P233" s="22" t="s">
        <v>9961</v>
      </c>
      <c r="Q233" s="22" t="s">
        <v>11301</v>
      </c>
      <c r="R233" s="32" t="s">
        <v>9046</v>
      </c>
      <c r="S233" s="22" t="s">
        <v>9963</v>
      </c>
    </row>
    <row r="234" customFormat="false" ht="51.75" hidden="false" customHeight="true" outlineLevel="0" collapsed="false">
      <c r="A234" s="22" t="s">
        <v>11420</v>
      </c>
      <c r="B234" s="22" t="s">
        <v>1562</v>
      </c>
      <c r="C234" s="22" t="s">
        <v>9039</v>
      </c>
      <c r="D234" s="22" t="s">
        <v>9040</v>
      </c>
      <c r="E234" s="22" t="s">
        <v>11389</v>
      </c>
      <c r="F234" s="22" t="s">
        <v>10469</v>
      </c>
      <c r="G234" s="22" t="s">
        <v>1561</v>
      </c>
      <c r="H234" s="22" t="str">
        <f aca="false">IFERROR(VLOOKUP(G234,'Master Taxonomy'!$A$2:$B$1656,2,FALSE()),"")</f>
        <v>Shaman</v>
      </c>
      <c r="I234" s="22" t="s">
        <v>1595</v>
      </c>
      <c r="J234" s="22" t="s">
        <v>1596</v>
      </c>
      <c r="K234" s="22" t="s">
        <v>11421</v>
      </c>
      <c r="L234" s="22" t="s">
        <v>11422</v>
      </c>
      <c r="M234" s="22" t="s">
        <v>11423</v>
      </c>
      <c r="N234" s="22" t="s">
        <v>11424</v>
      </c>
      <c r="O234" s="22" t="s">
        <v>9960</v>
      </c>
      <c r="P234" s="22" t="s">
        <v>9961</v>
      </c>
      <c r="Q234" s="22" t="s">
        <v>11301</v>
      </c>
      <c r="R234" s="32" t="s">
        <v>9046</v>
      </c>
      <c r="S234" s="22" t="s">
        <v>9963</v>
      </c>
    </row>
    <row r="235" customFormat="false" ht="51.75" hidden="false" customHeight="true" outlineLevel="0" collapsed="false">
      <c r="A235" s="22" t="s">
        <v>11425</v>
      </c>
      <c r="B235" s="22" t="s">
        <v>1248</v>
      </c>
      <c r="C235" s="22" t="s">
        <v>9039</v>
      </c>
      <c r="D235" s="22" t="s">
        <v>9040</v>
      </c>
      <c r="E235" s="22" t="s">
        <v>11389</v>
      </c>
      <c r="F235" s="22" t="s">
        <v>10469</v>
      </c>
      <c r="G235" s="22" t="s">
        <v>1247</v>
      </c>
      <c r="H235" s="22" t="str">
        <f aca="false">IFERROR(VLOOKUP(G235,'Master Taxonomy'!$A$2:$B$1656,2,FALSE()),"")</f>
        <v>Warlock</v>
      </c>
      <c r="I235" s="22" t="s">
        <v>1432</v>
      </c>
      <c r="J235" s="22" t="s">
        <v>1433</v>
      </c>
      <c r="K235" s="22" t="s">
        <v>11426</v>
      </c>
      <c r="L235" s="22" t="s">
        <v>11427</v>
      </c>
      <c r="M235" s="22" t="s">
        <v>11428</v>
      </c>
      <c r="N235" s="22" t="s">
        <v>11429</v>
      </c>
      <c r="O235" s="22" t="s">
        <v>9960</v>
      </c>
      <c r="P235" s="22" t="s">
        <v>9961</v>
      </c>
      <c r="Q235" s="22" t="s">
        <v>11301</v>
      </c>
      <c r="R235" s="32" t="s">
        <v>9046</v>
      </c>
      <c r="S235" s="22" t="s">
        <v>9963</v>
      </c>
    </row>
    <row r="236" customFormat="false" ht="51.75" hidden="false" customHeight="true" outlineLevel="0" collapsed="false">
      <c r="A236" s="22" t="s">
        <v>11430</v>
      </c>
      <c r="B236" s="22" t="s">
        <v>10503</v>
      </c>
      <c r="C236" s="22" t="s">
        <v>9039</v>
      </c>
      <c r="D236" s="22" t="s">
        <v>9040</v>
      </c>
      <c r="E236" s="22" t="s">
        <v>11389</v>
      </c>
      <c r="F236" s="22" t="s">
        <v>10469</v>
      </c>
      <c r="G236" s="22" t="s">
        <v>1002</v>
      </c>
      <c r="H236" s="22" t="str">
        <f aca="false">IFERROR(VLOOKUP(G236,'Master Taxonomy'!$A$2:$B$1656,2,FALSE()),"")</f>
        <v>Paladin and Holy Knight</v>
      </c>
      <c r="I236" s="22" t="s">
        <v>11431</v>
      </c>
      <c r="J236" s="22" t="s">
        <v>11432</v>
      </c>
      <c r="K236" s="22" t="s">
        <v>11433</v>
      </c>
      <c r="L236" s="22" t="s">
        <v>11434</v>
      </c>
      <c r="M236" s="22" t="s">
        <v>11435</v>
      </c>
      <c r="N236" s="22" t="s">
        <v>11436</v>
      </c>
      <c r="O236" s="22" t="s">
        <v>9960</v>
      </c>
      <c r="P236" s="22" t="s">
        <v>9961</v>
      </c>
      <c r="Q236" s="22" t="s">
        <v>11301</v>
      </c>
      <c r="R236" s="32" t="s">
        <v>9046</v>
      </c>
      <c r="S236" s="22" t="s">
        <v>9963</v>
      </c>
    </row>
    <row r="237" customFormat="false" ht="51.75" hidden="false" customHeight="true" outlineLevel="0" collapsed="false">
      <c r="A237" s="22" t="s">
        <v>11437</v>
      </c>
      <c r="B237" s="22" t="s">
        <v>1157</v>
      </c>
      <c r="C237" s="22" t="s">
        <v>9039</v>
      </c>
      <c r="D237" s="22" t="s">
        <v>9040</v>
      </c>
      <c r="E237" s="22" t="s">
        <v>11389</v>
      </c>
      <c r="F237" s="22" t="s">
        <v>10469</v>
      </c>
      <c r="G237" s="22" t="s">
        <v>1156</v>
      </c>
      <c r="H237" s="22" t="str">
        <f aca="false">IFERROR(VLOOKUP(G237,'Master Taxonomy'!$A$2:$B$1656,2,FALSE()),"")</f>
        <v>Rogue</v>
      </c>
      <c r="I237" s="22" t="s">
        <v>4724</v>
      </c>
      <c r="J237" s="22" t="s">
        <v>1169</v>
      </c>
      <c r="K237" s="22" t="s">
        <v>11438</v>
      </c>
      <c r="L237" s="22" t="s">
        <v>11439</v>
      </c>
      <c r="M237" s="22" t="s">
        <v>11440</v>
      </c>
      <c r="N237" s="22" t="s">
        <v>11441</v>
      </c>
      <c r="O237" s="22" t="s">
        <v>9960</v>
      </c>
      <c r="P237" s="22" t="s">
        <v>9961</v>
      </c>
      <c r="Q237" s="22" t="s">
        <v>11301</v>
      </c>
      <c r="R237" s="32" t="s">
        <v>9046</v>
      </c>
      <c r="S237" s="22" t="s">
        <v>9963</v>
      </c>
    </row>
    <row r="238" customFormat="false" ht="51.75" hidden="false" customHeight="true" outlineLevel="0" collapsed="false">
      <c r="A238" s="22" t="s">
        <v>11442</v>
      </c>
      <c r="B238" s="22" t="s">
        <v>11443</v>
      </c>
      <c r="C238" s="22" t="s">
        <v>9039</v>
      </c>
      <c r="D238" s="22" t="s">
        <v>9040</v>
      </c>
      <c r="E238" s="22" t="s">
        <v>11389</v>
      </c>
      <c r="F238" s="22" t="s">
        <v>11444</v>
      </c>
      <c r="G238" s="22" t="s">
        <v>611</v>
      </c>
      <c r="H238" s="22" t="str">
        <f aca="false">IFERROR(VLOOKUP(G238,'Master Taxonomy'!$A$2:$B$1656,2,FALSE()),"")</f>
        <v>Death Knights</v>
      </c>
      <c r="I238" s="22" t="s">
        <v>11445</v>
      </c>
      <c r="J238" s="22" t="s">
        <v>11446</v>
      </c>
      <c r="K238" s="22" t="s">
        <v>11447</v>
      </c>
      <c r="L238" s="22" t="s">
        <v>11448</v>
      </c>
      <c r="M238" s="22" t="s">
        <v>11449</v>
      </c>
      <c r="N238" s="22" t="s">
        <v>11450</v>
      </c>
      <c r="O238" s="22" t="s">
        <v>9960</v>
      </c>
      <c r="P238" s="22" t="s">
        <v>9961</v>
      </c>
      <c r="Q238" s="22" t="s">
        <v>11301</v>
      </c>
      <c r="R238" s="32" t="s">
        <v>9046</v>
      </c>
      <c r="S238" s="22" t="s">
        <v>9963</v>
      </c>
    </row>
    <row r="239" customFormat="false" ht="51.75" hidden="false" customHeight="true" outlineLevel="0" collapsed="false">
      <c r="A239" s="22" t="s">
        <v>11451</v>
      </c>
      <c r="B239" s="22" t="s">
        <v>1120</v>
      </c>
      <c r="C239" s="22" t="s">
        <v>9039</v>
      </c>
      <c r="D239" s="22" t="s">
        <v>9040</v>
      </c>
      <c r="E239" s="22" t="s">
        <v>11389</v>
      </c>
      <c r="F239" s="22" t="s">
        <v>11452</v>
      </c>
      <c r="G239" s="22" t="s">
        <v>1119</v>
      </c>
      <c r="H239" s="22" t="str">
        <f aca="false">IFERROR(VLOOKUP(G239,'Master Taxonomy'!$A$2:$B$1656,2,FALSE()),"")</f>
        <v>Demon Hunter</v>
      </c>
      <c r="I239" s="22" t="s">
        <v>2867</v>
      </c>
      <c r="J239" s="22" t="s">
        <v>2868</v>
      </c>
      <c r="K239" s="22" t="s">
        <v>11453</v>
      </c>
      <c r="L239" s="22" t="s">
        <v>11454</v>
      </c>
      <c r="M239" s="22" t="s">
        <v>11455</v>
      </c>
      <c r="N239" s="22" t="s">
        <v>11456</v>
      </c>
      <c r="O239" s="22" t="s">
        <v>9960</v>
      </c>
      <c r="P239" s="22" t="s">
        <v>9961</v>
      </c>
      <c r="Q239" s="22" t="s">
        <v>11301</v>
      </c>
      <c r="R239" s="32" t="s">
        <v>9046</v>
      </c>
      <c r="S239" s="22" t="s">
        <v>9963</v>
      </c>
    </row>
    <row r="240" customFormat="false" ht="51.75" hidden="false" customHeight="true" outlineLevel="0" collapsed="false">
      <c r="A240" s="22" t="s">
        <v>11457</v>
      </c>
      <c r="B240" s="22" t="s">
        <v>11458</v>
      </c>
      <c r="C240" s="22" t="s">
        <v>9039</v>
      </c>
      <c r="D240" s="22" t="s">
        <v>9040</v>
      </c>
      <c r="E240" s="22" t="s">
        <v>11389</v>
      </c>
      <c r="F240" s="22" t="s">
        <v>11459</v>
      </c>
      <c r="G240" s="22" t="s">
        <v>1595</v>
      </c>
      <c r="H240" s="22" t="str">
        <f aca="false">IFERROR(VLOOKUP(G240,'Master Taxonomy'!$A$2:$B$1656,2,FALSE()),"")</f>
        <v>Elemental Channeler</v>
      </c>
      <c r="I240" s="22" t="s">
        <v>306</v>
      </c>
      <c r="J240" s="22" t="s">
        <v>307</v>
      </c>
      <c r="K240" s="22" t="s">
        <v>11460</v>
      </c>
      <c r="L240" s="22" t="s">
        <v>11461</v>
      </c>
      <c r="M240" s="22" t="s">
        <v>11462</v>
      </c>
      <c r="N240" s="22" t="s">
        <v>11463</v>
      </c>
      <c r="O240" s="22" t="s">
        <v>9960</v>
      </c>
      <c r="P240" s="22" t="s">
        <v>9961</v>
      </c>
      <c r="Q240" s="22" t="s">
        <v>11301</v>
      </c>
      <c r="R240" s="32" t="s">
        <v>9046</v>
      </c>
      <c r="S240" s="22" t="s">
        <v>9963</v>
      </c>
    </row>
    <row r="241" customFormat="false" ht="51.75" hidden="false" customHeight="true" outlineLevel="0" collapsed="false">
      <c r="A241" s="22" t="s">
        <v>11464</v>
      </c>
      <c r="B241" s="22" t="s">
        <v>11465</v>
      </c>
      <c r="C241" s="22" t="s">
        <v>8800</v>
      </c>
      <c r="D241" s="22" t="s">
        <v>8801</v>
      </c>
      <c r="E241" s="22" t="s">
        <v>11466</v>
      </c>
      <c r="F241" s="22" t="s">
        <v>11467</v>
      </c>
      <c r="G241" s="22" t="s">
        <v>247</v>
      </c>
      <c r="H241" s="22" t="str">
        <f aca="false">IFERROR(VLOOKUP(G241,'Master Taxonomy'!$A$2:$B$1656,2,FALSE()),"")</f>
        <v>Human and Near-Human Peoples</v>
      </c>
      <c r="I241" s="22" t="s">
        <v>4234</v>
      </c>
      <c r="J241" s="22" t="s">
        <v>4235</v>
      </c>
      <c r="K241" s="22" t="s">
        <v>11468</v>
      </c>
      <c r="L241" s="22" t="s">
        <v>11469</v>
      </c>
      <c r="M241" s="22" t="s">
        <v>11470</v>
      </c>
      <c r="N241" s="22" t="s">
        <v>11471</v>
      </c>
      <c r="O241" s="22" t="s">
        <v>9960</v>
      </c>
      <c r="P241" s="22" t="s">
        <v>9961</v>
      </c>
      <c r="Q241" s="22" t="s">
        <v>11472</v>
      </c>
      <c r="R241" s="32" t="s">
        <v>8808</v>
      </c>
      <c r="S241" s="22" t="s">
        <v>9963</v>
      </c>
    </row>
    <row r="242" customFormat="false" ht="51.75" hidden="false" customHeight="true" outlineLevel="0" collapsed="false">
      <c r="A242" s="22" t="s">
        <v>11473</v>
      </c>
      <c r="B242" s="22" t="s">
        <v>11474</v>
      </c>
      <c r="C242" s="22" t="s">
        <v>8800</v>
      </c>
      <c r="D242" s="22" t="s">
        <v>8801</v>
      </c>
      <c r="E242" s="22" t="s">
        <v>11466</v>
      </c>
      <c r="F242" s="22" t="s">
        <v>10293</v>
      </c>
      <c r="G242" s="22" t="s">
        <v>259</v>
      </c>
      <c r="H242" s="22" t="str">
        <f aca="false">IFERROR(VLOOKUP(G242,'Master Taxonomy'!$A$2:$B$1656,2,FALSE()),"")</f>
        <v>Dwarf-Derived Peoples</v>
      </c>
      <c r="I242" s="22" t="s">
        <v>4525</v>
      </c>
      <c r="J242" s="22" t="s">
        <v>4526</v>
      </c>
      <c r="K242" s="22" t="s">
        <v>11475</v>
      </c>
      <c r="L242" s="22" t="s">
        <v>11476</v>
      </c>
      <c r="M242" s="22" t="s">
        <v>11477</v>
      </c>
      <c r="N242" s="22" t="s">
        <v>11478</v>
      </c>
      <c r="O242" s="22" t="s">
        <v>9960</v>
      </c>
      <c r="P242" s="22" t="s">
        <v>9961</v>
      </c>
      <c r="Q242" s="22" t="s">
        <v>11472</v>
      </c>
      <c r="R242" s="32" t="s">
        <v>8808</v>
      </c>
      <c r="S242" s="22" t="s">
        <v>9963</v>
      </c>
    </row>
    <row r="243" customFormat="false" ht="51.75" hidden="false" customHeight="true" outlineLevel="0" collapsed="false">
      <c r="A243" s="22" t="s">
        <v>11479</v>
      </c>
      <c r="B243" s="22" t="s">
        <v>11480</v>
      </c>
      <c r="C243" s="22" t="s">
        <v>8800</v>
      </c>
      <c r="D243" s="22" t="s">
        <v>8801</v>
      </c>
      <c r="E243" s="22" t="s">
        <v>11466</v>
      </c>
      <c r="F243" s="22" t="s">
        <v>9966</v>
      </c>
      <c r="G243" s="22" t="s">
        <v>254</v>
      </c>
      <c r="H243" s="22" t="str">
        <f aca="false">IFERROR(VLOOKUP(G243,'Master Taxonomy'!$A$2:$B$1656,2,FALSE()),"")</f>
        <v>Elf-Derived Peoples</v>
      </c>
      <c r="I243" s="22" t="s">
        <v>4355</v>
      </c>
      <c r="J243" s="22" t="s">
        <v>4356</v>
      </c>
      <c r="K243" s="22" t="s">
        <v>11481</v>
      </c>
      <c r="L243" s="22" t="s">
        <v>11482</v>
      </c>
      <c r="M243" s="22" t="s">
        <v>11483</v>
      </c>
      <c r="N243" s="22" t="s">
        <v>11484</v>
      </c>
      <c r="O243" s="22" t="s">
        <v>9960</v>
      </c>
      <c r="P243" s="22" t="s">
        <v>9961</v>
      </c>
      <c r="Q243" s="22" t="s">
        <v>11472</v>
      </c>
      <c r="R243" s="32" t="s">
        <v>8808</v>
      </c>
      <c r="S243" s="22" t="s">
        <v>9963</v>
      </c>
    </row>
    <row r="244" customFormat="false" ht="51.75" hidden="false" customHeight="true" outlineLevel="0" collapsed="false">
      <c r="A244" s="22" t="s">
        <v>11485</v>
      </c>
      <c r="B244" s="22" t="s">
        <v>11486</v>
      </c>
      <c r="C244" s="22" t="s">
        <v>8800</v>
      </c>
      <c r="D244" s="22" t="s">
        <v>8801</v>
      </c>
      <c r="E244" s="22" t="s">
        <v>11466</v>
      </c>
      <c r="F244" s="22" t="s">
        <v>9966</v>
      </c>
      <c r="G244" s="22" t="s">
        <v>254</v>
      </c>
      <c r="H244" s="22" t="str">
        <f aca="false">IFERROR(VLOOKUP(G244,'Master Taxonomy'!$A$2:$B$1656,2,FALSE()),"")</f>
        <v>Elf-Derived Peoples</v>
      </c>
      <c r="I244" s="22" t="s">
        <v>4329</v>
      </c>
      <c r="J244" s="22" t="s">
        <v>4330</v>
      </c>
      <c r="K244" s="22" t="s">
        <v>11487</v>
      </c>
      <c r="L244" s="22" t="s">
        <v>11488</v>
      </c>
      <c r="M244" s="22" t="s">
        <v>11489</v>
      </c>
      <c r="N244" s="22" t="s">
        <v>11490</v>
      </c>
      <c r="O244" s="22" t="s">
        <v>9960</v>
      </c>
      <c r="P244" s="22" t="s">
        <v>9961</v>
      </c>
      <c r="Q244" s="22" t="s">
        <v>11472</v>
      </c>
      <c r="R244" s="32" t="s">
        <v>8808</v>
      </c>
      <c r="S244" s="22" t="s">
        <v>9963</v>
      </c>
    </row>
    <row r="245" customFormat="false" ht="51.75" hidden="false" customHeight="true" outlineLevel="0" collapsed="false">
      <c r="A245" s="22" t="s">
        <v>11491</v>
      </c>
      <c r="B245" s="22" t="s">
        <v>11492</v>
      </c>
      <c r="C245" s="22" t="s">
        <v>8800</v>
      </c>
      <c r="D245" s="22" t="s">
        <v>8801</v>
      </c>
      <c r="E245" s="22" t="s">
        <v>11466</v>
      </c>
      <c r="F245" s="22" t="s">
        <v>9966</v>
      </c>
      <c r="G245" s="22" t="s">
        <v>254</v>
      </c>
      <c r="H245" s="22" t="str">
        <f aca="false">IFERROR(VLOOKUP(G245,'Master Taxonomy'!$A$2:$B$1656,2,FALSE()),"")</f>
        <v>Elf-Derived Peoples</v>
      </c>
      <c r="I245" s="22" t="s">
        <v>4565</v>
      </c>
      <c r="J245" s="22" t="s">
        <v>4566</v>
      </c>
      <c r="K245" s="22" t="s">
        <v>11493</v>
      </c>
      <c r="L245" s="22" t="s">
        <v>11494</v>
      </c>
      <c r="M245" s="22" t="s">
        <v>11495</v>
      </c>
      <c r="N245" s="22" t="s">
        <v>11496</v>
      </c>
      <c r="O245" s="22" t="s">
        <v>9960</v>
      </c>
      <c r="P245" s="22" t="s">
        <v>9961</v>
      </c>
      <c r="Q245" s="22" t="s">
        <v>11472</v>
      </c>
      <c r="R245" s="32" t="s">
        <v>8808</v>
      </c>
      <c r="S245" s="22" t="s">
        <v>9963</v>
      </c>
    </row>
    <row r="246" customFormat="false" ht="51.75" hidden="false" customHeight="true" outlineLevel="0" collapsed="false">
      <c r="A246" s="22" t="s">
        <v>11497</v>
      </c>
      <c r="B246" s="22" t="s">
        <v>10054</v>
      </c>
      <c r="C246" s="22" t="s">
        <v>8800</v>
      </c>
      <c r="D246" s="22" t="s">
        <v>8801</v>
      </c>
      <c r="E246" s="22" t="s">
        <v>11466</v>
      </c>
      <c r="F246" s="22" t="s">
        <v>11498</v>
      </c>
      <c r="G246" s="22" t="s">
        <v>271</v>
      </c>
      <c r="H246" s="22" t="str">
        <f aca="false">IFERROR(VLOOKUP(G246,'Master Taxonomy'!$A$2:$B$1656,2,FALSE()),"")</f>
        <v>Orc-Derived Peoples</v>
      </c>
      <c r="I246" s="22" t="s">
        <v>4338</v>
      </c>
      <c r="J246" s="22" t="s">
        <v>4339</v>
      </c>
      <c r="K246" s="22" t="s">
        <v>11499</v>
      </c>
      <c r="L246" s="22" t="s">
        <v>11500</v>
      </c>
      <c r="M246" s="22" t="s">
        <v>11501</v>
      </c>
      <c r="N246" s="22" t="s">
        <v>11502</v>
      </c>
      <c r="O246" s="22" t="s">
        <v>9960</v>
      </c>
      <c r="P246" s="22" t="s">
        <v>9961</v>
      </c>
      <c r="Q246" s="22" t="s">
        <v>11472</v>
      </c>
      <c r="R246" s="32" t="s">
        <v>8808</v>
      </c>
      <c r="S246" s="22" t="s">
        <v>9963</v>
      </c>
    </row>
    <row r="247" customFormat="false" ht="51.75" hidden="false" customHeight="true" outlineLevel="0" collapsed="false">
      <c r="A247" s="22" t="s">
        <v>11503</v>
      </c>
      <c r="B247" s="22" t="s">
        <v>11369</v>
      </c>
      <c r="C247" s="22" t="s">
        <v>8800</v>
      </c>
      <c r="D247" s="22" t="s">
        <v>8801</v>
      </c>
      <c r="E247" s="22" t="s">
        <v>11466</v>
      </c>
      <c r="F247" s="22" t="s">
        <v>11498</v>
      </c>
      <c r="G247" s="22" t="s">
        <v>276</v>
      </c>
      <c r="H247" s="22" t="str">
        <f aca="false">IFERROR(VLOOKUP(G247,'Master Taxonomy'!$A$2:$B$1656,2,FALSE()),"")</f>
        <v>Goblinoid Peoples</v>
      </c>
      <c r="I247" s="22" t="s">
        <v>4342</v>
      </c>
      <c r="J247" s="22" t="s">
        <v>4343</v>
      </c>
      <c r="K247" s="22" t="s">
        <v>11504</v>
      </c>
      <c r="L247" s="22" t="s">
        <v>11505</v>
      </c>
      <c r="M247" s="22" t="s">
        <v>11506</v>
      </c>
      <c r="N247" s="22" t="s">
        <v>11507</v>
      </c>
      <c r="O247" s="22" t="s">
        <v>9960</v>
      </c>
      <c r="P247" s="22" t="s">
        <v>9961</v>
      </c>
      <c r="Q247" s="22" t="s">
        <v>11472</v>
      </c>
      <c r="R247" s="32" t="s">
        <v>8808</v>
      </c>
      <c r="S247" s="22" t="s">
        <v>9963</v>
      </c>
    </row>
    <row r="248" customFormat="false" ht="51.75" hidden="false" customHeight="true" outlineLevel="0" collapsed="false">
      <c r="A248" s="22" t="s">
        <v>11508</v>
      </c>
      <c r="B248" s="22" t="s">
        <v>11509</v>
      </c>
      <c r="C248" s="22" t="s">
        <v>8800</v>
      </c>
      <c r="D248" s="22" t="s">
        <v>8801</v>
      </c>
      <c r="E248" s="22" t="s">
        <v>11466</v>
      </c>
      <c r="F248" s="22" t="s">
        <v>11510</v>
      </c>
      <c r="G248" s="22" t="s">
        <v>354</v>
      </c>
      <c r="H248" s="22" t="str">
        <f aca="false">IFERROR(VLOOKUP(G248,'Master Taxonomy'!$A$2:$B$1656,2,FALSE()),"")</f>
        <v>Rodent and Lagomorph Peoples</v>
      </c>
      <c r="I248" s="22" t="s">
        <v>4379</v>
      </c>
      <c r="J248" s="22" t="s">
        <v>4380</v>
      </c>
      <c r="K248" s="22" t="s">
        <v>11511</v>
      </c>
      <c r="L248" s="22" t="s">
        <v>11512</v>
      </c>
      <c r="M248" s="22" t="s">
        <v>11513</v>
      </c>
      <c r="N248" s="22" t="s">
        <v>11514</v>
      </c>
      <c r="O248" s="22" t="s">
        <v>9960</v>
      </c>
      <c r="P248" s="22" t="s">
        <v>9961</v>
      </c>
      <c r="Q248" s="22" t="s">
        <v>11472</v>
      </c>
      <c r="R248" s="32" t="s">
        <v>8808</v>
      </c>
      <c r="S248" s="22" t="s">
        <v>9963</v>
      </c>
    </row>
    <row r="249" customFormat="false" ht="51.75" hidden="false" customHeight="true" outlineLevel="0" collapsed="false">
      <c r="A249" s="22" t="s">
        <v>11515</v>
      </c>
      <c r="B249" s="22" t="s">
        <v>11516</v>
      </c>
      <c r="C249" s="22" t="s">
        <v>8800</v>
      </c>
      <c r="D249" s="22" t="s">
        <v>8801</v>
      </c>
      <c r="E249" s="22" t="s">
        <v>11466</v>
      </c>
      <c r="F249" s="22" t="s">
        <v>11517</v>
      </c>
      <c r="G249" s="22" t="s">
        <v>297</v>
      </c>
      <c r="H249" s="22" t="str">
        <f aca="false">IFERROR(VLOOKUP(G249,'Master Taxonomy'!$A$2:$B$1656,2,FALSE()),"")</f>
        <v>Lizardfolk and Reptilian Peoples</v>
      </c>
      <c r="I249" s="22" t="s">
        <v>667</v>
      </c>
      <c r="J249" s="22" t="s">
        <v>668</v>
      </c>
      <c r="K249" s="22" t="s">
        <v>11518</v>
      </c>
      <c r="L249" s="22" t="s">
        <v>11519</v>
      </c>
      <c r="M249" s="22" t="s">
        <v>11520</v>
      </c>
      <c r="N249" s="22" t="s">
        <v>11521</v>
      </c>
      <c r="O249" s="22" t="s">
        <v>9960</v>
      </c>
      <c r="P249" s="22" t="s">
        <v>9961</v>
      </c>
      <c r="Q249" s="22" t="s">
        <v>11472</v>
      </c>
      <c r="R249" s="32" t="s">
        <v>8808</v>
      </c>
      <c r="S249" s="22" t="s">
        <v>9963</v>
      </c>
    </row>
    <row r="250" customFormat="false" ht="51.75" hidden="false" customHeight="true" outlineLevel="0" collapsed="false">
      <c r="A250" s="22" t="s">
        <v>11522</v>
      </c>
      <c r="B250" s="22" t="s">
        <v>11523</v>
      </c>
      <c r="C250" s="22" t="s">
        <v>8800</v>
      </c>
      <c r="D250" s="22" t="s">
        <v>8801</v>
      </c>
      <c r="E250" s="22" t="s">
        <v>11466</v>
      </c>
      <c r="F250" s="22" t="s">
        <v>11524</v>
      </c>
      <c r="G250" s="22" t="s">
        <v>823</v>
      </c>
      <c r="H250" s="22" t="str">
        <f aca="false">IFERROR(VLOOKUP(G250,'Master Taxonomy'!$A$2:$B$1656,2,FALSE()),"")</f>
        <v>Hybrid and Chimera Peoples</v>
      </c>
      <c r="I250" s="22" t="s">
        <v>2700</v>
      </c>
      <c r="J250" s="22" t="s">
        <v>2701</v>
      </c>
      <c r="K250" s="22" t="s">
        <v>11525</v>
      </c>
      <c r="L250" s="22" t="s">
        <v>11526</v>
      </c>
      <c r="M250" s="22" t="s">
        <v>11527</v>
      </c>
      <c r="N250" s="22" t="s">
        <v>11528</v>
      </c>
      <c r="O250" s="22" t="s">
        <v>9960</v>
      </c>
      <c r="P250" s="22" t="s">
        <v>9961</v>
      </c>
      <c r="Q250" s="22" t="s">
        <v>11472</v>
      </c>
      <c r="R250" s="32" t="s">
        <v>8808</v>
      </c>
      <c r="S250" s="22" t="s">
        <v>9963</v>
      </c>
    </row>
    <row r="251" customFormat="false" ht="51.75" hidden="false" customHeight="true" outlineLevel="0" collapsed="false">
      <c r="A251" s="22" t="s">
        <v>11529</v>
      </c>
      <c r="B251" s="22" t="s">
        <v>11530</v>
      </c>
      <c r="C251" s="22" t="s">
        <v>8800</v>
      </c>
      <c r="D251" s="22" t="s">
        <v>8801</v>
      </c>
      <c r="E251" s="22" t="s">
        <v>11466</v>
      </c>
      <c r="F251" s="22" t="s">
        <v>11531</v>
      </c>
      <c r="G251" s="22" t="s">
        <v>522</v>
      </c>
      <c r="H251" s="22" t="str">
        <f aca="false">IFERROR(VLOOKUP(G251,'Master Taxonomy'!$A$2:$B$1656,2,FALSE()),"")</f>
        <v>Demons</v>
      </c>
      <c r="I251" s="22" t="s">
        <v>2700</v>
      </c>
      <c r="J251" s="22" t="s">
        <v>2701</v>
      </c>
      <c r="K251" s="22" t="s">
        <v>11532</v>
      </c>
      <c r="L251" s="22" t="s">
        <v>11533</v>
      </c>
      <c r="M251" s="22" t="s">
        <v>11534</v>
      </c>
      <c r="N251" s="22" t="s">
        <v>11535</v>
      </c>
      <c r="O251" s="22" t="s">
        <v>9960</v>
      </c>
      <c r="P251" s="22" t="s">
        <v>9961</v>
      </c>
      <c r="Q251" s="22" t="s">
        <v>11472</v>
      </c>
      <c r="R251" s="32" t="s">
        <v>8808</v>
      </c>
      <c r="S251" s="22" t="s">
        <v>9963</v>
      </c>
    </row>
    <row r="252" customFormat="false" ht="51.75" hidden="false" customHeight="true" outlineLevel="0" collapsed="false">
      <c r="A252" s="22" t="s">
        <v>11536</v>
      </c>
      <c r="B252" s="22" t="s">
        <v>11537</v>
      </c>
      <c r="C252" s="22" t="s">
        <v>8800</v>
      </c>
      <c r="D252" s="22" t="s">
        <v>8801</v>
      </c>
      <c r="E252" s="22" t="s">
        <v>11466</v>
      </c>
      <c r="F252" s="22" t="s">
        <v>11538</v>
      </c>
      <c r="G252" s="22" t="s">
        <v>1006</v>
      </c>
      <c r="H252" s="22" t="str">
        <f aca="false">IFERROR(VLOOKUP(G252,'Master Taxonomy'!$A$2:$B$1656,2,FALSE()),"")</f>
        <v>Dark Knight and Blackguard</v>
      </c>
      <c r="I252" s="22" t="s">
        <v>3144</v>
      </c>
      <c r="J252" s="22" t="s">
        <v>3145</v>
      </c>
      <c r="K252" s="22" t="s">
        <v>11539</v>
      </c>
      <c r="L252" s="22" t="s">
        <v>11540</v>
      </c>
      <c r="M252" s="22" t="s">
        <v>11541</v>
      </c>
      <c r="N252" s="22" t="s">
        <v>11542</v>
      </c>
      <c r="O252" s="22" t="s">
        <v>9960</v>
      </c>
      <c r="P252" s="22" t="s">
        <v>9961</v>
      </c>
      <c r="Q252" s="22" t="s">
        <v>11472</v>
      </c>
      <c r="R252" s="32" t="s">
        <v>8808</v>
      </c>
      <c r="S252" s="22" t="s">
        <v>9963</v>
      </c>
    </row>
    <row r="253" customFormat="false" ht="51.75" hidden="false" customHeight="true" outlineLevel="0" collapsed="false">
      <c r="A253" s="22" t="s">
        <v>11543</v>
      </c>
      <c r="B253" s="22" t="s">
        <v>11544</v>
      </c>
      <c r="C253" s="22" t="s">
        <v>8800</v>
      </c>
      <c r="D253" s="22" t="s">
        <v>8801</v>
      </c>
      <c r="E253" s="22" t="s">
        <v>11466</v>
      </c>
      <c r="F253" s="22" t="s">
        <v>11545</v>
      </c>
      <c r="G253" s="22" t="s">
        <v>594</v>
      </c>
      <c r="H253" s="22" t="str">
        <f aca="false">IFERROR(VLOOKUP(G253,'Master Taxonomy'!$A$2:$B$1656,2,FALSE()),"")</f>
        <v>Vampires</v>
      </c>
      <c r="I253" s="22" t="s">
        <v>4000</v>
      </c>
      <c r="J253" s="22" t="s">
        <v>4001</v>
      </c>
      <c r="K253" s="22" t="s">
        <v>11546</v>
      </c>
      <c r="L253" s="22" t="s">
        <v>11547</v>
      </c>
      <c r="M253" s="22" t="s">
        <v>11548</v>
      </c>
      <c r="N253" s="22" t="s">
        <v>11549</v>
      </c>
      <c r="O253" s="22" t="s">
        <v>9960</v>
      </c>
      <c r="P253" s="22" t="s">
        <v>9961</v>
      </c>
      <c r="Q253" s="22" t="s">
        <v>11472</v>
      </c>
      <c r="R253" s="32" t="s">
        <v>8808</v>
      </c>
      <c r="S253" s="22" t="s">
        <v>9963</v>
      </c>
    </row>
    <row r="254" customFormat="false" ht="51.75" hidden="false" customHeight="true" outlineLevel="0" collapsed="false">
      <c r="A254" s="22" t="s">
        <v>11550</v>
      </c>
      <c r="B254" s="22" t="s">
        <v>11551</v>
      </c>
      <c r="C254" s="22" t="s">
        <v>8800</v>
      </c>
      <c r="D254" s="22" t="s">
        <v>8801</v>
      </c>
      <c r="E254" s="22" t="s">
        <v>11466</v>
      </c>
      <c r="F254" s="22" t="s">
        <v>11552</v>
      </c>
      <c r="G254" s="22" t="s">
        <v>628</v>
      </c>
      <c r="H254" s="22" t="str">
        <f aca="false">IFERROR(VLOOKUP(G254,'Master Taxonomy'!$A$2:$B$1656,2,FALSE()),"")</f>
        <v>Intelligent Undead Peoples</v>
      </c>
      <c r="I254" s="22" t="s">
        <v>603</v>
      </c>
      <c r="J254" s="22" t="s">
        <v>604</v>
      </c>
      <c r="K254" s="22" t="s">
        <v>11553</v>
      </c>
      <c r="L254" s="22" t="s">
        <v>11554</v>
      </c>
      <c r="M254" s="22" t="s">
        <v>11555</v>
      </c>
      <c r="N254" s="22" t="s">
        <v>11556</v>
      </c>
      <c r="O254" s="22" t="s">
        <v>9960</v>
      </c>
      <c r="P254" s="22" t="s">
        <v>9961</v>
      </c>
      <c r="Q254" s="22" t="s">
        <v>11472</v>
      </c>
      <c r="R254" s="32" t="s">
        <v>8808</v>
      </c>
      <c r="S254" s="22" t="s">
        <v>9963</v>
      </c>
    </row>
    <row r="255" customFormat="false" ht="51.75" hidden="false" customHeight="true" outlineLevel="0" collapsed="false">
      <c r="A255" s="22" t="s">
        <v>11557</v>
      </c>
      <c r="B255" s="22" t="s">
        <v>11558</v>
      </c>
      <c r="C255" s="22" t="s">
        <v>8800</v>
      </c>
      <c r="D255" s="22" t="s">
        <v>8801</v>
      </c>
      <c r="E255" s="22" t="s">
        <v>11466</v>
      </c>
      <c r="F255" s="22" t="s">
        <v>11559</v>
      </c>
      <c r="G255" s="22" t="s">
        <v>284</v>
      </c>
      <c r="H255" s="22" t="str">
        <f aca="false">IFERROR(VLOOKUP(G255,'Master Taxonomy'!$A$2:$B$1656,2,FALSE()),"")</f>
        <v>Ogrekin Peoples</v>
      </c>
      <c r="I255" s="22" t="s">
        <v>4278</v>
      </c>
      <c r="J255" s="22" t="s">
        <v>3527</v>
      </c>
      <c r="K255" s="22" t="s">
        <v>11560</v>
      </c>
      <c r="L255" s="22" t="s">
        <v>11561</v>
      </c>
      <c r="M255" s="22" t="s">
        <v>11562</v>
      </c>
      <c r="N255" s="22" t="s">
        <v>11563</v>
      </c>
      <c r="O255" s="22" t="s">
        <v>9960</v>
      </c>
      <c r="P255" s="22" t="s">
        <v>9961</v>
      </c>
      <c r="Q255" s="22" t="s">
        <v>11472</v>
      </c>
      <c r="R255" s="32" t="s">
        <v>8808</v>
      </c>
      <c r="S255" s="22" t="s">
        <v>9963</v>
      </c>
    </row>
    <row r="256" customFormat="false" ht="51.75" hidden="false" customHeight="true" outlineLevel="0" collapsed="false">
      <c r="A256" s="22" t="s">
        <v>11564</v>
      </c>
      <c r="B256" s="22" t="s">
        <v>11565</v>
      </c>
      <c r="C256" s="22" t="s">
        <v>8800</v>
      </c>
      <c r="D256" s="22" t="s">
        <v>8801</v>
      </c>
      <c r="E256" s="22" t="s">
        <v>11466</v>
      </c>
      <c r="F256" s="22" t="s">
        <v>11566</v>
      </c>
      <c r="G256" s="22" t="s">
        <v>1123</v>
      </c>
      <c r="H256" s="22" t="str">
        <f aca="false">IFERROR(VLOOKUP(G256,'Master Taxonomy'!$A$2:$B$1656,2,FALSE()),"")</f>
        <v>Mage Hunter and Witch Hunter</v>
      </c>
      <c r="I256" s="22" t="s">
        <v>1940</v>
      </c>
      <c r="J256" s="22" t="s">
        <v>1941</v>
      </c>
      <c r="K256" s="22" t="s">
        <v>11567</v>
      </c>
      <c r="L256" s="22" t="s">
        <v>11568</v>
      </c>
      <c r="M256" s="22" t="s">
        <v>11569</v>
      </c>
      <c r="N256" s="22" t="s">
        <v>11570</v>
      </c>
      <c r="O256" s="22" t="s">
        <v>9960</v>
      </c>
      <c r="P256" s="22" t="s">
        <v>9961</v>
      </c>
      <c r="Q256" s="22" t="s">
        <v>11472</v>
      </c>
      <c r="R256" s="32" t="s">
        <v>8808</v>
      </c>
      <c r="S256" s="22" t="s">
        <v>9963</v>
      </c>
    </row>
    <row r="257" customFormat="false" ht="51.75" hidden="false" customHeight="true" outlineLevel="0" collapsed="false">
      <c r="A257" s="22" t="s">
        <v>11571</v>
      </c>
      <c r="B257" s="22" t="s">
        <v>11572</v>
      </c>
      <c r="C257" s="22" t="s">
        <v>8800</v>
      </c>
      <c r="D257" s="22" t="s">
        <v>8801</v>
      </c>
      <c r="E257" s="22" t="s">
        <v>11466</v>
      </c>
      <c r="F257" s="22" t="s">
        <v>11573</v>
      </c>
      <c r="G257" s="22" t="s">
        <v>976</v>
      </c>
      <c r="H257" s="22" t="str">
        <f aca="false">IFERROR(VLOOKUP(G257,'Master Taxonomy'!$A$2:$B$1656,2,FALSE()),"")</f>
        <v>Berserker</v>
      </c>
      <c r="I257" s="22" t="s">
        <v>1115</v>
      </c>
      <c r="J257" s="22" t="s">
        <v>1116</v>
      </c>
      <c r="K257" s="22" t="s">
        <v>11574</v>
      </c>
      <c r="L257" s="22" t="s">
        <v>11575</v>
      </c>
      <c r="M257" s="22" t="s">
        <v>11576</v>
      </c>
      <c r="N257" s="22" t="s">
        <v>11577</v>
      </c>
      <c r="O257" s="22" t="s">
        <v>9960</v>
      </c>
      <c r="P257" s="22" t="s">
        <v>9961</v>
      </c>
      <c r="Q257" s="22" t="s">
        <v>11472</v>
      </c>
      <c r="R257" s="32" t="s">
        <v>8808</v>
      </c>
      <c r="S257" s="22" t="s">
        <v>9963</v>
      </c>
    </row>
    <row r="258" customFormat="false" ht="51.75" hidden="false" customHeight="true" outlineLevel="0" collapsed="false">
      <c r="A258" s="22" t="s">
        <v>11578</v>
      </c>
      <c r="B258" s="22" t="s">
        <v>11579</v>
      </c>
      <c r="C258" s="22" t="s">
        <v>8800</v>
      </c>
      <c r="D258" s="22" t="s">
        <v>8801</v>
      </c>
      <c r="E258" s="22" t="s">
        <v>11466</v>
      </c>
      <c r="F258" s="22" t="s">
        <v>11580</v>
      </c>
      <c r="G258" s="22" t="s">
        <v>1002</v>
      </c>
      <c r="H258" s="22" t="str">
        <f aca="false">IFERROR(VLOOKUP(G258,'Master Taxonomy'!$A$2:$B$1656,2,FALSE()),"")</f>
        <v>Paladin and Holy Knight</v>
      </c>
      <c r="I258" s="22" t="s">
        <v>3335</v>
      </c>
      <c r="J258" s="22" t="s">
        <v>3336</v>
      </c>
      <c r="K258" s="22" t="s">
        <v>11581</v>
      </c>
      <c r="L258" s="22" t="s">
        <v>11582</v>
      </c>
      <c r="M258" s="22" t="s">
        <v>11583</v>
      </c>
      <c r="N258" s="22" t="s">
        <v>11584</v>
      </c>
      <c r="O258" s="22" t="s">
        <v>9960</v>
      </c>
      <c r="P258" s="22" t="s">
        <v>9961</v>
      </c>
      <c r="Q258" s="22" t="s">
        <v>11472</v>
      </c>
      <c r="R258" s="32" t="s">
        <v>8808</v>
      </c>
      <c r="S258" s="22" t="s">
        <v>9963</v>
      </c>
    </row>
    <row r="259" customFormat="false" ht="51.75" hidden="false" customHeight="true" outlineLevel="0" collapsed="false">
      <c r="A259" s="22" t="s">
        <v>11585</v>
      </c>
      <c r="B259" s="22" t="s">
        <v>11586</v>
      </c>
      <c r="C259" s="22" t="s">
        <v>8800</v>
      </c>
      <c r="D259" s="22" t="s">
        <v>8801</v>
      </c>
      <c r="E259" s="22" t="s">
        <v>11466</v>
      </c>
      <c r="F259" s="22" t="s">
        <v>11587</v>
      </c>
      <c r="G259" s="22" t="s">
        <v>1895</v>
      </c>
      <c r="H259" s="22" t="str">
        <f aca="false">IFERROR(VLOOKUP(G259,'Master Taxonomy'!$A$2:$B$1656,2,FALSE()),"")</f>
        <v>Battlemage</v>
      </c>
      <c r="I259" s="22" t="s">
        <v>3266</v>
      </c>
      <c r="J259" s="22" t="s">
        <v>3267</v>
      </c>
      <c r="K259" s="22" t="s">
        <v>11588</v>
      </c>
      <c r="L259" s="22" t="s">
        <v>11589</v>
      </c>
      <c r="M259" s="22" t="s">
        <v>11590</v>
      </c>
      <c r="N259" s="22" t="s">
        <v>11591</v>
      </c>
      <c r="O259" s="22" t="s">
        <v>9960</v>
      </c>
      <c r="P259" s="22" t="s">
        <v>9961</v>
      </c>
      <c r="Q259" s="22" t="s">
        <v>11472</v>
      </c>
      <c r="R259" s="32" t="s">
        <v>8808</v>
      </c>
      <c r="S259" s="22" t="s">
        <v>9963</v>
      </c>
    </row>
    <row r="260" customFormat="false" ht="51.75" hidden="false" customHeight="true" outlineLevel="0" collapsed="false">
      <c r="A260" s="22" t="s">
        <v>11592</v>
      </c>
      <c r="B260" s="22" t="s">
        <v>11593</v>
      </c>
      <c r="C260" s="22" t="s">
        <v>8800</v>
      </c>
      <c r="D260" s="22" t="s">
        <v>8801</v>
      </c>
      <c r="E260" s="22" t="s">
        <v>11466</v>
      </c>
      <c r="F260" s="22" t="s">
        <v>11594</v>
      </c>
      <c r="G260" s="22" t="s">
        <v>1002</v>
      </c>
      <c r="H260" s="22" t="str">
        <f aca="false">IFERROR(VLOOKUP(G260,'Master Taxonomy'!$A$2:$B$1656,2,FALSE()),"")</f>
        <v>Paladin and Holy Knight</v>
      </c>
      <c r="I260" s="22" t="s">
        <v>1452</v>
      </c>
      <c r="J260" s="22" t="s">
        <v>1453</v>
      </c>
      <c r="K260" s="22" t="s">
        <v>11595</v>
      </c>
      <c r="L260" s="22" t="s">
        <v>11596</v>
      </c>
      <c r="M260" s="22" t="s">
        <v>11597</v>
      </c>
      <c r="N260" s="22" t="s">
        <v>11598</v>
      </c>
      <c r="O260" s="22" t="s">
        <v>9960</v>
      </c>
      <c r="P260" s="22" t="s">
        <v>9961</v>
      </c>
      <c r="Q260" s="22" t="s">
        <v>11472</v>
      </c>
      <c r="R260" s="32" t="s">
        <v>8808</v>
      </c>
      <c r="S260" s="22" t="s">
        <v>9963</v>
      </c>
    </row>
    <row r="261" customFormat="false" ht="51.75" hidden="false" customHeight="true" outlineLevel="0" collapsed="false">
      <c r="A261" s="22" t="s">
        <v>11599</v>
      </c>
      <c r="B261" s="22" t="s">
        <v>1292</v>
      </c>
      <c r="C261" s="22" t="s">
        <v>8800</v>
      </c>
      <c r="D261" s="22" t="s">
        <v>8801</v>
      </c>
      <c r="E261" s="22" t="s">
        <v>11466</v>
      </c>
      <c r="F261" s="22" t="s">
        <v>11600</v>
      </c>
      <c r="G261" s="22" t="s">
        <v>1291</v>
      </c>
      <c r="H261" s="22" t="str">
        <f aca="false">IFERROR(VLOOKUP(G261,'Master Taxonomy'!$A$2:$B$1656,2,FALSE()),"")</f>
        <v>Necromancer</v>
      </c>
      <c r="I261" s="22" t="s">
        <v>3455</v>
      </c>
      <c r="J261" s="22" t="s">
        <v>3456</v>
      </c>
      <c r="K261" s="22" t="s">
        <v>11601</v>
      </c>
      <c r="L261" s="22" t="s">
        <v>11602</v>
      </c>
      <c r="M261" s="22" t="s">
        <v>11603</v>
      </c>
      <c r="N261" s="22" t="s">
        <v>11604</v>
      </c>
      <c r="O261" s="22" t="s">
        <v>9960</v>
      </c>
      <c r="P261" s="22" t="s">
        <v>9961</v>
      </c>
      <c r="Q261" s="22" t="s">
        <v>11472</v>
      </c>
      <c r="R261" s="32" t="s">
        <v>8808</v>
      </c>
      <c r="S261" s="22" t="s">
        <v>9963</v>
      </c>
    </row>
    <row r="262" customFormat="false" ht="51.75" hidden="false" customHeight="true" outlineLevel="0" collapsed="false">
      <c r="A262" s="22" t="s">
        <v>11605</v>
      </c>
      <c r="B262" s="22" t="s">
        <v>10291</v>
      </c>
      <c r="C262" s="22" t="s">
        <v>9414</v>
      </c>
      <c r="D262" s="22" t="s">
        <v>9415</v>
      </c>
      <c r="E262" s="22" t="s">
        <v>11606</v>
      </c>
      <c r="F262" s="22" t="s">
        <v>10293</v>
      </c>
      <c r="G262" s="22" t="s">
        <v>247</v>
      </c>
      <c r="H262" s="22" t="str">
        <f aca="false">IFERROR(VLOOKUP(G262,'Master Taxonomy'!$A$2:$B$1656,2,FALSE()),"")</f>
        <v>Human and Near-Human Peoples</v>
      </c>
      <c r="I262" s="22"/>
      <c r="J262" s="22"/>
      <c r="K262" s="22" t="s">
        <v>11607</v>
      </c>
      <c r="L262" s="22" t="s">
        <v>11608</v>
      </c>
      <c r="M262" s="22" t="s">
        <v>11609</v>
      </c>
      <c r="N262" s="22" t="s">
        <v>11610</v>
      </c>
      <c r="O262" s="22" t="s">
        <v>9960</v>
      </c>
      <c r="P262" s="22" t="s">
        <v>10889</v>
      </c>
      <c r="Q262" s="22" t="s">
        <v>11611</v>
      </c>
      <c r="R262" s="32" t="s">
        <v>9419</v>
      </c>
      <c r="S262" s="22" t="s">
        <v>9963</v>
      </c>
    </row>
    <row r="263" customFormat="false" ht="51.75" hidden="false" customHeight="true" outlineLevel="0" collapsed="false">
      <c r="A263" s="22" t="s">
        <v>11612</v>
      </c>
      <c r="B263" s="22" t="s">
        <v>11613</v>
      </c>
      <c r="C263" s="22" t="s">
        <v>9414</v>
      </c>
      <c r="D263" s="22" t="s">
        <v>9415</v>
      </c>
      <c r="E263" s="22" t="s">
        <v>11606</v>
      </c>
      <c r="F263" s="22" t="s">
        <v>10293</v>
      </c>
      <c r="G263" s="22" t="s">
        <v>254</v>
      </c>
      <c r="H263" s="22" t="str">
        <f aca="false">IFERROR(VLOOKUP(G263,'Master Taxonomy'!$A$2:$B$1656,2,FALSE()),"")</f>
        <v>Elf-Derived Peoples</v>
      </c>
      <c r="I263" s="22"/>
      <c r="J263" s="22"/>
      <c r="K263" s="22" t="s">
        <v>11614</v>
      </c>
      <c r="L263" s="22" t="s">
        <v>11615</v>
      </c>
      <c r="M263" s="22" t="s">
        <v>11616</v>
      </c>
      <c r="N263" s="22" t="s">
        <v>11617</v>
      </c>
      <c r="O263" s="22" t="s">
        <v>9960</v>
      </c>
      <c r="P263" s="22" t="s">
        <v>10889</v>
      </c>
      <c r="Q263" s="22" t="s">
        <v>11611</v>
      </c>
      <c r="R263" s="32" t="s">
        <v>9419</v>
      </c>
      <c r="S263" s="22" t="s">
        <v>9963</v>
      </c>
    </row>
    <row r="264" customFormat="false" ht="51.75" hidden="false" customHeight="true" outlineLevel="0" collapsed="false">
      <c r="A264" s="22" t="s">
        <v>11618</v>
      </c>
      <c r="B264" s="22" t="s">
        <v>10313</v>
      </c>
      <c r="C264" s="22" t="s">
        <v>9414</v>
      </c>
      <c r="D264" s="22" t="s">
        <v>9415</v>
      </c>
      <c r="E264" s="22" t="s">
        <v>11606</v>
      </c>
      <c r="F264" s="22" t="s">
        <v>10293</v>
      </c>
      <c r="G264" s="22" t="s">
        <v>259</v>
      </c>
      <c r="H264" s="22" t="str">
        <f aca="false">IFERROR(VLOOKUP(G264,'Master Taxonomy'!$A$2:$B$1656,2,FALSE()),"")</f>
        <v>Dwarf-Derived Peoples</v>
      </c>
      <c r="I264" s="22"/>
      <c r="J264" s="22"/>
      <c r="K264" s="22" t="s">
        <v>11619</v>
      </c>
      <c r="L264" s="22" t="s">
        <v>11615</v>
      </c>
      <c r="M264" s="22" t="s">
        <v>11620</v>
      </c>
      <c r="N264" s="22" t="s">
        <v>11621</v>
      </c>
      <c r="O264" s="22" t="s">
        <v>9960</v>
      </c>
      <c r="P264" s="22" t="s">
        <v>10889</v>
      </c>
      <c r="Q264" s="22" t="s">
        <v>11611</v>
      </c>
      <c r="R264" s="32" t="s">
        <v>9419</v>
      </c>
      <c r="S264" s="22" t="s">
        <v>9963</v>
      </c>
    </row>
    <row r="265" customFormat="false" ht="51.75" hidden="false" customHeight="true" outlineLevel="0" collapsed="false">
      <c r="A265" s="22" t="s">
        <v>11622</v>
      </c>
      <c r="B265" s="22" t="s">
        <v>523</v>
      </c>
      <c r="C265" s="22" t="s">
        <v>9414</v>
      </c>
      <c r="D265" s="22" t="s">
        <v>9415</v>
      </c>
      <c r="E265" s="22" t="s">
        <v>11606</v>
      </c>
      <c r="F265" s="22" t="s">
        <v>11623</v>
      </c>
      <c r="G265" s="22" t="s">
        <v>522</v>
      </c>
      <c r="H265" s="22" t="str">
        <f aca="false">IFERROR(VLOOKUP(G265,'Master Taxonomy'!$A$2:$B$1656,2,FALSE()),"")</f>
        <v>Demons</v>
      </c>
      <c r="I265" s="22"/>
      <c r="J265" s="22"/>
      <c r="K265" s="22" t="s">
        <v>11624</v>
      </c>
      <c r="L265" s="22" t="s">
        <v>11625</v>
      </c>
      <c r="M265" s="22" t="s">
        <v>11626</v>
      </c>
      <c r="N265" s="22" t="s">
        <v>11627</v>
      </c>
      <c r="O265" s="22" t="s">
        <v>9960</v>
      </c>
      <c r="P265" s="22" t="s">
        <v>10889</v>
      </c>
      <c r="Q265" s="22" t="s">
        <v>11611</v>
      </c>
      <c r="R265" s="32" t="s">
        <v>9419</v>
      </c>
      <c r="S265" s="22" t="s">
        <v>9963</v>
      </c>
    </row>
    <row r="266" customFormat="false" ht="51.75" hidden="false" customHeight="true" outlineLevel="0" collapsed="false">
      <c r="A266" s="22" t="s">
        <v>11628</v>
      </c>
      <c r="B266" s="22" t="s">
        <v>11405</v>
      </c>
      <c r="C266" s="22" t="s">
        <v>9414</v>
      </c>
      <c r="D266" s="22" t="s">
        <v>9415</v>
      </c>
      <c r="E266" s="22" t="s">
        <v>11606</v>
      </c>
      <c r="F266" s="22" t="s">
        <v>11629</v>
      </c>
      <c r="G266" s="22" t="s">
        <v>1233</v>
      </c>
      <c r="H266" s="22" t="str">
        <f aca="false">IFERROR(VLOOKUP(G266,'Master Taxonomy'!$A$2:$B$1656,2,FALSE()),"")</f>
        <v>Mage and Wizard</v>
      </c>
      <c r="I266" s="22" t="s">
        <v>1255</v>
      </c>
      <c r="J266" s="22" t="s">
        <v>1256</v>
      </c>
      <c r="K266" s="22" t="s">
        <v>11630</v>
      </c>
      <c r="L266" s="22" t="s">
        <v>11631</v>
      </c>
      <c r="M266" s="22" t="s">
        <v>11632</v>
      </c>
      <c r="N266" s="22" t="s">
        <v>11633</v>
      </c>
      <c r="O266" s="22" t="s">
        <v>9960</v>
      </c>
      <c r="P266" s="22" t="s">
        <v>10889</v>
      </c>
      <c r="Q266" s="22" t="s">
        <v>11611</v>
      </c>
      <c r="R266" s="32" t="s">
        <v>9419</v>
      </c>
      <c r="S266" s="22" t="s">
        <v>9963</v>
      </c>
    </row>
    <row r="267" customFormat="false" ht="51.75" hidden="false" customHeight="true" outlineLevel="0" collapsed="false">
      <c r="A267" s="22" t="s">
        <v>11634</v>
      </c>
      <c r="B267" s="22" t="s">
        <v>11635</v>
      </c>
      <c r="C267" s="22" t="s">
        <v>9414</v>
      </c>
      <c r="D267" s="22" t="s">
        <v>9415</v>
      </c>
      <c r="E267" s="22" t="s">
        <v>11606</v>
      </c>
      <c r="F267" s="22" t="s">
        <v>11636</v>
      </c>
      <c r="G267" s="22" t="s">
        <v>4948</v>
      </c>
      <c r="H267" s="22" t="str">
        <f aca="false">IFERROR(VLOOKUP(G267,'Master Taxonomy'!$A$2:$B$1656,2,FALSE()),"")</f>
        <v>Rank and Promotion System</v>
      </c>
      <c r="I267" s="22" t="s">
        <v>3266</v>
      </c>
      <c r="J267" s="22" t="s">
        <v>3267</v>
      </c>
      <c r="K267" s="22" t="s">
        <v>11637</v>
      </c>
      <c r="L267" s="22" t="s">
        <v>11638</v>
      </c>
      <c r="M267" s="22" t="s">
        <v>11639</v>
      </c>
      <c r="N267" s="22" t="s">
        <v>11640</v>
      </c>
      <c r="O267" s="22" t="s">
        <v>9960</v>
      </c>
      <c r="P267" s="22" t="s">
        <v>10889</v>
      </c>
      <c r="Q267" s="22" t="s">
        <v>11611</v>
      </c>
      <c r="R267" s="32" t="s">
        <v>9419</v>
      </c>
      <c r="S267" s="22" t="s">
        <v>9963</v>
      </c>
    </row>
    <row r="268" customFormat="false" ht="51.75" hidden="false" customHeight="true" outlineLevel="0" collapsed="false">
      <c r="A268" s="22" t="s">
        <v>11641</v>
      </c>
      <c r="B268" s="22" t="s">
        <v>1453</v>
      </c>
      <c r="C268" s="22" t="s">
        <v>9414</v>
      </c>
      <c r="D268" s="22" t="s">
        <v>9415</v>
      </c>
      <c r="E268" s="22" t="s">
        <v>11606</v>
      </c>
      <c r="F268" s="22" t="s">
        <v>11642</v>
      </c>
      <c r="G268" s="22" t="s">
        <v>1452</v>
      </c>
      <c r="H268" s="22" t="str">
        <f aca="false">IFERROR(VLOOKUP(G268,'Master Taxonomy'!$A$2:$B$1656,2,FALSE()),"")</f>
        <v>Priest</v>
      </c>
      <c r="I268" s="22" t="s">
        <v>4685</v>
      </c>
      <c r="J268" s="22" t="s">
        <v>1632</v>
      </c>
      <c r="K268" s="22" t="s">
        <v>11643</v>
      </c>
      <c r="L268" s="22" t="s">
        <v>11644</v>
      </c>
      <c r="M268" s="22" t="s">
        <v>11645</v>
      </c>
      <c r="N268" s="22" t="s">
        <v>11646</v>
      </c>
      <c r="O268" s="22" t="s">
        <v>9960</v>
      </c>
      <c r="P268" s="22" t="s">
        <v>10889</v>
      </c>
      <c r="Q268" s="22" t="s">
        <v>11611</v>
      </c>
      <c r="R268" s="32" t="s">
        <v>9419</v>
      </c>
      <c r="S268" s="22" t="s">
        <v>9963</v>
      </c>
    </row>
    <row r="269" customFormat="false" ht="51.75" hidden="false" customHeight="true" outlineLevel="0" collapsed="false">
      <c r="A269" s="22" t="s">
        <v>11647</v>
      </c>
      <c r="B269" s="22" t="s">
        <v>10707</v>
      </c>
      <c r="C269" s="22" t="s">
        <v>9414</v>
      </c>
      <c r="D269" s="22" t="s">
        <v>9415</v>
      </c>
      <c r="E269" s="22" t="s">
        <v>11606</v>
      </c>
      <c r="F269" s="22" t="s">
        <v>11648</v>
      </c>
      <c r="G269" s="22" t="s">
        <v>934</v>
      </c>
      <c r="H269" s="22" t="str">
        <f aca="false">IFERROR(VLOOKUP(G269,'Master Taxonomy'!$A$2:$B$1656,2,FALSE()),"")</f>
        <v>Warrior or Fighter</v>
      </c>
      <c r="I269" s="22"/>
      <c r="J269" s="22"/>
      <c r="K269" s="22" t="s">
        <v>11649</v>
      </c>
      <c r="L269" s="22" t="s">
        <v>11650</v>
      </c>
      <c r="M269" s="22" t="s">
        <v>11651</v>
      </c>
      <c r="N269" s="22" t="s">
        <v>11652</v>
      </c>
      <c r="O269" s="22" t="s">
        <v>9960</v>
      </c>
      <c r="P269" s="22" t="s">
        <v>10889</v>
      </c>
      <c r="Q269" s="22" t="s">
        <v>11611</v>
      </c>
      <c r="R269" s="32" t="s">
        <v>9419</v>
      </c>
      <c r="S269" s="22" t="s">
        <v>9963</v>
      </c>
    </row>
    <row r="270" customFormat="false" ht="51.75" hidden="false" customHeight="true" outlineLevel="0" collapsed="false">
      <c r="A270" s="22" t="s">
        <v>11653</v>
      </c>
      <c r="B270" s="22" t="s">
        <v>11654</v>
      </c>
      <c r="C270" s="22" t="s">
        <v>9414</v>
      </c>
      <c r="D270" s="22" t="s">
        <v>9415</v>
      </c>
      <c r="E270" s="22" t="s">
        <v>11606</v>
      </c>
      <c r="F270" s="22" t="s">
        <v>11655</v>
      </c>
      <c r="G270" s="22" t="s">
        <v>3574</v>
      </c>
      <c r="H270" s="22" t="str">
        <f aca="false">IFERROR(VLOOKUP(G270,'Master Taxonomy'!$A$2:$B$1656,2,FALSE()),"")</f>
        <v>Adventuring Party</v>
      </c>
      <c r="I270" s="22" t="s">
        <v>2049</v>
      </c>
      <c r="J270" s="22" t="s">
        <v>2050</v>
      </c>
      <c r="K270" s="22" t="s">
        <v>11656</v>
      </c>
      <c r="L270" s="22" t="s">
        <v>11657</v>
      </c>
      <c r="M270" s="22" t="s">
        <v>11658</v>
      </c>
      <c r="N270" s="22" t="s">
        <v>11659</v>
      </c>
      <c r="O270" s="22" t="s">
        <v>9960</v>
      </c>
      <c r="P270" s="22" t="s">
        <v>10889</v>
      </c>
      <c r="Q270" s="22" t="s">
        <v>11611</v>
      </c>
      <c r="R270" s="32" t="s">
        <v>9419</v>
      </c>
      <c r="S270" s="22" t="s">
        <v>9963</v>
      </c>
    </row>
    <row r="271" customFormat="false" ht="51.75" hidden="false" customHeight="true" outlineLevel="0" collapsed="false">
      <c r="A271" s="22" t="s">
        <v>11660</v>
      </c>
      <c r="B271" s="22" t="s">
        <v>11661</v>
      </c>
      <c r="C271" s="22" t="s">
        <v>9420</v>
      </c>
      <c r="D271" s="22" t="s">
        <v>9421</v>
      </c>
      <c r="E271" s="22" t="s">
        <v>11606</v>
      </c>
      <c r="F271" s="22" t="s">
        <v>10293</v>
      </c>
      <c r="G271" s="22" t="s">
        <v>247</v>
      </c>
      <c r="H271" s="22" t="str">
        <f aca="false">IFERROR(VLOOKUP(G271,'Master Taxonomy'!$A$2:$B$1656,2,FALSE()),"")</f>
        <v>Human and Near-Human Peoples</v>
      </c>
      <c r="I271" s="22"/>
      <c r="J271" s="22"/>
      <c r="K271" s="22" t="s">
        <v>11662</v>
      </c>
      <c r="L271" s="22" t="s">
        <v>11062</v>
      </c>
      <c r="M271" s="22" t="s">
        <v>11663</v>
      </c>
      <c r="N271" s="22" t="s">
        <v>11664</v>
      </c>
      <c r="O271" s="22" t="s">
        <v>9960</v>
      </c>
      <c r="P271" s="22" t="s">
        <v>10889</v>
      </c>
      <c r="Q271" s="22" t="s">
        <v>11611</v>
      </c>
      <c r="R271" s="32" t="s">
        <v>9424</v>
      </c>
      <c r="S271" s="22" t="s">
        <v>9963</v>
      </c>
    </row>
    <row r="272" customFormat="false" ht="51.75" hidden="false" customHeight="true" outlineLevel="0" collapsed="false">
      <c r="A272" s="22" t="s">
        <v>11665</v>
      </c>
      <c r="B272" s="22" t="s">
        <v>11613</v>
      </c>
      <c r="C272" s="22" t="s">
        <v>9420</v>
      </c>
      <c r="D272" s="22" t="s">
        <v>9421</v>
      </c>
      <c r="E272" s="22" t="s">
        <v>11606</v>
      </c>
      <c r="F272" s="22" t="s">
        <v>10293</v>
      </c>
      <c r="G272" s="22" t="s">
        <v>254</v>
      </c>
      <c r="H272" s="22" t="str">
        <f aca="false">IFERROR(VLOOKUP(G272,'Master Taxonomy'!$A$2:$B$1656,2,FALSE()),"")</f>
        <v>Elf-Derived Peoples</v>
      </c>
      <c r="I272" s="22"/>
      <c r="J272" s="22"/>
      <c r="K272" s="22" t="s">
        <v>11666</v>
      </c>
      <c r="L272" s="22" t="s">
        <v>11667</v>
      </c>
      <c r="M272" s="22" t="s">
        <v>11668</v>
      </c>
      <c r="N272" s="22" t="s">
        <v>11669</v>
      </c>
      <c r="O272" s="22" t="s">
        <v>9960</v>
      </c>
      <c r="P272" s="22" t="s">
        <v>10889</v>
      </c>
      <c r="Q272" s="22" t="s">
        <v>11611</v>
      </c>
      <c r="R272" s="32" t="s">
        <v>9424</v>
      </c>
      <c r="S272" s="22" t="s">
        <v>9963</v>
      </c>
    </row>
    <row r="273" customFormat="false" ht="51.75" hidden="false" customHeight="true" outlineLevel="0" collapsed="false">
      <c r="A273" s="22" t="s">
        <v>11670</v>
      </c>
      <c r="B273" s="22" t="s">
        <v>10313</v>
      </c>
      <c r="C273" s="22" t="s">
        <v>9420</v>
      </c>
      <c r="D273" s="22" t="s">
        <v>9421</v>
      </c>
      <c r="E273" s="22" t="s">
        <v>11606</v>
      </c>
      <c r="F273" s="22" t="s">
        <v>10293</v>
      </c>
      <c r="G273" s="22" t="s">
        <v>259</v>
      </c>
      <c r="H273" s="22" t="str">
        <f aca="false">IFERROR(VLOOKUP(G273,'Master Taxonomy'!$A$2:$B$1656,2,FALSE()),"")</f>
        <v>Dwarf-Derived Peoples</v>
      </c>
      <c r="I273" s="22"/>
      <c r="J273" s="22"/>
      <c r="K273" s="22" t="s">
        <v>11671</v>
      </c>
      <c r="L273" s="22" t="s">
        <v>11062</v>
      </c>
      <c r="M273" s="22" t="s">
        <v>11672</v>
      </c>
      <c r="N273" s="22" t="s">
        <v>11673</v>
      </c>
      <c r="O273" s="22" t="s">
        <v>9960</v>
      </c>
      <c r="P273" s="22" t="s">
        <v>10889</v>
      </c>
      <c r="Q273" s="22" t="s">
        <v>11611</v>
      </c>
      <c r="R273" s="32" t="s">
        <v>9424</v>
      </c>
      <c r="S273" s="22" t="s">
        <v>9963</v>
      </c>
    </row>
    <row r="274" customFormat="false" ht="51.75" hidden="false" customHeight="true" outlineLevel="0" collapsed="false">
      <c r="A274" s="22" t="s">
        <v>11674</v>
      </c>
      <c r="B274" s="22" t="s">
        <v>11675</v>
      </c>
      <c r="C274" s="22" t="s">
        <v>9420</v>
      </c>
      <c r="D274" s="22" t="s">
        <v>9421</v>
      </c>
      <c r="E274" s="22" t="s">
        <v>11606</v>
      </c>
      <c r="F274" s="22" t="s">
        <v>10293</v>
      </c>
      <c r="G274" s="22" t="s">
        <v>263</v>
      </c>
      <c r="H274" s="22" t="str">
        <f aca="false">IFERROR(VLOOKUP(G274,'Master Taxonomy'!$A$2:$B$1656,2,FALSE()),"")</f>
        <v>Halfling and Smallfolk Peoples</v>
      </c>
      <c r="I274" s="22"/>
      <c r="J274" s="22"/>
      <c r="K274" s="22" t="s">
        <v>11676</v>
      </c>
      <c r="L274" s="22" t="s">
        <v>11677</v>
      </c>
      <c r="M274" s="22" t="s">
        <v>11678</v>
      </c>
      <c r="N274" s="22" t="s">
        <v>11679</v>
      </c>
      <c r="O274" s="22" t="s">
        <v>9960</v>
      </c>
      <c r="P274" s="22" t="s">
        <v>10889</v>
      </c>
      <c r="Q274" s="22" t="s">
        <v>11611</v>
      </c>
      <c r="R274" s="32" t="s">
        <v>9424</v>
      </c>
      <c r="S274" s="22" t="s">
        <v>9963</v>
      </c>
    </row>
    <row r="275" customFormat="false" ht="51.75" hidden="false" customHeight="true" outlineLevel="0" collapsed="false">
      <c r="A275" s="22" t="s">
        <v>11680</v>
      </c>
      <c r="B275" s="22" t="s">
        <v>10319</v>
      </c>
      <c r="C275" s="22" t="s">
        <v>9420</v>
      </c>
      <c r="D275" s="22" t="s">
        <v>9421</v>
      </c>
      <c r="E275" s="22" t="s">
        <v>11606</v>
      </c>
      <c r="F275" s="22" t="s">
        <v>10293</v>
      </c>
      <c r="G275" s="22" t="s">
        <v>267</v>
      </c>
      <c r="H275" s="22" t="str">
        <f aca="false">IFERROR(VLOOKUP(G275,'Master Taxonomy'!$A$2:$B$1656,2,FALSE()),"")</f>
        <v>Gnome and Tinkerfolk Peoples</v>
      </c>
      <c r="I275" s="22"/>
      <c r="J275" s="22"/>
      <c r="K275" s="22" t="s">
        <v>11681</v>
      </c>
      <c r="L275" s="22" t="s">
        <v>11682</v>
      </c>
      <c r="M275" s="22" t="s">
        <v>11683</v>
      </c>
      <c r="N275" s="22" t="s">
        <v>11684</v>
      </c>
      <c r="O275" s="22" t="s">
        <v>9960</v>
      </c>
      <c r="P275" s="22" t="s">
        <v>10889</v>
      </c>
      <c r="Q275" s="22" t="s">
        <v>11611</v>
      </c>
      <c r="R275" s="32" t="s">
        <v>9424</v>
      </c>
      <c r="S275" s="22" t="s">
        <v>9963</v>
      </c>
    </row>
    <row r="276" customFormat="false" ht="51.75" hidden="false" customHeight="true" outlineLevel="0" collapsed="false">
      <c r="A276" s="22" t="s">
        <v>11685</v>
      </c>
      <c r="B276" s="22" t="s">
        <v>10054</v>
      </c>
      <c r="C276" s="22" t="s">
        <v>9420</v>
      </c>
      <c r="D276" s="22" t="s">
        <v>9421</v>
      </c>
      <c r="E276" s="22" t="s">
        <v>11606</v>
      </c>
      <c r="F276" s="22" t="s">
        <v>10293</v>
      </c>
      <c r="G276" s="22" t="s">
        <v>271</v>
      </c>
      <c r="H276" s="22" t="str">
        <f aca="false">IFERROR(VLOOKUP(G276,'Master Taxonomy'!$A$2:$B$1656,2,FALSE()),"")</f>
        <v>Orc-Derived Peoples</v>
      </c>
      <c r="I276" s="22"/>
      <c r="J276" s="22"/>
      <c r="K276" s="22" t="s">
        <v>11686</v>
      </c>
      <c r="L276" s="22" t="s">
        <v>11687</v>
      </c>
      <c r="M276" s="22" t="s">
        <v>11688</v>
      </c>
      <c r="N276" s="22" t="s">
        <v>11689</v>
      </c>
      <c r="O276" s="22" t="s">
        <v>9960</v>
      </c>
      <c r="P276" s="22" t="s">
        <v>10889</v>
      </c>
      <c r="Q276" s="22" t="s">
        <v>11611</v>
      </c>
      <c r="R276" s="32" t="s">
        <v>9424</v>
      </c>
      <c r="S276" s="22" t="s">
        <v>9963</v>
      </c>
    </row>
    <row r="277" customFormat="false" ht="51.75" hidden="false" customHeight="true" outlineLevel="0" collapsed="false">
      <c r="A277" s="22" t="s">
        <v>11690</v>
      </c>
      <c r="B277" s="22" t="s">
        <v>11691</v>
      </c>
      <c r="C277" s="22" t="s">
        <v>9420</v>
      </c>
      <c r="D277" s="22" t="s">
        <v>9421</v>
      </c>
      <c r="E277" s="22" t="s">
        <v>11606</v>
      </c>
      <c r="F277" s="22" t="s">
        <v>11692</v>
      </c>
      <c r="G277" s="22" t="s">
        <v>330</v>
      </c>
      <c r="H277" s="22" t="str">
        <f aca="false">IFERROR(VLOOKUP(G277,'Master Taxonomy'!$A$2:$B$1656,2,FALSE()),"")</f>
        <v>Canine Beastfolk</v>
      </c>
      <c r="I277" s="22"/>
      <c r="J277" s="22"/>
      <c r="K277" s="22" t="s">
        <v>11693</v>
      </c>
      <c r="L277" s="22" t="s">
        <v>11062</v>
      </c>
      <c r="M277" s="22" t="s">
        <v>11694</v>
      </c>
      <c r="N277" s="22" t="s">
        <v>11695</v>
      </c>
      <c r="O277" s="22" t="s">
        <v>9960</v>
      </c>
      <c r="P277" s="22" t="s">
        <v>10889</v>
      </c>
      <c r="Q277" s="22" t="s">
        <v>11611</v>
      </c>
      <c r="R277" s="32" t="s">
        <v>9424</v>
      </c>
      <c r="S277" s="22" t="s">
        <v>9963</v>
      </c>
    </row>
    <row r="278" customFormat="false" ht="51.75" hidden="false" customHeight="true" outlineLevel="0" collapsed="false">
      <c r="A278" s="22" t="s">
        <v>11696</v>
      </c>
      <c r="B278" s="22" t="s">
        <v>11697</v>
      </c>
      <c r="C278" s="22" t="s">
        <v>9420</v>
      </c>
      <c r="D278" s="22" t="s">
        <v>9421</v>
      </c>
      <c r="E278" s="22" t="s">
        <v>11606</v>
      </c>
      <c r="F278" s="22" t="s">
        <v>10293</v>
      </c>
      <c r="G278" s="22" t="s">
        <v>284</v>
      </c>
      <c r="H278" s="22" t="str">
        <f aca="false">IFERROR(VLOOKUP(G278,'Master Taxonomy'!$A$2:$B$1656,2,FALSE()),"")</f>
        <v>Ogrekin Peoples</v>
      </c>
      <c r="I278" s="22"/>
      <c r="J278" s="22"/>
      <c r="K278" s="22" t="s">
        <v>11698</v>
      </c>
      <c r="L278" s="22" t="s">
        <v>11062</v>
      </c>
      <c r="M278" s="22" t="s">
        <v>11699</v>
      </c>
      <c r="N278" s="22" t="s">
        <v>11700</v>
      </c>
      <c r="O278" s="22" t="s">
        <v>9960</v>
      </c>
      <c r="P278" s="22" t="s">
        <v>10889</v>
      </c>
      <c r="Q278" s="22" t="s">
        <v>11611</v>
      </c>
      <c r="R278" s="32" t="s">
        <v>9424</v>
      </c>
      <c r="S278" s="22" t="s">
        <v>9963</v>
      </c>
    </row>
    <row r="279" customFormat="false" ht="51.75" hidden="false" customHeight="true" outlineLevel="0" collapsed="false">
      <c r="A279" s="22" t="s">
        <v>11701</v>
      </c>
      <c r="B279" s="22" t="s">
        <v>11702</v>
      </c>
      <c r="C279" s="22" t="s">
        <v>9420</v>
      </c>
      <c r="D279" s="22" t="s">
        <v>9421</v>
      </c>
      <c r="E279" s="22" t="s">
        <v>11606</v>
      </c>
      <c r="F279" s="22" t="s">
        <v>11703</v>
      </c>
      <c r="G279" s="22" t="s">
        <v>3574</v>
      </c>
      <c r="H279" s="22" t="str">
        <f aca="false">IFERROR(VLOOKUP(G279,'Master Taxonomy'!$A$2:$B$1656,2,FALSE()),"")</f>
        <v>Adventuring Party</v>
      </c>
      <c r="I279" s="22" t="s">
        <v>2045</v>
      </c>
      <c r="J279" s="22" t="s">
        <v>2046</v>
      </c>
      <c r="K279" s="22" t="s">
        <v>11704</v>
      </c>
      <c r="L279" s="22" t="s">
        <v>11705</v>
      </c>
      <c r="M279" s="22" t="s">
        <v>11706</v>
      </c>
      <c r="N279" s="22" t="s">
        <v>11707</v>
      </c>
      <c r="O279" s="22" t="s">
        <v>9960</v>
      </c>
      <c r="P279" s="22" t="s">
        <v>10889</v>
      </c>
      <c r="Q279" s="22" t="s">
        <v>11611</v>
      </c>
      <c r="R279" s="32" t="s">
        <v>9424</v>
      </c>
      <c r="S279" s="22" t="s">
        <v>9963</v>
      </c>
    </row>
    <row r="280" customFormat="false" ht="51.75" hidden="false" customHeight="true" outlineLevel="0" collapsed="false">
      <c r="A280" s="22" t="s">
        <v>11708</v>
      </c>
      <c r="B280" s="22" t="s">
        <v>11709</v>
      </c>
      <c r="C280" s="22" t="s">
        <v>9420</v>
      </c>
      <c r="D280" s="22" t="s">
        <v>9421</v>
      </c>
      <c r="E280" s="22" t="s">
        <v>11606</v>
      </c>
      <c r="F280" s="22" t="s">
        <v>11710</v>
      </c>
      <c r="G280" s="22" t="s">
        <v>4403</v>
      </c>
      <c r="H280" s="22" t="str">
        <f aca="false">IFERROR(VLOOKUP(G280,'Master Taxonomy'!$A$2:$B$1656,2,FALSE()),"")</f>
        <v>Dungeon Civilization</v>
      </c>
      <c r="I280" s="22" t="s">
        <v>4040</v>
      </c>
      <c r="J280" s="22" t="s">
        <v>4041</v>
      </c>
      <c r="K280" s="22" t="s">
        <v>11711</v>
      </c>
      <c r="L280" s="22" t="s">
        <v>11712</v>
      </c>
      <c r="M280" s="22" t="s">
        <v>11713</v>
      </c>
      <c r="N280" s="22" t="s">
        <v>11714</v>
      </c>
      <c r="O280" s="22" t="s">
        <v>9960</v>
      </c>
      <c r="P280" s="22" t="s">
        <v>10889</v>
      </c>
      <c r="Q280" s="22" t="s">
        <v>11611</v>
      </c>
      <c r="R280" s="32" t="s">
        <v>9424</v>
      </c>
      <c r="S280" s="22" t="s">
        <v>9963</v>
      </c>
    </row>
    <row r="281" customFormat="false" ht="51.75" hidden="false" customHeight="true" outlineLevel="0" collapsed="false">
      <c r="A281" s="22" t="s">
        <v>11715</v>
      </c>
      <c r="B281" s="22" t="s">
        <v>11716</v>
      </c>
      <c r="C281" s="22" t="s">
        <v>9407</v>
      </c>
      <c r="D281" s="22" t="s">
        <v>9408</v>
      </c>
      <c r="E281" s="22" t="s">
        <v>11717</v>
      </c>
      <c r="F281" s="22" t="s">
        <v>11718</v>
      </c>
      <c r="G281" s="22" t="s">
        <v>1083</v>
      </c>
      <c r="H281" s="22" t="str">
        <f aca="false">IFERROR(VLOOKUP(G281,'Master Taxonomy'!$A$2:$B$1656,2,FALSE()),"")</f>
        <v>Mercenary</v>
      </c>
      <c r="I281" s="22" t="s">
        <v>3343</v>
      </c>
      <c r="J281" s="22" t="s">
        <v>3344</v>
      </c>
      <c r="K281" s="22" t="s">
        <v>11719</v>
      </c>
      <c r="L281" s="22" t="s">
        <v>11720</v>
      </c>
      <c r="M281" s="22" t="s">
        <v>11721</v>
      </c>
      <c r="N281" s="22" t="s">
        <v>11722</v>
      </c>
      <c r="O281" s="22" t="s">
        <v>9960</v>
      </c>
      <c r="P281" s="22" t="s">
        <v>10889</v>
      </c>
      <c r="Q281" s="22" t="s">
        <v>11723</v>
      </c>
      <c r="R281" s="32" t="s">
        <v>9413</v>
      </c>
      <c r="S281" s="22" t="s">
        <v>9963</v>
      </c>
    </row>
    <row r="282" customFormat="false" ht="51.75" hidden="false" customHeight="true" outlineLevel="0" collapsed="false">
      <c r="A282" s="22" t="s">
        <v>11724</v>
      </c>
      <c r="B282" s="22" t="s">
        <v>11725</v>
      </c>
      <c r="C282" s="22" t="s">
        <v>9407</v>
      </c>
      <c r="D282" s="22" t="s">
        <v>9408</v>
      </c>
      <c r="E282" s="22" t="s">
        <v>11717</v>
      </c>
      <c r="F282" s="22" t="s">
        <v>11726</v>
      </c>
      <c r="G282" s="22" t="s">
        <v>2867</v>
      </c>
      <c r="H282" s="22" t="str">
        <f aca="false">IFERROR(VLOOKUP(G282,'Master Taxonomy'!$A$2:$B$1656,2,FALSE()),"")</f>
        <v>Demonic Transformation</v>
      </c>
      <c r="I282" s="22" t="s">
        <v>823</v>
      </c>
      <c r="J282" s="22" t="s">
        <v>824</v>
      </c>
      <c r="K282" s="22" t="s">
        <v>11727</v>
      </c>
      <c r="L282" s="22" t="s">
        <v>11728</v>
      </c>
      <c r="M282" s="22" t="s">
        <v>11729</v>
      </c>
      <c r="N282" s="22" t="s">
        <v>11730</v>
      </c>
      <c r="O282" s="22" t="s">
        <v>9960</v>
      </c>
      <c r="P282" s="22" t="s">
        <v>10889</v>
      </c>
      <c r="Q282" s="22" t="s">
        <v>11723</v>
      </c>
      <c r="R282" s="32" t="s">
        <v>9413</v>
      </c>
      <c r="S282" s="22" t="s">
        <v>9963</v>
      </c>
    </row>
    <row r="283" customFormat="false" ht="51.75" hidden="false" customHeight="true" outlineLevel="0" collapsed="false">
      <c r="A283" s="22" t="s">
        <v>11731</v>
      </c>
      <c r="B283" s="22" t="s">
        <v>11732</v>
      </c>
      <c r="C283" s="22" t="s">
        <v>9407</v>
      </c>
      <c r="D283" s="22" t="s">
        <v>9408</v>
      </c>
      <c r="E283" s="22" t="s">
        <v>11717</v>
      </c>
      <c r="F283" s="22" t="s">
        <v>11733</v>
      </c>
      <c r="G283" s="22" t="s">
        <v>555</v>
      </c>
      <c r="H283" s="22" t="str">
        <f aca="false">IFERROR(VLOOKUP(G283,'Master Taxonomy'!$A$2:$B$1656,2,FALSE()),"")</f>
        <v>Demon Lords and Archfiends</v>
      </c>
      <c r="I283" s="22" t="s">
        <v>861</v>
      </c>
      <c r="J283" s="22" t="s">
        <v>862</v>
      </c>
      <c r="K283" s="22" t="s">
        <v>11734</v>
      </c>
      <c r="L283" s="22" t="s">
        <v>11735</v>
      </c>
      <c r="M283" s="22" t="s">
        <v>11736</v>
      </c>
      <c r="N283" s="22" t="s">
        <v>11737</v>
      </c>
      <c r="O283" s="22" t="s">
        <v>9960</v>
      </c>
      <c r="P283" s="22" t="s">
        <v>10889</v>
      </c>
      <c r="Q283" s="22" t="s">
        <v>11723</v>
      </c>
      <c r="R283" s="32" t="s">
        <v>9413</v>
      </c>
      <c r="S283" s="22" t="s">
        <v>9963</v>
      </c>
    </row>
    <row r="284" customFormat="false" ht="51.75" hidden="false" customHeight="true" outlineLevel="0" collapsed="false">
      <c r="A284" s="22" t="s">
        <v>11738</v>
      </c>
      <c r="B284" s="22" t="s">
        <v>11739</v>
      </c>
      <c r="C284" s="22" t="s">
        <v>9407</v>
      </c>
      <c r="D284" s="22" t="s">
        <v>9408</v>
      </c>
      <c r="E284" s="22" t="s">
        <v>11717</v>
      </c>
      <c r="F284" s="22" t="s">
        <v>11740</v>
      </c>
      <c r="G284" s="22" t="s">
        <v>1242</v>
      </c>
      <c r="H284" s="22" t="str">
        <f aca="false">IFERROR(VLOOKUP(G284,'Master Taxonomy'!$A$2:$B$1656,2,FALSE()),"")</f>
        <v>Witch</v>
      </c>
      <c r="I284" s="22" t="s">
        <v>1570</v>
      </c>
      <c r="J284" s="22" t="s">
        <v>1571</v>
      </c>
      <c r="K284" s="22" t="s">
        <v>11741</v>
      </c>
      <c r="L284" s="22" t="s">
        <v>11742</v>
      </c>
      <c r="M284" s="22" t="s">
        <v>11743</v>
      </c>
      <c r="N284" s="22" t="s">
        <v>11744</v>
      </c>
      <c r="O284" s="22" t="s">
        <v>9960</v>
      </c>
      <c r="P284" s="22" t="s">
        <v>10889</v>
      </c>
      <c r="Q284" s="22" t="s">
        <v>11723</v>
      </c>
      <c r="R284" s="32" t="s">
        <v>9413</v>
      </c>
      <c r="S284" s="22" t="s">
        <v>9963</v>
      </c>
    </row>
    <row r="285" customFormat="false" ht="51.75" hidden="false" customHeight="true" outlineLevel="0" collapsed="false">
      <c r="A285" s="22" t="s">
        <v>11745</v>
      </c>
      <c r="B285" s="22" t="s">
        <v>11746</v>
      </c>
      <c r="C285" s="22" t="s">
        <v>9407</v>
      </c>
      <c r="D285" s="22" t="s">
        <v>9408</v>
      </c>
      <c r="E285" s="22" t="s">
        <v>11717</v>
      </c>
      <c r="F285" s="22" t="s">
        <v>11747</v>
      </c>
      <c r="G285" s="22" t="s">
        <v>3109</v>
      </c>
      <c r="H285" s="22" t="str">
        <f aca="false">IFERROR(VLOOKUP(G285,'Master Taxonomy'!$A$2:$B$1656,2,FALSE()),"")</f>
        <v>Armor or Suit Bond</v>
      </c>
      <c r="I285" s="22" t="s">
        <v>2931</v>
      </c>
      <c r="J285" s="22" t="s">
        <v>2932</v>
      </c>
      <c r="K285" s="22" t="s">
        <v>11748</v>
      </c>
      <c r="L285" s="22" t="s">
        <v>11749</v>
      </c>
      <c r="M285" s="22" t="s">
        <v>11750</v>
      </c>
      <c r="N285" s="22" t="s">
        <v>11751</v>
      </c>
      <c r="O285" s="22" t="s">
        <v>9960</v>
      </c>
      <c r="P285" s="22" t="s">
        <v>10889</v>
      </c>
      <c r="Q285" s="22" t="s">
        <v>11723</v>
      </c>
      <c r="R285" s="32" t="s">
        <v>9413</v>
      </c>
      <c r="S285" s="22" t="s">
        <v>9963</v>
      </c>
    </row>
    <row r="286" customFormat="false" ht="51.75" hidden="false" customHeight="true" outlineLevel="0" collapsed="false">
      <c r="A286" s="22" t="s">
        <v>11752</v>
      </c>
      <c r="B286" s="22" t="s">
        <v>11753</v>
      </c>
      <c r="C286" s="22" t="s">
        <v>9407</v>
      </c>
      <c r="D286" s="22" t="s">
        <v>9408</v>
      </c>
      <c r="E286" s="22" t="s">
        <v>11717</v>
      </c>
      <c r="F286" s="22" t="s">
        <v>11754</v>
      </c>
      <c r="G286" s="22" t="s">
        <v>2947</v>
      </c>
      <c r="H286" s="22" t="str">
        <f aca="false">IFERROR(VLOOKUP(G286,'Master Taxonomy'!$A$2:$B$1656,2,FALSE()),"")</f>
        <v>Cursed Mark or Brand</v>
      </c>
      <c r="I286" s="22" t="s">
        <v>2261</v>
      </c>
      <c r="J286" s="22" t="s">
        <v>2262</v>
      </c>
      <c r="K286" s="22" t="s">
        <v>11755</v>
      </c>
      <c r="L286" s="22" t="s">
        <v>11756</v>
      </c>
      <c r="M286" s="22" t="s">
        <v>11757</v>
      </c>
      <c r="N286" s="22" t="s">
        <v>11758</v>
      </c>
      <c r="O286" s="22" t="s">
        <v>9960</v>
      </c>
      <c r="P286" s="22" t="s">
        <v>10889</v>
      </c>
      <c r="Q286" s="22" t="s">
        <v>11723</v>
      </c>
      <c r="R286" s="32" t="s">
        <v>9413</v>
      </c>
      <c r="S286" s="22" t="s">
        <v>9963</v>
      </c>
    </row>
    <row r="287" customFormat="false" ht="51.75" hidden="false" customHeight="true" outlineLevel="0" collapsed="false">
      <c r="A287" s="22" t="s">
        <v>11759</v>
      </c>
      <c r="B287" s="22" t="s">
        <v>11760</v>
      </c>
      <c r="C287" s="22" t="s">
        <v>9407</v>
      </c>
      <c r="D287" s="22" t="s">
        <v>9408</v>
      </c>
      <c r="E287" s="22" t="s">
        <v>11717</v>
      </c>
      <c r="F287" s="22" t="s">
        <v>11761</v>
      </c>
      <c r="G287" s="22" t="s">
        <v>211</v>
      </c>
      <c r="H287" s="22" t="str">
        <f aca="false">IFERROR(VLOOKUP(G287,'Master Taxonomy'!$A$2:$B$1656,2,FALSE()),"")</f>
        <v>Spirits and Elementals</v>
      </c>
      <c r="I287" s="22" t="s">
        <v>861</v>
      </c>
      <c r="J287" s="22" t="s">
        <v>862</v>
      </c>
      <c r="K287" s="22" t="s">
        <v>11762</v>
      </c>
      <c r="L287" s="22" t="s">
        <v>11763</v>
      </c>
      <c r="M287" s="22" t="s">
        <v>11764</v>
      </c>
      <c r="N287" s="22" t="s">
        <v>11765</v>
      </c>
      <c r="O287" s="22" t="s">
        <v>9960</v>
      </c>
      <c r="P287" s="22" t="s">
        <v>10889</v>
      </c>
      <c r="Q287" s="22" t="s">
        <v>11723</v>
      </c>
      <c r="R287" s="32" t="s">
        <v>9413</v>
      </c>
      <c r="S287" s="22" t="s">
        <v>9963</v>
      </c>
    </row>
    <row r="288" customFormat="false" ht="51.75" hidden="false" customHeight="true" outlineLevel="0" collapsed="false">
      <c r="A288" s="22" t="s">
        <v>11766</v>
      </c>
      <c r="B288" s="22" t="s">
        <v>1385</v>
      </c>
      <c r="C288" s="22" t="s">
        <v>9425</v>
      </c>
      <c r="D288" s="22" t="s">
        <v>9426</v>
      </c>
      <c r="E288" s="22" t="s">
        <v>11767</v>
      </c>
      <c r="F288" s="22" t="s">
        <v>11768</v>
      </c>
      <c r="G288" s="22" t="s">
        <v>1384</v>
      </c>
      <c r="H288" s="22" t="str">
        <f aca="false">IFERROR(VLOOKUP(G288,'Master Taxonomy'!$A$2:$B$1656,2,FALSE()),"")</f>
        <v>Alchemist</v>
      </c>
      <c r="I288" s="22"/>
      <c r="J288" s="22"/>
      <c r="K288" s="22" t="s">
        <v>11769</v>
      </c>
      <c r="L288" s="22" t="s">
        <v>11770</v>
      </c>
      <c r="M288" s="22" t="s">
        <v>11771</v>
      </c>
      <c r="N288" s="22" t="s">
        <v>11772</v>
      </c>
      <c r="O288" s="22" t="s">
        <v>9960</v>
      </c>
      <c r="P288" s="22" t="s">
        <v>10889</v>
      </c>
      <c r="Q288" s="22" t="s">
        <v>11773</v>
      </c>
      <c r="R288" s="32" t="s">
        <v>9430</v>
      </c>
      <c r="S288" s="22" t="s">
        <v>9963</v>
      </c>
    </row>
    <row r="289" customFormat="false" ht="51.75" hidden="false" customHeight="true" outlineLevel="0" collapsed="false">
      <c r="A289" s="22" t="s">
        <v>11774</v>
      </c>
      <c r="B289" s="22" t="s">
        <v>11775</v>
      </c>
      <c r="C289" s="22" t="s">
        <v>9425</v>
      </c>
      <c r="D289" s="22" t="s">
        <v>9426</v>
      </c>
      <c r="E289" s="22" t="s">
        <v>11767</v>
      </c>
      <c r="F289" s="22" t="s">
        <v>11776</v>
      </c>
      <c r="G289" s="22" t="s">
        <v>2032</v>
      </c>
      <c r="H289" s="22" t="str">
        <f aca="false">IFERROR(VLOOKUP(G289,'Master Taxonomy'!$A$2:$B$1656,2,FALSE()),"")</f>
        <v>Battle Alchemist</v>
      </c>
      <c r="I289" s="22" t="s">
        <v>4577</v>
      </c>
      <c r="J289" s="22" t="s">
        <v>4578</v>
      </c>
      <c r="K289" s="22" t="s">
        <v>11777</v>
      </c>
      <c r="L289" s="22" t="s">
        <v>11778</v>
      </c>
      <c r="M289" s="22" t="s">
        <v>11779</v>
      </c>
      <c r="N289" s="22" t="s">
        <v>11780</v>
      </c>
      <c r="O289" s="22" t="s">
        <v>9960</v>
      </c>
      <c r="P289" s="22" t="s">
        <v>10889</v>
      </c>
      <c r="Q289" s="22" t="s">
        <v>11773</v>
      </c>
      <c r="R289" s="32" t="s">
        <v>9430</v>
      </c>
      <c r="S289" s="22" t="s">
        <v>9963</v>
      </c>
    </row>
    <row r="290" customFormat="false" ht="51.75" hidden="false" customHeight="true" outlineLevel="0" collapsed="false">
      <c r="A290" s="22" t="s">
        <v>11781</v>
      </c>
      <c r="B290" s="22" t="s">
        <v>643</v>
      </c>
      <c r="C290" s="22" t="s">
        <v>9425</v>
      </c>
      <c r="D290" s="22" t="s">
        <v>9426</v>
      </c>
      <c r="E290" s="22" t="s">
        <v>11767</v>
      </c>
      <c r="F290" s="22" t="s">
        <v>11782</v>
      </c>
      <c r="G290" s="22" t="s">
        <v>642</v>
      </c>
      <c r="H290" s="22" t="str">
        <f aca="false">IFERROR(VLOOKUP(G290,'Master Taxonomy'!$A$2:$B$1656,2,FALSE()),"")</f>
        <v>Homunculi</v>
      </c>
      <c r="I290" s="22"/>
      <c r="J290" s="22"/>
      <c r="K290" s="22" t="s">
        <v>11783</v>
      </c>
      <c r="L290" s="22" t="s">
        <v>11784</v>
      </c>
      <c r="M290" s="22" t="s">
        <v>11785</v>
      </c>
      <c r="N290" s="22" t="s">
        <v>11786</v>
      </c>
      <c r="O290" s="22" t="s">
        <v>9960</v>
      </c>
      <c r="P290" s="22" t="s">
        <v>10889</v>
      </c>
      <c r="Q290" s="22" t="s">
        <v>11773</v>
      </c>
      <c r="R290" s="32" t="s">
        <v>9430</v>
      </c>
      <c r="S290" s="22" t="s">
        <v>9963</v>
      </c>
    </row>
    <row r="291" customFormat="false" ht="51.75" hidden="false" customHeight="true" outlineLevel="0" collapsed="false">
      <c r="A291" s="22" t="s">
        <v>11787</v>
      </c>
      <c r="B291" s="22" t="s">
        <v>725</v>
      </c>
      <c r="C291" s="22" t="s">
        <v>9425</v>
      </c>
      <c r="D291" s="22" t="s">
        <v>9426</v>
      </c>
      <c r="E291" s="22" t="s">
        <v>11767</v>
      </c>
      <c r="F291" s="22" t="s">
        <v>11788</v>
      </c>
      <c r="G291" s="22" t="s">
        <v>724</v>
      </c>
      <c r="H291" s="22" t="str">
        <f aca="false">IFERROR(VLOOKUP(G291,'Master Taxonomy'!$A$2:$B$1656,2,FALSE()),"")</f>
        <v>Chimeras</v>
      </c>
      <c r="I291" s="22" t="s">
        <v>823</v>
      </c>
      <c r="J291" s="22" t="s">
        <v>824</v>
      </c>
      <c r="K291" s="22" t="s">
        <v>11789</v>
      </c>
      <c r="L291" s="22" t="s">
        <v>11790</v>
      </c>
      <c r="M291" s="22" t="s">
        <v>11791</v>
      </c>
      <c r="N291" s="22" t="s">
        <v>11792</v>
      </c>
      <c r="O291" s="22" t="s">
        <v>9960</v>
      </c>
      <c r="P291" s="22" t="s">
        <v>10889</v>
      </c>
      <c r="Q291" s="22" t="s">
        <v>11773</v>
      </c>
      <c r="R291" s="32" t="s">
        <v>9430</v>
      </c>
      <c r="S291" s="22" t="s">
        <v>9963</v>
      </c>
    </row>
    <row r="292" customFormat="false" ht="51.75" hidden="false" customHeight="true" outlineLevel="0" collapsed="false">
      <c r="A292" s="22" t="s">
        <v>11793</v>
      </c>
      <c r="B292" s="22" t="s">
        <v>11794</v>
      </c>
      <c r="C292" s="22" t="s">
        <v>9425</v>
      </c>
      <c r="D292" s="22" t="s">
        <v>9426</v>
      </c>
      <c r="E292" s="22" t="s">
        <v>11767</v>
      </c>
      <c r="F292" s="22" t="s">
        <v>11795</v>
      </c>
      <c r="G292" s="22" t="s">
        <v>2891</v>
      </c>
      <c r="H292" s="22" t="str">
        <f aca="false">IFERROR(VLOOKUP(G292,'Master Taxonomy'!$A$2:$B$1656,2,FALSE()),"")</f>
        <v>Cyborg or Magitech Augmentation</v>
      </c>
      <c r="I292" s="22"/>
      <c r="J292" s="22"/>
      <c r="K292" s="22" t="s">
        <v>11796</v>
      </c>
      <c r="L292" s="22" t="s">
        <v>11797</v>
      </c>
      <c r="M292" s="22" t="s">
        <v>11798</v>
      </c>
      <c r="N292" s="22" t="s">
        <v>11799</v>
      </c>
      <c r="O292" s="22" t="s">
        <v>9960</v>
      </c>
      <c r="P292" s="22" t="s">
        <v>10889</v>
      </c>
      <c r="Q292" s="22" t="s">
        <v>11773</v>
      </c>
      <c r="R292" s="32" t="s">
        <v>9430</v>
      </c>
      <c r="S292" s="22" t="s">
        <v>9963</v>
      </c>
    </row>
    <row r="293" customFormat="false" ht="51.75" hidden="false" customHeight="true" outlineLevel="0" collapsed="false">
      <c r="A293" s="22" t="s">
        <v>11800</v>
      </c>
      <c r="B293" s="22" t="s">
        <v>11801</v>
      </c>
      <c r="C293" s="22" t="s">
        <v>9425</v>
      </c>
      <c r="D293" s="22" t="s">
        <v>9426</v>
      </c>
      <c r="E293" s="22" t="s">
        <v>11767</v>
      </c>
      <c r="F293" s="22" t="s">
        <v>11802</v>
      </c>
      <c r="G293" s="22" t="s">
        <v>3069</v>
      </c>
      <c r="H293" s="22" t="str">
        <f aca="false">IFERROR(VLOOKUP(G293,'Master Taxonomy'!$A$2:$B$1656,2,FALSE()),"")</f>
        <v>Relic Bearer</v>
      </c>
      <c r="I293" s="22" t="s">
        <v>2261</v>
      </c>
      <c r="J293" s="22" t="s">
        <v>2262</v>
      </c>
      <c r="K293" s="22" t="s">
        <v>11803</v>
      </c>
      <c r="L293" s="22" t="s">
        <v>11804</v>
      </c>
      <c r="M293" s="22" t="s">
        <v>11805</v>
      </c>
      <c r="N293" s="22" t="s">
        <v>11806</v>
      </c>
      <c r="O293" s="22" t="s">
        <v>9960</v>
      </c>
      <c r="P293" s="22" t="s">
        <v>10889</v>
      </c>
      <c r="Q293" s="22" t="s">
        <v>11773</v>
      </c>
      <c r="R293" s="32" t="s">
        <v>9430</v>
      </c>
      <c r="S293" s="22" t="s">
        <v>9963</v>
      </c>
    </row>
    <row r="294" customFormat="false" ht="51.75" hidden="false" customHeight="true" outlineLevel="0" collapsed="false">
      <c r="A294" s="22" t="s">
        <v>11807</v>
      </c>
      <c r="B294" s="22" t="s">
        <v>11808</v>
      </c>
      <c r="C294" s="22" t="s">
        <v>9425</v>
      </c>
      <c r="D294" s="22" t="s">
        <v>9426</v>
      </c>
      <c r="E294" s="22" t="s">
        <v>11767</v>
      </c>
      <c r="F294" s="22" t="s">
        <v>11809</v>
      </c>
      <c r="G294" s="22" t="s">
        <v>2261</v>
      </c>
      <c r="H294" s="22" t="str">
        <f aca="false">IFERROR(VLOOKUP(G294,'Master Taxonomy'!$A$2:$B$1656,2,FALSE()),"")</f>
        <v>Sacrifice and Costly Exchange</v>
      </c>
      <c r="I294" s="22"/>
      <c r="J294" s="22"/>
      <c r="K294" s="22" t="s">
        <v>11810</v>
      </c>
      <c r="L294" s="22" t="s">
        <v>11811</v>
      </c>
      <c r="M294" s="22" t="s">
        <v>11812</v>
      </c>
      <c r="N294" s="22" t="s">
        <v>11813</v>
      </c>
      <c r="O294" s="22" t="s">
        <v>9960</v>
      </c>
      <c r="P294" s="22" t="s">
        <v>10889</v>
      </c>
      <c r="Q294" s="22" t="s">
        <v>11773</v>
      </c>
      <c r="R294" s="32" t="s">
        <v>9430</v>
      </c>
      <c r="S294" s="22" t="s">
        <v>9963</v>
      </c>
    </row>
    <row r="295" customFormat="false" ht="51.75" hidden="false" customHeight="true" outlineLevel="0" collapsed="false">
      <c r="A295" s="22" t="s">
        <v>11814</v>
      </c>
      <c r="B295" s="22" t="s">
        <v>11815</v>
      </c>
      <c r="C295" s="22" t="s">
        <v>9489</v>
      </c>
      <c r="D295" s="22" t="s">
        <v>9490</v>
      </c>
      <c r="E295" s="22" t="s">
        <v>11816</v>
      </c>
      <c r="F295" s="22" t="s">
        <v>11817</v>
      </c>
      <c r="G295" s="22" t="s">
        <v>247</v>
      </c>
      <c r="H295" s="22" t="str">
        <f aca="false">IFERROR(VLOOKUP(G295,'Master Taxonomy'!$A$2:$B$1656,2,FALSE()),"")</f>
        <v>Human and Near-Human Peoples</v>
      </c>
      <c r="I295" s="22"/>
      <c r="J295" s="22"/>
      <c r="K295" s="22" t="s">
        <v>11818</v>
      </c>
      <c r="L295" s="22" t="s">
        <v>11819</v>
      </c>
      <c r="M295" s="22" t="s">
        <v>11820</v>
      </c>
      <c r="N295" s="22" t="s">
        <v>11821</v>
      </c>
      <c r="O295" s="22" t="s">
        <v>9960</v>
      </c>
      <c r="P295" s="22" t="s">
        <v>10889</v>
      </c>
      <c r="Q295" s="22" t="s">
        <v>11822</v>
      </c>
      <c r="R295" s="32" t="s">
        <v>9494</v>
      </c>
      <c r="S295" s="22" t="s">
        <v>9963</v>
      </c>
    </row>
    <row r="296" customFormat="false" ht="51.75" hidden="false" customHeight="true" outlineLevel="0" collapsed="false">
      <c r="A296" s="22" t="s">
        <v>11823</v>
      </c>
      <c r="B296" s="22" t="s">
        <v>11824</v>
      </c>
      <c r="C296" s="22" t="s">
        <v>9489</v>
      </c>
      <c r="D296" s="22" t="s">
        <v>9490</v>
      </c>
      <c r="E296" s="22" t="s">
        <v>11816</v>
      </c>
      <c r="F296" s="22" t="s">
        <v>11825</v>
      </c>
      <c r="G296" s="22" t="s">
        <v>239</v>
      </c>
      <c r="H296" s="22" t="str">
        <f aca="false">IFERROR(VLOOKUP(G296,'Master Taxonomy'!$A$2:$B$1656,2,FALSE()),"")</f>
        <v>Shapeshifters, Hybrids, and Mutable Peoples</v>
      </c>
      <c r="I296" s="22" t="s">
        <v>861</v>
      </c>
      <c r="J296" s="22" t="s">
        <v>862</v>
      </c>
      <c r="K296" s="22" t="s">
        <v>11826</v>
      </c>
      <c r="L296" s="22" t="s">
        <v>11827</v>
      </c>
      <c r="M296" s="22" t="s">
        <v>11828</v>
      </c>
      <c r="N296" s="22" t="s">
        <v>11829</v>
      </c>
      <c r="O296" s="22" t="s">
        <v>9960</v>
      </c>
      <c r="P296" s="22" t="s">
        <v>10889</v>
      </c>
      <c r="Q296" s="22" t="s">
        <v>11822</v>
      </c>
      <c r="R296" s="32" t="s">
        <v>9494</v>
      </c>
      <c r="S296" s="22" t="s">
        <v>9963</v>
      </c>
    </row>
    <row r="297" customFormat="false" ht="51.75" hidden="false" customHeight="true" outlineLevel="0" collapsed="false">
      <c r="A297" s="22" t="s">
        <v>11830</v>
      </c>
      <c r="B297" s="22" t="s">
        <v>11831</v>
      </c>
      <c r="C297" s="22" t="s">
        <v>9489</v>
      </c>
      <c r="D297" s="22" t="s">
        <v>9490</v>
      </c>
      <c r="E297" s="22" t="s">
        <v>11816</v>
      </c>
      <c r="F297" s="22" t="s">
        <v>11832</v>
      </c>
      <c r="G297" s="22" t="s">
        <v>599</v>
      </c>
      <c r="H297" s="22" t="str">
        <f aca="false">IFERROR(VLOOKUP(G297,'Master Taxonomy'!$A$2:$B$1656,2,FALSE()),"")</f>
        <v>Liches</v>
      </c>
      <c r="I297" s="22" t="s">
        <v>11833</v>
      </c>
      <c r="J297" s="22" t="s">
        <v>11834</v>
      </c>
      <c r="K297" s="22" t="s">
        <v>11835</v>
      </c>
      <c r="L297" s="22" t="s">
        <v>11836</v>
      </c>
      <c r="M297" s="22" t="s">
        <v>11837</v>
      </c>
      <c r="N297" s="22" t="s">
        <v>11838</v>
      </c>
      <c r="O297" s="22" t="s">
        <v>9960</v>
      </c>
      <c r="P297" s="22" t="s">
        <v>10889</v>
      </c>
      <c r="Q297" s="22" t="s">
        <v>11822</v>
      </c>
      <c r="R297" s="32" t="s">
        <v>9494</v>
      </c>
      <c r="S297" s="22" t="s">
        <v>9963</v>
      </c>
    </row>
    <row r="298" customFormat="false" ht="51.75" hidden="false" customHeight="true" outlineLevel="0" collapsed="false">
      <c r="A298" s="22" t="s">
        <v>11839</v>
      </c>
      <c r="B298" s="22" t="s">
        <v>11840</v>
      </c>
      <c r="C298" s="22" t="s">
        <v>9489</v>
      </c>
      <c r="D298" s="22" t="s">
        <v>9490</v>
      </c>
      <c r="E298" s="22" t="s">
        <v>11816</v>
      </c>
      <c r="F298" s="22" t="s">
        <v>11841</v>
      </c>
      <c r="G298" s="22" t="s">
        <v>4403</v>
      </c>
      <c r="H298" s="22" t="str">
        <f aca="false">IFERROR(VLOOKUP(G298,'Master Taxonomy'!$A$2:$B$1656,2,FALSE()),"")</f>
        <v>Dungeon Civilization</v>
      </c>
      <c r="I298" s="22" t="s">
        <v>3566</v>
      </c>
      <c r="J298" s="22" t="s">
        <v>3567</v>
      </c>
      <c r="K298" s="22" t="s">
        <v>11842</v>
      </c>
      <c r="L298" s="22" t="s">
        <v>11843</v>
      </c>
      <c r="M298" s="22" t="s">
        <v>11844</v>
      </c>
      <c r="N298" s="22" t="s">
        <v>11845</v>
      </c>
      <c r="O298" s="22" t="s">
        <v>9960</v>
      </c>
      <c r="P298" s="22" t="s">
        <v>10889</v>
      </c>
      <c r="Q298" s="22" t="s">
        <v>11822</v>
      </c>
      <c r="R298" s="32" t="s">
        <v>9494</v>
      </c>
      <c r="S298" s="22" t="s">
        <v>9963</v>
      </c>
    </row>
    <row r="299" customFormat="false" ht="51.75" hidden="false" customHeight="true" outlineLevel="0" collapsed="false">
      <c r="A299" s="22" t="s">
        <v>11846</v>
      </c>
      <c r="B299" s="22" t="s">
        <v>11847</v>
      </c>
      <c r="C299" s="22" t="s">
        <v>9489</v>
      </c>
      <c r="D299" s="22" t="s">
        <v>9490</v>
      </c>
      <c r="E299" s="22" t="s">
        <v>11816</v>
      </c>
      <c r="F299" s="22" t="s">
        <v>11848</v>
      </c>
      <c r="G299" s="22" t="s">
        <v>3766</v>
      </c>
      <c r="H299" s="22" t="str">
        <f aca="false">IFERROR(VLOOKUP(G299,'Master Taxonomy'!$A$2:$B$1656,2,FALSE()),"")</f>
        <v>Guardian</v>
      </c>
      <c r="I299" s="22" t="s">
        <v>3566</v>
      </c>
      <c r="J299" s="22" t="s">
        <v>3567</v>
      </c>
      <c r="K299" s="22" t="s">
        <v>11849</v>
      </c>
      <c r="L299" s="22" t="s">
        <v>11850</v>
      </c>
      <c r="M299" s="22" t="s">
        <v>11851</v>
      </c>
      <c r="N299" s="22" t="s">
        <v>11852</v>
      </c>
      <c r="O299" s="22" t="s">
        <v>9960</v>
      </c>
      <c r="P299" s="22" t="s">
        <v>10889</v>
      </c>
      <c r="Q299" s="22" t="s">
        <v>11822</v>
      </c>
      <c r="R299" s="32" t="s">
        <v>9494</v>
      </c>
      <c r="S299" s="22" t="s">
        <v>9963</v>
      </c>
    </row>
    <row r="300" customFormat="false" ht="51.75" hidden="false" customHeight="true" outlineLevel="0" collapsed="false">
      <c r="A300" s="22" t="s">
        <v>11853</v>
      </c>
      <c r="B300" s="22" t="s">
        <v>11854</v>
      </c>
      <c r="C300" s="22" t="s">
        <v>9489</v>
      </c>
      <c r="D300" s="22" t="s">
        <v>9490</v>
      </c>
      <c r="E300" s="22" t="s">
        <v>11816</v>
      </c>
      <c r="F300" s="22" t="s">
        <v>10596</v>
      </c>
      <c r="G300" s="22" t="s">
        <v>4900</v>
      </c>
      <c r="H300" s="22" t="str">
        <f aca="false">IFERROR(VLOOKUP(G300,'Master Taxonomy'!$A$2:$B$1656,2,FALSE()),"")</f>
        <v>Class Change or Job System</v>
      </c>
      <c r="I300" s="22"/>
      <c r="J300" s="22"/>
      <c r="K300" s="22" t="s">
        <v>11855</v>
      </c>
      <c r="L300" s="22" t="s">
        <v>11856</v>
      </c>
      <c r="M300" s="22" t="s">
        <v>11857</v>
      </c>
      <c r="N300" s="22" t="s">
        <v>11858</v>
      </c>
      <c r="O300" s="22" t="s">
        <v>9960</v>
      </c>
      <c r="P300" s="22" t="s">
        <v>10889</v>
      </c>
      <c r="Q300" s="22" t="s">
        <v>11822</v>
      </c>
      <c r="R300" s="32" t="s">
        <v>9494</v>
      </c>
      <c r="S300" s="22" t="s">
        <v>9963</v>
      </c>
    </row>
    <row r="301" customFormat="false" ht="51.75" hidden="false" customHeight="true" outlineLevel="0" collapsed="false">
      <c r="A301" s="22" t="s">
        <v>11859</v>
      </c>
      <c r="B301" s="22" t="s">
        <v>11860</v>
      </c>
      <c r="C301" s="22" t="s">
        <v>9489</v>
      </c>
      <c r="D301" s="22" t="s">
        <v>9490</v>
      </c>
      <c r="E301" s="22" t="s">
        <v>11816</v>
      </c>
      <c r="F301" s="22" t="s">
        <v>10596</v>
      </c>
      <c r="G301" s="22" t="s">
        <v>4900</v>
      </c>
      <c r="H301" s="22" t="str">
        <f aca="false">IFERROR(VLOOKUP(G301,'Master Taxonomy'!$A$2:$B$1656,2,FALSE()),"")</f>
        <v>Class Change or Job System</v>
      </c>
      <c r="I301" s="22" t="s">
        <v>4904</v>
      </c>
      <c r="J301" s="22" t="s">
        <v>4905</v>
      </c>
      <c r="K301" s="22" t="s">
        <v>11861</v>
      </c>
      <c r="L301" s="22" t="s">
        <v>11862</v>
      </c>
      <c r="M301" s="22" t="s">
        <v>11863</v>
      </c>
      <c r="N301" s="22" t="s">
        <v>11864</v>
      </c>
      <c r="O301" s="22" t="s">
        <v>9960</v>
      </c>
      <c r="P301" s="22" t="s">
        <v>10889</v>
      </c>
      <c r="Q301" s="22" t="s">
        <v>11822</v>
      </c>
      <c r="R301" s="32" t="s">
        <v>9494</v>
      </c>
      <c r="S301" s="22" t="s">
        <v>9963</v>
      </c>
    </row>
    <row r="302" customFormat="false" ht="51.75" hidden="false" customHeight="true" outlineLevel="0" collapsed="false">
      <c r="A302" s="22" t="s">
        <v>11865</v>
      </c>
      <c r="B302" s="22" t="s">
        <v>11866</v>
      </c>
      <c r="C302" s="22" t="s">
        <v>9631</v>
      </c>
      <c r="D302" s="22" t="s">
        <v>9632</v>
      </c>
      <c r="E302" s="22" t="s">
        <v>11867</v>
      </c>
      <c r="F302" s="22" t="s">
        <v>11868</v>
      </c>
      <c r="G302" s="22" t="s">
        <v>2138</v>
      </c>
      <c r="H302" s="22" t="str">
        <f aca="false">IFERROR(VLOOKUP(G302,'Master Taxonomy'!$A$2:$B$1656,2,FALSE()),"")</f>
        <v>Ranked Hunter</v>
      </c>
      <c r="I302" s="22"/>
      <c r="J302" s="22"/>
      <c r="K302" s="22" t="s">
        <v>11869</v>
      </c>
      <c r="L302" s="22" t="s">
        <v>11870</v>
      </c>
      <c r="M302" s="22" t="s">
        <v>11871</v>
      </c>
      <c r="N302" s="22" t="s">
        <v>11872</v>
      </c>
      <c r="O302" s="22" t="s">
        <v>9960</v>
      </c>
      <c r="P302" s="22" t="s">
        <v>10889</v>
      </c>
      <c r="Q302" s="22" t="s">
        <v>11873</v>
      </c>
      <c r="R302" s="32" t="s">
        <v>9637</v>
      </c>
      <c r="S302" s="22" t="s">
        <v>9963</v>
      </c>
    </row>
    <row r="303" customFormat="false" ht="51.75" hidden="false" customHeight="true" outlineLevel="0" collapsed="false">
      <c r="A303" s="22" t="s">
        <v>11874</v>
      </c>
      <c r="B303" s="22" t="s">
        <v>11875</v>
      </c>
      <c r="C303" s="22" t="s">
        <v>9631</v>
      </c>
      <c r="D303" s="22" t="s">
        <v>9632</v>
      </c>
      <c r="E303" s="22" t="s">
        <v>11867</v>
      </c>
      <c r="F303" s="22" t="s">
        <v>11876</v>
      </c>
      <c r="G303" s="22" t="s">
        <v>3310</v>
      </c>
      <c r="H303" s="22" t="str">
        <f aca="false">IFERROR(VLOOKUP(G303,'Master Taxonomy'!$A$2:$B$1656,2,FALSE()),"")</f>
        <v>Hunters' Association</v>
      </c>
      <c r="I303" s="22" t="s">
        <v>4948</v>
      </c>
      <c r="J303" s="22" t="s">
        <v>4949</v>
      </c>
      <c r="K303" s="22" t="s">
        <v>11877</v>
      </c>
      <c r="L303" s="22" t="s">
        <v>11878</v>
      </c>
      <c r="M303" s="22" t="s">
        <v>11879</v>
      </c>
      <c r="N303" s="22" t="s">
        <v>11880</v>
      </c>
      <c r="O303" s="22" t="s">
        <v>9960</v>
      </c>
      <c r="P303" s="22" t="s">
        <v>10889</v>
      </c>
      <c r="Q303" s="22" t="s">
        <v>11873</v>
      </c>
      <c r="R303" s="32" t="s">
        <v>9637</v>
      </c>
      <c r="S303" s="22" t="s">
        <v>9963</v>
      </c>
    </row>
    <row r="304" customFormat="false" ht="51.75" hidden="false" customHeight="true" outlineLevel="0" collapsed="false">
      <c r="A304" s="22" t="s">
        <v>11881</v>
      </c>
      <c r="B304" s="22" t="s">
        <v>11882</v>
      </c>
      <c r="C304" s="22" t="s">
        <v>9631</v>
      </c>
      <c r="D304" s="22" t="s">
        <v>9632</v>
      </c>
      <c r="E304" s="22" t="s">
        <v>11867</v>
      </c>
      <c r="F304" s="22" t="s">
        <v>11883</v>
      </c>
      <c r="G304" s="22" t="s">
        <v>3260</v>
      </c>
      <c r="H304" s="22" t="str">
        <f aca="false">IFERROR(VLOOKUP(G304,'Master Taxonomy'!$A$2:$B$1656,2,FALSE()),"")</f>
        <v>Adventurers' Guild</v>
      </c>
      <c r="I304" s="22" t="s">
        <v>3343</v>
      </c>
      <c r="J304" s="22" t="s">
        <v>3344</v>
      </c>
      <c r="K304" s="22" t="s">
        <v>11884</v>
      </c>
      <c r="L304" s="22" t="s">
        <v>11885</v>
      </c>
      <c r="M304" s="22" t="s">
        <v>11886</v>
      </c>
      <c r="N304" s="22" t="s">
        <v>11887</v>
      </c>
      <c r="O304" s="22" t="s">
        <v>9960</v>
      </c>
      <c r="P304" s="22" t="s">
        <v>10889</v>
      </c>
      <c r="Q304" s="22" t="s">
        <v>11873</v>
      </c>
      <c r="R304" s="32" t="s">
        <v>9637</v>
      </c>
      <c r="S304" s="22" t="s">
        <v>9963</v>
      </c>
    </row>
    <row r="305" customFormat="false" ht="51.75" hidden="false" customHeight="true" outlineLevel="0" collapsed="false">
      <c r="A305" s="22" t="s">
        <v>11888</v>
      </c>
      <c r="B305" s="22" t="s">
        <v>11889</v>
      </c>
      <c r="C305" s="22" t="s">
        <v>9631</v>
      </c>
      <c r="D305" s="22" t="s">
        <v>9632</v>
      </c>
      <c r="E305" s="22" t="s">
        <v>11867</v>
      </c>
      <c r="F305" s="22" t="s">
        <v>11890</v>
      </c>
      <c r="G305" s="22" t="s">
        <v>4440</v>
      </c>
      <c r="H305" s="22" t="str">
        <f aca="false">IFERROR(VLOOKUP(G305,'Master Taxonomy'!$A$2:$B$1656,2,FALSE()),"")</f>
        <v>Dungeon Extraction Economy</v>
      </c>
      <c r="I305" s="22" t="s">
        <v>4194</v>
      </c>
      <c r="J305" s="22" t="s">
        <v>4195</v>
      </c>
      <c r="K305" s="22" t="s">
        <v>11891</v>
      </c>
      <c r="L305" s="22" t="s">
        <v>11892</v>
      </c>
      <c r="M305" s="22" t="s">
        <v>11893</v>
      </c>
      <c r="N305" s="22" t="s">
        <v>11894</v>
      </c>
      <c r="O305" s="22" t="s">
        <v>9960</v>
      </c>
      <c r="P305" s="22" t="s">
        <v>10889</v>
      </c>
      <c r="Q305" s="22" t="s">
        <v>11873</v>
      </c>
      <c r="R305" s="32" t="s">
        <v>9637</v>
      </c>
      <c r="S305" s="22" t="s">
        <v>9963</v>
      </c>
    </row>
    <row r="306" customFormat="false" ht="51.75" hidden="false" customHeight="true" outlineLevel="0" collapsed="false">
      <c r="A306" s="22" t="s">
        <v>11895</v>
      </c>
      <c r="B306" s="22" t="s">
        <v>11896</v>
      </c>
      <c r="C306" s="22" t="s">
        <v>9631</v>
      </c>
      <c r="D306" s="22" t="s">
        <v>9632</v>
      </c>
      <c r="E306" s="22" t="s">
        <v>11867</v>
      </c>
      <c r="F306" s="22" t="s">
        <v>11897</v>
      </c>
      <c r="G306" s="22" t="s">
        <v>2106</v>
      </c>
      <c r="H306" s="22" t="str">
        <f aca="false">IFERROR(VLOOKUP(G306,'Master Taxonomy'!$A$2:$B$1656,2,FALSE()),"")</f>
        <v>System User</v>
      </c>
      <c r="I306" s="22" t="s">
        <v>3136</v>
      </c>
      <c r="J306" s="22" t="s">
        <v>3137</v>
      </c>
      <c r="K306" s="22" t="s">
        <v>11898</v>
      </c>
      <c r="L306" s="22" t="s">
        <v>11899</v>
      </c>
      <c r="M306" s="22" t="s">
        <v>11900</v>
      </c>
      <c r="N306" s="22" t="s">
        <v>11901</v>
      </c>
      <c r="O306" s="22" t="s">
        <v>9960</v>
      </c>
      <c r="P306" s="22" t="s">
        <v>10889</v>
      </c>
      <c r="Q306" s="22" t="s">
        <v>11873</v>
      </c>
      <c r="R306" s="32" t="s">
        <v>9637</v>
      </c>
      <c r="S306" s="22" t="s">
        <v>9963</v>
      </c>
    </row>
    <row r="307" customFormat="false" ht="51.75" hidden="false" customHeight="true" outlineLevel="0" collapsed="false">
      <c r="A307" s="22" t="s">
        <v>11902</v>
      </c>
      <c r="B307" s="22" t="s">
        <v>11903</v>
      </c>
      <c r="C307" s="22" t="s">
        <v>9631</v>
      </c>
      <c r="D307" s="22" t="s">
        <v>9632</v>
      </c>
      <c r="E307" s="22" t="s">
        <v>11867</v>
      </c>
      <c r="F307" s="22" t="s">
        <v>11904</v>
      </c>
      <c r="G307" s="22" t="s">
        <v>456</v>
      </c>
      <c r="H307" s="22" t="str">
        <f aca="false">IFERROR(VLOOKUP(G307,'Master Taxonomy'!$A$2:$B$1656,2,FALSE()),"")</f>
        <v>Shadow Beings</v>
      </c>
      <c r="I307" s="22" t="s">
        <v>1952</v>
      </c>
      <c r="J307" s="22" t="s">
        <v>1953</v>
      </c>
      <c r="K307" s="22" t="s">
        <v>11905</v>
      </c>
      <c r="L307" s="22" t="s">
        <v>11906</v>
      </c>
      <c r="M307" s="22" t="s">
        <v>11907</v>
      </c>
      <c r="N307" s="22" t="s">
        <v>11908</v>
      </c>
      <c r="O307" s="22" t="s">
        <v>9960</v>
      </c>
      <c r="P307" s="22" t="s">
        <v>10889</v>
      </c>
      <c r="Q307" s="22" t="s">
        <v>11873</v>
      </c>
      <c r="R307" s="32" t="s">
        <v>9637</v>
      </c>
      <c r="S307" s="22" t="s">
        <v>9963</v>
      </c>
    </row>
    <row r="308" customFormat="false" ht="51.75" hidden="false" customHeight="true" outlineLevel="0" collapsed="false">
      <c r="A308" s="22" t="s">
        <v>11909</v>
      </c>
      <c r="B308" s="22" t="s">
        <v>11910</v>
      </c>
      <c r="C308" s="22" t="s">
        <v>9631</v>
      </c>
      <c r="D308" s="22" t="s">
        <v>9632</v>
      </c>
      <c r="E308" s="22" t="s">
        <v>11867</v>
      </c>
      <c r="F308" s="22" t="s">
        <v>11911</v>
      </c>
      <c r="G308" s="22" t="s">
        <v>861</v>
      </c>
      <c r="H308" s="22" t="str">
        <f aca="false">IFERROR(VLOOKUP(G308,'Master Taxonomy'!$A$2:$B$1656,2,FALSE()),"")</f>
        <v>Alien and Otherworlder Peoples</v>
      </c>
      <c r="I308" s="22" t="s">
        <v>1793</v>
      </c>
      <c r="J308" s="22" t="s">
        <v>1794</v>
      </c>
      <c r="K308" s="22" t="s">
        <v>11912</v>
      </c>
      <c r="L308" s="22" t="s">
        <v>11913</v>
      </c>
      <c r="M308" s="22" t="s">
        <v>11914</v>
      </c>
      <c r="N308" s="22" t="s">
        <v>11915</v>
      </c>
      <c r="O308" s="22" t="s">
        <v>9960</v>
      </c>
      <c r="P308" s="22" t="s">
        <v>10889</v>
      </c>
      <c r="Q308" s="22" t="s">
        <v>11873</v>
      </c>
      <c r="R308" s="32" t="s">
        <v>9637</v>
      </c>
      <c r="S308" s="22" t="s">
        <v>9963</v>
      </c>
    </row>
    <row r="309" customFormat="false" ht="51.75" hidden="false" customHeight="true" outlineLevel="0" collapsed="false">
      <c r="A309" s="22" t="s">
        <v>11916</v>
      </c>
      <c r="B309" s="22" t="s">
        <v>2058</v>
      </c>
      <c r="C309" s="22" t="s">
        <v>8634</v>
      </c>
      <c r="D309" s="22" t="s">
        <v>8635</v>
      </c>
      <c r="E309" s="22" t="s">
        <v>11917</v>
      </c>
      <c r="F309" s="22" t="s">
        <v>11918</v>
      </c>
      <c r="G309" s="22" t="s">
        <v>2057</v>
      </c>
      <c r="H309" s="22" t="str">
        <f aca="false">IFERROR(VLOOKUP(G309,'Master Taxonomy'!$A$2:$B$1656,2,FALSE()),"")</f>
        <v>Cultivator</v>
      </c>
      <c r="I309" s="22" t="s">
        <v>2240</v>
      </c>
      <c r="J309" s="22" t="s">
        <v>2241</v>
      </c>
      <c r="K309" s="22" t="s">
        <v>11919</v>
      </c>
      <c r="L309" s="22" t="s">
        <v>11920</v>
      </c>
      <c r="M309" s="22" t="s">
        <v>11921</v>
      </c>
      <c r="N309" s="22" t="s">
        <v>11922</v>
      </c>
      <c r="O309" s="22" t="s">
        <v>9960</v>
      </c>
      <c r="P309" s="22" t="s">
        <v>10889</v>
      </c>
      <c r="Q309" s="22" t="s">
        <v>11923</v>
      </c>
      <c r="R309" s="32" t="s">
        <v>8641</v>
      </c>
      <c r="S309" s="22" t="s">
        <v>9963</v>
      </c>
    </row>
    <row r="310" customFormat="false" ht="51.75" hidden="false" customHeight="true" outlineLevel="0" collapsed="false">
      <c r="A310" s="22" t="s">
        <v>11924</v>
      </c>
      <c r="B310" s="22" t="s">
        <v>11925</v>
      </c>
      <c r="C310" s="22" t="s">
        <v>8634</v>
      </c>
      <c r="D310" s="22" t="s">
        <v>8635</v>
      </c>
      <c r="E310" s="22" t="s">
        <v>11917</v>
      </c>
      <c r="F310" s="22" t="s">
        <v>11926</v>
      </c>
      <c r="G310" s="22" t="s">
        <v>2090</v>
      </c>
      <c r="H310" s="22" t="str">
        <f aca="false">IFERROR(VLOOKUP(G310,'Master Taxonomy'!$A$2:$B$1656,2,FALSE()),"")</f>
        <v>Sect Disciple</v>
      </c>
      <c r="I310" s="22" t="s">
        <v>3451</v>
      </c>
      <c r="J310" s="22" t="s">
        <v>3452</v>
      </c>
      <c r="K310" s="22" t="s">
        <v>11927</v>
      </c>
      <c r="L310" s="22" t="s">
        <v>11928</v>
      </c>
      <c r="M310" s="22" t="s">
        <v>11929</v>
      </c>
      <c r="N310" s="22" t="s">
        <v>11930</v>
      </c>
      <c r="O310" s="22" t="s">
        <v>9960</v>
      </c>
      <c r="P310" s="22" t="s">
        <v>10889</v>
      </c>
      <c r="Q310" s="22" t="s">
        <v>11923</v>
      </c>
      <c r="R310" s="32" t="s">
        <v>8641</v>
      </c>
      <c r="S310" s="22" t="s">
        <v>9963</v>
      </c>
    </row>
    <row r="311" customFormat="false" ht="51.75" hidden="false" customHeight="true" outlineLevel="0" collapsed="false">
      <c r="A311" s="22" t="s">
        <v>11931</v>
      </c>
      <c r="B311" s="22" t="s">
        <v>11932</v>
      </c>
      <c r="C311" s="22" t="s">
        <v>8634</v>
      </c>
      <c r="D311" s="22" t="s">
        <v>8635</v>
      </c>
      <c r="E311" s="22" t="s">
        <v>11917</v>
      </c>
      <c r="F311" s="22" t="s">
        <v>11933</v>
      </c>
      <c r="G311" s="22" t="s">
        <v>2062</v>
      </c>
      <c r="H311" s="22" t="str">
        <f aca="false">IFERROR(VLOOKUP(G311,'Master Taxonomy'!$A$2:$B$1656,2,FALSE()),"")</f>
        <v>Martial Cultivator</v>
      </c>
      <c r="I311" s="22" t="s">
        <v>2245</v>
      </c>
      <c r="J311" s="22" t="s">
        <v>2246</v>
      </c>
      <c r="K311" s="22" t="s">
        <v>11934</v>
      </c>
      <c r="L311" s="22" t="s">
        <v>11935</v>
      </c>
      <c r="M311" s="22" t="s">
        <v>11936</v>
      </c>
      <c r="N311" s="22" t="s">
        <v>11937</v>
      </c>
      <c r="O311" s="22" t="s">
        <v>9960</v>
      </c>
      <c r="P311" s="22" t="s">
        <v>10889</v>
      </c>
      <c r="Q311" s="22" t="s">
        <v>11923</v>
      </c>
      <c r="R311" s="32" t="s">
        <v>8641</v>
      </c>
      <c r="S311" s="22" t="s">
        <v>9963</v>
      </c>
    </row>
    <row r="312" customFormat="false" ht="51.75" hidden="false" customHeight="true" outlineLevel="0" collapsed="false">
      <c r="A312" s="22" t="s">
        <v>11938</v>
      </c>
      <c r="B312" s="22" t="s">
        <v>11939</v>
      </c>
      <c r="C312" s="22" t="s">
        <v>8634</v>
      </c>
      <c r="D312" s="22" t="s">
        <v>8635</v>
      </c>
      <c r="E312" s="22" t="s">
        <v>11917</v>
      </c>
      <c r="F312" s="22" t="s">
        <v>11933</v>
      </c>
      <c r="G312" s="22" t="s">
        <v>2066</v>
      </c>
      <c r="H312" s="22" t="str">
        <f aca="false">IFERROR(VLOOKUP(G312,'Master Taxonomy'!$A$2:$B$1656,2,FALSE()),"")</f>
        <v>Sword Cultivator</v>
      </c>
      <c r="I312" s="22"/>
      <c r="J312" s="22"/>
      <c r="K312" s="22" t="s">
        <v>11940</v>
      </c>
      <c r="L312" s="22" t="s">
        <v>11941</v>
      </c>
      <c r="M312" s="22" t="s">
        <v>11942</v>
      </c>
      <c r="N312" s="22" t="s">
        <v>11943</v>
      </c>
      <c r="O312" s="22" t="s">
        <v>9960</v>
      </c>
      <c r="P312" s="22" t="s">
        <v>10889</v>
      </c>
      <c r="Q312" s="22" t="s">
        <v>11923</v>
      </c>
      <c r="R312" s="32" t="s">
        <v>8641</v>
      </c>
      <c r="S312" s="22" t="s">
        <v>9963</v>
      </c>
    </row>
    <row r="313" customFormat="false" ht="51.75" hidden="false" customHeight="true" outlineLevel="0" collapsed="false">
      <c r="A313" s="22" t="s">
        <v>11944</v>
      </c>
      <c r="B313" s="22" t="s">
        <v>11945</v>
      </c>
      <c r="C313" s="22" t="s">
        <v>8634</v>
      </c>
      <c r="D313" s="22" t="s">
        <v>8635</v>
      </c>
      <c r="E313" s="22" t="s">
        <v>11917</v>
      </c>
      <c r="F313" s="22" t="s">
        <v>11946</v>
      </c>
      <c r="G313" s="22" t="s">
        <v>2086</v>
      </c>
      <c r="H313" s="22" t="str">
        <f aca="false">IFERROR(VLOOKUP(G313,'Master Taxonomy'!$A$2:$B$1656,2,FALSE()),"")</f>
        <v>Pill Alchemist</v>
      </c>
      <c r="I313" s="22" t="s">
        <v>2595</v>
      </c>
      <c r="J313" s="22" t="s">
        <v>2596</v>
      </c>
      <c r="K313" s="22" t="s">
        <v>11947</v>
      </c>
      <c r="L313" s="22" t="s">
        <v>11948</v>
      </c>
      <c r="M313" s="22" t="s">
        <v>11949</v>
      </c>
      <c r="N313" s="22" t="s">
        <v>11950</v>
      </c>
      <c r="O313" s="22" t="s">
        <v>9960</v>
      </c>
      <c r="P313" s="22" t="s">
        <v>10889</v>
      </c>
      <c r="Q313" s="22" t="s">
        <v>11923</v>
      </c>
      <c r="R313" s="32" t="s">
        <v>8641</v>
      </c>
      <c r="S313" s="22" t="s">
        <v>9963</v>
      </c>
    </row>
    <row r="314" customFormat="false" ht="51.75" hidden="false" customHeight="true" outlineLevel="0" collapsed="false">
      <c r="A314" s="22" t="s">
        <v>11951</v>
      </c>
      <c r="B314" s="22" t="s">
        <v>11952</v>
      </c>
      <c r="C314" s="22" t="s">
        <v>8634</v>
      </c>
      <c r="D314" s="22" t="s">
        <v>8635</v>
      </c>
      <c r="E314" s="22" t="s">
        <v>11917</v>
      </c>
      <c r="F314" s="22" t="s">
        <v>11953</v>
      </c>
      <c r="G314" s="22" t="s">
        <v>2078</v>
      </c>
      <c r="H314" s="22" t="str">
        <f aca="false">IFERROR(VLOOKUP(G314,'Master Taxonomy'!$A$2:$B$1656,2,FALSE()),"")</f>
        <v>Talisman Master</v>
      </c>
      <c r="I314" s="22" t="s">
        <v>2566</v>
      </c>
      <c r="J314" s="22" t="s">
        <v>2567</v>
      </c>
      <c r="K314" s="22" t="s">
        <v>11954</v>
      </c>
      <c r="L314" s="22" t="s">
        <v>11955</v>
      </c>
      <c r="M314" s="22" t="s">
        <v>11956</v>
      </c>
      <c r="N314" s="22" t="s">
        <v>11957</v>
      </c>
      <c r="O314" s="22" t="s">
        <v>9960</v>
      </c>
      <c r="P314" s="22" t="s">
        <v>10889</v>
      </c>
      <c r="Q314" s="22" t="s">
        <v>11923</v>
      </c>
      <c r="R314" s="32" t="s">
        <v>8641</v>
      </c>
      <c r="S314" s="22" t="s">
        <v>9963</v>
      </c>
    </row>
    <row r="315" customFormat="false" ht="51.75" hidden="false" customHeight="true" outlineLevel="0" collapsed="false">
      <c r="A315" s="22" t="s">
        <v>11958</v>
      </c>
      <c r="B315" s="22" t="s">
        <v>11959</v>
      </c>
      <c r="C315" s="22" t="s">
        <v>8634</v>
      </c>
      <c r="D315" s="22" t="s">
        <v>8635</v>
      </c>
      <c r="E315" s="22" t="s">
        <v>11917</v>
      </c>
      <c r="F315" s="22" t="s">
        <v>11960</v>
      </c>
      <c r="G315" s="22" t="s">
        <v>514</v>
      </c>
      <c r="H315" s="22" t="str">
        <f aca="false">IFERROR(VLOOKUP(G315,'Master Taxonomy'!$A$2:$B$1656,2,FALSE()),"")</f>
        <v>Divine Beasts</v>
      </c>
      <c r="I315" s="22" t="s">
        <v>5037</v>
      </c>
      <c r="J315" s="22" t="s">
        <v>5038</v>
      </c>
      <c r="K315" s="22" t="s">
        <v>11961</v>
      </c>
      <c r="L315" s="22" t="s">
        <v>11962</v>
      </c>
      <c r="M315" s="22" t="s">
        <v>11963</v>
      </c>
      <c r="N315" s="22" t="s">
        <v>11964</v>
      </c>
      <c r="O315" s="22" t="s">
        <v>9960</v>
      </c>
      <c r="P315" s="22" t="s">
        <v>10889</v>
      </c>
      <c r="Q315" s="22" t="s">
        <v>11923</v>
      </c>
      <c r="R315" s="32" t="s">
        <v>8641</v>
      </c>
      <c r="S315" s="22" t="s">
        <v>9963</v>
      </c>
    </row>
    <row r="316" customFormat="false" ht="51.75" hidden="false" customHeight="true" outlineLevel="0" collapsed="false">
      <c r="A316" s="22" t="s">
        <v>11965</v>
      </c>
      <c r="B316" s="22" t="s">
        <v>11966</v>
      </c>
      <c r="C316" s="22" t="s">
        <v>8634</v>
      </c>
      <c r="D316" s="22" t="s">
        <v>8635</v>
      </c>
      <c r="E316" s="22" t="s">
        <v>11917</v>
      </c>
      <c r="F316" s="22" t="s">
        <v>11967</v>
      </c>
      <c r="G316" s="22" t="s">
        <v>3132</v>
      </c>
      <c r="H316" s="22" t="str">
        <f aca="false">IFERROR(VLOOKUP(G316,'Master Taxonomy'!$A$2:$B$1656,2,FALSE()),"")</f>
        <v>Cultivation Breakthrough</v>
      </c>
      <c r="I316" s="22" t="s">
        <v>4952</v>
      </c>
      <c r="J316" s="22" t="s">
        <v>4953</v>
      </c>
      <c r="K316" s="22" t="s">
        <v>11968</v>
      </c>
      <c r="L316" s="22" t="s">
        <v>11969</v>
      </c>
      <c r="M316" s="22" t="s">
        <v>11970</v>
      </c>
      <c r="N316" s="22" t="s">
        <v>11971</v>
      </c>
      <c r="O316" s="22" t="s">
        <v>9960</v>
      </c>
      <c r="P316" s="22" t="s">
        <v>10889</v>
      </c>
      <c r="Q316" s="22" t="s">
        <v>11923</v>
      </c>
      <c r="R316" s="32" t="s">
        <v>8641</v>
      </c>
      <c r="S316" s="22" t="s">
        <v>9963</v>
      </c>
    </row>
    <row r="317" customFormat="false" ht="51.75" hidden="false" customHeight="true" outlineLevel="0" collapsed="false">
      <c r="A317" s="22" t="s">
        <v>11972</v>
      </c>
      <c r="B317" s="22" t="s">
        <v>11973</v>
      </c>
      <c r="C317" s="22" t="s">
        <v>8634</v>
      </c>
      <c r="D317" s="22" t="s">
        <v>8635</v>
      </c>
      <c r="E317" s="22" t="s">
        <v>11917</v>
      </c>
      <c r="F317" s="22" t="s">
        <v>11974</v>
      </c>
      <c r="G317" s="22" t="s">
        <v>2102</v>
      </c>
      <c r="H317" s="22" t="str">
        <f aca="false">IFERROR(VLOOKUP(G317,'Master Taxonomy'!$A$2:$B$1656,2,FALSE()),"")</f>
        <v>Immortal and Ascendant</v>
      </c>
      <c r="I317" s="22"/>
      <c r="J317" s="22"/>
      <c r="K317" s="22" t="s">
        <v>11975</v>
      </c>
      <c r="L317" s="22" t="s">
        <v>11976</v>
      </c>
      <c r="M317" s="22" t="s">
        <v>11977</v>
      </c>
      <c r="N317" s="22" t="s">
        <v>11978</v>
      </c>
      <c r="O317" s="22" t="s">
        <v>9960</v>
      </c>
      <c r="P317" s="22" t="s">
        <v>10889</v>
      </c>
      <c r="Q317" s="22" t="s">
        <v>11923</v>
      </c>
      <c r="R317" s="32" t="s">
        <v>8641</v>
      </c>
      <c r="S317" s="22" t="s">
        <v>9963</v>
      </c>
    </row>
    <row r="318" customFormat="false" ht="51.75" hidden="false" customHeight="true" outlineLevel="0" collapsed="false">
      <c r="A318" s="30" t="s">
        <v>11979</v>
      </c>
      <c r="B318" s="31" t="s">
        <v>11980</v>
      </c>
      <c r="C318" s="31" t="s">
        <v>9889</v>
      </c>
      <c r="D318" s="31" t="s">
        <v>9890</v>
      </c>
      <c r="E318" s="31" t="s">
        <v>11981</v>
      </c>
      <c r="F318" s="31" t="s">
        <v>11982</v>
      </c>
      <c r="G318" s="31" t="s">
        <v>481</v>
      </c>
      <c r="H318" s="31" t="str">
        <f aca="false">IFERROR(VLOOKUP(G318,'Master Taxonomy'!$A$2:$B$1656,2,FALSE()),"")</f>
        <v>Deities</v>
      </c>
      <c r="I318" s="31" t="s">
        <v>11983</v>
      </c>
      <c r="J318" s="31" t="s">
        <v>11984</v>
      </c>
      <c r="K318" s="31" t="s">
        <v>11985</v>
      </c>
      <c r="L318" s="31" t="s">
        <v>11986</v>
      </c>
      <c r="M318" s="31" t="s">
        <v>11987</v>
      </c>
      <c r="N318" s="31" t="s">
        <v>11988</v>
      </c>
      <c r="O318" s="31" t="s">
        <v>9960</v>
      </c>
      <c r="P318" s="31" t="s">
        <v>10137</v>
      </c>
      <c r="Q318" s="31" t="s">
        <v>11989</v>
      </c>
      <c r="R318" s="31" t="s">
        <v>11990</v>
      </c>
      <c r="S318" s="31" t="s">
        <v>9963</v>
      </c>
    </row>
    <row r="319" customFormat="false" ht="51.75" hidden="false" customHeight="true" outlineLevel="0" collapsed="false">
      <c r="A319" s="30" t="s">
        <v>11991</v>
      </c>
      <c r="B319" s="31" t="s">
        <v>11992</v>
      </c>
      <c r="C319" s="31" t="s">
        <v>9889</v>
      </c>
      <c r="D319" s="31" t="s">
        <v>9890</v>
      </c>
      <c r="E319" s="31" t="s">
        <v>11981</v>
      </c>
      <c r="F319" s="31" t="s">
        <v>11982</v>
      </c>
      <c r="G319" s="31" t="s">
        <v>215</v>
      </c>
      <c r="H319" s="31" t="str">
        <f aca="false">IFERROR(VLOOKUP(G319,'Master Taxonomy'!$A$2:$B$1656,2,FALSE()),"")</f>
        <v>Divine and Celestial Beings</v>
      </c>
      <c r="I319" s="31" t="s">
        <v>11993</v>
      </c>
      <c r="J319" s="31" t="s">
        <v>11994</v>
      </c>
      <c r="K319" s="31" t="s">
        <v>11995</v>
      </c>
      <c r="L319" s="31" t="s">
        <v>11996</v>
      </c>
      <c r="M319" s="31" t="s">
        <v>11997</v>
      </c>
      <c r="N319" s="31" t="s">
        <v>11998</v>
      </c>
      <c r="O319" s="31" t="s">
        <v>9960</v>
      </c>
      <c r="P319" s="31" t="s">
        <v>10137</v>
      </c>
      <c r="Q319" s="31" t="s">
        <v>11999</v>
      </c>
      <c r="R319" s="31" t="s">
        <v>11990</v>
      </c>
      <c r="S319" s="31" t="s">
        <v>9963</v>
      </c>
    </row>
    <row r="320" customFormat="false" ht="51.75" hidden="false" customHeight="true" outlineLevel="0" collapsed="false">
      <c r="A320" s="30" t="s">
        <v>12000</v>
      </c>
      <c r="B320" s="31" t="s">
        <v>12001</v>
      </c>
      <c r="C320" s="31" t="s">
        <v>9889</v>
      </c>
      <c r="D320" s="31" t="s">
        <v>9890</v>
      </c>
      <c r="E320" s="31" t="s">
        <v>11981</v>
      </c>
      <c r="F320" s="31" t="s">
        <v>12002</v>
      </c>
      <c r="G320" s="31" t="s">
        <v>219</v>
      </c>
      <c r="H320" s="31" t="str">
        <f aca="false">IFERROR(VLOOKUP(G320,'Master Taxonomy'!$A$2:$B$1656,2,FALSE()),"")</f>
        <v>Infernal and Corruptive Beings</v>
      </c>
      <c r="I320" s="31" t="s">
        <v>12003</v>
      </c>
      <c r="J320" s="31" t="s">
        <v>12004</v>
      </c>
      <c r="K320" s="31" t="s">
        <v>12005</v>
      </c>
      <c r="L320" s="31" t="s">
        <v>12006</v>
      </c>
      <c r="M320" s="31" t="s">
        <v>12007</v>
      </c>
      <c r="N320" s="31" t="s">
        <v>12008</v>
      </c>
      <c r="O320" s="31" t="s">
        <v>9960</v>
      </c>
      <c r="P320" s="31" t="s">
        <v>10137</v>
      </c>
      <c r="Q320" s="31" t="s">
        <v>12009</v>
      </c>
      <c r="R320" s="31" t="s">
        <v>11990</v>
      </c>
      <c r="S320" s="31" t="s">
        <v>9963</v>
      </c>
    </row>
    <row r="321" customFormat="false" ht="51.75" hidden="false" customHeight="true" outlineLevel="0" collapsed="false">
      <c r="A321" s="30" t="s">
        <v>12010</v>
      </c>
      <c r="B321" s="31" t="s">
        <v>12011</v>
      </c>
      <c r="C321" s="31" t="s">
        <v>9889</v>
      </c>
      <c r="D321" s="31" t="s">
        <v>9890</v>
      </c>
      <c r="E321" s="31" t="s">
        <v>11981</v>
      </c>
      <c r="F321" s="31" t="s">
        <v>12012</v>
      </c>
      <c r="G321" s="31" t="s">
        <v>392</v>
      </c>
      <c r="H321" s="31" t="str">
        <f aca="false">IFERROR(VLOOKUP(G321,'Master Taxonomy'!$A$2:$B$1656,2,FALSE()),"")</f>
        <v>Nymphs and Place-Bound Nature Spirits</v>
      </c>
      <c r="I321" s="31" t="s">
        <v>12013</v>
      </c>
      <c r="J321" s="31" t="s">
        <v>12014</v>
      </c>
      <c r="K321" s="31" t="s">
        <v>12015</v>
      </c>
      <c r="L321" s="31" t="s">
        <v>12016</v>
      </c>
      <c r="M321" s="31" t="s">
        <v>12017</v>
      </c>
      <c r="N321" s="31" t="s">
        <v>12018</v>
      </c>
      <c r="O321" s="31" t="s">
        <v>9960</v>
      </c>
      <c r="P321" s="31" t="s">
        <v>10137</v>
      </c>
      <c r="Q321" s="31" t="s">
        <v>12019</v>
      </c>
      <c r="R321" s="31" t="s">
        <v>11990</v>
      </c>
      <c r="S321" s="31" t="s">
        <v>9963</v>
      </c>
    </row>
    <row r="322" customFormat="false" ht="51.75" hidden="false" customHeight="true" outlineLevel="0" collapsed="false">
      <c r="A322" s="30" t="s">
        <v>12020</v>
      </c>
      <c r="B322" s="31" t="s">
        <v>12021</v>
      </c>
      <c r="C322" s="31" t="s">
        <v>9889</v>
      </c>
      <c r="D322" s="31" t="s">
        <v>9890</v>
      </c>
      <c r="E322" s="31" t="s">
        <v>11981</v>
      </c>
      <c r="F322" s="31" t="s">
        <v>12022</v>
      </c>
      <c r="G322" s="31" t="s">
        <v>494</v>
      </c>
      <c r="H322" s="31" t="str">
        <f aca="false">IFERROR(VLOOKUP(G322,'Master Taxonomy'!$A$2:$B$1656,2,FALSE()),"")</f>
        <v>Celestials and Angelic Beings</v>
      </c>
      <c r="I322" s="31" t="s">
        <v>12023</v>
      </c>
      <c r="J322" s="31" t="s">
        <v>12024</v>
      </c>
      <c r="K322" s="31" t="s">
        <v>12025</v>
      </c>
      <c r="L322" s="31" t="s">
        <v>12026</v>
      </c>
      <c r="M322" s="31" t="s">
        <v>12027</v>
      </c>
      <c r="N322" s="31" t="s">
        <v>12028</v>
      </c>
      <c r="O322" s="31" t="s">
        <v>9960</v>
      </c>
      <c r="P322" s="31" t="s">
        <v>10137</v>
      </c>
      <c r="Q322" s="31" t="s">
        <v>12029</v>
      </c>
      <c r="R322" s="31" t="s">
        <v>11990</v>
      </c>
      <c r="S322" s="31" t="s">
        <v>9963</v>
      </c>
    </row>
    <row r="323" customFormat="false" ht="51.75" hidden="false" customHeight="true" outlineLevel="0" collapsed="false">
      <c r="A323" s="30" t="s">
        <v>12030</v>
      </c>
      <c r="B323" s="31" t="s">
        <v>12031</v>
      </c>
      <c r="C323" s="31" t="s">
        <v>9889</v>
      </c>
      <c r="D323" s="31" t="s">
        <v>9890</v>
      </c>
      <c r="E323" s="31" t="s">
        <v>11981</v>
      </c>
      <c r="F323" s="31" t="s">
        <v>12022</v>
      </c>
      <c r="G323" s="31" t="s">
        <v>494</v>
      </c>
      <c r="H323" s="31" t="str">
        <f aca="false">IFERROR(VLOOKUP(G323,'Master Taxonomy'!$A$2:$B$1656,2,FALSE()),"")</f>
        <v>Celestials and Angelic Beings</v>
      </c>
      <c r="I323" s="31" t="s">
        <v>12032</v>
      </c>
      <c r="J323" s="31" t="s">
        <v>12033</v>
      </c>
      <c r="K323" s="31" t="s">
        <v>12034</v>
      </c>
      <c r="L323" s="31" t="s">
        <v>12035</v>
      </c>
      <c r="M323" s="31" t="s">
        <v>12036</v>
      </c>
      <c r="N323" s="31" t="s">
        <v>12037</v>
      </c>
      <c r="O323" s="31" t="s">
        <v>9960</v>
      </c>
      <c r="P323" s="31" t="s">
        <v>10137</v>
      </c>
      <c r="Q323" s="31" t="s">
        <v>12038</v>
      </c>
      <c r="R323" s="31" t="s">
        <v>11990</v>
      </c>
      <c r="S323" s="31" t="s">
        <v>9963</v>
      </c>
    </row>
    <row r="324" customFormat="false" ht="51.75" hidden="false" customHeight="true" outlineLevel="0" collapsed="false">
      <c r="A324" s="30" t="s">
        <v>12039</v>
      </c>
      <c r="B324" s="31" t="s">
        <v>12040</v>
      </c>
      <c r="C324" s="31" t="s">
        <v>9889</v>
      </c>
      <c r="D324" s="31" t="s">
        <v>9890</v>
      </c>
      <c r="E324" s="31" t="s">
        <v>11981</v>
      </c>
      <c r="F324" s="31" t="s">
        <v>12041</v>
      </c>
      <c r="G324" s="31" t="s">
        <v>301</v>
      </c>
      <c r="H324" s="31" t="str">
        <f aca="false">IFERROR(VLOOKUP(G324,'Master Taxonomy'!$A$2:$B$1656,2,FALSE()),"")</f>
        <v>Serpentfolk, Naga, and Lamia Peoples</v>
      </c>
      <c r="I324" s="31" t="s">
        <v>12042</v>
      </c>
      <c r="J324" s="31" t="s">
        <v>12043</v>
      </c>
      <c r="K324" s="31" t="s">
        <v>12044</v>
      </c>
      <c r="L324" s="31" t="s">
        <v>12045</v>
      </c>
      <c r="M324" s="31" t="s">
        <v>12046</v>
      </c>
      <c r="N324" s="31" t="s">
        <v>12047</v>
      </c>
      <c r="O324" s="31" t="s">
        <v>9960</v>
      </c>
      <c r="P324" s="31" t="s">
        <v>10137</v>
      </c>
      <c r="Q324" s="31" t="s">
        <v>12048</v>
      </c>
      <c r="R324" s="31" t="s">
        <v>11990</v>
      </c>
      <c r="S324" s="31" t="s">
        <v>9963</v>
      </c>
    </row>
    <row r="325" customFormat="false" ht="51.75" hidden="false" customHeight="true" outlineLevel="0" collapsed="false">
      <c r="A325" s="30" t="s">
        <v>12049</v>
      </c>
      <c r="B325" s="31" t="s">
        <v>12050</v>
      </c>
      <c r="C325" s="31" t="s">
        <v>9889</v>
      </c>
      <c r="D325" s="31" t="s">
        <v>9890</v>
      </c>
      <c r="E325" s="31" t="s">
        <v>11981</v>
      </c>
      <c r="F325" s="31" t="s">
        <v>12051</v>
      </c>
      <c r="G325" s="31" t="s">
        <v>440</v>
      </c>
      <c r="H325" s="31" t="str">
        <f aca="false">IFERROR(VLOOKUP(G325,'Master Taxonomy'!$A$2:$B$1656,2,FALSE()),"")</f>
        <v>Ancestral Spirits</v>
      </c>
      <c r="I325" s="31" t="s">
        <v>12052</v>
      </c>
      <c r="J325" s="31" t="s">
        <v>12053</v>
      </c>
      <c r="K325" s="31" t="s">
        <v>12054</v>
      </c>
      <c r="L325" s="31" t="s">
        <v>12055</v>
      </c>
      <c r="M325" s="31" t="s">
        <v>12056</v>
      </c>
      <c r="N325" s="31" t="s">
        <v>12057</v>
      </c>
      <c r="O325" s="31" t="s">
        <v>9960</v>
      </c>
      <c r="P325" s="31" t="s">
        <v>10137</v>
      </c>
      <c r="Q325" s="31" t="s">
        <v>12058</v>
      </c>
      <c r="R325" s="31" t="s">
        <v>12059</v>
      </c>
      <c r="S325" s="31" t="s">
        <v>9963</v>
      </c>
    </row>
    <row r="326" customFormat="false" ht="51.75" hidden="false" customHeight="true" outlineLevel="0" collapsed="false">
      <c r="A326" s="30" t="s">
        <v>12060</v>
      </c>
      <c r="B326" s="31" t="s">
        <v>12061</v>
      </c>
      <c r="C326" s="31" t="s">
        <v>9889</v>
      </c>
      <c r="D326" s="31" t="s">
        <v>9890</v>
      </c>
      <c r="E326" s="31" t="s">
        <v>11981</v>
      </c>
      <c r="F326" s="31" t="s">
        <v>12062</v>
      </c>
      <c r="G326" s="31" t="s">
        <v>486</v>
      </c>
      <c r="H326" s="31" t="str">
        <f aca="false">IFERROR(VLOOKUP(G326,'Master Taxonomy'!$A$2:$B$1656,2,FALSE()),"")</f>
        <v>Demigods and Divine-Blooded Beings</v>
      </c>
      <c r="I326" s="31" t="s">
        <v>12063</v>
      </c>
      <c r="J326" s="31" t="s">
        <v>12064</v>
      </c>
      <c r="K326" s="31" t="s">
        <v>12065</v>
      </c>
      <c r="L326" s="31" t="s">
        <v>12066</v>
      </c>
      <c r="M326" s="31" t="s">
        <v>12067</v>
      </c>
      <c r="N326" s="31" t="s">
        <v>12068</v>
      </c>
      <c r="O326" s="31" t="s">
        <v>9960</v>
      </c>
      <c r="P326" s="31" t="s">
        <v>10137</v>
      </c>
      <c r="Q326" s="31" t="s">
        <v>12069</v>
      </c>
      <c r="R326" s="31" t="s">
        <v>11990</v>
      </c>
      <c r="S326" s="31" t="s">
        <v>9963</v>
      </c>
    </row>
    <row r="327" customFormat="false" ht="51.75" hidden="false" customHeight="true" outlineLevel="0" collapsed="false">
      <c r="A327" s="30" t="s">
        <v>12070</v>
      </c>
      <c r="B327" s="31" t="s">
        <v>12071</v>
      </c>
      <c r="C327" s="31" t="s">
        <v>9898</v>
      </c>
      <c r="D327" s="31" t="s">
        <v>9899</v>
      </c>
      <c r="E327" s="31" t="s">
        <v>12072</v>
      </c>
      <c r="F327" s="31" t="s">
        <v>12073</v>
      </c>
      <c r="G327" s="31" t="s">
        <v>490</v>
      </c>
      <c r="H327" s="31" t="str">
        <f aca="false">IFERROR(VLOOKUP(G327,'Master Taxonomy'!$A$2:$B$1656,2,FALSE()),"")</f>
        <v>Avatars and Incarnations</v>
      </c>
      <c r="I327" s="31" t="s">
        <v>12074</v>
      </c>
      <c r="J327" s="31" t="s">
        <v>12075</v>
      </c>
      <c r="K327" s="31" t="s">
        <v>12076</v>
      </c>
      <c r="L327" s="31" t="s">
        <v>12077</v>
      </c>
      <c r="M327" s="31" t="s">
        <v>12078</v>
      </c>
      <c r="N327" s="31" t="s">
        <v>12079</v>
      </c>
      <c r="O327" s="31" t="s">
        <v>9960</v>
      </c>
      <c r="P327" s="31" t="s">
        <v>10137</v>
      </c>
      <c r="Q327" s="31" t="s">
        <v>12080</v>
      </c>
      <c r="R327" s="31" t="s">
        <v>9906</v>
      </c>
      <c r="S327" s="31" t="s">
        <v>9963</v>
      </c>
    </row>
    <row r="328" customFormat="false" ht="51.75" hidden="false" customHeight="true" outlineLevel="0" collapsed="false">
      <c r="A328" s="30" t="s">
        <v>12081</v>
      </c>
      <c r="B328" s="31" t="s">
        <v>12082</v>
      </c>
      <c r="C328" s="31" t="s">
        <v>9889</v>
      </c>
      <c r="D328" s="31" t="s">
        <v>9890</v>
      </c>
      <c r="E328" s="31" t="s">
        <v>11981</v>
      </c>
      <c r="F328" s="31" t="s">
        <v>12083</v>
      </c>
      <c r="G328" s="31" t="s">
        <v>486</v>
      </c>
      <c r="H328" s="31" t="str">
        <f aca="false">IFERROR(VLOOKUP(G328,'Master Taxonomy'!$A$2:$B$1656,2,FALSE()),"")</f>
        <v>Demigods and Divine-Blooded Beings</v>
      </c>
      <c r="I328" s="31" t="s">
        <v>490</v>
      </c>
      <c r="J328" s="31" t="s">
        <v>491</v>
      </c>
      <c r="K328" s="31" t="s">
        <v>12084</v>
      </c>
      <c r="L328" s="31" t="s">
        <v>12085</v>
      </c>
      <c r="M328" s="31" t="s">
        <v>12086</v>
      </c>
      <c r="N328" s="31" t="s">
        <v>12087</v>
      </c>
      <c r="O328" s="31" t="s">
        <v>9960</v>
      </c>
      <c r="P328" s="31" t="s">
        <v>10137</v>
      </c>
      <c r="Q328" s="31" t="s">
        <v>12088</v>
      </c>
      <c r="R328" s="31" t="s">
        <v>11990</v>
      </c>
      <c r="S328" s="31" t="s">
        <v>9963</v>
      </c>
    </row>
    <row r="329" customFormat="false" ht="51.75" hidden="false" customHeight="true" outlineLevel="0" collapsed="false">
      <c r="A329" s="30" t="s">
        <v>12089</v>
      </c>
      <c r="B329" s="31" t="s">
        <v>12090</v>
      </c>
      <c r="C329" s="31" t="s">
        <v>9889</v>
      </c>
      <c r="D329" s="31" t="s">
        <v>9890</v>
      </c>
      <c r="E329" s="31" t="s">
        <v>11981</v>
      </c>
      <c r="F329" s="31" t="s">
        <v>12091</v>
      </c>
      <c r="G329" s="31" t="s">
        <v>247</v>
      </c>
      <c r="H329" s="31" t="str">
        <f aca="false">IFERROR(VLOOKUP(G329,'Master Taxonomy'!$A$2:$B$1656,2,FALSE()),"")</f>
        <v>Human and Near-Human Peoples</v>
      </c>
      <c r="I329" s="31" t="s">
        <v>12092</v>
      </c>
      <c r="J329" s="31" t="s">
        <v>12093</v>
      </c>
      <c r="K329" s="31" t="s">
        <v>12094</v>
      </c>
      <c r="L329" s="31" t="s">
        <v>12095</v>
      </c>
      <c r="M329" s="31" t="s">
        <v>12096</v>
      </c>
      <c r="N329" s="31" t="s">
        <v>12097</v>
      </c>
      <c r="O329" s="31" t="s">
        <v>9960</v>
      </c>
      <c r="P329" s="31" t="s">
        <v>10137</v>
      </c>
      <c r="Q329" s="31" t="s">
        <v>12098</v>
      </c>
      <c r="R329" s="31" t="s">
        <v>11990</v>
      </c>
      <c r="S329" s="31" t="s">
        <v>9963</v>
      </c>
    </row>
    <row r="330" customFormat="false" ht="51.75" hidden="false" customHeight="true" outlineLevel="0" collapsed="false">
      <c r="A330" s="30" t="s">
        <v>12099</v>
      </c>
      <c r="B330" s="31" t="s">
        <v>12100</v>
      </c>
      <c r="C330" s="31" t="s">
        <v>9889</v>
      </c>
      <c r="D330" s="31" t="s">
        <v>9890</v>
      </c>
      <c r="E330" s="31" t="s">
        <v>11981</v>
      </c>
      <c r="F330" s="31" t="s">
        <v>12101</v>
      </c>
      <c r="G330" s="31" t="s">
        <v>1259</v>
      </c>
      <c r="H330" s="31" t="str">
        <f aca="false">IFERROR(VLOOKUP(G330,'Master Taxonomy'!$A$2:$B$1656,2,FALSE()),"")</f>
        <v>Sage</v>
      </c>
      <c r="I330" s="31" t="s">
        <v>12102</v>
      </c>
      <c r="J330" s="31" t="s">
        <v>12103</v>
      </c>
      <c r="K330" s="31" t="s">
        <v>12104</v>
      </c>
      <c r="L330" s="31" t="s">
        <v>12105</v>
      </c>
      <c r="M330" s="31" t="s">
        <v>12106</v>
      </c>
      <c r="N330" s="31" t="s">
        <v>12107</v>
      </c>
      <c r="O330" s="31" t="s">
        <v>9960</v>
      </c>
      <c r="P330" s="31" t="s">
        <v>10137</v>
      </c>
      <c r="Q330" s="31" t="s">
        <v>12108</v>
      </c>
      <c r="R330" s="31" t="s">
        <v>11990</v>
      </c>
      <c r="S330" s="31" t="s">
        <v>9963</v>
      </c>
    </row>
    <row r="331" customFormat="false" ht="51.75" hidden="false" customHeight="true" outlineLevel="0" collapsed="false">
      <c r="A331" s="30" t="s">
        <v>12109</v>
      </c>
      <c r="B331" s="31" t="s">
        <v>12110</v>
      </c>
      <c r="C331" s="31" t="s">
        <v>9889</v>
      </c>
      <c r="D331" s="31" t="s">
        <v>9890</v>
      </c>
      <c r="E331" s="31" t="s">
        <v>11981</v>
      </c>
      <c r="F331" s="31" t="s">
        <v>12111</v>
      </c>
      <c r="G331" s="31" t="s">
        <v>1259</v>
      </c>
      <c r="H331" s="31" t="str">
        <f aca="false">IFERROR(VLOOKUP(G331,'Master Taxonomy'!$A$2:$B$1656,2,FALSE()),"")</f>
        <v>Sage</v>
      </c>
      <c r="I331" s="31" t="s">
        <v>12112</v>
      </c>
      <c r="J331" s="31" t="s">
        <v>12113</v>
      </c>
      <c r="K331" s="31" t="s">
        <v>12114</v>
      </c>
      <c r="L331" s="31" t="s">
        <v>12115</v>
      </c>
      <c r="M331" s="31" t="s">
        <v>12116</v>
      </c>
      <c r="N331" s="31" t="s">
        <v>12117</v>
      </c>
      <c r="O331" s="31" t="s">
        <v>9960</v>
      </c>
      <c r="P331" s="31" t="s">
        <v>9961</v>
      </c>
      <c r="Q331" s="31" t="s">
        <v>12118</v>
      </c>
      <c r="R331" s="31" t="s">
        <v>8192</v>
      </c>
      <c r="S331" s="31" t="s">
        <v>9963</v>
      </c>
    </row>
    <row r="332" customFormat="false" ht="51.75" hidden="false" customHeight="true" outlineLevel="0" collapsed="false">
      <c r="A332" s="30" t="s">
        <v>12119</v>
      </c>
      <c r="B332" s="31" t="s">
        <v>12120</v>
      </c>
      <c r="C332" s="31" t="s">
        <v>9889</v>
      </c>
      <c r="D332" s="31" t="s">
        <v>9890</v>
      </c>
      <c r="E332" s="31" t="s">
        <v>11981</v>
      </c>
      <c r="F332" s="31" t="s">
        <v>12121</v>
      </c>
      <c r="G332" s="31" t="s">
        <v>3522</v>
      </c>
      <c r="H332" s="31" t="str">
        <f aca="false">IFERROR(VLOOKUP(G332,'Master Taxonomy'!$A$2:$B$1656,2,FALSE()),"")</f>
        <v>Estate or Social Order</v>
      </c>
      <c r="I332" s="31" t="s">
        <v>12122</v>
      </c>
      <c r="J332" s="31" t="s">
        <v>12123</v>
      </c>
      <c r="K332" s="31" t="s">
        <v>12124</v>
      </c>
      <c r="L332" s="31" t="s">
        <v>12125</v>
      </c>
      <c r="M332" s="31" t="s">
        <v>12126</v>
      </c>
      <c r="N332" s="31" t="s">
        <v>12127</v>
      </c>
      <c r="O332" s="31" t="s">
        <v>9960</v>
      </c>
      <c r="P332" s="31" t="s">
        <v>10137</v>
      </c>
      <c r="Q332" s="31" t="s">
        <v>12128</v>
      </c>
      <c r="R332" s="31" t="s">
        <v>12129</v>
      </c>
      <c r="S332" s="31" t="s">
        <v>9963</v>
      </c>
    </row>
    <row r="333" customFormat="false" ht="51.75" hidden="false" customHeight="true" outlineLevel="0" collapsed="false">
      <c r="A333" s="30" t="s">
        <v>12130</v>
      </c>
      <c r="B333" s="31" t="s">
        <v>12131</v>
      </c>
      <c r="C333" s="31" t="s">
        <v>9889</v>
      </c>
      <c r="D333" s="31" t="s">
        <v>9890</v>
      </c>
      <c r="E333" s="31" t="s">
        <v>11981</v>
      </c>
      <c r="F333" s="31" t="s">
        <v>12132</v>
      </c>
      <c r="G333" s="31" t="s">
        <v>3522</v>
      </c>
      <c r="H333" s="31" t="str">
        <f aca="false">IFERROR(VLOOKUP(G333,'Master Taxonomy'!$A$2:$B$1656,2,FALSE()),"")</f>
        <v>Estate or Social Order</v>
      </c>
      <c r="I333" s="31" t="s">
        <v>12133</v>
      </c>
      <c r="J333" s="31" t="s">
        <v>12134</v>
      </c>
      <c r="K333" s="31" t="s">
        <v>12135</v>
      </c>
      <c r="L333" s="31" t="s">
        <v>12136</v>
      </c>
      <c r="M333" s="31" t="s">
        <v>12137</v>
      </c>
      <c r="N333" s="31" t="s">
        <v>12138</v>
      </c>
      <c r="O333" s="31" t="s">
        <v>9960</v>
      </c>
      <c r="P333" s="31" t="s">
        <v>10137</v>
      </c>
      <c r="Q333" s="31" t="s">
        <v>12139</v>
      </c>
      <c r="R333" s="31" t="s">
        <v>12140</v>
      </c>
      <c r="S333" s="31" t="s">
        <v>9963</v>
      </c>
    </row>
    <row r="334" customFormat="false" ht="51.75" hidden="false" customHeight="true" outlineLevel="0" collapsed="false">
      <c r="A334" s="30" t="s">
        <v>12141</v>
      </c>
      <c r="B334" s="31" t="s">
        <v>12142</v>
      </c>
      <c r="C334" s="31" t="s">
        <v>9889</v>
      </c>
      <c r="D334" s="31" t="s">
        <v>9890</v>
      </c>
      <c r="E334" s="31" t="s">
        <v>11981</v>
      </c>
      <c r="F334" s="31" t="s">
        <v>12143</v>
      </c>
      <c r="G334" s="31" t="s">
        <v>7957</v>
      </c>
      <c r="H334" s="31" t="str">
        <f aca="false">IFERROR(VLOOKUP(G334,'Master Taxonomy'!$A$2:$B$1656,2,FALSE()),"")</f>
        <v>Royal Sage</v>
      </c>
      <c r="I334" s="31" t="s">
        <v>12144</v>
      </c>
      <c r="J334" s="31" t="s">
        <v>12145</v>
      </c>
      <c r="K334" s="31" t="s">
        <v>12146</v>
      </c>
      <c r="L334" s="31" t="s">
        <v>12147</v>
      </c>
      <c r="M334" s="31" t="s">
        <v>12148</v>
      </c>
      <c r="N334" s="31" t="s">
        <v>12149</v>
      </c>
      <c r="O334" s="31" t="s">
        <v>9960</v>
      </c>
      <c r="P334" s="31" t="s">
        <v>10137</v>
      </c>
      <c r="Q334" s="31" t="s">
        <v>12150</v>
      </c>
      <c r="R334" s="31" t="s">
        <v>12129</v>
      </c>
      <c r="S334" s="31" t="s">
        <v>9963</v>
      </c>
    </row>
    <row r="335" customFormat="false" ht="51.75" hidden="false" customHeight="true" outlineLevel="0" collapsed="false">
      <c r="A335" s="30" t="s">
        <v>12151</v>
      </c>
      <c r="B335" s="31" t="s">
        <v>12152</v>
      </c>
      <c r="C335" s="31" t="s">
        <v>9889</v>
      </c>
      <c r="D335" s="31" t="s">
        <v>9890</v>
      </c>
      <c r="E335" s="31" t="s">
        <v>11981</v>
      </c>
      <c r="F335" s="31" t="s">
        <v>12153</v>
      </c>
      <c r="G335" s="31" t="s">
        <v>1741</v>
      </c>
      <c r="H335" s="31" t="str">
        <f aca="false">IFERROR(VLOOKUP(G335,'Master Taxonomy'!$A$2:$B$1656,2,FALSE()),"")</f>
        <v>Teacher and Mentor</v>
      </c>
      <c r="I335" s="31" t="s">
        <v>12154</v>
      </c>
      <c r="J335" s="31" t="s">
        <v>12155</v>
      </c>
      <c r="K335" s="31" t="s">
        <v>12156</v>
      </c>
      <c r="L335" s="31" t="s">
        <v>12157</v>
      </c>
      <c r="M335" s="31" t="s">
        <v>12158</v>
      </c>
      <c r="N335" s="31" t="s">
        <v>12159</v>
      </c>
      <c r="O335" s="31" t="s">
        <v>9960</v>
      </c>
      <c r="P335" s="31" t="s">
        <v>10137</v>
      </c>
      <c r="Q335" s="31" t="s">
        <v>12160</v>
      </c>
      <c r="R335" s="31" t="s">
        <v>12140</v>
      </c>
      <c r="S335" s="31" t="s">
        <v>9963</v>
      </c>
    </row>
    <row r="336" customFormat="false" ht="51.75" hidden="false" customHeight="true" outlineLevel="0" collapsed="false">
      <c r="A336" s="30" t="s">
        <v>12161</v>
      </c>
      <c r="B336" s="31" t="s">
        <v>12162</v>
      </c>
      <c r="C336" s="31" t="s">
        <v>9889</v>
      </c>
      <c r="D336" s="31" t="s">
        <v>9890</v>
      </c>
      <c r="E336" s="31" t="s">
        <v>11981</v>
      </c>
      <c r="F336" s="31" t="s">
        <v>12163</v>
      </c>
      <c r="G336" s="31" t="s">
        <v>7964</v>
      </c>
      <c r="H336" s="31" t="str">
        <f aca="false">IFERROR(VLOOKUP(G336,'Master Taxonomy'!$A$2:$B$1656,2,FALSE()),"")</f>
        <v>Martial Preceptor</v>
      </c>
      <c r="I336" s="31" t="s">
        <v>12154</v>
      </c>
      <c r="J336" s="31" t="s">
        <v>12155</v>
      </c>
      <c r="K336" s="31" t="s">
        <v>12164</v>
      </c>
      <c r="L336" s="31" t="s">
        <v>12165</v>
      </c>
      <c r="M336" s="31" t="s">
        <v>12166</v>
      </c>
      <c r="N336" s="31" t="s">
        <v>12167</v>
      </c>
      <c r="O336" s="31" t="s">
        <v>9960</v>
      </c>
      <c r="P336" s="31" t="s">
        <v>10137</v>
      </c>
      <c r="Q336" s="31" t="s">
        <v>12168</v>
      </c>
      <c r="R336" s="31" t="s">
        <v>12140</v>
      </c>
      <c r="S336" s="31" t="s">
        <v>9963</v>
      </c>
    </row>
    <row r="337" customFormat="false" ht="51.75" hidden="false" customHeight="true" outlineLevel="0" collapsed="false">
      <c r="A337" s="30" t="s">
        <v>12169</v>
      </c>
      <c r="B337" s="31" t="s">
        <v>12170</v>
      </c>
      <c r="C337" s="31" t="s">
        <v>9889</v>
      </c>
      <c r="D337" s="31" t="s">
        <v>9890</v>
      </c>
      <c r="E337" s="31" t="s">
        <v>11981</v>
      </c>
      <c r="F337" s="31" t="s">
        <v>12171</v>
      </c>
      <c r="G337" s="31" t="s">
        <v>1067</v>
      </c>
      <c r="H337" s="31" t="str">
        <f aca="false">IFERROR(VLOOKUP(G337,'Master Taxonomy'!$A$2:$B$1656,2,FALSE()),"")</f>
        <v>Charioteer</v>
      </c>
      <c r="I337" s="31" t="s">
        <v>12172</v>
      </c>
      <c r="J337" s="31" t="s">
        <v>12173</v>
      </c>
      <c r="K337" s="31" t="s">
        <v>12174</v>
      </c>
      <c r="L337" s="31" t="s">
        <v>12175</v>
      </c>
      <c r="M337" s="31" t="s">
        <v>12176</v>
      </c>
      <c r="N337" s="31" t="s">
        <v>12177</v>
      </c>
      <c r="O337" s="31" t="s">
        <v>9960</v>
      </c>
      <c r="P337" s="31" t="s">
        <v>10137</v>
      </c>
      <c r="Q337" s="31" t="s">
        <v>12178</v>
      </c>
      <c r="R337" s="31" t="s">
        <v>12140</v>
      </c>
      <c r="S337" s="31" t="s">
        <v>9963</v>
      </c>
    </row>
    <row r="338" customFormat="false" ht="51.75" hidden="false" customHeight="true" outlineLevel="0" collapsed="false">
      <c r="A338" s="30" t="s">
        <v>12179</v>
      </c>
      <c r="B338" s="31" t="s">
        <v>12180</v>
      </c>
      <c r="C338" s="31" t="s">
        <v>9889</v>
      </c>
      <c r="D338" s="31" t="s">
        <v>9890</v>
      </c>
      <c r="E338" s="31" t="s">
        <v>11981</v>
      </c>
      <c r="F338" s="31" t="s">
        <v>12181</v>
      </c>
      <c r="G338" s="31" t="s">
        <v>1765</v>
      </c>
      <c r="H338" s="31" t="str">
        <f aca="false">IFERROR(VLOOKUP(G338,'Master Taxonomy'!$A$2:$B$1656,2,FALSE()),"")</f>
        <v>Diplomat and Ambassador</v>
      </c>
      <c r="I338" s="31" t="s">
        <v>12182</v>
      </c>
      <c r="J338" s="31" t="s">
        <v>12183</v>
      </c>
      <c r="K338" s="31" t="s">
        <v>12184</v>
      </c>
      <c r="L338" s="31" t="s">
        <v>12185</v>
      </c>
      <c r="M338" s="31" t="s">
        <v>12186</v>
      </c>
      <c r="N338" s="31" t="s">
        <v>12187</v>
      </c>
      <c r="O338" s="31" t="s">
        <v>9960</v>
      </c>
      <c r="P338" s="31" t="s">
        <v>10137</v>
      </c>
      <c r="Q338" s="31" t="s">
        <v>12188</v>
      </c>
      <c r="R338" s="31" t="s">
        <v>12140</v>
      </c>
      <c r="S338" s="31" t="s">
        <v>9963</v>
      </c>
    </row>
    <row r="339" customFormat="false" ht="51.75" hidden="false" customHeight="true" outlineLevel="0" collapsed="false">
      <c r="A339" s="30" t="s">
        <v>12189</v>
      </c>
      <c r="B339" s="31" t="s">
        <v>12190</v>
      </c>
      <c r="C339" s="31" t="s">
        <v>9889</v>
      </c>
      <c r="D339" s="31" t="s">
        <v>9890</v>
      </c>
      <c r="E339" s="31" t="s">
        <v>11981</v>
      </c>
      <c r="F339" s="31" t="s">
        <v>12191</v>
      </c>
      <c r="G339" s="31" t="s">
        <v>1793</v>
      </c>
      <c r="H339" s="31" t="str">
        <f aca="false">IFERROR(VLOOKUP(G339,'Master Taxonomy'!$A$2:$B$1656,2,FALSE()),"")</f>
        <v>Monarch</v>
      </c>
      <c r="I339" s="31" t="s">
        <v>12192</v>
      </c>
      <c r="J339" s="31" t="s">
        <v>12193</v>
      </c>
      <c r="K339" s="31" t="s">
        <v>12194</v>
      </c>
      <c r="L339" s="31" t="s">
        <v>12195</v>
      </c>
      <c r="M339" s="31" t="s">
        <v>12196</v>
      </c>
      <c r="N339" s="31" t="s">
        <v>12197</v>
      </c>
      <c r="O339" s="31" t="s">
        <v>9960</v>
      </c>
      <c r="P339" s="31" t="s">
        <v>10137</v>
      </c>
      <c r="Q339" s="31" t="s">
        <v>12198</v>
      </c>
      <c r="R339" s="31" t="s">
        <v>12129</v>
      </c>
      <c r="S339" s="31" t="s">
        <v>9963</v>
      </c>
    </row>
    <row r="340" customFormat="false" ht="51.75" hidden="false" customHeight="true" outlineLevel="0" collapsed="false">
      <c r="A340" s="30" t="s">
        <v>12199</v>
      </c>
      <c r="B340" s="31" t="s">
        <v>12200</v>
      </c>
      <c r="C340" s="31" t="s">
        <v>9889</v>
      </c>
      <c r="D340" s="31" t="s">
        <v>9890</v>
      </c>
      <c r="E340" s="31" t="s">
        <v>11981</v>
      </c>
      <c r="F340" s="31" t="s">
        <v>12201</v>
      </c>
      <c r="G340" s="31" t="s">
        <v>1838</v>
      </c>
      <c r="H340" s="31" t="str">
        <f aca="false">IFERROR(VLOOKUP(G340,'Master Taxonomy'!$A$2:$B$1656,2,FALSE()),"")</f>
        <v>Adviser and Counselor</v>
      </c>
      <c r="I340" s="31" t="s">
        <v>12202</v>
      </c>
      <c r="J340" s="31" t="s">
        <v>12203</v>
      </c>
      <c r="K340" s="31" t="s">
        <v>12204</v>
      </c>
      <c r="L340" s="31" t="s">
        <v>12205</v>
      </c>
      <c r="M340" s="31" t="s">
        <v>12206</v>
      </c>
      <c r="N340" s="31" t="s">
        <v>12207</v>
      </c>
      <c r="O340" s="31" t="s">
        <v>9960</v>
      </c>
      <c r="P340" s="31" t="s">
        <v>10137</v>
      </c>
      <c r="Q340" s="31" t="s">
        <v>12208</v>
      </c>
      <c r="R340" s="31" t="s">
        <v>12140</v>
      </c>
      <c r="S340" s="31" t="s">
        <v>9963</v>
      </c>
    </row>
    <row r="341" customFormat="false" ht="51.75" hidden="false" customHeight="true" outlineLevel="0" collapsed="false">
      <c r="A341" s="30" t="s">
        <v>12209</v>
      </c>
      <c r="B341" s="31" t="s">
        <v>12210</v>
      </c>
      <c r="C341" s="31" t="s">
        <v>9889</v>
      </c>
      <c r="D341" s="31" t="s">
        <v>9890</v>
      </c>
      <c r="E341" s="31" t="s">
        <v>11981</v>
      </c>
      <c r="F341" s="31" t="s">
        <v>12211</v>
      </c>
      <c r="G341" s="31" t="s">
        <v>1539</v>
      </c>
      <c r="H341" s="31" t="str">
        <f aca="false">IFERROR(VLOOKUP(G341,'Master Taxonomy'!$A$2:$B$1656,2,FALSE()),"")</f>
        <v>Sacrificial Priest</v>
      </c>
      <c r="I341" s="31" t="s">
        <v>12212</v>
      </c>
      <c r="J341" s="31" t="s">
        <v>12213</v>
      </c>
      <c r="K341" s="31" t="s">
        <v>12214</v>
      </c>
      <c r="L341" s="31" t="s">
        <v>12215</v>
      </c>
      <c r="M341" s="31" t="s">
        <v>12216</v>
      </c>
      <c r="N341" s="31" t="s">
        <v>12217</v>
      </c>
      <c r="O341" s="31" t="s">
        <v>9960</v>
      </c>
      <c r="P341" s="31" t="s">
        <v>10137</v>
      </c>
      <c r="Q341" s="31" t="s">
        <v>12218</v>
      </c>
      <c r="R341" s="31" t="s">
        <v>12059</v>
      </c>
      <c r="S341" s="31" t="s">
        <v>9963</v>
      </c>
    </row>
    <row r="342" customFormat="false" ht="51.75" hidden="false" customHeight="true" outlineLevel="0" collapsed="false">
      <c r="A342" s="30" t="s">
        <v>12219</v>
      </c>
      <c r="B342" s="31" t="s">
        <v>12220</v>
      </c>
      <c r="C342" s="31" t="s">
        <v>9889</v>
      </c>
      <c r="D342" s="31" t="s">
        <v>9890</v>
      </c>
      <c r="E342" s="31" t="s">
        <v>11981</v>
      </c>
      <c r="F342" s="31" t="s">
        <v>12221</v>
      </c>
      <c r="G342" s="31" t="s">
        <v>7950</v>
      </c>
      <c r="H342" s="31" t="str">
        <f aca="false">IFERROR(VLOOKUP(G342,'Master Taxonomy'!$A$2:$B$1656,2,FALSE()),"")</f>
        <v>Ascetic or Renunciant</v>
      </c>
      <c r="I342" s="31" t="s">
        <v>12222</v>
      </c>
      <c r="J342" s="31" t="s">
        <v>12223</v>
      </c>
      <c r="K342" s="31" t="s">
        <v>12224</v>
      </c>
      <c r="L342" s="31" t="s">
        <v>12225</v>
      </c>
      <c r="M342" s="31" t="s">
        <v>12226</v>
      </c>
      <c r="N342" s="31" t="s">
        <v>12227</v>
      </c>
      <c r="O342" s="31" t="s">
        <v>9960</v>
      </c>
      <c r="P342" s="31" t="s">
        <v>10137</v>
      </c>
      <c r="Q342" s="31" t="s">
        <v>12228</v>
      </c>
      <c r="R342" s="31" t="s">
        <v>12059</v>
      </c>
      <c r="S342" s="31" t="s">
        <v>9963</v>
      </c>
    </row>
    <row r="343" customFormat="false" ht="51.75" hidden="false" customHeight="true" outlineLevel="0" collapsed="false">
      <c r="A343" s="30" t="s">
        <v>12229</v>
      </c>
      <c r="B343" s="31" t="s">
        <v>12230</v>
      </c>
      <c r="C343" s="31" t="s">
        <v>9889</v>
      </c>
      <c r="D343" s="31" t="s">
        <v>9890</v>
      </c>
      <c r="E343" s="31" t="s">
        <v>11981</v>
      </c>
      <c r="F343" s="31" t="s">
        <v>12231</v>
      </c>
      <c r="G343" s="31" t="s">
        <v>934</v>
      </c>
      <c r="H343" s="31" t="str">
        <f aca="false">IFERROR(VLOOKUP(G343,'Master Taxonomy'!$A$2:$B$1656,2,FALSE()),"")</f>
        <v>Warrior or Fighter</v>
      </c>
      <c r="I343" s="31" t="s">
        <v>12232</v>
      </c>
      <c r="J343" s="31" t="s">
        <v>12233</v>
      </c>
      <c r="K343" s="31" t="s">
        <v>12234</v>
      </c>
      <c r="L343" s="31" t="s">
        <v>12235</v>
      </c>
      <c r="M343" s="31" t="s">
        <v>12236</v>
      </c>
      <c r="N343" s="31" t="s">
        <v>12237</v>
      </c>
      <c r="O343" s="31" t="s">
        <v>9960</v>
      </c>
      <c r="P343" s="31" t="s">
        <v>10137</v>
      </c>
      <c r="Q343" s="31" t="s">
        <v>12238</v>
      </c>
      <c r="R343" s="31" t="s">
        <v>12129</v>
      </c>
      <c r="S343" s="31" t="s">
        <v>9963</v>
      </c>
    </row>
    <row r="344" customFormat="false" ht="51.75" hidden="false" customHeight="true" outlineLevel="0" collapsed="false">
      <c r="A344" s="30" t="s">
        <v>12239</v>
      </c>
      <c r="B344" s="31" t="s">
        <v>12240</v>
      </c>
      <c r="C344" s="31" t="s">
        <v>9889</v>
      </c>
      <c r="D344" s="31" t="s">
        <v>9890</v>
      </c>
      <c r="E344" s="31" t="s">
        <v>11981</v>
      </c>
      <c r="F344" s="31" t="s">
        <v>12241</v>
      </c>
      <c r="G344" s="31" t="s">
        <v>1830</v>
      </c>
      <c r="H344" s="31" t="str">
        <f aca="false">IFERROR(VLOOKUP(G344,'Master Taxonomy'!$A$2:$B$1656,2,FALSE()),"")</f>
        <v>General and Marshal</v>
      </c>
      <c r="I344" s="31" t="s">
        <v>12242</v>
      </c>
      <c r="J344" s="31" t="s">
        <v>12243</v>
      </c>
      <c r="K344" s="31" t="s">
        <v>12244</v>
      </c>
      <c r="L344" s="31" t="s">
        <v>12245</v>
      </c>
      <c r="M344" s="31" t="s">
        <v>12246</v>
      </c>
      <c r="N344" s="31" t="s">
        <v>12247</v>
      </c>
      <c r="O344" s="31" t="s">
        <v>9960</v>
      </c>
      <c r="P344" s="31" t="s">
        <v>10137</v>
      </c>
      <c r="Q344" s="31" t="s">
        <v>12248</v>
      </c>
      <c r="R344" s="31" t="s">
        <v>12129</v>
      </c>
      <c r="S344" s="31" t="s">
        <v>9963</v>
      </c>
    </row>
    <row r="345" customFormat="false" ht="51.75" hidden="false" customHeight="true" outlineLevel="0" collapsed="false">
      <c r="A345" s="30" t="s">
        <v>12249</v>
      </c>
      <c r="B345" s="31" t="s">
        <v>12250</v>
      </c>
      <c r="C345" s="31" t="s">
        <v>9889</v>
      </c>
      <c r="D345" s="31" t="s">
        <v>9890</v>
      </c>
      <c r="E345" s="31" t="s">
        <v>11981</v>
      </c>
      <c r="F345" s="31" t="s">
        <v>12251</v>
      </c>
      <c r="G345" s="31" t="s">
        <v>3690</v>
      </c>
      <c r="H345" s="31" t="str">
        <f aca="false">IFERROR(VLOOKUP(G345,'Master Taxonomy'!$A$2:$B$1656,2,FALSE()),"")</f>
        <v>Pilgrim or Spiritual Seeker</v>
      </c>
      <c r="I345" s="31" t="s">
        <v>12252</v>
      </c>
      <c r="J345" s="31" t="s">
        <v>12253</v>
      </c>
      <c r="K345" s="31" t="s">
        <v>12254</v>
      </c>
      <c r="L345" s="31" t="s">
        <v>12255</v>
      </c>
      <c r="M345" s="31" t="s">
        <v>12256</v>
      </c>
      <c r="N345" s="31" t="s">
        <v>12257</v>
      </c>
      <c r="O345" s="31" t="s">
        <v>9960</v>
      </c>
      <c r="P345" s="31" t="s">
        <v>10137</v>
      </c>
      <c r="Q345" s="31" t="s">
        <v>12258</v>
      </c>
      <c r="R345" s="31" t="s">
        <v>11990</v>
      </c>
      <c r="S345" s="31" t="s">
        <v>9963</v>
      </c>
    </row>
    <row r="346" customFormat="false" ht="51.75" hidden="false" customHeight="true" outlineLevel="0" collapsed="false">
      <c r="A346" s="30" t="s">
        <v>12259</v>
      </c>
      <c r="B346" s="31" t="s">
        <v>12260</v>
      </c>
      <c r="C346" s="31" t="s">
        <v>9889</v>
      </c>
      <c r="D346" s="31" t="s">
        <v>9890</v>
      </c>
      <c r="E346" s="31" t="s">
        <v>11981</v>
      </c>
      <c r="F346" s="31" t="s">
        <v>12261</v>
      </c>
      <c r="G346" s="31" t="s">
        <v>2659</v>
      </c>
      <c r="H346" s="31" t="str">
        <f aca="false">IFERROR(VLOOKUP(G346,'Master Taxonomy'!$A$2:$B$1656,2,FALSE()),"")</f>
        <v>Meditation and Breath Practice</v>
      </c>
      <c r="I346" s="31" t="s">
        <v>12262</v>
      </c>
      <c r="J346" s="31" t="s">
        <v>12263</v>
      </c>
      <c r="K346" s="31" t="s">
        <v>12264</v>
      </c>
      <c r="L346" s="31" t="s">
        <v>12265</v>
      </c>
      <c r="M346" s="31" t="s">
        <v>12266</v>
      </c>
      <c r="N346" s="31" t="s">
        <v>12267</v>
      </c>
      <c r="O346" s="31" t="s">
        <v>9960</v>
      </c>
      <c r="P346" s="31" t="s">
        <v>10137</v>
      </c>
      <c r="Q346" s="31" t="s">
        <v>12268</v>
      </c>
      <c r="R346" s="31" t="s">
        <v>12059</v>
      </c>
      <c r="S346" s="31" t="s">
        <v>9963</v>
      </c>
    </row>
    <row r="347" customFormat="false" ht="51.75" hidden="false" customHeight="true" outlineLevel="0" collapsed="false">
      <c r="A347" s="30" t="s">
        <v>12269</v>
      </c>
      <c r="B347" s="31" t="s">
        <v>12270</v>
      </c>
      <c r="C347" s="31" t="s">
        <v>9889</v>
      </c>
      <c r="D347" s="31" t="s">
        <v>9890</v>
      </c>
      <c r="E347" s="31" t="s">
        <v>11981</v>
      </c>
      <c r="F347" s="31" t="s">
        <v>12271</v>
      </c>
      <c r="G347" s="31" t="s">
        <v>7415</v>
      </c>
      <c r="H347" s="31" t="str">
        <f aca="false">IFERROR(VLOOKUP(G347,'Master Taxonomy'!$A$2:$B$1656,2,FALSE()),"")</f>
        <v>Mantra or Invocatory Formula</v>
      </c>
      <c r="I347" s="31" t="s">
        <v>12272</v>
      </c>
      <c r="J347" s="31" t="s">
        <v>12273</v>
      </c>
      <c r="K347" s="31" t="s">
        <v>12274</v>
      </c>
      <c r="L347" s="31" t="s">
        <v>12275</v>
      </c>
      <c r="M347" s="31" t="s">
        <v>12276</v>
      </c>
      <c r="N347" s="31" t="s">
        <v>12277</v>
      </c>
      <c r="O347" s="31" t="s">
        <v>9960</v>
      </c>
      <c r="P347" s="31" t="s">
        <v>9961</v>
      </c>
      <c r="Q347" s="31" t="s">
        <v>12278</v>
      </c>
      <c r="R347" s="31" t="s">
        <v>8192</v>
      </c>
      <c r="S347" s="31" t="s">
        <v>9963</v>
      </c>
    </row>
    <row r="348" customFormat="false" ht="51.75" hidden="false" customHeight="true" outlineLevel="0" collapsed="false">
      <c r="A348" s="30" t="s">
        <v>12279</v>
      </c>
      <c r="B348" s="31" t="s">
        <v>12280</v>
      </c>
      <c r="C348" s="31" t="s">
        <v>9889</v>
      </c>
      <c r="D348" s="31" t="s">
        <v>9890</v>
      </c>
      <c r="E348" s="31" t="s">
        <v>11981</v>
      </c>
      <c r="F348" s="31" t="s">
        <v>12281</v>
      </c>
      <c r="G348" s="31" t="s">
        <v>5289</v>
      </c>
      <c r="H348" s="31" t="str">
        <f aca="false">IFERROR(VLOOKUP(G348,'Master Taxonomy'!$A$2:$B$1656,2,FALSE()),"")</f>
        <v>Divine Weapon</v>
      </c>
      <c r="I348" s="31" t="s">
        <v>12282</v>
      </c>
      <c r="J348" s="31" t="s">
        <v>12283</v>
      </c>
      <c r="K348" s="31" t="s">
        <v>12284</v>
      </c>
      <c r="L348" s="31" t="s">
        <v>12285</v>
      </c>
      <c r="M348" s="31" t="s">
        <v>12286</v>
      </c>
      <c r="N348" s="31" t="s">
        <v>12287</v>
      </c>
      <c r="O348" s="31" t="s">
        <v>9960</v>
      </c>
      <c r="P348" s="31" t="s">
        <v>10137</v>
      </c>
      <c r="Q348" s="31" t="s">
        <v>12288</v>
      </c>
      <c r="R348" s="31" t="s">
        <v>12140</v>
      </c>
      <c r="S348" s="31" t="s">
        <v>9963</v>
      </c>
    </row>
    <row r="349" customFormat="false" ht="51.75" hidden="false" customHeight="true" outlineLevel="0" collapsed="false">
      <c r="A349" s="30" t="s">
        <v>12289</v>
      </c>
      <c r="B349" s="31" t="s">
        <v>12290</v>
      </c>
      <c r="C349" s="31" t="s">
        <v>9889</v>
      </c>
      <c r="D349" s="31" t="s">
        <v>9890</v>
      </c>
      <c r="E349" s="31" t="s">
        <v>11981</v>
      </c>
      <c r="F349" s="31" t="s">
        <v>12291</v>
      </c>
      <c r="G349" s="31" t="s">
        <v>6887</v>
      </c>
      <c r="H349" s="31" t="str">
        <f aca="false">IFERROR(VLOOKUP(G349,'Master Taxonomy'!$A$2:$B$1656,2,FALSE()),"")</f>
        <v>Divine Boon</v>
      </c>
      <c r="I349" s="31" t="s">
        <v>12292</v>
      </c>
      <c r="J349" s="31" t="s">
        <v>12293</v>
      </c>
      <c r="K349" s="31" t="s">
        <v>12294</v>
      </c>
      <c r="L349" s="31" t="s">
        <v>12295</v>
      </c>
      <c r="M349" s="31" t="s">
        <v>12296</v>
      </c>
      <c r="N349" s="31" t="s">
        <v>12297</v>
      </c>
      <c r="O349" s="31" t="s">
        <v>9960</v>
      </c>
      <c r="P349" s="31" t="s">
        <v>10137</v>
      </c>
      <c r="Q349" s="31" t="s">
        <v>12298</v>
      </c>
      <c r="R349" s="31" t="s">
        <v>11990</v>
      </c>
      <c r="S349" s="31" t="s">
        <v>9963</v>
      </c>
    </row>
    <row r="350" customFormat="false" ht="51.75" hidden="false" customHeight="true" outlineLevel="0" collapsed="false">
      <c r="A350" s="30" t="s">
        <v>12299</v>
      </c>
      <c r="B350" s="31" t="s">
        <v>12300</v>
      </c>
      <c r="C350" s="31" t="s">
        <v>9889</v>
      </c>
      <c r="D350" s="31" t="s">
        <v>9890</v>
      </c>
      <c r="E350" s="31" t="s">
        <v>11981</v>
      </c>
      <c r="F350" s="31" t="s">
        <v>12301</v>
      </c>
      <c r="G350" s="31" t="s">
        <v>6908</v>
      </c>
      <c r="H350" s="31" t="str">
        <f aca="false">IFERROR(VLOOKUP(G350,'Master Taxonomy'!$A$2:$B$1656,2,FALSE()),"")</f>
        <v>Curse</v>
      </c>
      <c r="I350" s="31" t="s">
        <v>12302</v>
      </c>
      <c r="J350" s="31" t="s">
        <v>12303</v>
      </c>
      <c r="K350" s="31" t="s">
        <v>12304</v>
      </c>
      <c r="L350" s="31" t="s">
        <v>12305</v>
      </c>
      <c r="M350" s="31" t="s">
        <v>12306</v>
      </c>
      <c r="N350" s="31" t="s">
        <v>12307</v>
      </c>
      <c r="O350" s="31" t="s">
        <v>9960</v>
      </c>
      <c r="P350" s="31" t="s">
        <v>10137</v>
      </c>
      <c r="Q350" s="31" t="s">
        <v>12308</v>
      </c>
      <c r="R350" s="31" t="s">
        <v>11990</v>
      </c>
      <c r="S350" s="31" t="s">
        <v>9963</v>
      </c>
    </row>
    <row r="351" customFormat="false" ht="51.75" hidden="false" customHeight="true" outlineLevel="0" collapsed="false">
      <c r="A351" s="30" t="s">
        <v>12309</v>
      </c>
      <c r="B351" s="31" t="s">
        <v>12310</v>
      </c>
      <c r="C351" s="31" t="s">
        <v>9889</v>
      </c>
      <c r="D351" s="31" t="s">
        <v>9890</v>
      </c>
      <c r="E351" s="31" t="s">
        <v>11981</v>
      </c>
      <c r="F351" s="31" t="s">
        <v>12311</v>
      </c>
      <c r="G351" s="31" t="s">
        <v>2461</v>
      </c>
      <c r="H351" s="31" t="str">
        <f aca="false">IFERROR(VLOOKUP(G351,'Master Taxonomy'!$A$2:$B$1656,2,FALSE()),"")</f>
        <v>Illusion and Glamour</v>
      </c>
      <c r="I351" s="31" t="s">
        <v>12312</v>
      </c>
      <c r="J351" s="31" t="s">
        <v>12313</v>
      </c>
      <c r="K351" s="31" t="s">
        <v>12314</v>
      </c>
      <c r="L351" s="31" t="s">
        <v>12315</v>
      </c>
      <c r="M351" s="31" t="s">
        <v>12316</v>
      </c>
      <c r="N351" s="31" t="s">
        <v>12317</v>
      </c>
      <c r="O351" s="31" t="s">
        <v>9960</v>
      </c>
      <c r="P351" s="31" t="s">
        <v>10137</v>
      </c>
      <c r="Q351" s="31" t="s">
        <v>12318</v>
      </c>
      <c r="R351" s="31" t="s">
        <v>11990</v>
      </c>
      <c r="S351" s="31" t="s">
        <v>9963</v>
      </c>
    </row>
    <row r="352" customFormat="false" ht="51.75" hidden="false" customHeight="true" outlineLevel="0" collapsed="false">
      <c r="A352" s="30" t="s">
        <v>12319</v>
      </c>
      <c r="B352" s="31" t="s">
        <v>12320</v>
      </c>
      <c r="C352" s="31" t="s">
        <v>9889</v>
      </c>
      <c r="D352" s="31" t="s">
        <v>9890</v>
      </c>
      <c r="E352" s="31" t="s">
        <v>11981</v>
      </c>
      <c r="F352" s="31" t="s">
        <v>12321</v>
      </c>
      <c r="G352" s="31" t="s">
        <v>6957</v>
      </c>
      <c r="H352" s="31" t="str">
        <f aca="false">IFERROR(VLOOKUP(G352,'Master Taxonomy'!$A$2:$B$1656,2,FALSE()),"")</f>
        <v>Divine Patronage or Favor</v>
      </c>
      <c r="I352" s="31" t="s">
        <v>12322</v>
      </c>
      <c r="J352" s="31" t="s">
        <v>12323</v>
      </c>
      <c r="K352" s="31" t="s">
        <v>12324</v>
      </c>
      <c r="L352" s="31" t="s">
        <v>12325</v>
      </c>
      <c r="M352" s="31" t="s">
        <v>12326</v>
      </c>
      <c r="N352" s="31" t="s">
        <v>12327</v>
      </c>
      <c r="O352" s="31" t="s">
        <v>9960</v>
      </c>
      <c r="P352" s="31" t="s">
        <v>9961</v>
      </c>
      <c r="Q352" s="31" t="s">
        <v>12328</v>
      </c>
      <c r="R352" s="31" t="s">
        <v>8192</v>
      </c>
      <c r="S352" s="31" t="s">
        <v>9963</v>
      </c>
    </row>
    <row r="353" customFormat="false" ht="51.75" hidden="false" customHeight="true" outlineLevel="0" collapsed="false">
      <c r="A353" s="30" t="s">
        <v>12329</v>
      </c>
      <c r="B353" s="31" t="s">
        <v>12330</v>
      </c>
      <c r="C353" s="31" t="s">
        <v>9889</v>
      </c>
      <c r="D353" s="31" t="s">
        <v>9890</v>
      </c>
      <c r="E353" s="31" t="s">
        <v>11981</v>
      </c>
      <c r="F353" s="31" t="s">
        <v>12331</v>
      </c>
      <c r="G353" s="31" t="s">
        <v>2473</v>
      </c>
      <c r="H353" s="31" t="str">
        <f aca="false">IFERROR(VLOOKUP(G353,'Master Taxonomy'!$A$2:$B$1656,2,FALSE()),"")</f>
        <v>Prophecy</v>
      </c>
      <c r="I353" s="31" t="s">
        <v>12332</v>
      </c>
      <c r="J353" s="31" t="s">
        <v>12333</v>
      </c>
      <c r="K353" s="31" t="s">
        <v>12334</v>
      </c>
      <c r="L353" s="31" t="s">
        <v>12335</v>
      </c>
      <c r="M353" s="31" t="s">
        <v>12336</v>
      </c>
      <c r="N353" s="31" t="s">
        <v>12337</v>
      </c>
      <c r="O353" s="31" t="s">
        <v>9960</v>
      </c>
      <c r="P353" s="31" t="s">
        <v>10137</v>
      </c>
      <c r="Q353" s="31" t="s">
        <v>12338</v>
      </c>
      <c r="R353" s="31" t="s">
        <v>12140</v>
      </c>
      <c r="S353" s="31" t="s">
        <v>9963</v>
      </c>
    </row>
    <row r="354" customFormat="false" ht="51.75" hidden="false" customHeight="true" outlineLevel="0" collapsed="false">
      <c r="A354" s="30" t="s">
        <v>12339</v>
      </c>
      <c r="B354" s="31" t="s">
        <v>12340</v>
      </c>
      <c r="C354" s="31" t="s">
        <v>9889</v>
      </c>
      <c r="D354" s="31" t="s">
        <v>9890</v>
      </c>
      <c r="E354" s="31" t="s">
        <v>11981</v>
      </c>
      <c r="F354" s="31" t="s">
        <v>12341</v>
      </c>
      <c r="G354" s="31" t="s">
        <v>6795</v>
      </c>
      <c r="H354" s="31" t="str">
        <f aca="false">IFERROR(VLOOKUP(G354,'Master Taxonomy'!$A$2:$B$1656,2,FALSE()),"")</f>
        <v>Renunciation Vow</v>
      </c>
      <c r="I354" s="31" t="s">
        <v>12342</v>
      </c>
      <c r="J354" s="31" t="s">
        <v>12343</v>
      </c>
      <c r="K354" s="31" t="s">
        <v>12344</v>
      </c>
      <c r="L354" s="31" t="s">
        <v>12345</v>
      </c>
      <c r="M354" s="31" t="s">
        <v>12346</v>
      </c>
      <c r="N354" s="31" t="s">
        <v>12347</v>
      </c>
      <c r="O354" s="31" t="s">
        <v>9960</v>
      </c>
      <c r="P354" s="31" t="s">
        <v>10137</v>
      </c>
      <c r="Q354" s="31" t="s">
        <v>12348</v>
      </c>
      <c r="R354" s="31" t="s">
        <v>12059</v>
      </c>
      <c r="S354" s="31" t="s">
        <v>9963</v>
      </c>
    </row>
    <row r="355" customFormat="false" ht="51.75" hidden="false" customHeight="true" outlineLevel="0" collapsed="false">
      <c r="A355" s="30" t="s">
        <v>12349</v>
      </c>
      <c r="B355" s="31" t="s">
        <v>12350</v>
      </c>
      <c r="C355" s="31" t="s">
        <v>9889</v>
      </c>
      <c r="D355" s="31" t="s">
        <v>9890</v>
      </c>
      <c r="E355" s="31" t="s">
        <v>11981</v>
      </c>
      <c r="F355" s="31" t="s">
        <v>12351</v>
      </c>
      <c r="G355" s="31" t="s">
        <v>2991</v>
      </c>
      <c r="H355" s="31" t="str">
        <f aca="false">IFERROR(VLOOKUP(G355,'Master Taxonomy'!$A$2:$B$1656,2,FALSE()),"")</f>
        <v>Oathbound State</v>
      </c>
      <c r="I355" s="31" t="s">
        <v>12352</v>
      </c>
      <c r="J355" s="31" t="s">
        <v>12353</v>
      </c>
      <c r="K355" s="31" t="s">
        <v>12354</v>
      </c>
      <c r="L355" s="31" t="s">
        <v>12355</v>
      </c>
      <c r="M355" s="31" t="s">
        <v>12356</v>
      </c>
      <c r="N355" s="31" t="s">
        <v>12357</v>
      </c>
      <c r="O355" s="31" t="s">
        <v>9960</v>
      </c>
      <c r="P355" s="31" t="s">
        <v>10137</v>
      </c>
      <c r="Q355" s="31" t="s">
        <v>12358</v>
      </c>
      <c r="R355" s="31" t="s">
        <v>12140</v>
      </c>
      <c r="S355" s="31" t="s">
        <v>9963</v>
      </c>
    </row>
    <row r="356" customFormat="false" ht="51.75" hidden="false" customHeight="true" outlineLevel="0" collapsed="false">
      <c r="A356" s="30" t="s">
        <v>12359</v>
      </c>
      <c r="B356" s="31" t="s">
        <v>12360</v>
      </c>
      <c r="C356" s="31" t="s">
        <v>9889</v>
      </c>
      <c r="D356" s="31" t="s">
        <v>9890</v>
      </c>
      <c r="E356" s="31" t="s">
        <v>11981</v>
      </c>
      <c r="F356" s="31" t="s">
        <v>12361</v>
      </c>
      <c r="G356" s="31" t="s">
        <v>7719</v>
      </c>
      <c r="H356" s="31" t="str">
        <f aca="false">IFERROR(VLOOKUP(G356,'Master Taxonomy'!$A$2:$B$1656,2,FALSE()),"")</f>
        <v>Exile as Ritual or Social State</v>
      </c>
      <c r="I356" s="31" t="s">
        <v>12362</v>
      </c>
      <c r="J356" s="31" t="s">
        <v>12363</v>
      </c>
      <c r="K356" s="31" t="s">
        <v>12364</v>
      </c>
      <c r="L356" s="31" t="s">
        <v>12365</v>
      </c>
      <c r="M356" s="31" t="s">
        <v>12366</v>
      </c>
      <c r="N356" s="31" t="s">
        <v>12367</v>
      </c>
      <c r="O356" s="31" t="s">
        <v>9960</v>
      </c>
      <c r="P356" s="31" t="s">
        <v>10137</v>
      </c>
      <c r="Q356" s="31" t="s">
        <v>12368</v>
      </c>
      <c r="R356" s="31" t="s">
        <v>11990</v>
      </c>
      <c r="S356" s="31" t="s">
        <v>9963</v>
      </c>
    </row>
    <row r="357" customFormat="false" ht="51.75" hidden="false" customHeight="true" outlineLevel="0" collapsed="false">
      <c r="A357" s="30" t="s">
        <v>12369</v>
      </c>
      <c r="B357" s="31" t="s">
        <v>12370</v>
      </c>
      <c r="C357" s="31" t="s">
        <v>9889</v>
      </c>
      <c r="D357" s="31" t="s">
        <v>9890</v>
      </c>
      <c r="E357" s="31" t="s">
        <v>11981</v>
      </c>
      <c r="F357" s="31" t="s">
        <v>12371</v>
      </c>
      <c r="G357" s="31" t="s">
        <v>8027</v>
      </c>
      <c r="H357" s="31" t="str">
        <f aca="false">IFERROR(VLOOKUP(G357,'Master Taxonomy'!$A$2:$B$1656,2,FALSE()),"")</f>
        <v>Incognito Exile</v>
      </c>
      <c r="I357" s="31" t="s">
        <v>12372</v>
      </c>
      <c r="J357" s="31" t="s">
        <v>12373</v>
      </c>
      <c r="K357" s="31" t="s">
        <v>12374</v>
      </c>
      <c r="L357" s="31" t="s">
        <v>12375</v>
      </c>
      <c r="M357" s="31" t="s">
        <v>12376</v>
      </c>
      <c r="N357" s="31" t="s">
        <v>12377</v>
      </c>
      <c r="O357" s="31" t="s">
        <v>9960</v>
      </c>
      <c r="P357" s="31" t="s">
        <v>10137</v>
      </c>
      <c r="Q357" s="31" t="s">
        <v>12378</v>
      </c>
      <c r="R357" s="31" t="s">
        <v>12140</v>
      </c>
      <c r="S357" s="31" t="s">
        <v>9963</v>
      </c>
    </row>
    <row r="358" customFormat="false" ht="51.75" hidden="false" customHeight="true" outlineLevel="0" collapsed="false">
      <c r="A358" s="30" t="s">
        <v>12379</v>
      </c>
      <c r="B358" s="31" t="s">
        <v>12380</v>
      </c>
      <c r="C358" s="31" t="s">
        <v>9889</v>
      </c>
      <c r="D358" s="31" t="s">
        <v>9890</v>
      </c>
      <c r="E358" s="31" t="s">
        <v>11981</v>
      </c>
      <c r="F358" s="31" t="s">
        <v>12381</v>
      </c>
      <c r="G358" s="31" t="s">
        <v>6922</v>
      </c>
      <c r="H358" s="31" t="str">
        <f aca="false">IFERROR(VLOOKUP(G358,'Master Taxonomy'!$A$2:$B$1656,2,FALSE()),"")</f>
        <v>Transformative Curse</v>
      </c>
      <c r="I358" s="31" t="s">
        <v>12382</v>
      </c>
      <c r="J358" s="31" t="s">
        <v>12383</v>
      </c>
      <c r="K358" s="31" t="s">
        <v>12384</v>
      </c>
      <c r="L358" s="31" t="s">
        <v>12385</v>
      </c>
      <c r="M358" s="31" t="s">
        <v>12386</v>
      </c>
      <c r="N358" s="31" t="s">
        <v>12387</v>
      </c>
      <c r="O358" s="31" t="s">
        <v>9960</v>
      </c>
      <c r="P358" s="31" t="s">
        <v>10137</v>
      </c>
      <c r="Q358" s="31" t="s">
        <v>12388</v>
      </c>
      <c r="R358" s="31" t="s">
        <v>11990</v>
      </c>
      <c r="S358" s="31" t="s">
        <v>9963</v>
      </c>
    </row>
    <row r="359" customFormat="false" ht="51.75" hidden="false" customHeight="true" outlineLevel="0" collapsed="false">
      <c r="A359" s="30" t="s">
        <v>12389</v>
      </c>
      <c r="B359" s="31" t="s">
        <v>12390</v>
      </c>
      <c r="C359" s="31" t="s">
        <v>9889</v>
      </c>
      <c r="D359" s="31" t="s">
        <v>9890</v>
      </c>
      <c r="E359" s="31" t="s">
        <v>11981</v>
      </c>
      <c r="F359" s="31" t="s">
        <v>12391</v>
      </c>
      <c r="G359" s="31" t="s">
        <v>2903</v>
      </c>
      <c r="H359" s="31" t="str">
        <f aca="false">IFERROR(VLOOKUP(G359,'Master Taxonomy'!$A$2:$B$1656,2,FALSE()),"")</f>
        <v>Sex or Gendered Embodiment Change</v>
      </c>
      <c r="I359" s="31" t="s">
        <v>12392</v>
      </c>
      <c r="J359" s="31" t="s">
        <v>12393</v>
      </c>
      <c r="K359" s="31" t="s">
        <v>12394</v>
      </c>
      <c r="L359" s="31" t="s">
        <v>12395</v>
      </c>
      <c r="M359" s="31" t="s">
        <v>12396</v>
      </c>
      <c r="N359" s="31" t="s">
        <v>12397</v>
      </c>
      <c r="O359" s="31" t="s">
        <v>9960</v>
      </c>
      <c r="P359" s="31" t="s">
        <v>10137</v>
      </c>
      <c r="Q359" s="31" t="s">
        <v>12398</v>
      </c>
      <c r="R359" s="31" t="s">
        <v>12140</v>
      </c>
      <c r="S359" s="31" t="s">
        <v>9963</v>
      </c>
    </row>
    <row r="360" customFormat="false" ht="51.75" hidden="false" customHeight="true" outlineLevel="0" collapsed="false">
      <c r="A360" s="30" t="s">
        <v>12399</v>
      </c>
      <c r="B360" s="31" t="s">
        <v>12400</v>
      </c>
      <c r="C360" s="31" t="s">
        <v>9898</v>
      </c>
      <c r="D360" s="31" t="s">
        <v>9899</v>
      </c>
      <c r="E360" s="31" t="s">
        <v>12072</v>
      </c>
      <c r="F360" s="31" t="s">
        <v>12401</v>
      </c>
      <c r="G360" s="31" t="s">
        <v>490</v>
      </c>
      <c r="H360" s="31" t="str">
        <f aca="false">IFERROR(VLOOKUP(G360,'Master Taxonomy'!$A$2:$B$1656,2,FALSE()),"")</f>
        <v>Avatars and Incarnations</v>
      </c>
      <c r="I360" s="31" t="s">
        <v>12402</v>
      </c>
      <c r="J360" s="31" t="s">
        <v>12403</v>
      </c>
      <c r="K360" s="31" t="s">
        <v>12404</v>
      </c>
      <c r="L360" s="31" t="s">
        <v>12405</v>
      </c>
      <c r="M360" s="31" t="s">
        <v>12406</v>
      </c>
      <c r="N360" s="31" t="s">
        <v>12407</v>
      </c>
      <c r="O360" s="31" t="s">
        <v>9960</v>
      </c>
      <c r="P360" s="31" t="s">
        <v>10137</v>
      </c>
      <c r="Q360" s="31" t="s">
        <v>12408</v>
      </c>
      <c r="R360" s="31" t="s">
        <v>9906</v>
      </c>
      <c r="S360" s="31" t="s">
        <v>9963</v>
      </c>
    </row>
    <row r="361" customFormat="false" ht="51.75" hidden="false" customHeight="true" outlineLevel="0" collapsed="false">
      <c r="A361" s="30" t="s">
        <v>12409</v>
      </c>
      <c r="B361" s="31" t="s">
        <v>12410</v>
      </c>
      <c r="C361" s="31" t="s">
        <v>9889</v>
      </c>
      <c r="D361" s="31" t="s">
        <v>9890</v>
      </c>
      <c r="E361" s="31" t="s">
        <v>11981</v>
      </c>
      <c r="F361" s="31" t="s">
        <v>12411</v>
      </c>
      <c r="G361" s="31" t="s">
        <v>5289</v>
      </c>
      <c r="H361" s="31" t="str">
        <f aca="false">IFERROR(VLOOKUP(G361,'Master Taxonomy'!$A$2:$B$1656,2,FALSE()),"")</f>
        <v>Divine Weapon</v>
      </c>
      <c r="I361" s="31" t="s">
        <v>12412</v>
      </c>
      <c r="J361" s="31" t="s">
        <v>12413</v>
      </c>
      <c r="K361" s="31" t="s">
        <v>12414</v>
      </c>
      <c r="L361" s="31" t="s">
        <v>12415</v>
      </c>
      <c r="M361" s="31" t="s">
        <v>12416</v>
      </c>
      <c r="N361" s="31" t="s">
        <v>12417</v>
      </c>
      <c r="O361" s="31" t="s">
        <v>9960</v>
      </c>
      <c r="P361" s="31" t="s">
        <v>10137</v>
      </c>
      <c r="Q361" s="31" t="s">
        <v>12418</v>
      </c>
      <c r="R361" s="31" t="s">
        <v>12140</v>
      </c>
      <c r="S361" s="31" t="s">
        <v>9963</v>
      </c>
    </row>
    <row r="362" customFormat="false" ht="51.75" hidden="false" customHeight="true" outlineLevel="0" collapsed="false">
      <c r="A362" s="30" t="s">
        <v>12419</v>
      </c>
      <c r="B362" s="31" t="s">
        <v>12420</v>
      </c>
      <c r="C362" s="31" t="s">
        <v>9889</v>
      </c>
      <c r="D362" s="31" t="s">
        <v>9890</v>
      </c>
      <c r="E362" s="31" t="s">
        <v>11981</v>
      </c>
      <c r="F362" s="31" t="s">
        <v>12421</v>
      </c>
      <c r="G362" s="31" t="s">
        <v>5338</v>
      </c>
      <c r="H362" s="31" t="str">
        <f aca="false">IFERROR(VLOOKUP(G362,'Master Taxonomy'!$A$2:$B$1656,2,FALSE()),"")</f>
        <v>Named Heroic Weapon</v>
      </c>
      <c r="I362" s="31" t="s">
        <v>12422</v>
      </c>
      <c r="J362" s="31" t="s">
        <v>12423</v>
      </c>
      <c r="K362" s="31" t="s">
        <v>12424</v>
      </c>
      <c r="L362" s="31" t="s">
        <v>12425</v>
      </c>
      <c r="M362" s="31" t="s">
        <v>12426</v>
      </c>
      <c r="N362" s="31" t="s">
        <v>12427</v>
      </c>
      <c r="O362" s="31" t="s">
        <v>9960</v>
      </c>
      <c r="P362" s="31" t="s">
        <v>10137</v>
      </c>
      <c r="Q362" s="31" t="s">
        <v>12428</v>
      </c>
      <c r="R362" s="31" t="s">
        <v>11990</v>
      </c>
      <c r="S362" s="31" t="s">
        <v>9963</v>
      </c>
    </row>
    <row r="363" customFormat="false" ht="51.75" hidden="false" customHeight="true" outlineLevel="0" collapsed="false">
      <c r="A363" s="30" t="s">
        <v>12429</v>
      </c>
      <c r="B363" s="31" t="s">
        <v>12430</v>
      </c>
      <c r="C363" s="31" t="s">
        <v>9889</v>
      </c>
      <c r="D363" s="31" t="s">
        <v>9890</v>
      </c>
      <c r="E363" s="31" t="s">
        <v>11981</v>
      </c>
      <c r="F363" s="31" t="s">
        <v>12431</v>
      </c>
      <c r="G363" s="31" t="s">
        <v>5289</v>
      </c>
      <c r="H363" s="31" t="str">
        <f aca="false">IFERROR(VLOOKUP(G363,'Master Taxonomy'!$A$2:$B$1656,2,FALSE()),"")</f>
        <v>Divine Weapon</v>
      </c>
      <c r="I363" s="31" t="s">
        <v>12432</v>
      </c>
      <c r="J363" s="31" t="s">
        <v>12433</v>
      </c>
      <c r="K363" s="31" t="s">
        <v>12434</v>
      </c>
      <c r="L363" s="31" t="s">
        <v>12435</v>
      </c>
      <c r="M363" s="31" t="s">
        <v>12436</v>
      </c>
      <c r="N363" s="31" t="s">
        <v>12437</v>
      </c>
      <c r="O363" s="31" t="s">
        <v>9960</v>
      </c>
      <c r="P363" s="31" t="s">
        <v>10137</v>
      </c>
      <c r="Q363" s="31" t="s">
        <v>12438</v>
      </c>
      <c r="R363" s="31" t="s">
        <v>12129</v>
      </c>
      <c r="S363" s="31" t="s">
        <v>9963</v>
      </c>
    </row>
    <row r="364" customFormat="false" ht="51.75" hidden="false" customHeight="true" outlineLevel="0" collapsed="false">
      <c r="A364" s="30" t="s">
        <v>12439</v>
      </c>
      <c r="B364" s="31" t="s">
        <v>12440</v>
      </c>
      <c r="C364" s="31" t="s">
        <v>9889</v>
      </c>
      <c r="D364" s="31" t="s">
        <v>9890</v>
      </c>
      <c r="E364" s="31" t="s">
        <v>11981</v>
      </c>
      <c r="F364" s="31" t="s">
        <v>12441</v>
      </c>
      <c r="G364" s="31" t="s">
        <v>5289</v>
      </c>
      <c r="H364" s="31" t="str">
        <f aca="false">IFERROR(VLOOKUP(G364,'Master Taxonomy'!$A$2:$B$1656,2,FALSE()),"")</f>
        <v>Divine Weapon</v>
      </c>
      <c r="I364" s="31" t="s">
        <v>12442</v>
      </c>
      <c r="J364" s="31" t="s">
        <v>12443</v>
      </c>
      <c r="K364" s="31" t="s">
        <v>12444</v>
      </c>
      <c r="L364" s="31" t="s">
        <v>12445</v>
      </c>
      <c r="M364" s="31" t="s">
        <v>12446</v>
      </c>
      <c r="N364" s="31" t="s">
        <v>12447</v>
      </c>
      <c r="O364" s="31" t="s">
        <v>9960</v>
      </c>
      <c r="P364" s="31" t="s">
        <v>10137</v>
      </c>
      <c r="Q364" s="31" t="s">
        <v>12448</v>
      </c>
      <c r="R364" s="31" t="s">
        <v>11990</v>
      </c>
      <c r="S364" s="31" t="s">
        <v>9963</v>
      </c>
    </row>
    <row r="365" customFormat="false" ht="51.75" hidden="false" customHeight="true" outlineLevel="0" collapsed="false">
      <c r="A365" s="30" t="s">
        <v>12449</v>
      </c>
      <c r="B365" s="31" t="s">
        <v>12450</v>
      </c>
      <c r="C365" s="31" t="s">
        <v>9889</v>
      </c>
      <c r="D365" s="31" t="s">
        <v>9890</v>
      </c>
      <c r="E365" s="31" t="s">
        <v>11981</v>
      </c>
      <c r="F365" s="31" t="s">
        <v>12451</v>
      </c>
      <c r="G365" s="31" t="s">
        <v>5289</v>
      </c>
      <c r="H365" s="31" t="str">
        <f aca="false">IFERROR(VLOOKUP(G365,'Master Taxonomy'!$A$2:$B$1656,2,FALSE()),"")</f>
        <v>Divine Weapon</v>
      </c>
      <c r="I365" s="31" t="s">
        <v>12452</v>
      </c>
      <c r="J365" s="31" t="s">
        <v>12453</v>
      </c>
      <c r="K365" s="31" t="s">
        <v>12454</v>
      </c>
      <c r="L365" s="31" t="s">
        <v>12455</v>
      </c>
      <c r="M365" s="31" t="s">
        <v>12456</v>
      </c>
      <c r="N365" s="31" t="s">
        <v>12457</v>
      </c>
      <c r="O365" s="31" t="s">
        <v>9960</v>
      </c>
      <c r="P365" s="31" t="s">
        <v>10137</v>
      </c>
      <c r="Q365" s="31" t="s">
        <v>12458</v>
      </c>
      <c r="R365" s="31" t="s">
        <v>12140</v>
      </c>
      <c r="S365" s="31" t="s">
        <v>9963</v>
      </c>
    </row>
    <row r="366" customFormat="false" ht="51.75" hidden="false" customHeight="true" outlineLevel="0" collapsed="false">
      <c r="A366" s="30" t="s">
        <v>12459</v>
      </c>
      <c r="B366" s="31" t="s">
        <v>12460</v>
      </c>
      <c r="C366" s="31" t="s">
        <v>9889</v>
      </c>
      <c r="D366" s="31" t="s">
        <v>9890</v>
      </c>
      <c r="E366" s="31" t="s">
        <v>11981</v>
      </c>
      <c r="F366" s="31" t="s">
        <v>12461</v>
      </c>
      <c r="G366" s="31" t="s">
        <v>5429</v>
      </c>
      <c r="H366" s="31" t="str">
        <f aca="false">IFERROR(VLOOKUP(G366,'Master Taxonomy'!$A$2:$B$1656,2,FALSE()),"")</f>
        <v>Invulnerable Armor</v>
      </c>
      <c r="I366" s="31" t="s">
        <v>12462</v>
      </c>
      <c r="J366" s="31" t="s">
        <v>12463</v>
      </c>
      <c r="K366" s="31" t="s">
        <v>12464</v>
      </c>
      <c r="L366" s="31" t="s">
        <v>12465</v>
      </c>
      <c r="M366" s="31" t="s">
        <v>12466</v>
      </c>
      <c r="N366" s="31" t="s">
        <v>12467</v>
      </c>
      <c r="O366" s="31" t="s">
        <v>9960</v>
      </c>
      <c r="P366" s="31" t="s">
        <v>10137</v>
      </c>
      <c r="Q366" s="31" t="s">
        <v>12468</v>
      </c>
      <c r="R366" s="31" t="s">
        <v>12140</v>
      </c>
      <c r="S366" s="31" t="s">
        <v>9963</v>
      </c>
    </row>
    <row r="367" customFormat="false" ht="51.75" hidden="false" customHeight="true" outlineLevel="0" collapsed="false">
      <c r="A367" s="30" t="s">
        <v>12469</v>
      </c>
      <c r="B367" s="31" t="s">
        <v>12470</v>
      </c>
      <c r="C367" s="31" t="s">
        <v>9889</v>
      </c>
      <c r="D367" s="31" t="s">
        <v>9890</v>
      </c>
      <c r="E367" s="31" t="s">
        <v>11981</v>
      </c>
      <c r="F367" s="31" t="s">
        <v>12471</v>
      </c>
      <c r="G367" s="31" t="s">
        <v>5681</v>
      </c>
      <c r="H367" s="31" t="str">
        <f aca="false">IFERROR(VLOOKUP(G367,'Master Taxonomy'!$A$2:$B$1656,2,FALSE()),"")</f>
        <v>War Chariot</v>
      </c>
      <c r="I367" s="31" t="s">
        <v>12472</v>
      </c>
      <c r="J367" s="31" t="s">
        <v>12473</v>
      </c>
      <c r="K367" s="31" t="s">
        <v>12474</v>
      </c>
      <c r="L367" s="31" t="s">
        <v>12475</v>
      </c>
      <c r="M367" s="31" t="s">
        <v>12476</v>
      </c>
      <c r="N367" s="31" t="s">
        <v>12477</v>
      </c>
      <c r="O367" s="31" t="s">
        <v>9960</v>
      </c>
      <c r="P367" s="31" t="s">
        <v>10137</v>
      </c>
      <c r="Q367" s="31" t="s">
        <v>12478</v>
      </c>
      <c r="R367" s="31" t="s">
        <v>12140</v>
      </c>
      <c r="S367" s="31" t="s">
        <v>9963</v>
      </c>
    </row>
    <row r="368" customFormat="false" ht="51.75" hidden="false" customHeight="true" outlineLevel="0" collapsed="false">
      <c r="A368" s="30" t="s">
        <v>12479</v>
      </c>
      <c r="B368" s="31" t="s">
        <v>12480</v>
      </c>
      <c r="C368" s="31" t="s">
        <v>9898</v>
      </c>
      <c r="D368" s="31" t="s">
        <v>9899</v>
      </c>
      <c r="E368" s="31" t="s">
        <v>12072</v>
      </c>
      <c r="F368" s="31" t="s">
        <v>12481</v>
      </c>
      <c r="G368" s="31" t="s">
        <v>5632</v>
      </c>
      <c r="H368" s="31" t="str">
        <f aca="false">IFERROR(VLOOKUP(G368,'Master Taxonomy'!$A$2:$B$1656,2,FALSE()),"")</f>
        <v>Horn, Bell, Conch, or Signal Relic</v>
      </c>
      <c r="I368" s="31" t="s">
        <v>12482</v>
      </c>
      <c r="J368" s="31" t="s">
        <v>12483</v>
      </c>
      <c r="K368" s="31" t="s">
        <v>12484</v>
      </c>
      <c r="L368" s="31" t="s">
        <v>12485</v>
      </c>
      <c r="M368" s="31" t="s">
        <v>12486</v>
      </c>
      <c r="N368" s="31" t="s">
        <v>12487</v>
      </c>
      <c r="O368" s="31" t="s">
        <v>9960</v>
      </c>
      <c r="P368" s="31" t="s">
        <v>10137</v>
      </c>
      <c r="Q368" s="31" t="s">
        <v>12488</v>
      </c>
      <c r="R368" s="31" t="s">
        <v>9906</v>
      </c>
      <c r="S368" s="31" t="s">
        <v>9963</v>
      </c>
    </row>
    <row r="369" customFormat="false" ht="51.75" hidden="false" customHeight="true" outlineLevel="0" collapsed="false">
      <c r="A369" s="30" t="s">
        <v>12489</v>
      </c>
      <c r="B369" s="31" t="s">
        <v>12490</v>
      </c>
      <c r="C369" s="31" t="s">
        <v>9889</v>
      </c>
      <c r="D369" s="31" t="s">
        <v>9890</v>
      </c>
      <c r="E369" s="31" t="s">
        <v>11981</v>
      </c>
      <c r="F369" s="31" t="s">
        <v>12491</v>
      </c>
      <c r="G369" s="31" t="s">
        <v>5338</v>
      </c>
      <c r="H369" s="31" t="str">
        <f aca="false">IFERROR(VLOOKUP(G369,'Master Taxonomy'!$A$2:$B$1656,2,FALSE()),"")</f>
        <v>Named Heroic Weapon</v>
      </c>
      <c r="I369" s="31" t="s">
        <v>12492</v>
      </c>
      <c r="J369" s="31" t="s">
        <v>12493</v>
      </c>
      <c r="K369" s="31" t="s">
        <v>12494</v>
      </c>
      <c r="L369" s="31" t="s">
        <v>12495</v>
      </c>
      <c r="M369" s="31" t="s">
        <v>12496</v>
      </c>
      <c r="N369" s="31" t="s">
        <v>12497</v>
      </c>
      <c r="O369" s="31" t="s">
        <v>9960</v>
      </c>
      <c r="P369" s="31" t="s">
        <v>10137</v>
      </c>
      <c r="Q369" s="31" t="s">
        <v>12498</v>
      </c>
      <c r="R369" s="31" t="s">
        <v>12129</v>
      </c>
      <c r="S369" s="31" t="s">
        <v>9963</v>
      </c>
    </row>
    <row r="370" customFormat="false" ht="51.75" hidden="false" customHeight="true" outlineLevel="0" collapsed="false">
      <c r="A370" s="30" t="s">
        <v>12499</v>
      </c>
      <c r="B370" s="31" t="s">
        <v>12500</v>
      </c>
      <c r="C370" s="31" t="s">
        <v>9889</v>
      </c>
      <c r="D370" s="31" t="s">
        <v>9890</v>
      </c>
      <c r="E370" s="31" t="s">
        <v>11981</v>
      </c>
      <c r="F370" s="31" t="s">
        <v>12501</v>
      </c>
      <c r="G370" s="31" t="s">
        <v>5625</v>
      </c>
      <c r="H370" s="31" t="str">
        <f aca="false">IFERROR(VLOOKUP(G370,'Master Taxonomy'!$A$2:$B$1656,2,FALSE()),"")</f>
        <v>Lots, Dice, Cards, or Fate Objects</v>
      </c>
      <c r="I370" s="31" t="s">
        <v>12502</v>
      </c>
      <c r="J370" s="31" t="s">
        <v>12503</v>
      </c>
      <c r="K370" s="31" t="s">
        <v>12504</v>
      </c>
      <c r="L370" s="31" t="s">
        <v>12505</v>
      </c>
      <c r="M370" s="31" t="s">
        <v>12506</v>
      </c>
      <c r="N370" s="31" t="s">
        <v>12507</v>
      </c>
      <c r="O370" s="31" t="s">
        <v>9960</v>
      </c>
      <c r="P370" s="31" t="s">
        <v>10137</v>
      </c>
      <c r="Q370" s="31" t="s">
        <v>12508</v>
      </c>
      <c r="R370" s="31" t="s">
        <v>11990</v>
      </c>
      <c r="S370" s="31" t="s">
        <v>9963</v>
      </c>
    </row>
    <row r="371" customFormat="false" ht="51.75" hidden="false" customHeight="true" outlineLevel="0" collapsed="false">
      <c r="A371" s="30" t="s">
        <v>12509</v>
      </c>
      <c r="B371" s="31" t="s">
        <v>12510</v>
      </c>
      <c r="C371" s="31" t="s">
        <v>9889</v>
      </c>
      <c r="D371" s="31" t="s">
        <v>9890</v>
      </c>
      <c r="E371" s="31" t="s">
        <v>11981</v>
      </c>
      <c r="F371" s="31" t="s">
        <v>12511</v>
      </c>
      <c r="G371" s="31" t="s">
        <v>6069</v>
      </c>
      <c r="H371" s="31" t="str">
        <f aca="false">IFERROR(VLOOKUP(G371,'Master Taxonomy'!$A$2:$B$1656,2,FALSE()),"")</f>
        <v>Celestial Realm or Heaven</v>
      </c>
      <c r="I371" s="31" t="s">
        <v>12512</v>
      </c>
      <c r="J371" s="31" t="s">
        <v>12513</v>
      </c>
      <c r="K371" s="31" t="s">
        <v>12514</v>
      </c>
      <c r="L371" s="31" t="s">
        <v>12515</v>
      </c>
      <c r="M371" s="31" t="s">
        <v>12516</v>
      </c>
      <c r="N371" s="31" t="s">
        <v>12517</v>
      </c>
      <c r="O371" s="31" t="s">
        <v>9960</v>
      </c>
      <c r="P371" s="31" t="s">
        <v>10137</v>
      </c>
      <c r="Q371" s="31" t="s">
        <v>12518</v>
      </c>
      <c r="R371" s="31" t="s">
        <v>12059</v>
      </c>
      <c r="S371" s="31" t="s">
        <v>9963</v>
      </c>
    </row>
    <row r="372" customFormat="false" ht="51.75" hidden="false" customHeight="true" outlineLevel="0" collapsed="false">
      <c r="A372" s="30" t="s">
        <v>12519</v>
      </c>
      <c r="B372" s="31" t="s">
        <v>12520</v>
      </c>
      <c r="C372" s="31" t="s">
        <v>9889</v>
      </c>
      <c r="D372" s="31" t="s">
        <v>9890</v>
      </c>
      <c r="E372" s="31" t="s">
        <v>11981</v>
      </c>
      <c r="F372" s="31" t="s">
        <v>12521</v>
      </c>
      <c r="G372" s="31" t="s">
        <v>6188</v>
      </c>
      <c r="H372" s="31" t="str">
        <f aca="false">IFERROR(VLOOKUP(G372,'Master Taxonomy'!$A$2:$B$1656,2,FALSE()),"")</f>
        <v>Punishment Realm or Hell</v>
      </c>
      <c r="I372" s="31" t="s">
        <v>12522</v>
      </c>
      <c r="J372" s="31" t="s">
        <v>12523</v>
      </c>
      <c r="K372" s="31" t="s">
        <v>12524</v>
      </c>
      <c r="L372" s="31" t="s">
        <v>12525</v>
      </c>
      <c r="M372" s="31" t="s">
        <v>12526</v>
      </c>
      <c r="N372" s="31" t="s">
        <v>12527</v>
      </c>
      <c r="O372" s="31" t="s">
        <v>9960</v>
      </c>
      <c r="P372" s="31" t="s">
        <v>10137</v>
      </c>
      <c r="Q372" s="31" t="s">
        <v>12528</v>
      </c>
      <c r="R372" s="31" t="s">
        <v>12059</v>
      </c>
      <c r="S372" s="31" t="s">
        <v>9963</v>
      </c>
    </row>
    <row r="373" customFormat="false" ht="51.75" hidden="false" customHeight="true" outlineLevel="0" collapsed="false">
      <c r="A373" s="30" t="s">
        <v>12529</v>
      </c>
      <c r="B373" s="31" t="s">
        <v>12530</v>
      </c>
      <c r="C373" s="31" t="s">
        <v>9889</v>
      </c>
      <c r="D373" s="31" t="s">
        <v>9890</v>
      </c>
      <c r="E373" s="31" t="s">
        <v>11981</v>
      </c>
      <c r="F373" s="31" t="s">
        <v>12531</v>
      </c>
      <c r="G373" s="31" t="s">
        <v>5957</v>
      </c>
      <c r="H373" s="31" t="str">
        <f aca="false">IFERROR(VLOOKUP(G373,'Master Taxonomy'!$A$2:$B$1656,2,FALSE()),"")</f>
        <v>Multiple Planes or Worlds</v>
      </c>
      <c r="I373" s="31" t="s">
        <v>12532</v>
      </c>
      <c r="J373" s="31" t="s">
        <v>12533</v>
      </c>
      <c r="K373" s="31" t="s">
        <v>12534</v>
      </c>
      <c r="L373" s="31" t="s">
        <v>12535</v>
      </c>
      <c r="M373" s="31" t="s">
        <v>12536</v>
      </c>
      <c r="N373" s="31" t="s">
        <v>12537</v>
      </c>
      <c r="O373" s="31" t="s">
        <v>9960</v>
      </c>
      <c r="P373" s="31" t="s">
        <v>9961</v>
      </c>
      <c r="Q373" s="31" t="s">
        <v>12538</v>
      </c>
      <c r="R373" s="31" t="s">
        <v>8192</v>
      </c>
      <c r="S373" s="31" t="s">
        <v>9963</v>
      </c>
    </row>
    <row r="374" customFormat="false" ht="51.75" hidden="false" customHeight="true" outlineLevel="0" collapsed="false">
      <c r="A374" s="30" t="s">
        <v>12539</v>
      </c>
      <c r="B374" s="31" t="s">
        <v>12540</v>
      </c>
      <c r="C374" s="31" t="s">
        <v>9889</v>
      </c>
      <c r="D374" s="31" t="s">
        <v>9890</v>
      </c>
      <c r="E374" s="31" t="s">
        <v>11981</v>
      </c>
      <c r="F374" s="31" t="s">
        <v>12541</v>
      </c>
      <c r="G374" s="31" t="s">
        <v>6006</v>
      </c>
      <c r="H374" s="31" t="str">
        <f aca="false">IFERROR(VLOOKUP(G374,'Master Taxonomy'!$A$2:$B$1656,2,FALSE()),"")</f>
        <v>Cyclical Time</v>
      </c>
      <c r="I374" s="31" t="s">
        <v>12542</v>
      </c>
      <c r="J374" s="31" t="s">
        <v>12543</v>
      </c>
      <c r="K374" s="31" t="s">
        <v>12544</v>
      </c>
      <c r="L374" s="31" t="s">
        <v>12545</v>
      </c>
      <c r="M374" s="31" t="s">
        <v>12546</v>
      </c>
      <c r="N374" s="31" t="s">
        <v>12547</v>
      </c>
      <c r="O374" s="31" t="s">
        <v>9960</v>
      </c>
      <c r="P374" s="31" t="s">
        <v>10137</v>
      </c>
      <c r="Q374" s="31" t="s">
        <v>12548</v>
      </c>
      <c r="R374" s="31" t="s">
        <v>12129</v>
      </c>
      <c r="S374" s="31" t="s">
        <v>9963</v>
      </c>
    </row>
    <row r="375" customFormat="false" ht="51.75" hidden="false" customHeight="true" outlineLevel="0" collapsed="false">
      <c r="A375" s="30" t="s">
        <v>12549</v>
      </c>
      <c r="B375" s="31" t="s">
        <v>12550</v>
      </c>
      <c r="C375" s="31" t="s">
        <v>9898</v>
      </c>
      <c r="D375" s="31" t="s">
        <v>9899</v>
      </c>
      <c r="E375" s="31" t="s">
        <v>12072</v>
      </c>
      <c r="F375" s="31" t="s">
        <v>12551</v>
      </c>
      <c r="G375" s="31" t="s">
        <v>6216</v>
      </c>
      <c r="H375" s="31" t="str">
        <f aca="false">IFERROR(VLOOKUP(G375,'Master Taxonomy'!$A$2:$B$1656,2,FALSE()),"")</f>
        <v>Reincarnation Cycle</v>
      </c>
      <c r="I375" s="31" t="s">
        <v>12552</v>
      </c>
      <c r="J375" s="31" t="s">
        <v>12553</v>
      </c>
      <c r="K375" s="31" t="s">
        <v>12554</v>
      </c>
      <c r="L375" s="31" t="s">
        <v>12555</v>
      </c>
      <c r="M375" s="31" t="s">
        <v>12556</v>
      </c>
      <c r="N375" s="31" t="s">
        <v>12557</v>
      </c>
      <c r="O375" s="31" t="s">
        <v>9960</v>
      </c>
      <c r="P375" s="31" t="s">
        <v>10137</v>
      </c>
      <c r="Q375" s="31" t="s">
        <v>12558</v>
      </c>
      <c r="R375" s="31" t="s">
        <v>9906</v>
      </c>
      <c r="S375" s="31" t="s">
        <v>9963</v>
      </c>
    </row>
    <row r="376" customFormat="false" ht="51.75" hidden="false" customHeight="true" outlineLevel="0" collapsed="false">
      <c r="A376" s="30" t="s">
        <v>12559</v>
      </c>
      <c r="B376" s="31" t="s">
        <v>12560</v>
      </c>
      <c r="C376" s="31" t="s">
        <v>9889</v>
      </c>
      <c r="D376" s="31" t="s">
        <v>9890</v>
      </c>
      <c r="E376" s="31" t="s">
        <v>11981</v>
      </c>
      <c r="F376" s="31" t="s">
        <v>12561</v>
      </c>
      <c r="G376" s="31" t="s">
        <v>5943</v>
      </c>
      <c r="H376" s="31" t="str">
        <f aca="false">IFERROR(VLOOKUP(G376,'Master Taxonomy'!$A$2:$B$1656,2,FALSE()),"")</f>
        <v>World Mountain Cosmology</v>
      </c>
      <c r="I376" s="31" t="s">
        <v>12562</v>
      </c>
      <c r="J376" s="31" t="s">
        <v>12563</v>
      </c>
      <c r="K376" s="31" t="s">
        <v>12564</v>
      </c>
      <c r="L376" s="31" t="s">
        <v>12565</v>
      </c>
      <c r="M376" s="31" t="s">
        <v>12566</v>
      </c>
      <c r="N376" s="31" t="s">
        <v>12567</v>
      </c>
      <c r="O376" s="31" t="s">
        <v>9960</v>
      </c>
      <c r="P376" s="31" t="s">
        <v>9961</v>
      </c>
      <c r="Q376" s="31" t="s">
        <v>12568</v>
      </c>
      <c r="R376" s="31" t="s">
        <v>8192</v>
      </c>
      <c r="S376" s="31" t="s">
        <v>9963</v>
      </c>
    </row>
    <row r="377" customFormat="false" ht="51.75" hidden="false" customHeight="true" outlineLevel="0" collapsed="false">
      <c r="A377" s="30" t="s">
        <v>12569</v>
      </c>
      <c r="B377" s="31" t="s">
        <v>12570</v>
      </c>
      <c r="C377" s="31" t="s">
        <v>9889</v>
      </c>
      <c r="D377" s="31" t="s">
        <v>9890</v>
      </c>
      <c r="E377" s="31" t="s">
        <v>11981</v>
      </c>
      <c r="F377" s="31" t="s">
        <v>12571</v>
      </c>
      <c r="G377" s="31" t="s">
        <v>6426</v>
      </c>
      <c r="H377" s="31" t="str">
        <f aca="false">IFERROR(VLOOKUP(G377,'Master Taxonomy'!$A$2:$B$1656,2,FALSE()),"")</f>
        <v>Sacred Crossing or Ford</v>
      </c>
      <c r="I377" s="31" t="s">
        <v>12572</v>
      </c>
      <c r="J377" s="31" t="s">
        <v>12573</v>
      </c>
      <c r="K377" s="31" t="s">
        <v>12574</v>
      </c>
      <c r="L377" s="31" t="s">
        <v>12575</v>
      </c>
      <c r="M377" s="31" t="s">
        <v>12576</v>
      </c>
      <c r="N377" s="31" t="s">
        <v>12577</v>
      </c>
      <c r="O377" s="31" t="s">
        <v>9960</v>
      </c>
      <c r="P377" s="31" t="s">
        <v>10137</v>
      </c>
      <c r="Q377" s="31" t="s">
        <v>12578</v>
      </c>
      <c r="R377" s="31" t="s">
        <v>11990</v>
      </c>
      <c r="S377" s="31" t="s">
        <v>9963</v>
      </c>
    </row>
    <row r="378" customFormat="false" ht="51.75" hidden="false" customHeight="true" outlineLevel="0" collapsed="false">
      <c r="A378" s="30" t="s">
        <v>12579</v>
      </c>
      <c r="B378" s="31" t="s">
        <v>12580</v>
      </c>
      <c r="C378" s="31" t="s">
        <v>9898</v>
      </c>
      <c r="D378" s="31" t="s">
        <v>9899</v>
      </c>
      <c r="E378" s="31" t="s">
        <v>12072</v>
      </c>
      <c r="F378" s="31" t="s">
        <v>12581</v>
      </c>
      <c r="G378" s="31" t="s">
        <v>6531</v>
      </c>
      <c r="H378" s="31" t="str">
        <f aca="false">IFERROR(VLOOKUP(G378,'Master Taxonomy'!$A$2:$B$1656,2,FALSE()),"")</f>
        <v>Sacred Battlefield</v>
      </c>
      <c r="I378" s="31" t="s">
        <v>12582</v>
      </c>
      <c r="J378" s="31" t="s">
        <v>12583</v>
      </c>
      <c r="K378" s="31" t="s">
        <v>12584</v>
      </c>
      <c r="L378" s="31" t="s">
        <v>12585</v>
      </c>
      <c r="M378" s="31" t="s">
        <v>12586</v>
      </c>
      <c r="N378" s="31" t="s">
        <v>12587</v>
      </c>
      <c r="O378" s="31" t="s">
        <v>9960</v>
      </c>
      <c r="P378" s="31" t="s">
        <v>10137</v>
      </c>
      <c r="Q378" s="31" t="s">
        <v>12588</v>
      </c>
      <c r="R378" s="31" t="s">
        <v>9906</v>
      </c>
      <c r="S378" s="31" t="s">
        <v>9963</v>
      </c>
    </row>
    <row r="379" customFormat="false" ht="51.75" hidden="false" customHeight="true" outlineLevel="0" collapsed="false">
      <c r="A379" s="30" t="s">
        <v>12589</v>
      </c>
      <c r="B379" s="31" t="s">
        <v>12590</v>
      </c>
      <c r="C379" s="31" t="s">
        <v>9889</v>
      </c>
      <c r="D379" s="31" t="s">
        <v>9890</v>
      </c>
      <c r="E379" s="31" t="s">
        <v>11981</v>
      </c>
      <c r="F379" s="31" t="s">
        <v>12591</v>
      </c>
      <c r="G379" s="31" t="s">
        <v>6090</v>
      </c>
      <c r="H379" s="31" t="str">
        <f aca="false">IFERROR(VLOOKUP(G379,'Master Taxonomy'!$A$2:$B$1656,2,FALSE()),"")</f>
        <v>Ancestor Realm</v>
      </c>
      <c r="I379" s="31" t="s">
        <v>12592</v>
      </c>
      <c r="J379" s="31" t="s">
        <v>12593</v>
      </c>
      <c r="K379" s="31" t="s">
        <v>12594</v>
      </c>
      <c r="L379" s="31" t="s">
        <v>12595</v>
      </c>
      <c r="M379" s="31" t="s">
        <v>12596</v>
      </c>
      <c r="N379" s="31" t="s">
        <v>12597</v>
      </c>
      <c r="O379" s="31" t="s">
        <v>9960</v>
      </c>
      <c r="P379" s="31" t="s">
        <v>10137</v>
      </c>
      <c r="Q379" s="31" t="s">
        <v>12598</v>
      </c>
      <c r="R379" s="31" t="s">
        <v>12059</v>
      </c>
      <c r="S379" s="31" t="s">
        <v>9963</v>
      </c>
    </row>
    <row r="380" customFormat="false" ht="51.75" hidden="false" customHeight="true" outlineLevel="0" collapsed="false">
      <c r="A380" s="30" t="s">
        <v>12599</v>
      </c>
      <c r="B380" s="31" t="s">
        <v>12600</v>
      </c>
      <c r="C380" s="31" t="s">
        <v>9889</v>
      </c>
      <c r="D380" s="31" t="s">
        <v>9890</v>
      </c>
      <c r="E380" s="31" t="s">
        <v>11981</v>
      </c>
      <c r="F380" s="31" t="s">
        <v>12601</v>
      </c>
      <c r="G380" s="31" t="s">
        <v>6601</v>
      </c>
      <c r="H380" s="31" t="str">
        <f aca="false">IFERROR(VLOOKUP(G380,'Master Taxonomy'!$A$2:$B$1656,2,FALSE()),"")</f>
        <v>Divine Ascent</v>
      </c>
      <c r="I380" s="31" t="s">
        <v>12602</v>
      </c>
      <c r="J380" s="31" t="s">
        <v>12603</v>
      </c>
      <c r="K380" s="31" t="s">
        <v>12604</v>
      </c>
      <c r="L380" s="31" t="s">
        <v>12605</v>
      </c>
      <c r="M380" s="31" t="s">
        <v>12606</v>
      </c>
      <c r="N380" s="31" t="s">
        <v>12607</v>
      </c>
      <c r="O380" s="31" t="s">
        <v>9960</v>
      </c>
      <c r="P380" s="31" t="s">
        <v>10137</v>
      </c>
      <c r="Q380" s="31" t="s">
        <v>12608</v>
      </c>
      <c r="R380" s="31" t="s">
        <v>12059</v>
      </c>
      <c r="S380" s="31" t="s">
        <v>9963</v>
      </c>
    </row>
    <row r="381" customFormat="false" ht="51.75" hidden="false" customHeight="true" outlineLevel="0" collapsed="false">
      <c r="A381" s="30" t="s">
        <v>12609</v>
      </c>
      <c r="B381" s="31" t="s">
        <v>12610</v>
      </c>
      <c r="C381" s="31" t="s">
        <v>9898</v>
      </c>
      <c r="D381" s="31" t="s">
        <v>9899</v>
      </c>
      <c r="E381" s="31" t="s">
        <v>12611</v>
      </c>
      <c r="F381" s="31" t="s">
        <v>12612</v>
      </c>
      <c r="G381" s="31" t="s">
        <v>7259</v>
      </c>
      <c r="H381" s="31" t="str">
        <f aca="false">IFERROR(VLOOKUP(G381,'Master Taxonomy'!$A$2:$B$1656,2,FALSE()),"")</f>
        <v>Cosmic or Social Order</v>
      </c>
      <c r="I381" s="31" t="s">
        <v>12613</v>
      </c>
      <c r="J381" s="31" t="s">
        <v>12614</v>
      </c>
      <c r="K381" s="31" t="s">
        <v>12615</v>
      </c>
      <c r="L381" s="31" t="s">
        <v>12616</v>
      </c>
      <c r="M381" s="31" t="s">
        <v>12617</v>
      </c>
      <c r="N381" s="31" t="s">
        <v>12618</v>
      </c>
      <c r="O381" s="31" t="s">
        <v>9960</v>
      </c>
      <c r="P381" s="31" t="s">
        <v>10137</v>
      </c>
      <c r="Q381" s="31" t="s">
        <v>12619</v>
      </c>
      <c r="R381" s="31" t="s">
        <v>9906</v>
      </c>
      <c r="S381" s="31" t="s">
        <v>9963</v>
      </c>
    </row>
    <row r="382" customFormat="false" ht="51.75" hidden="false" customHeight="true" outlineLevel="0" collapsed="false">
      <c r="A382" s="30" t="s">
        <v>12620</v>
      </c>
      <c r="B382" s="31" t="s">
        <v>12621</v>
      </c>
      <c r="C382" s="31" t="s">
        <v>9898</v>
      </c>
      <c r="D382" s="31" t="s">
        <v>9899</v>
      </c>
      <c r="E382" s="31" t="s">
        <v>12611</v>
      </c>
      <c r="F382" s="31" t="s">
        <v>12622</v>
      </c>
      <c r="G382" s="31" t="s">
        <v>7267</v>
      </c>
      <c r="H382" s="31" t="str">
        <f aca="false">IFERROR(VLOOKUP(G382,'Master Taxonomy'!$A$2:$B$1656,2,FALSE()),"")</f>
        <v>Moral Causation or Karma-Like Rule</v>
      </c>
      <c r="I382" s="31" t="s">
        <v>12623</v>
      </c>
      <c r="J382" s="31" t="s">
        <v>12624</v>
      </c>
      <c r="K382" s="31" t="s">
        <v>12625</v>
      </c>
      <c r="L382" s="31" t="s">
        <v>12626</v>
      </c>
      <c r="M382" s="31" t="s">
        <v>12627</v>
      </c>
      <c r="N382" s="31" t="s">
        <v>12628</v>
      </c>
      <c r="O382" s="31" t="s">
        <v>9960</v>
      </c>
      <c r="P382" s="31" t="s">
        <v>10137</v>
      </c>
      <c r="Q382" s="31" t="s">
        <v>12558</v>
      </c>
      <c r="R382" s="31" t="s">
        <v>9906</v>
      </c>
      <c r="S382" s="31" t="s">
        <v>9963</v>
      </c>
    </row>
    <row r="383" customFormat="false" ht="51.75" hidden="false" customHeight="true" outlineLevel="0" collapsed="false">
      <c r="A383" s="30" t="s">
        <v>12629</v>
      </c>
      <c r="B383" s="31" t="s">
        <v>12630</v>
      </c>
      <c r="C383" s="31" t="s">
        <v>9889</v>
      </c>
      <c r="D383" s="31" t="s">
        <v>9890</v>
      </c>
      <c r="E383" s="31" t="s">
        <v>11981</v>
      </c>
      <c r="F383" s="31" t="s">
        <v>12631</v>
      </c>
      <c r="G383" s="31" t="s">
        <v>7006</v>
      </c>
      <c r="H383" s="31" t="str">
        <f aca="false">IFERROR(VLOOKUP(G383,'Master Taxonomy'!$A$2:$B$1656,2,FALSE()),"")</f>
        <v>Sacrifice or Offering</v>
      </c>
      <c r="I383" s="31" t="s">
        <v>12632</v>
      </c>
      <c r="J383" s="31" t="s">
        <v>12633</v>
      </c>
      <c r="K383" s="31" t="s">
        <v>12634</v>
      </c>
      <c r="L383" s="31" t="s">
        <v>12635</v>
      </c>
      <c r="M383" s="31" t="s">
        <v>12636</v>
      </c>
      <c r="N383" s="31" t="s">
        <v>12637</v>
      </c>
      <c r="O383" s="31" t="s">
        <v>9960</v>
      </c>
      <c r="P383" s="31" t="s">
        <v>10137</v>
      </c>
      <c r="Q383" s="31" t="s">
        <v>12218</v>
      </c>
      <c r="R383" s="31" t="s">
        <v>12059</v>
      </c>
      <c r="S383" s="31" t="s">
        <v>9963</v>
      </c>
    </row>
    <row r="384" customFormat="false" ht="51.75" hidden="false" customHeight="true" outlineLevel="0" collapsed="false">
      <c r="A384" s="30" t="s">
        <v>12638</v>
      </c>
      <c r="B384" s="31" t="s">
        <v>12639</v>
      </c>
      <c r="C384" s="31" t="s">
        <v>9889</v>
      </c>
      <c r="D384" s="31" t="s">
        <v>9890</v>
      </c>
      <c r="E384" s="31" t="s">
        <v>11981</v>
      </c>
      <c r="F384" s="31" t="s">
        <v>12640</v>
      </c>
      <c r="G384" s="31" t="s">
        <v>7670</v>
      </c>
      <c r="H384" s="31" t="str">
        <f aca="false">IFERROR(VLOOKUP(G384,'Master Taxonomy'!$A$2:$B$1656,2,FALSE()),"")</f>
        <v>Teacher–Disciple Debt</v>
      </c>
      <c r="I384" s="31" t="s">
        <v>12641</v>
      </c>
      <c r="J384" s="31" t="s">
        <v>12642</v>
      </c>
      <c r="K384" s="31" t="s">
        <v>12643</v>
      </c>
      <c r="L384" s="31" t="s">
        <v>12644</v>
      </c>
      <c r="M384" s="31" t="s">
        <v>12645</v>
      </c>
      <c r="N384" s="31" t="s">
        <v>12646</v>
      </c>
      <c r="O384" s="31" t="s">
        <v>9960</v>
      </c>
      <c r="P384" s="31" t="s">
        <v>10137</v>
      </c>
      <c r="Q384" s="31" t="s">
        <v>12647</v>
      </c>
      <c r="R384" s="31" t="s">
        <v>11990</v>
      </c>
      <c r="S384" s="31" t="s">
        <v>9963</v>
      </c>
    </row>
    <row r="385" customFormat="false" ht="51.75" hidden="false" customHeight="true" outlineLevel="0" collapsed="false">
      <c r="A385" s="30" t="s">
        <v>12648</v>
      </c>
      <c r="B385" s="31" t="s">
        <v>12649</v>
      </c>
      <c r="C385" s="31" t="s">
        <v>9889</v>
      </c>
      <c r="D385" s="31" t="s">
        <v>9890</v>
      </c>
      <c r="E385" s="31" t="s">
        <v>11981</v>
      </c>
      <c r="F385" s="31" t="s">
        <v>12650</v>
      </c>
      <c r="G385" s="31" t="s">
        <v>7634</v>
      </c>
      <c r="H385" s="31" t="str">
        <f aca="false">IFERROR(VLOOKUP(G385,'Master Taxonomy'!$A$2:$B$1656,2,FALSE()),"")</f>
        <v>Sacred Hospitality</v>
      </c>
      <c r="I385" s="31" t="s">
        <v>12651</v>
      </c>
      <c r="J385" s="31" t="s">
        <v>12652</v>
      </c>
      <c r="K385" s="31" t="s">
        <v>12653</v>
      </c>
      <c r="L385" s="31" t="s">
        <v>12654</v>
      </c>
      <c r="M385" s="31" t="s">
        <v>12655</v>
      </c>
      <c r="N385" s="31" t="s">
        <v>12656</v>
      </c>
      <c r="O385" s="31" t="s">
        <v>9960</v>
      </c>
      <c r="P385" s="31" t="s">
        <v>10137</v>
      </c>
      <c r="Q385" s="31" t="s">
        <v>12657</v>
      </c>
      <c r="R385" s="31" t="s">
        <v>12059</v>
      </c>
      <c r="S385" s="31" t="s">
        <v>9963</v>
      </c>
    </row>
    <row r="386" customFormat="false" ht="51.75" hidden="false" customHeight="true" outlineLevel="0" collapsed="false">
      <c r="A386" s="30" t="s">
        <v>12658</v>
      </c>
      <c r="B386" s="31" t="s">
        <v>12659</v>
      </c>
      <c r="C386" s="31" t="s">
        <v>9889</v>
      </c>
      <c r="D386" s="31" t="s">
        <v>9890</v>
      </c>
      <c r="E386" s="31" t="s">
        <v>11981</v>
      </c>
      <c r="F386" s="31" t="s">
        <v>12660</v>
      </c>
      <c r="G386" s="31" t="s">
        <v>7289</v>
      </c>
      <c r="H386" s="31" t="str">
        <f aca="false">IFERROR(VLOOKUP(G386,'Master Taxonomy'!$A$2:$B$1656,2,FALSE()),"")</f>
        <v>Sacred Kingship</v>
      </c>
      <c r="I386" s="31" t="s">
        <v>12661</v>
      </c>
      <c r="J386" s="31" t="s">
        <v>12662</v>
      </c>
      <c r="K386" s="31" t="s">
        <v>12663</v>
      </c>
      <c r="L386" s="31" t="s">
        <v>12664</v>
      </c>
      <c r="M386" s="31" t="s">
        <v>12665</v>
      </c>
      <c r="N386" s="31" t="s">
        <v>12666</v>
      </c>
      <c r="O386" s="31" t="s">
        <v>9960</v>
      </c>
      <c r="P386" s="31" t="s">
        <v>10137</v>
      </c>
      <c r="Q386" s="31" t="s">
        <v>12667</v>
      </c>
      <c r="R386" s="31" t="s">
        <v>12129</v>
      </c>
      <c r="S386" s="31" t="s">
        <v>9963</v>
      </c>
    </row>
    <row r="387" customFormat="false" ht="51.75" hidden="false" customHeight="true" outlineLevel="0" collapsed="false">
      <c r="A387" s="30" t="s">
        <v>12668</v>
      </c>
      <c r="B387" s="31" t="s">
        <v>12669</v>
      </c>
      <c r="C387" s="31" t="s">
        <v>9889</v>
      </c>
      <c r="D387" s="31" t="s">
        <v>9890</v>
      </c>
      <c r="E387" s="31" t="s">
        <v>11981</v>
      </c>
      <c r="F387" s="31" t="s">
        <v>12670</v>
      </c>
      <c r="G387" s="31" t="s">
        <v>7605</v>
      </c>
      <c r="H387" s="31" t="str">
        <f aca="false">IFERROR(VLOOKUP(G387,'Master Taxonomy'!$A$2:$B$1656,2,FALSE()),"")</f>
        <v>Escape from the Cycle or Liberation</v>
      </c>
      <c r="I387" s="31" t="s">
        <v>12671</v>
      </c>
      <c r="J387" s="31" t="s">
        <v>12672</v>
      </c>
      <c r="K387" s="31" t="s">
        <v>12673</v>
      </c>
      <c r="L387" s="31" t="s">
        <v>12674</v>
      </c>
      <c r="M387" s="31" t="s">
        <v>12675</v>
      </c>
      <c r="N387" s="31" t="s">
        <v>12676</v>
      </c>
      <c r="O387" s="31" t="s">
        <v>9960</v>
      </c>
      <c r="P387" s="31" t="s">
        <v>10137</v>
      </c>
      <c r="Q387" s="31" t="s">
        <v>12677</v>
      </c>
      <c r="R387" s="31" t="s">
        <v>12129</v>
      </c>
      <c r="S387" s="31" t="s">
        <v>9963</v>
      </c>
    </row>
    <row r="388" customFormat="false" ht="51.75" hidden="false" customHeight="true" outlineLevel="0" collapsed="false">
      <c r="A388" s="30" t="s">
        <v>12678</v>
      </c>
      <c r="B388" s="31" t="s">
        <v>12679</v>
      </c>
      <c r="C388" s="31" t="s">
        <v>9889</v>
      </c>
      <c r="D388" s="31" t="s">
        <v>9890</v>
      </c>
      <c r="E388" s="31" t="s">
        <v>11981</v>
      </c>
      <c r="F388" s="31" t="s">
        <v>12680</v>
      </c>
      <c r="G388" s="31" t="s">
        <v>7649</v>
      </c>
      <c r="H388" s="31" t="str">
        <f aca="false">IFERROR(VLOOKUP(G388,'Master Taxonomy'!$A$2:$B$1656,2,FALSE()),"")</f>
        <v>Kinship Blessing or Curse</v>
      </c>
      <c r="I388" s="31" t="s">
        <v>12681</v>
      </c>
      <c r="J388" s="31" t="s">
        <v>12682</v>
      </c>
      <c r="K388" s="31" t="s">
        <v>12683</v>
      </c>
      <c r="L388" s="31" t="s">
        <v>12684</v>
      </c>
      <c r="M388" s="31" t="s">
        <v>12685</v>
      </c>
      <c r="N388" s="31" t="s">
        <v>12686</v>
      </c>
      <c r="O388" s="31" t="s">
        <v>9960</v>
      </c>
      <c r="P388" s="31" t="s">
        <v>9961</v>
      </c>
      <c r="Q388" s="31" t="s">
        <v>12687</v>
      </c>
      <c r="R388" s="31" t="s">
        <v>8192</v>
      </c>
      <c r="S388" s="31" t="s">
        <v>9963</v>
      </c>
    </row>
    <row r="389" customFormat="false" ht="51.75" hidden="false" customHeight="true" outlineLevel="0" collapsed="false">
      <c r="A389" s="30" t="s">
        <v>12688</v>
      </c>
      <c r="B389" s="31" t="s">
        <v>12689</v>
      </c>
      <c r="C389" s="31" t="s">
        <v>9889</v>
      </c>
      <c r="D389" s="31" t="s">
        <v>9890</v>
      </c>
      <c r="E389" s="31" t="s">
        <v>11981</v>
      </c>
      <c r="F389" s="31" t="s">
        <v>12690</v>
      </c>
      <c r="G389" s="31" t="s">
        <v>7542</v>
      </c>
      <c r="H389" s="31" t="str">
        <f aca="false">IFERROR(VLOOKUP(G389,'Master Taxonomy'!$A$2:$B$1656,2,FALSE()),"")</f>
        <v>Burial or Funeral Requirement</v>
      </c>
      <c r="I389" s="31" t="s">
        <v>12691</v>
      </c>
      <c r="J389" s="31" t="s">
        <v>12692</v>
      </c>
      <c r="K389" s="31" t="s">
        <v>12693</v>
      </c>
      <c r="L389" s="31" t="s">
        <v>12694</v>
      </c>
      <c r="M389" s="31" t="s">
        <v>12695</v>
      </c>
      <c r="N389" s="31" t="s">
        <v>12696</v>
      </c>
      <c r="O389" s="31" t="s">
        <v>9960</v>
      </c>
      <c r="P389" s="31" t="s">
        <v>10137</v>
      </c>
      <c r="Q389" s="31" t="s">
        <v>12697</v>
      </c>
      <c r="R389" s="31" t="s">
        <v>12059</v>
      </c>
      <c r="S389" s="31" t="s">
        <v>9963</v>
      </c>
    </row>
    <row r="390" customFormat="false" ht="51.75" hidden="false" customHeight="true" outlineLevel="0" collapsed="false">
      <c r="A390" s="30" t="s">
        <v>12698</v>
      </c>
      <c r="B390" s="31" t="s">
        <v>12699</v>
      </c>
      <c r="C390" s="31" t="s">
        <v>9889</v>
      </c>
      <c r="D390" s="31" t="s">
        <v>9890</v>
      </c>
      <c r="E390" s="31" t="s">
        <v>11981</v>
      </c>
      <c r="F390" s="31" t="s">
        <v>12700</v>
      </c>
      <c r="G390" s="31" t="s">
        <v>6985</v>
      </c>
      <c r="H390" s="31" t="str">
        <f aca="false">IFERROR(VLOOKUP(G390,'Master Taxonomy'!$A$2:$B$1656,2,FALSE()),"")</f>
        <v>Boon Loophole</v>
      </c>
      <c r="I390" s="31" t="s">
        <v>12701</v>
      </c>
      <c r="J390" s="31" t="s">
        <v>12702</v>
      </c>
      <c r="K390" s="31" t="s">
        <v>12703</v>
      </c>
      <c r="L390" s="31" t="s">
        <v>12704</v>
      </c>
      <c r="M390" s="31" t="s">
        <v>12705</v>
      </c>
      <c r="N390" s="31" t="s">
        <v>12706</v>
      </c>
      <c r="O390" s="31" t="s">
        <v>9960</v>
      </c>
      <c r="P390" s="31" t="s">
        <v>10137</v>
      </c>
      <c r="Q390" s="31" t="s">
        <v>12707</v>
      </c>
      <c r="R390" s="31" t="s">
        <v>12059</v>
      </c>
      <c r="S390" s="31" t="s">
        <v>9963</v>
      </c>
    </row>
    <row r="391" customFormat="false" ht="51.75" hidden="false" customHeight="true" outlineLevel="0" collapsed="false">
      <c r="A391" s="30" t="s">
        <v>12708</v>
      </c>
      <c r="B391" s="31" t="s">
        <v>12709</v>
      </c>
      <c r="C391" s="31" t="s">
        <v>9889</v>
      </c>
      <c r="D391" s="31" t="s">
        <v>9890</v>
      </c>
      <c r="E391" s="31" t="s">
        <v>11981</v>
      </c>
      <c r="F391" s="31" t="s">
        <v>12710</v>
      </c>
      <c r="G391" s="31" t="s">
        <v>3501</v>
      </c>
      <c r="H391" s="31" t="str">
        <f aca="false">IFERROR(VLOOKUP(G391,'Master Taxonomy'!$A$2:$B$1656,2,FALSE()),"")</f>
        <v>Dynasty</v>
      </c>
      <c r="I391" s="31" t="s">
        <v>12711</v>
      </c>
      <c r="J391" s="31" t="s">
        <v>12712</v>
      </c>
      <c r="K391" s="31" t="s">
        <v>12713</v>
      </c>
      <c r="L391" s="31" t="s">
        <v>12714</v>
      </c>
      <c r="M391" s="31" t="s">
        <v>12715</v>
      </c>
      <c r="N391" s="31" t="s">
        <v>12716</v>
      </c>
      <c r="O391" s="31" t="s">
        <v>9960</v>
      </c>
      <c r="P391" s="31" t="s">
        <v>10137</v>
      </c>
      <c r="Q391" s="31" t="s">
        <v>12717</v>
      </c>
      <c r="R391" s="31" t="s">
        <v>11990</v>
      </c>
      <c r="S391" s="31" t="s">
        <v>9963</v>
      </c>
    </row>
    <row r="392" customFormat="false" ht="51.75" hidden="false" customHeight="true" outlineLevel="0" collapsed="false">
      <c r="A392" s="30" t="s">
        <v>12718</v>
      </c>
      <c r="B392" s="31" t="s">
        <v>12719</v>
      </c>
      <c r="C392" s="31" t="s">
        <v>9889</v>
      </c>
      <c r="D392" s="31" t="s">
        <v>9890</v>
      </c>
      <c r="E392" s="31" t="s">
        <v>11981</v>
      </c>
      <c r="F392" s="31" t="s">
        <v>12720</v>
      </c>
      <c r="G392" s="31" t="s">
        <v>3257</v>
      </c>
      <c r="H392" s="31" t="str">
        <f aca="false">IFERROR(VLOOKUP(G392,'Master Taxonomy'!$A$2:$B$1656,2,FALSE()),"")</f>
        <v>Kinship, Political, and Secret Organizations</v>
      </c>
      <c r="I392" s="31" t="s">
        <v>12721</v>
      </c>
      <c r="J392" s="31" t="s">
        <v>12722</v>
      </c>
      <c r="K392" s="31" t="s">
        <v>12723</v>
      </c>
      <c r="L392" s="31" t="s">
        <v>12724</v>
      </c>
      <c r="M392" s="31" t="s">
        <v>12725</v>
      </c>
      <c r="N392" s="31" t="s">
        <v>12726</v>
      </c>
      <c r="O392" s="31" t="s">
        <v>9960</v>
      </c>
      <c r="P392" s="31" t="s">
        <v>9961</v>
      </c>
      <c r="Q392" s="31" t="s">
        <v>12727</v>
      </c>
      <c r="R392" s="31" t="s">
        <v>8192</v>
      </c>
      <c r="S392" s="31" t="s">
        <v>9963</v>
      </c>
    </row>
    <row r="393" customFormat="false" ht="51.75" hidden="false" customHeight="true" outlineLevel="0" collapsed="false">
      <c r="A393" s="30" t="s">
        <v>12728</v>
      </c>
      <c r="B393" s="31" t="s">
        <v>12729</v>
      </c>
      <c r="C393" s="31" t="s">
        <v>9889</v>
      </c>
      <c r="D393" s="31" t="s">
        <v>9890</v>
      </c>
      <c r="E393" s="31" t="s">
        <v>11981</v>
      </c>
      <c r="F393" s="31" t="s">
        <v>12730</v>
      </c>
      <c r="G393" s="31" t="s">
        <v>3257</v>
      </c>
      <c r="H393" s="31" t="str">
        <f aca="false">IFERROR(VLOOKUP(G393,'Master Taxonomy'!$A$2:$B$1656,2,FALSE()),"")</f>
        <v>Kinship, Political, and Secret Organizations</v>
      </c>
      <c r="I393" s="31" t="s">
        <v>12731</v>
      </c>
      <c r="J393" s="31" t="s">
        <v>12732</v>
      </c>
      <c r="K393" s="31" t="s">
        <v>12733</v>
      </c>
      <c r="L393" s="31" t="s">
        <v>12734</v>
      </c>
      <c r="M393" s="31" t="s">
        <v>12735</v>
      </c>
      <c r="N393" s="31" t="s">
        <v>12736</v>
      </c>
      <c r="O393" s="31" t="s">
        <v>9960</v>
      </c>
      <c r="P393" s="31" t="s">
        <v>10137</v>
      </c>
      <c r="Q393" s="31" t="s">
        <v>12737</v>
      </c>
      <c r="R393" s="31" t="s">
        <v>12140</v>
      </c>
      <c r="S393" s="31" t="s">
        <v>9963</v>
      </c>
    </row>
    <row r="394" customFormat="false" ht="51.75" hidden="false" customHeight="true" outlineLevel="0" collapsed="false">
      <c r="A394" s="30" t="s">
        <v>12738</v>
      </c>
      <c r="B394" s="31" t="s">
        <v>12739</v>
      </c>
      <c r="C394" s="31" t="s">
        <v>9889</v>
      </c>
      <c r="D394" s="31" t="s">
        <v>9890</v>
      </c>
      <c r="E394" s="31" t="s">
        <v>11981</v>
      </c>
      <c r="F394" s="31" t="s">
        <v>12740</v>
      </c>
      <c r="G394" s="31" t="s">
        <v>7978</v>
      </c>
      <c r="H394" s="31" t="str">
        <f aca="false">IFERROR(VLOOKUP(G394,'Master Taxonomy'!$A$2:$B$1656,2,FALSE()),"")</f>
        <v>Teacher–Disciple Lineage</v>
      </c>
      <c r="I394" s="31" t="s">
        <v>12741</v>
      </c>
      <c r="J394" s="31" t="s">
        <v>12742</v>
      </c>
      <c r="K394" s="31" t="s">
        <v>12743</v>
      </c>
      <c r="L394" s="31" t="s">
        <v>12744</v>
      </c>
      <c r="M394" s="31" t="s">
        <v>12745</v>
      </c>
      <c r="N394" s="31" t="s">
        <v>12746</v>
      </c>
      <c r="O394" s="31" t="s">
        <v>9960</v>
      </c>
      <c r="P394" s="31" t="s">
        <v>10137</v>
      </c>
      <c r="Q394" s="31" t="s">
        <v>12747</v>
      </c>
      <c r="R394" s="31" t="s">
        <v>12140</v>
      </c>
      <c r="S394" s="31" t="s">
        <v>9963</v>
      </c>
    </row>
    <row r="395" customFormat="false" ht="51.75" hidden="false" customHeight="true" outlineLevel="0" collapsed="false">
      <c r="A395" s="30" t="s">
        <v>12748</v>
      </c>
      <c r="B395" s="31" t="s">
        <v>12749</v>
      </c>
      <c r="C395" s="31" t="s">
        <v>9889</v>
      </c>
      <c r="D395" s="31" t="s">
        <v>9890</v>
      </c>
      <c r="E395" s="31" t="s">
        <v>11981</v>
      </c>
      <c r="F395" s="31" t="s">
        <v>12750</v>
      </c>
      <c r="G395" s="31" t="s">
        <v>7971</v>
      </c>
      <c r="H395" s="31" t="str">
        <f aca="false">IFERROR(VLOOKUP(G395,'Master Taxonomy'!$A$2:$B$1656,2,FALSE()),"")</f>
        <v>Hermitage or Ascetic Community</v>
      </c>
      <c r="I395" s="31" t="s">
        <v>12751</v>
      </c>
      <c r="J395" s="31" t="s">
        <v>12752</v>
      </c>
      <c r="K395" s="31" t="s">
        <v>12753</v>
      </c>
      <c r="L395" s="31" t="s">
        <v>12754</v>
      </c>
      <c r="M395" s="31" t="s">
        <v>12755</v>
      </c>
      <c r="N395" s="31" t="s">
        <v>12756</v>
      </c>
      <c r="O395" s="31" t="s">
        <v>9960</v>
      </c>
      <c r="P395" s="31" t="s">
        <v>10137</v>
      </c>
      <c r="Q395" s="31" t="s">
        <v>12757</v>
      </c>
      <c r="R395" s="31" t="s">
        <v>11990</v>
      </c>
      <c r="S395" s="31" t="s">
        <v>9963</v>
      </c>
    </row>
    <row r="396" customFormat="false" ht="51.75" hidden="false" customHeight="true" outlineLevel="0" collapsed="false">
      <c r="A396" s="30" t="s">
        <v>12758</v>
      </c>
      <c r="B396" s="31" t="s">
        <v>12759</v>
      </c>
      <c r="C396" s="31" t="s">
        <v>9889</v>
      </c>
      <c r="D396" s="31" t="s">
        <v>9890</v>
      </c>
      <c r="E396" s="31" t="s">
        <v>11981</v>
      </c>
      <c r="F396" s="31" t="s">
        <v>12760</v>
      </c>
      <c r="G396" s="31" t="s">
        <v>7985</v>
      </c>
      <c r="H396" s="31" t="str">
        <f aca="false">IFERROR(VLOOKUP(G396,'Master Taxonomy'!$A$2:$B$1656,2,FALSE()),"")</f>
        <v>Royal Assembly or Council Hall</v>
      </c>
      <c r="I396" s="31" t="s">
        <v>12761</v>
      </c>
      <c r="J396" s="31" t="s">
        <v>12762</v>
      </c>
      <c r="K396" s="31" t="s">
        <v>12763</v>
      </c>
      <c r="L396" s="31" t="s">
        <v>12764</v>
      </c>
      <c r="M396" s="31" t="s">
        <v>12765</v>
      </c>
      <c r="N396" s="31" t="s">
        <v>12766</v>
      </c>
      <c r="O396" s="31" t="s">
        <v>9960</v>
      </c>
      <c r="P396" s="31" t="s">
        <v>10137</v>
      </c>
      <c r="Q396" s="31" t="s">
        <v>12767</v>
      </c>
      <c r="R396" s="31" t="s">
        <v>11990</v>
      </c>
      <c r="S396" s="31" t="s">
        <v>9963</v>
      </c>
    </row>
    <row r="397" customFormat="false" ht="51.75" hidden="false" customHeight="true" outlineLevel="0" collapsed="false">
      <c r="A397" s="30" t="s">
        <v>12768</v>
      </c>
      <c r="B397" s="31" t="s">
        <v>12769</v>
      </c>
      <c r="C397" s="31" t="s">
        <v>9889</v>
      </c>
      <c r="D397" s="31" t="s">
        <v>9890</v>
      </c>
      <c r="E397" s="31" t="s">
        <v>11981</v>
      </c>
      <c r="F397" s="31" t="s">
        <v>12770</v>
      </c>
      <c r="G397" s="31" t="s">
        <v>3322</v>
      </c>
      <c r="H397" s="31" t="str">
        <f aca="false">IFERROR(VLOOKUP(G397,'Master Taxonomy'!$A$2:$B$1656,2,FALSE()),"")</f>
        <v>Army or Legion</v>
      </c>
      <c r="I397" s="31" t="s">
        <v>12771</v>
      </c>
      <c r="J397" s="31" t="s">
        <v>12772</v>
      </c>
      <c r="K397" s="31" t="s">
        <v>12773</v>
      </c>
      <c r="L397" s="31" t="s">
        <v>12774</v>
      </c>
      <c r="M397" s="31" t="s">
        <v>12775</v>
      </c>
      <c r="N397" s="31" t="s">
        <v>12776</v>
      </c>
      <c r="O397" s="31" t="s">
        <v>9960</v>
      </c>
      <c r="P397" s="31" t="s">
        <v>10137</v>
      </c>
      <c r="Q397" s="31" t="s">
        <v>12777</v>
      </c>
      <c r="R397" s="31" t="s">
        <v>12140</v>
      </c>
      <c r="S397" s="31" t="s">
        <v>9963</v>
      </c>
    </row>
    <row r="398" customFormat="false" ht="51.75" hidden="false" customHeight="true" outlineLevel="0" collapsed="false">
      <c r="A398" s="30" t="s">
        <v>12778</v>
      </c>
      <c r="B398" s="31" t="s">
        <v>12779</v>
      </c>
      <c r="C398" s="31" t="s">
        <v>9889</v>
      </c>
      <c r="D398" s="31" t="s">
        <v>9890</v>
      </c>
      <c r="E398" s="31" t="s">
        <v>11981</v>
      </c>
      <c r="F398" s="31" t="s">
        <v>12780</v>
      </c>
      <c r="G398" s="31" t="s">
        <v>7992</v>
      </c>
      <c r="H398" s="31" t="str">
        <f aca="false">IFERROR(VLOOKUP(G398,'Master Taxonomy'!$A$2:$B$1656,2,FALSE()),"")</f>
        <v>Marriage-Selection Assembly</v>
      </c>
      <c r="I398" s="31" t="s">
        <v>12781</v>
      </c>
      <c r="J398" s="31" t="s">
        <v>12782</v>
      </c>
      <c r="K398" s="31" t="s">
        <v>12783</v>
      </c>
      <c r="L398" s="31" t="s">
        <v>12784</v>
      </c>
      <c r="M398" s="31" t="s">
        <v>12785</v>
      </c>
      <c r="N398" s="31" t="s">
        <v>12786</v>
      </c>
      <c r="O398" s="31" t="s">
        <v>9960</v>
      </c>
      <c r="P398" s="31" t="s">
        <v>10137</v>
      </c>
      <c r="Q398" s="31" t="s">
        <v>12787</v>
      </c>
      <c r="R398" s="31" t="s">
        <v>11990</v>
      </c>
      <c r="S398" s="31" t="s">
        <v>9963</v>
      </c>
    </row>
    <row r="399" customFormat="false" ht="51.75" hidden="false" customHeight="true" outlineLevel="0" collapsed="false">
      <c r="A399" s="30" t="s">
        <v>12788</v>
      </c>
      <c r="B399" s="31" t="s">
        <v>12789</v>
      </c>
      <c r="C399" s="31" t="s">
        <v>9889</v>
      </c>
      <c r="D399" s="31" t="s">
        <v>9890</v>
      </c>
      <c r="E399" s="31" t="s">
        <v>11981</v>
      </c>
      <c r="F399" s="31" t="s">
        <v>12790</v>
      </c>
      <c r="G399" s="31" t="s">
        <v>8055</v>
      </c>
      <c r="H399" s="31" t="str">
        <f aca="false">IFERROR(VLOOKUP(G399,'Master Taxonomy'!$A$2:$B$1656,2,FALSE()),"")</f>
        <v>Conflict of Duties</v>
      </c>
      <c r="I399" s="31" t="s">
        <v>12791</v>
      </c>
      <c r="J399" s="31" t="s">
        <v>12792</v>
      </c>
      <c r="K399" s="31" t="s">
        <v>12793</v>
      </c>
      <c r="L399" s="31" t="s">
        <v>12794</v>
      </c>
      <c r="M399" s="31" t="s">
        <v>12795</v>
      </c>
      <c r="N399" s="31" t="s">
        <v>12796</v>
      </c>
      <c r="O399" s="31" t="s">
        <v>9960</v>
      </c>
      <c r="P399" s="31" t="s">
        <v>10137</v>
      </c>
      <c r="Q399" s="31" t="s">
        <v>12797</v>
      </c>
      <c r="R399" s="31" t="s">
        <v>12129</v>
      </c>
      <c r="S399" s="31" t="s">
        <v>9963</v>
      </c>
    </row>
    <row r="400" customFormat="false" ht="51.75" hidden="false" customHeight="true" outlineLevel="0" collapsed="false">
      <c r="A400" s="30" t="s">
        <v>12798</v>
      </c>
      <c r="B400" s="31" t="s">
        <v>12799</v>
      </c>
      <c r="C400" s="31" t="s">
        <v>9889</v>
      </c>
      <c r="D400" s="31" t="s">
        <v>9890</v>
      </c>
      <c r="E400" s="31" t="s">
        <v>11981</v>
      </c>
      <c r="F400" s="31" t="s">
        <v>12800</v>
      </c>
      <c r="G400" s="31" t="s">
        <v>7999</v>
      </c>
      <c r="H400" s="31" t="str">
        <f aca="false">IFERROR(VLOOKUP(G400,'Master Taxonomy'!$A$2:$B$1656,2,FALSE()),"")</f>
        <v>Vow-Bound Elder</v>
      </c>
      <c r="I400" s="31" t="s">
        <v>12801</v>
      </c>
      <c r="J400" s="31" t="s">
        <v>12802</v>
      </c>
      <c r="K400" s="31" t="s">
        <v>12803</v>
      </c>
      <c r="L400" s="31" t="s">
        <v>12804</v>
      </c>
      <c r="M400" s="31" t="s">
        <v>12805</v>
      </c>
      <c r="N400" s="31" t="s">
        <v>12806</v>
      </c>
      <c r="O400" s="31" t="s">
        <v>9960</v>
      </c>
      <c r="P400" s="31" t="s">
        <v>10137</v>
      </c>
      <c r="Q400" s="31" t="s">
        <v>12807</v>
      </c>
      <c r="R400" s="31" t="s">
        <v>12140</v>
      </c>
      <c r="S400" s="31" t="s">
        <v>9963</v>
      </c>
    </row>
    <row r="401" customFormat="false" ht="51.75" hidden="false" customHeight="true" outlineLevel="0" collapsed="false">
      <c r="A401" s="30" t="s">
        <v>12808</v>
      </c>
      <c r="B401" s="31" t="s">
        <v>12809</v>
      </c>
      <c r="C401" s="31" t="s">
        <v>9889</v>
      </c>
      <c r="D401" s="31" t="s">
        <v>9890</v>
      </c>
      <c r="E401" s="31" t="s">
        <v>11981</v>
      </c>
      <c r="F401" s="31" t="s">
        <v>12800</v>
      </c>
      <c r="G401" s="31" t="s">
        <v>8006</v>
      </c>
      <c r="H401" s="31" t="str">
        <f aca="false">IFERROR(VLOOKUP(G401,'Master Taxonomy'!$A$2:$B$1656,2,FALSE()),"")</f>
        <v>Tragic Loyalist</v>
      </c>
      <c r="I401" s="31" t="s">
        <v>12810</v>
      </c>
      <c r="J401" s="31" t="s">
        <v>12811</v>
      </c>
      <c r="K401" s="31" t="s">
        <v>12812</v>
      </c>
      <c r="L401" s="31" t="s">
        <v>12813</v>
      </c>
      <c r="M401" s="31" t="s">
        <v>12814</v>
      </c>
      <c r="N401" s="31" t="s">
        <v>12815</v>
      </c>
      <c r="O401" s="31" t="s">
        <v>9960</v>
      </c>
      <c r="P401" s="31" t="s">
        <v>10137</v>
      </c>
      <c r="Q401" s="31" t="s">
        <v>12816</v>
      </c>
      <c r="R401" s="31" t="s">
        <v>12129</v>
      </c>
      <c r="S401" s="31" t="s">
        <v>9963</v>
      </c>
    </row>
    <row r="402" customFormat="false" ht="51.75" hidden="false" customHeight="true" outlineLevel="0" collapsed="false">
      <c r="A402" s="30" t="s">
        <v>12817</v>
      </c>
      <c r="B402" s="31" t="s">
        <v>12818</v>
      </c>
      <c r="C402" s="31" t="s">
        <v>9898</v>
      </c>
      <c r="D402" s="31" t="s">
        <v>9899</v>
      </c>
      <c r="E402" s="31" t="s">
        <v>12819</v>
      </c>
      <c r="F402" s="31" t="s">
        <v>12800</v>
      </c>
      <c r="G402" s="31" t="s">
        <v>8013</v>
      </c>
      <c r="H402" s="31" t="str">
        <f aca="false">IFERROR(VLOOKUP(G402,'Master Taxonomy'!$A$2:$B$1656,2,FALSE()),"")</f>
        <v>Divine Charioteer-Counselor</v>
      </c>
      <c r="I402" s="31" t="s">
        <v>12820</v>
      </c>
      <c r="J402" s="31" t="s">
        <v>12821</v>
      </c>
      <c r="K402" s="31" t="s">
        <v>12822</v>
      </c>
      <c r="L402" s="31" t="s">
        <v>12823</v>
      </c>
      <c r="M402" s="31" t="s">
        <v>12824</v>
      </c>
      <c r="N402" s="31" t="s">
        <v>12825</v>
      </c>
      <c r="O402" s="31" t="s">
        <v>9960</v>
      </c>
      <c r="P402" s="31" t="s">
        <v>10137</v>
      </c>
      <c r="Q402" s="31" t="s">
        <v>12826</v>
      </c>
      <c r="R402" s="31" t="s">
        <v>9906</v>
      </c>
      <c r="S402" s="31" t="s">
        <v>9963</v>
      </c>
    </row>
    <row r="403" customFormat="false" ht="51.75" hidden="false" customHeight="true" outlineLevel="0" collapsed="false">
      <c r="A403" s="30" t="s">
        <v>12827</v>
      </c>
      <c r="B403" s="31" t="s">
        <v>12828</v>
      </c>
      <c r="C403" s="31" t="s">
        <v>9889</v>
      </c>
      <c r="D403" s="31" t="s">
        <v>9890</v>
      </c>
      <c r="E403" s="31" t="s">
        <v>11981</v>
      </c>
      <c r="F403" s="31" t="s">
        <v>12829</v>
      </c>
      <c r="G403" s="31" t="s">
        <v>3614</v>
      </c>
      <c r="H403" s="31" t="str">
        <f aca="false">IFERROR(VLOOKUP(G403,'Master Taxonomy'!$A$2:$B$1656,2,FALSE()),"")</f>
        <v>Hidden Royal or Secret Heir</v>
      </c>
      <c r="I403" s="31" t="s">
        <v>12830</v>
      </c>
      <c r="J403" s="31" t="s">
        <v>12831</v>
      </c>
      <c r="K403" s="31" t="s">
        <v>12832</v>
      </c>
      <c r="L403" s="31" t="s">
        <v>12833</v>
      </c>
      <c r="M403" s="31" t="s">
        <v>12834</v>
      </c>
      <c r="N403" s="31" t="s">
        <v>12835</v>
      </c>
      <c r="O403" s="31" t="s">
        <v>9960</v>
      </c>
      <c r="P403" s="31" t="s">
        <v>10137</v>
      </c>
      <c r="Q403" s="31" t="s">
        <v>12836</v>
      </c>
      <c r="R403" s="31" t="s">
        <v>12140</v>
      </c>
      <c r="S403" s="31" t="s">
        <v>9963</v>
      </c>
    </row>
    <row r="404" customFormat="false" ht="51.75" hidden="false" customHeight="true" outlineLevel="0" collapsed="false">
      <c r="A404" s="30" t="s">
        <v>12837</v>
      </c>
      <c r="B404" s="31" t="s">
        <v>12838</v>
      </c>
      <c r="C404" s="31" t="s">
        <v>9889</v>
      </c>
      <c r="D404" s="31" t="s">
        <v>9890</v>
      </c>
      <c r="E404" s="31" t="s">
        <v>11981</v>
      </c>
      <c r="F404" s="31" t="s">
        <v>12839</v>
      </c>
      <c r="G404" s="31" t="s">
        <v>8020</v>
      </c>
      <c r="H404" s="31" t="str">
        <f aca="false">IFERROR(VLOOKUP(G404,'Master Taxonomy'!$A$2:$B$1656,2,FALSE()),"")</f>
        <v>Dice-Game Dispossession</v>
      </c>
      <c r="I404" s="31" t="s">
        <v>12840</v>
      </c>
      <c r="J404" s="31" t="s">
        <v>12841</v>
      </c>
      <c r="K404" s="31" t="s">
        <v>12842</v>
      </c>
      <c r="L404" s="31" t="s">
        <v>12843</v>
      </c>
      <c r="M404" s="31" t="s">
        <v>12844</v>
      </c>
      <c r="N404" s="31" t="s">
        <v>12845</v>
      </c>
      <c r="O404" s="31" t="s">
        <v>9960</v>
      </c>
      <c r="P404" s="31" t="s">
        <v>10137</v>
      </c>
      <c r="Q404" s="31" t="s">
        <v>12767</v>
      </c>
      <c r="R404" s="31" t="s">
        <v>11990</v>
      </c>
      <c r="S404" s="31" t="s">
        <v>9963</v>
      </c>
    </row>
    <row r="405" customFormat="false" ht="51.75" hidden="false" customHeight="true" outlineLevel="0" collapsed="false">
      <c r="A405" s="30" t="s">
        <v>12846</v>
      </c>
      <c r="B405" s="31" t="s">
        <v>12847</v>
      </c>
      <c r="C405" s="31" t="s">
        <v>9889</v>
      </c>
      <c r="D405" s="31" t="s">
        <v>9890</v>
      </c>
      <c r="E405" s="31" t="s">
        <v>11981</v>
      </c>
      <c r="F405" s="31" t="s">
        <v>12848</v>
      </c>
      <c r="G405" s="31" t="s">
        <v>4114</v>
      </c>
      <c r="H405" s="31" t="str">
        <f aca="false">IFERROR(VLOOKUP(G405,'Master Taxonomy'!$A$2:$B$1656,2,FALSE()),"")</f>
        <v>War of Succession</v>
      </c>
      <c r="I405" s="31" t="s">
        <v>12849</v>
      </c>
      <c r="J405" s="31" t="s">
        <v>12850</v>
      </c>
      <c r="K405" s="31" t="s">
        <v>12851</v>
      </c>
      <c r="L405" s="31" t="s">
        <v>12852</v>
      </c>
      <c r="M405" s="31" t="s">
        <v>12853</v>
      </c>
      <c r="N405" s="31" t="s">
        <v>12854</v>
      </c>
      <c r="O405" s="31" t="s">
        <v>9960</v>
      </c>
      <c r="P405" s="31" t="s">
        <v>10137</v>
      </c>
      <c r="Q405" s="31" t="s">
        <v>12855</v>
      </c>
      <c r="R405" s="31" t="s">
        <v>12129</v>
      </c>
      <c r="S405" s="31" t="s">
        <v>9963</v>
      </c>
    </row>
    <row r="406" customFormat="false" ht="51.75" hidden="false" customHeight="true" outlineLevel="0" collapsed="false">
      <c r="A406" s="30" t="s">
        <v>12856</v>
      </c>
      <c r="B406" s="31" t="s">
        <v>12857</v>
      </c>
      <c r="C406" s="31" t="s">
        <v>9898</v>
      </c>
      <c r="D406" s="31" t="s">
        <v>9899</v>
      </c>
      <c r="E406" s="31" t="s">
        <v>12072</v>
      </c>
      <c r="F406" s="31" t="s">
        <v>12858</v>
      </c>
      <c r="G406" s="31" t="s">
        <v>8034</v>
      </c>
      <c r="H406" s="31" t="str">
        <f aca="false">IFERROR(VLOOKUP(G406,'Master Taxonomy'!$A$2:$B$1656,2,FALSE()),"")</f>
        <v>Battlefield Revelation</v>
      </c>
      <c r="I406" s="31" t="s">
        <v>12859</v>
      </c>
      <c r="J406" s="31" t="s">
        <v>12860</v>
      </c>
      <c r="K406" s="31" t="s">
        <v>12861</v>
      </c>
      <c r="L406" s="31" t="s">
        <v>12862</v>
      </c>
      <c r="M406" s="31" t="s">
        <v>12863</v>
      </c>
      <c r="N406" s="31" t="s">
        <v>12864</v>
      </c>
      <c r="O406" s="31" t="s">
        <v>9960</v>
      </c>
      <c r="P406" s="31" t="s">
        <v>10137</v>
      </c>
      <c r="Q406" s="31" t="s">
        <v>12865</v>
      </c>
      <c r="R406" s="31" t="s">
        <v>9906</v>
      </c>
      <c r="S406" s="31" t="s">
        <v>9963</v>
      </c>
    </row>
    <row r="407" customFormat="false" ht="51.75" hidden="false" customHeight="true" outlineLevel="0" collapsed="false">
      <c r="A407" s="30" t="s">
        <v>12866</v>
      </c>
      <c r="B407" s="31" t="s">
        <v>12867</v>
      </c>
      <c r="C407" s="31" t="s">
        <v>9889</v>
      </c>
      <c r="D407" s="31" t="s">
        <v>9890</v>
      </c>
      <c r="E407" s="31" t="s">
        <v>11981</v>
      </c>
      <c r="F407" s="31" t="s">
        <v>12868</v>
      </c>
      <c r="G407" s="31" t="s">
        <v>8041</v>
      </c>
      <c r="H407" s="31" t="str">
        <f aca="false">IFERROR(VLOOKUP(G407,'Master Taxonomy'!$A$2:$B$1656,2,FALSE()),"")</f>
        <v>Postwar Moral Reckoning</v>
      </c>
      <c r="I407" s="31" t="s">
        <v>12869</v>
      </c>
      <c r="J407" s="31" t="s">
        <v>12870</v>
      </c>
      <c r="K407" s="31" t="s">
        <v>12871</v>
      </c>
      <c r="L407" s="31" t="s">
        <v>12872</v>
      </c>
      <c r="M407" s="31" t="s">
        <v>12873</v>
      </c>
      <c r="N407" s="31" t="s">
        <v>12874</v>
      </c>
      <c r="O407" s="31" t="s">
        <v>9960</v>
      </c>
      <c r="P407" s="31" t="s">
        <v>10137</v>
      </c>
      <c r="Q407" s="31" t="s">
        <v>12875</v>
      </c>
      <c r="R407" s="31" t="s">
        <v>12059</v>
      </c>
      <c r="S407" s="31" t="s">
        <v>9963</v>
      </c>
    </row>
    <row r="408" customFormat="false" ht="51.75" hidden="false" customHeight="true" outlineLevel="0" collapsed="false">
      <c r="A408" s="30" t="s">
        <v>12876</v>
      </c>
      <c r="B408" s="31" t="s">
        <v>12877</v>
      </c>
      <c r="C408" s="31" t="s">
        <v>9926</v>
      </c>
      <c r="D408" s="31" t="s">
        <v>144</v>
      </c>
      <c r="E408" s="31" t="s">
        <v>12878</v>
      </c>
      <c r="F408" s="31" t="s">
        <v>12879</v>
      </c>
      <c r="G408" s="31" t="s">
        <v>7831</v>
      </c>
      <c r="H408" s="31" t="str">
        <f aca="false">IFERROR(VLOOKUP(G408,'Master Taxonomy'!$A$2:$B$1656,2,FALSE()),"")</f>
        <v>Pantheon or Patron Choice</v>
      </c>
      <c r="I408" s="31" t="s">
        <v>12880</v>
      </c>
      <c r="J408" s="31" t="s">
        <v>12881</v>
      </c>
      <c r="K408" s="31" t="s">
        <v>12882</v>
      </c>
      <c r="L408" s="31" t="s">
        <v>12883</v>
      </c>
      <c r="M408" s="31" t="s">
        <v>12884</v>
      </c>
      <c r="N408" s="31" t="s">
        <v>12885</v>
      </c>
      <c r="O408" s="31" t="s">
        <v>12886</v>
      </c>
      <c r="P408" s="31" t="s">
        <v>9961</v>
      </c>
      <c r="Q408" s="31" t="s">
        <v>12887</v>
      </c>
      <c r="R408" s="31" t="s">
        <v>9934</v>
      </c>
      <c r="S408" s="31" t="s">
        <v>9963</v>
      </c>
    </row>
    <row r="409" customFormat="false" ht="51.75" hidden="false" customHeight="true" outlineLevel="0" collapsed="false">
      <c r="A409" s="30" t="s">
        <v>12888</v>
      </c>
      <c r="B409" s="31" t="s">
        <v>12889</v>
      </c>
      <c r="C409" s="31" t="s">
        <v>9926</v>
      </c>
      <c r="D409" s="31" t="s">
        <v>144</v>
      </c>
      <c r="E409" s="31" t="s">
        <v>12878</v>
      </c>
      <c r="F409" s="31" t="s">
        <v>12890</v>
      </c>
      <c r="G409" s="31" t="s">
        <v>7831</v>
      </c>
      <c r="H409" s="31" t="str">
        <f aca="false">IFERROR(VLOOKUP(G409,'Master Taxonomy'!$A$2:$B$1656,2,FALSE()),"")</f>
        <v>Pantheon or Patron Choice</v>
      </c>
      <c r="I409" s="31" t="s">
        <v>12891</v>
      </c>
      <c r="J409" s="31" t="s">
        <v>12892</v>
      </c>
      <c r="K409" s="31" t="s">
        <v>12893</v>
      </c>
      <c r="L409" s="31" t="s">
        <v>12894</v>
      </c>
      <c r="M409" s="31" t="s">
        <v>12895</v>
      </c>
      <c r="N409" s="31" t="s">
        <v>12896</v>
      </c>
      <c r="O409" s="31" t="s">
        <v>12886</v>
      </c>
      <c r="P409" s="31" t="s">
        <v>9961</v>
      </c>
      <c r="Q409" s="31" t="s">
        <v>12887</v>
      </c>
      <c r="R409" s="31" t="s">
        <v>9934</v>
      </c>
      <c r="S409" s="31" t="s">
        <v>9963</v>
      </c>
    </row>
    <row r="410" customFormat="false" ht="51.75" hidden="false" customHeight="true" outlineLevel="0" collapsed="false">
      <c r="A410" s="30" t="s">
        <v>12897</v>
      </c>
      <c r="B410" s="31" t="s">
        <v>12898</v>
      </c>
      <c r="C410" s="31" t="s">
        <v>9926</v>
      </c>
      <c r="D410" s="31" t="s">
        <v>144</v>
      </c>
      <c r="E410" s="31" t="s">
        <v>12878</v>
      </c>
      <c r="F410" s="31" t="s">
        <v>12899</v>
      </c>
      <c r="G410" s="31" t="s">
        <v>7838</v>
      </c>
      <c r="H410" s="31" t="str">
        <f aca="false">IFERROR(VLOOKUP(G410,'Master Taxonomy'!$A$2:$B$1656,2,FALSE()),"")</f>
        <v>Branching Age-Up Choice</v>
      </c>
      <c r="I410" s="31" t="s">
        <v>12900</v>
      </c>
      <c r="J410" s="31" t="s">
        <v>12901</v>
      </c>
      <c r="K410" s="31" t="s">
        <v>12902</v>
      </c>
      <c r="L410" s="31" t="s">
        <v>12903</v>
      </c>
      <c r="M410" s="31" t="s">
        <v>12904</v>
      </c>
      <c r="N410" s="31" t="s">
        <v>12905</v>
      </c>
      <c r="O410" s="31" t="s">
        <v>12886</v>
      </c>
      <c r="P410" s="31" t="s">
        <v>9961</v>
      </c>
      <c r="Q410" s="31" t="s">
        <v>12887</v>
      </c>
      <c r="R410" s="31" t="s">
        <v>9934</v>
      </c>
      <c r="S410" s="31" t="s">
        <v>9963</v>
      </c>
    </row>
    <row r="411" customFormat="false" ht="51.75" hidden="false" customHeight="true" outlineLevel="0" collapsed="false">
      <c r="A411" s="30" t="s">
        <v>12906</v>
      </c>
      <c r="B411" s="31" t="s">
        <v>12907</v>
      </c>
      <c r="C411" s="31" t="s">
        <v>9926</v>
      </c>
      <c r="D411" s="31" t="s">
        <v>144</v>
      </c>
      <c r="E411" s="31" t="s">
        <v>12878</v>
      </c>
      <c r="F411" s="31" t="s">
        <v>12908</v>
      </c>
      <c r="G411" s="31" t="s">
        <v>7098</v>
      </c>
      <c r="H411" s="31" t="str">
        <f aca="false">IFERROR(VLOOKUP(G411,'Master Taxonomy'!$A$2:$B$1656,2,FALSE()),"")</f>
        <v>Worship or Favor Resource</v>
      </c>
      <c r="I411" s="31" t="s">
        <v>12909</v>
      </c>
      <c r="J411" s="31" t="s">
        <v>12910</v>
      </c>
      <c r="K411" s="31" t="s">
        <v>12911</v>
      </c>
      <c r="L411" s="31" t="s">
        <v>12912</v>
      </c>
      <c r="M411" s="31" t="s">
        <v>12913</v>
      </c>
      <c r="N411" s="31" t="s">
        <v>12914</v>
      </c>
      <c r="O411" s="31" t="s">
        <v>12886</v>
      </c>
      <c r="P411" s="31" t="s">
        <v>9961</v>
      </c>
      <c r="Q411" s="31" t="s">
        <v>12887</v>
      </c>
      <c r="R411" s="31" t="s">
        <v>9934</v>
      </c>
      <c r="S411" s="31" t="s">
        <v>9963</v>
      </c>
    </row>
    <row r="412" customFormat="false" ht="51.75" hidden="false" customHeight="true" outlineLevel="0" collapsed="false">
      <c r="A412" s="30" t="s">
        <v>12915</v>
      </c>
      <c r="B412" s="31" t="s">
        <v>12916</v>
      </c>
      <c r="C412" s="31" t="s">
        <v>9926</v>
      </c>
      <c r="D412" s="31" t="s">
        <v>144</v>
      </c>
      <c r="E412" s="31" t="s">
        <v>12878</v>
      </c>
      <c r="F412" s="31" t="s">
        <v>12917</v>
      </c>
      <c r="G412" s="31" t="s">
        <v>7845</v>
      </c>
      <c r="H412" s="31" t="str">
        <f aca="false">IFERROR(VLOOKUP(G412,'Master Taxonomy'!$A$2:$B$1656,2,FALSE()),"")</f>
        <v>God-Power Ability Slot</v>
      </c>
      <c r="I412" s="31" t="s">
        <v>12918</v>
      </c>
      <c r="J412" s="31" t="s">
        <v>12919</v>
      </c>
      <c r="K412" s="31" t="s">
        <v>12920</v>
      </c>
      <c r="L412" s="31" t="s">
        <v>12921</v>
      </c>
      <c r="M412" s="31" t="s">
        <v>12922</v>
      </c>
      <c r="N412" s="31" t="s">
        <v>12923</v>
      </c>
      <c r="O412" s="31" t="s">
        <v>12886</v>
      </c>
      <c r="P412" s="31" t="s">
        <v>9961</v>
      </c>
      <c r="Q412" s="31" t="s">
        <v>12887</v>
      </c>
      <c r="R412" s="31" t="s">
        <v>9934</v>
      </c>
      <c r="S412" s="31" t="s">
        <v>9963</v>
      </c>
    </row>
    <row r="413" customFormat="false" ht="51.75" hidden="false" customHeight="true" outlineLevel="0" collapsed="false">
      <c r="A413" s="30" t="s">
        <v>12924</v>
      </c>
      <c r="B413" s="31" t="s">
        <v>12925</v>
      </c>
      <c r="C413" s="31" t="s">
        <v>9926</v>
      </c>
      <c r="D413" s="31" t="s">
        <v>144</v>
      </c>
      <c r="E413" s="31" t="s">
        <v>12878</v>
      </c>
      <c r="F413" s="31" t="s">
        <v>12926</v>
      </c>
      <c r="G413" s="31" t="s">
        <v>7845</v>
      </c>
      <c r="H413" s="31" t="str">
        <f aca="false">IFERROR(VLOOKUP(G413,'Master Taxonomy'!$A$2:$B$1656,2,FALSE()),"")</f>
        <v>God-Power Ability Slot</v>
      </c>
      <c r="I413" s="31" t="s">
        <v>12927</v>
      </c>
      <c r="J413" s="31" t="s">
        <v>12928</v>
      </c>
      <c r="K413" s="31" t="s">
        <v>12929</v>
      </c>
      <c r="L413" s="31" t="s">
        <v>12930</v>
      </c>
      <c r="M413" s="31" t="s">
        <v>12931</v>
      </c>
      <c r="N413" s="31" t="s">
        <v>12932</v>
      </c>
      <c r="O413" s="31" t="s">
        <v>12886</v>
      </c>
      <c r="P413" s="31" t="s">
        <v>9961</v>
      </c>
      <c r="Q413" s="31" t="s">
        <v>12887</v>
      </c>
      <c r="R413" s="31" t="s">
        <v>9934</v>
      </c>
      <c r="S413" s="31" t="s">
        <v>9963</v>
      </c>
    </row>
    <row r="414" customFormat="false" ht="51.75" hidden="false" customHeight="true" outlineLevel="0" collapsed="false">
      <c r="A414" s="30" t="s">
        <v>12933</v>
      </c>
      <c r="B414" s="31" t="s">
        <v>12934</v>
      </c>
      <c r="C414" s="31" t="s">
        <v>9926</v>
      </c>
      <c r="D414" s="31" t="s">
        <v>144</v>
      </c>
      <c r="E414" s="31" t="s">
        <v>12878</v>
      </c>
      <c r="F414" s="31" t="s">
        <v>12935</v>
      </c>
      <c r="G414" s="31" t="s">
        <v>5128</v>
      </c>
      <c r="H414" s="31" t="str">
        <f aca="false">IFERROR(VLOOKUP(G414,'Master Taxonomy'!$A$2:$B$1656,2,FALSE()),"")</f>
        <v>Faction Unit</v>
      </c>
      <c r="I414" s="31" t="s">
        <v>12936</v>
      </c>
      <c r="J414" s="31" t="s">
        <v>12937</v>
      </c>
      <c r="K414" s="31" t="s">
        <v>12938</v>
      </c>
      <c r="L414" s="31" t="s">
        <v>12939</v>
      </c>
      <c r="M414" s="31" t="s">
        <v>12940</v>
      </c>
      <c r="N414" s="31" t="s">
        <v>12941</v>
      </c>
      <c r="O414" s="31" t="s">
        <v>12886</v>
      </c>
      <c r="P414" s="31" t="s">
        <v>9961</v>
      </c>
      <c r="Q414" s="31" t="s">
        <v>12887</v>
      </c>
      <c r="R414" s="31" t="s">
        <v>9934</v>
      </c>
      <c r="S414" s="31" t="s">
        <v>9963</v>
      </c>
    </row>
    <row r="415" customFormat="false" ht="51.75" hidden="false" customHeight="true" outlineLevel="0" collapsed="false">
      <c r="A415" s="30" t="s">
        <v>12942</v>
      </c>
      <c r="B415" s="31" t="s">
        <v>12943</v>
      </c>
      <c r="C415" s="31" t="s">
        <v>9926</v>
      </c>
      <c r="D415" s="31" t="s">
        <v>144</v>
      </c>
      <c r="E415" s="31" t="s">
        <v>12878</v>
      </c>
      <c r="F415" s="31" t="s">
        <v>12944</v>
      </c>
      <c r="G415" s="31" t="s">
        <v>5045</v>
      </c>
      <c r="H415" s="31" t="str">
        <f aca="false">IFERROR(VLOOKUP(G415,'Master Taxonomy'!$A$2:$B$1656,2,FALSE()),"")</f>
        <v>Hero Unit</v>
      </c>
      <c r="I415" s="31" t="s">
        <v>12945</v>
      </c>
      <c r="J415" s="31" t="s">
        <v>12946</v>
      </c>
      <c r="K415" s="31" t="s">
        <v>12947</v>
      </c>
      <c r="L415" s="31" t="s">
        <v>12948</v>
      </c>
      <c r="M415" s="31" t="s">
        <v>12949</v>
      </c>
      <c r="N415" s="31" t="s">
        <v>12950</v>
      </c>
      <c r="O415" s="31" t="s">
        <v>12886</v>
      </c>
      <c r="P415" s="31" t="s">
        <v>9961</v>
      </c>
      <c r="Q415" s="31" t="s">
        <v>12887</v>
      </c>
      <c r="R415" s="31" t="s">
        <v>9934</v>
      </c>
      <c r="S415" s="31" t="s">
        <v>9963</v>
      </c>
    </row>
    <row r="416" customFormat="false" ht="51.75" hidden="false" customHeight="true" outlineLevel="0" collapsed="false">
      <c r="A416" s="30" t="s">
        <v>12951</v>
      </c>
      <c r="B416" s="31" t="s">
        <v>12952</v>
      </c>
      <c r="C416" s="31" t="s">
        <v>9926</v>
      </c>
      <c r="D416" s="31" t="s">
        <v>144</v>
      </c>
      <c r="E416" s="31" t="s">
        <v>12878</v>
      </c>
      <c r="F416" s="31" t="s">
        <v>12953</v>
      </c>
      <c r="G416" s="31" t="s">
        <v>5128</v>
      </c>
      <c r="H416" s="31" t="str">
        <f aca="false">IFERROR(VLOOKUP(G416,'Master Taxonomy'!$A$2:$B$1656,2,FALSE()),"")</f>
        <v>Faction Unit</v>
      </c>
      <c r="I416" s="31" t="s">
        <v>12954</v>
      </c>
      <c r="J416" s="31" t="s">
        <v>12955</v>
      </c>
      <c r="K416" s="31" t="s">
        <v>12956</v>
      </c>
      <c r="L416" s="31" t="s">
        <v>12957</v>
      </c>
      <c r="M416" s="31" t="s">
        <v>12958</v>
      </c>
      <c r="N416" s="31" t="s">
        <v>12959</v>
      </c>
      <c r="O416" s="31" t="s">
        <v>12886</v>
      </c>
      <c r="P416" s="31" t="s">
        <v>9961</v>
      </c>
      <c r="Q416" s="31" t="s">
        <v>12887</v>
      </c>
      <c r="R416" s="31" t="s">
        <v>9934</v>
      </c>
      <c r="S416" s="31" t="s">
        <v>9963</v>
      </c>
    </row>
    <row r="417" customFormat="false" ht="51.75" hidden="false" customHeight="true" outlineLevel="0" collapsed="false">
      <c r="A417" s="30" t="s">
        <v>12960</v>
      </c>
      <c r="B417" s="31" t="s">
        <v>12961</v>
      </c>
      <c r="C417" s="31" t="s">
        <v>9926</v>
      </c>
      <c r="D417" s="31" t="s">
        <v>144</v>
      </c>
      <c r="E417" s="31" t="s">
        <v>12878</v>
      </c>
      <c r="F417" s="31" t="s">
        <v>12962</v>
      </c>
      <c r="G417" s="31" t="s">
        <v>7852</v>
      </c>
      <c r="H417" s="31" t="str">
        <f aca="false">IFERROR(VLOOKUP(G417,'Master Taxonomy'!$A$2:$B$1656,2,FALSE()),"")</f>
        <v>Myth-Unit and Hero Counter Triangle</v>
      </c>
      <c r="I417" s="31" t="s">
        <v>12963</v>
      </c>
      <c r="J417" s="31" t="s">
        <v>12964</v>
      </c>
      <c r="K417" s="31" t="s">
        <v>12965</v>
      </c>
      <c r="L417" s="31" t="s">
        <v>12966</v>
      </c>
      <c r="M417" s="31" t="s">
        <v>12967</v>
      </c>
      <c r="N417" s="31" t="s">
        <v>12968</v>
      </c>
      <c r="O417" s="31" t="s">
        <v>12886</v>
      </c>
      <c r="P417" s="31" t="s">
        <v>9961</v>
      </c>
      <c r="Q417" s="31" t="s">
        <v>12887</v>
      </c>
      <c r="R417" s="31" t="s">
        <v>9934</v>
      </c>
      <c r="S417" s="31" t="s">
        <v>9963</v>
      </c>
    </row>
    <row r="418" customFormat="false" ht="51.75" hidden="false" customHeight="true" outlineLevel="0" collapsed="false">
      <c r="A418" s="30" t="s">
        <v>12969</v>
      </c>
      <c r="B418" s="31" t="s">
        <v>12970</v>
      </c>
      <c r="C418" s="31" t="s">
        <v>9926</v>
      </c>
      <c r="D418" s="31" t="s">
        <v>144</v>
      </c>
      <c r="E418" s="31" t="s">
        <v>12878</v>
      </c>
      <c r="F418" s="31" t="s">
        <v>12971</v>
      </c>
      <c r="G418" s="31" t="s">
        <v>7873</v>
      </c>
      <c r="H418" s="31" t="str">
        <f aca="false">IFERROR(VLOOKUP(G418,'Master Taxonomy'!$A$2:$B$1656,2,FALSE()),"")</f>
        <v>Relic Capture Bonus</v>
      </c>
      <c r="I418" s="31" t="s">
        <v>12972</v>
      </c>
      <c r="J418" s="31" t="s">
        <v>12973</v>
      </c>
      <c r="K418" s="31" t="s">
        <v>12974</v>
      </c>
      <c r="L418" s="31" t="s">
        <v>12975</v>
      </c>
      <c r="M418" s="31" t="s">
        <v>12976</v>
      </c>
      <c r="N418" s="31" t="s">
        <v>12977</v>
      </c>
      <c r="O418" s="31" t="s">
        <v>12886</v>
      </c>
      <c r="P418" s="31" t="s">
        <v>9961</v>
      </c>
      <c r="Q418" s="31" t="s">
        <v>12887</v>
      </c>
      <c r="R418" s="31" t="s">
        <v>9934</v>
      </c>
      <c r="S418" s="31" t="s">
        <v>9963</v>
      </c>
    </row>
    <row r="419" customFormat="false" ht="51.75" hidden="false" customHeight="true" outlineLevel="0" collapsed="false">
      <c r="A419" s="30" t="s">
        <v>12978</v>
      </c>
      <c r="B419" s="31" t="s">
        <v>12979</v>
      </c>
      <c r="C419" s="31" t="s">
        <v>9926</v>
      </c>
      <c r="D419" s="31" t="s">
        <v>144</v>
      </c>
      <c r="E419" s="31" t="s">
        <v>12878</v>
      </c>
      <c r="F419" s="31" t="s">
        <v>12980</v>
      </c>
      <c r="G419" s="31" t="s">
        <v>3409</v>
      </c>
      <c r="H419" s="31" t="str">
        <f aca="false">IFERROR(VLOOKUP(G419,'Master Taxonomy'!$A$2:$B$1656,2,FALSE()),"")</f>
        <v>Temple Institution</v>
      </c>
      <c r="I419" s="31" t="s">
        <v>12981</v>
      </c>
      <c r="J419" s="31" t="s">
        <v>12982</v>
      </c>
      <c r="K419" s="31" t="s">
        <v>12983</v>
      </c>
      <c r="L419" s="31" t="s">
        <v>12984</v>
      </c>
      <c r="M419" s="31" t="s">
        <v>12985</v>
      </c>
      <c r="N419" s="31" t="s">
        <v>12986</v>
      </c>
      <c r="O419" s="31" t="s">
        <v>12886</v>
      </c>
      <c r="P419" s="31" t="s">
        <v>9961</v>
      </c>
      <c r="Q419" s="31" t="s">
        <v>12887</v>
      </c>
      <c r="R419" s="31" t="s">
        <v>9934</v>
      </c>
      <c r="S419" s="31" t="s">
        <v>9963</v>
      </c>
    </row>
    <row r="420" customFormat="false" ht="51.75" hidden="false" customHeight="true" outlineLevel="0" collapsed="false">
      <c r="A420" s="30" t="s">
        <v>12987</v>
      </c>
      <c r="B420" s="31" t="s">
        <v>12988</v>
      </c>
      <c r="C420" s="31" t="s">
        <v>9926</v>
      </c>
      <c r="D420" s="31" t="s">
        <v>144</v>
      </c>
      <c r="E420" s="31" t="s">
        <v>12878</v>
      </c>
      <c r="F420" s="31" t="s">
        <v>12989</v>
      </c>
      <c r="G420" s="31" t="s">
        <v>7880</v>
      </c>
      <c r="H420" s="31" t="str">
        <f aca="false">IFERROR(VLOOKUP(G420,'Master Taxonomy'!$A$2:$B$1656,2,FALSE()),"")</f>
        <v>Titan or Superunit Escalation</v>
      </c>
      <c r="I420" s="31" t="s">
        <v>12990</v>
      </c>
      <c r="J420" s="31" t="s">
        <v>12991</v>
      </c>
      <c r="K420" s="31" t="s">
        <v>12992</v>
      </c>
      <c r="L420" s="31" t="s">
        <v>12993</v>
      </c>
      <c r="M420" s="31" t="s">
        <v>12994</v>
      </c>
      <c r="N420" s="31" t="s">
        <v>12995</v>
      </c>
      <c r="O420" s="31" t="s">
        <v>12886</v>
      </c>
      <c r="P420" s="31" t="s">
        <v>9961</v>
      </c>
      <c r="Q420" s="31" t="s">
        <v>12887</v>
      </c>
      <c r="R420" s="31" t="s">
        <v>9934</v>
      </c>
      <c r="S420" s="31" t="s">
        <v>9963</v>
      </c>
    </row>
    <row r="421" customFormat="false" ht="51.75" hidden="false" customHeight="true" outlineLevel="0" collapsed="false">
      <c r="A421" s="30" t="s">
        <v>12996</v>
      </c>
      <c r="B421" s="31" t="s">
        <v>12997</v>
      </c>
      <c r="C421" s="31" t="s">
        <v>9926</v>
      </c>
      <c r="D421" s="31" t="s">
        <v>144</v>
      </c>
      <c r="E421" s="31" t="s">
        <v>12878</v>
      </c>
      <c r="F421" s="31" t="s">
        <v>12998</v>
      </c>
      <c r="G421" s="31" t="s">
        <v>5710</v>
      </c>
      <c r="H421" s="31" t="str">
        <f aca="false">IFERROR(VLOOKUP(G421,'Master Taxonomy'!$A$2:$B$1656,2,FALSE()),"")</f>
        <v>Portal Device</v>
      </c>
      <c r="I421" s="31" t="s">
        <v>12999</v>
      </c>
      <c r="J421" s="31" t="s">
        <v>13000</v>
      </c>
      <c r="K421" s="31" t="s">
        <v>13001</v>
      </c>
      <c r="L421" s="31" t="s">
        <v>13002</v>
      </c>
      <c r="M421" s="31" t="s">
        <v>13003</v>
      </c>
      <c r="N421" s="31" t="s">
        <v>13004</v>
      </c>
      <c r="O421" s="31" t="s">
        <v>12886</v>
      </c>
      <c r="P421" s="31" t="s">
        <v>9961</v>
      </c>
      <c r="Q421" s="31" t="s">
        <v>12887</v>
      </c>
      <c r="R421" s="31" t="s">
        <v>9934</v>
      </c>
      <c r="S421" s="31" t="s">
        <v>9963</v>
      </c>
    </row>
    <row r="422" customFormat="false" ht="51.75" hidden="false" customHeight="true" outlineLevel="0" collapsed="false">
      <c r="A422" s="30" t="s">
        <v>13005</v>
      </c>
      <c r="B422" s="31" t="s">
        <v>13006</v>
      </c>
      <c r="C422" s="31" t="s">
        <v>9926</v>
      </c>
      <c r="D422" s="31" t="s">
        <v>144</v>
      </c>
      <c r="E422" s="31" t="s">
        <v>12878</v>
      </c>
      <c r="F422" s="31" t="s">
        <v>13007</v>
      </c>
      <c r="G422" s="31" t="s">
        <v>7866</v>
      </c>
      <c r="H422" s="31" t="str">
        <f aca="false">IFERROR(VLOOKUP(G422,'Master Taxonomy'!$A$2:$B$1656,2,FALSE()),"")</f>
        <v>Wonder Age or Overflow Phase</v>
      </c>
      <c r="I422" s="31" t="s">
        <v>13008</v>
      </c>
      <c r="J422" s="31" t="s">
        <v>13009</v>
      </c>
      <c r="K422" s="31" t="s">
        <v>13010</v>
      </c>
      <c r="L422" s="31" t="s">
        <v>13011</v>
      </c>
      <c r="M422" s="31" t="s">
        <v>13012</v>
      </c>
      <c r="N422" s="31" t="s">
        <v>13013</v>
      </c>
      <c r="O422" s="31" t="s">
        <v>12886</v>
      </c>
      <c r="P422" s="31" t="s">
        <v>9961</v>
      </c>
      <c r="Q422" s="31" t="s">
        <v>12887</v>
      </c>
      <c r="R422" s="31" t="s">
        <v>9934</v>
      </c>
      <c r="S422" s="31" t="s">
        <v>9963</v>
      </c>
    </row>
    <row r="423" customFormat="false" ht="51.75" hidden="false" customHeight="true" outlineLevel="0" collapsed="false">
      <c r="A423" s="30" t="s">
        <v>13014</v>
      </c>
      <c r="B423" s="31" t="s">
        <v>13015</v>
      </c>
      <c r="C423" s="31" t="s">
        <v>9926</v>
      </c>
      <c r="D423" s="31" t="s">
        <v>144</v>
      </c>
      <c r="E423" s="31" t="s">
        <v>12878</v>
      </c>
      <c r="F423" s="31" t="s">
        <v>13016</v>
      </c>
      <c r="G423" s="31" t="s">
        <v>7831</v>
      </c>
      <c r="H423" s="31" t="str">
        <f aca="false">IFERROR(VLOOKUP(G423,'Master Taxonomy'!$A$2:$B$1656,2,FALSE()),"")</f>
        <v>Pantheon or Patron Choice</v>
      </c>
      <c r="I423" s="31" t="s">
        <v>12880</v>
      </c>
      <c r="J423" s="31" t="s">
        <v>12881</v>
      </c>
      <c r="K423" s="31" t="s">
        <v>13017</v>
      </c>
      <c r="L423" s="31" t="s">
        <v>13018</v>
      </c>
      <c r="M423" s="31" t="s">
        <v>13019</v>
      </c>
      <c r="N423" s="31" t="s">
        <v>13020</v>
      </c>
      <c r="O423" s="31" t="s">
        <v>12886</v>
      </c>
      <c r="P423" s="31" t="s">
        <v>9961</v>
      </c>
      <c r="Q423" s="31" t="s">
        <v>12887</v>
      </c>
      <c r="R423" s="31" t="s">
        <v>9934</v>
      </c>
      <c r="S423" s="31" t="s">
        <v>9963</v>
      </c>
    </row>
    <row r="424" customFormat="false" ht="51.75" hidden="false" customHeight="true" outlineLevel="0" collapsed="false">
      <c r="A424" s="30" t="s">
        <v>13021</v>
      </c>
      <c r="B424" s="31" t="s">
        <v>13022</v>
      </c>
      <c r="C424" s="31" t="s">
        <v>9926</v>
      </c>
      <c r="D424" s="31" t="s">
        <v>144</v>
      </c>
      <c r="E424" s="31" t="s">
        <v>12878</v>
      </c>
      <c r="F424" s="31" t="s">
        <v>13016</v>
      </c>
      <c r="G424" s="31" t="s">
        <v>7831</v>
      </c>
      <c r="H424" s="31" t="str">
        <f aca="false">IFERROR(VLOOKUP(G424,'Master Taxonomy'!$A$2:$B$1656,2,FALSE()),"")</f>
        <v>Pantheon or Patron Choice</v>
      </c>
      <c r="I424" s="31" t="s">
        <v>13023</v>
      </c>
      <c r="J424" s="31" t="s">
        <v>13024</v>
      </c>
      <c r="K424" s="31" t="s">
        <v>13025</v>
      </c>
      <c r="L424" s="31" t="s">
        <v>13026</v>
      </c>
      <c r="M424" s="31" t="s">
        <v>13027</v>
      </c>
      <c r="N424" s="31" t="s">
        <v>13028</v>
      </c>
      <c r="O424" s="31" t="s">
        <v>12886</v>
      </c>
      <c r="P424" s="31" t="s">
        <v>9961</v>
      </c>
      <c r="Q424" s="31" t="s">
        <v>12887</v>
      </c>
      <c r="R424" s="31" t="s">
        <v>9934</v>
      </c>
      <c r="S424" s="31" t="s">
        <v>9963</v>
      </c>
    </row>
    <row r="425" customFormat="false" ht="51.75" hidden="false" customHeight="true" outlineLevel="0" collapsed="false">
      <c r="A425" s="30" t="s">
        <v>13029</v>
      </c>
      <c r="B425" s="31" t="s">
        <v>13030</v>
      </c>
      <c r="C425" s="31" t="s">
        <v>9926</v>
      </c>
      <c r="D425" s="31" t="s">
        <v>144</v>
      </c>
      <c r="E425" s="31" t="s">
        <v>12878</v>
      </c>
      <c r="F425" s="31" t="s">
        <v>13016</v>
      </c>
      <c r="G425" s="31" t="s">
        <v>7831</v>
      </c>
      <c r="H425" s="31" t="str">
        <f aca="false">IFERROR(VLOOKUP(G425,'Master Taxonomy'!$A$2:$B$1656,2,FALSE()),"")</f>
        <v>Pantheon or Patron Choice</v>
      </c>
      <c r="I425" s="31" t="s">
        <v>13031</v>
      </c>
      <c r="J425" s="31" t="s">
        <v>13032</v>
      </c>
      <c r="K425" s="31" t="s">
        <v>13033</v>
      </c>
      <c r="L425" s="31" t="s">
        <v>13034</v>
      </c>
      <c r="M425" s="31" t="s">
        <v>13035</v>
      </c>
      <c r="N425" s="31" t="s">
        <v>13036</v>
      </c>
      <c r="O425" s="31" t="s">
        <v>12886</v>
      </c>
      <c r="P425" s="31" t="s">
        <v>9961</v>
      </c>
      <c r="Q425" s="31" t="s">
        <v>12887</v>
      </c>
      <c r="R425" s="31" t="s">
        <v>9934</v>
      </c>
      <c r="S425" s="31" t="s">
        <v>9963</v>
      </c>
    </row>
    <row r="426" customFormat="false" ht="51.75" hidden="false" customHeight="true" outlineLevel="0" collapsed="false">
      <c r="A426" s="30" t="s">
        <v>13037</v>
      </c>
      <c r="B426" s="31" t="s">
        <v>13038</v>
      </c>
      <c r="C426" s="31" t="s">
        <v>9926</v>
      </c>
      <c r="D426" s="31" t="s">
        <v>144</v>
      </c>
      <c r="E426" s="31" t="s">
        <v>12878</v>
      </c>
      <c r="F426" s="31" t="s">
        <v>13039</v>
      </c>
      <c r="G426" s="31" t="s">
        <v>7831</v>
      </c>
      <c r="H426" s="31" t="str">
        <f aca="false">IFERROR(VLOOKUP(G426,'Master Taxonomy'!$A$2:$B$1656,2,FALSE()),"")</f>
        <v>Pantheon or Patron Choice</v>
      </c>
      <c r="I426" s="31" t="s">
        <v>13040</v>
      </c>
      <c r="J426" s="31" t="s">
        <v>13041</v>
      </c>
      <c r="K426" s="31" t="s">
        <v>13042</v>
      </c>
      <c r="L426" s="31" t="s">
        <v>13043</v>
      </c>
      <c r="M426" s="31" t="s">
        <v>13044</v>
      </c>
      <c r="N426" s="31" t="s">
        <v>13045</v>
      </c>
      <c r="O426" s="31" t="s">
        <v>12886</v>
      </c>
      <c r="P426" s="31" t="s">
        <v>9961</v>
      </c>
      <c r="Q426" s="31" t="s">
        <v>12887</v>
      </c>
      <c r="R426" s="31" t="s">
        <v>9934</v>
      </c>
      <c r="S426" s="31" t="s">
        <v>9963</v>
      </c>
    </row>
    <row r="427" customFormat="false" ht="51.75" hidden="false" customHeight="true" outlineLevel="0" collapsed="false">
      <c r="A427" s="30" t="s">
        <v>13046</v>
      </c>
      <c r="B427" s="31" t="s">
        <v>13047</v>
      </c>
      <c r="C427" s="31" t="s">
        <v>9926</v>
      </c>
      <c r="D427" s="31" t="s">
        <v>144</v>
      </c>
      <c r="E427" s="31" t="s">
        <v>12878</v>
      </c>
      <c r="F427" s="31" t="s">
        <v>13048</v>
      </c>
      <c r="G427" s="31" t="s">
        <v>7831</v>
      </c>
      <c r="H427" s="31" t="str">
        <f aca="false">IFERROR(VLOOKUP(G427,'Master Taxonomy'!$A$2:$B$1656,2,FALSE()),"")</f>
        <v>Pantheon or Patron Choice</v>
      </c>
      <c r="I427" s="31" t="s">
        <v>13049</v>
      </c>
      <c r="J427" s="31" t="s">
        <v>13050</v>
      </c>
      <c r="K427" s="31" t="s">
        <v>13051</v>
      </c>
      <c r="L427" s="31" t="s">
        <v>13052</v>
      </c>
      <c r="M427" s="31" t="s">
        <v>13053</v>
      </c>
      <c r="N427" s="31" t="s">
        <v>13054</v>
      </c>
      <c r="O427" s="31" t="s">
        <v>12886</v>
      </c>
      <c r="P427" s="31" t="s">
        <v>9961</v>
      </c>
      <c r="Q427" s="31" t="s">
        <v>12887</v>
      </c>
      <c r="R427" s="31" t="s">
        <v>9934</v>
      </c>
      <c r="S427" s="31" t="s">
        <v>9963</v>
      </c>
    </row>
    <row r="428" customFormat="false" ht="51.75" hidden="false" customHeight="true" outlineLevel="0" collapsed="false">
      <c r="A428" s="30" t="s">
        <v>13055</v>
      </c>
      <c r="B428" s="31" t="s">
        <v>13056</v>
      </c>
      <c r="C428" s="31" t="s">
        <v>9926</v>
      </c>
      <c r="D428" s="31" t="s">
        <v>144</v>
      </c>
      <c r="E428" s="31" t="s">
        <v>12878</v>
      </c>
      <c r="F428" s="31" t="s">
        <v>13048</v>
      </c>
      <c r="G428" s="31" t="s">
        <v>7831</v>
      </c>
      <c r="H428" s="31" t="str">
        <f aca="false">IFERROR(VLOOKUP(G428,'Master Taxonomy'!$A$2:$B$1656,2,FALSE()),"")</f>
        <v>Pantheon or Patron Choice</v>
      </c>
      <c r="I428" s="31" t="s">
        <v>13057</v>
      </c>
      <c r="J428" s="31" t="s">
        <v>13058</v>
      </c>
      <c r="K428" s="31" t="s">
        <v>13059</v>
      </c>
      <c r="L428" s="31" t="s">
        <v>13060</v>
      </c>
      <c r="M428" s="31" t="s">
        <v>13061</v>
      </c>
      <c r="N428" s="31" t="s">
        <v>13062</v>
      </c>
      <c r="O428" s="31" t="s">
        <v>12886</v>
      </c>
      <c r="P428" s="31" t="s">
        <v>9961</v>
      </c>
      <c r="Q428" s="31" t="s">
        <v>12887</v>
      </c>
      <c r="R428" s="31" t="s">
        <v>9934</v>
      </c>
      <c r="S428" s="31" t="s">
        <v>9963</v>
      </c>
    </row>
    <row r="429" customFormat="false" ht="51.75" hidden="false" customHeight="true" outlineLevel="0" collapsed="false">
      <c r="A429" s="30" t="s">
        <v>13063</v>
      </c>
      <c r="B429" s="31" t="s">
        <v>13064</v>
      </c>
      <c r="C429" s="31" t="s">
        <v>9926</v>
      </c>
      <c r="D429" s="31" t="s">
        <v>144</v>
      </c>
      <c r="E429" s="31" t="s">
        <v>12878</v>
      </c>
      <c r="F429" s="31" t="s">
        <v>13048</v>
      </c>
      <c r="G429" s="31" t="s">
        <v>7831</v>
      </c>
      <c r="H429" s="31" t="str">
        <f aca="false">IFERROR(VLOOKUP(G429,'Master Taxonomy'!$A$2:$B$1656,2,FALSE()),"")</f>
        <v>Pantheon or Patron Choice</v>
      </c>
      <c r="I429" s="31" t="s">
        <v>13065</v>
      </c>
      <c r="J429" s="31" t="s">
        <v>13066</v>
      </c>
      <c r="K429" s="31" t="s">
        <v>13067</v>
      </c>
      <c r="L429" s="31" t="s">
        <v>13068</v>
      </c>
      <c r="M429" s="31" t="s">
        <v>13069</v>
      </c>
      <c r="N429" s="31" t="s">
        <v>13070</v>
      </c>
      <c r="O429" s="31" t="s">
        <v>12886</v>
      </c>
      <c r="P429" s="31" t="s">
        <v>9961</v>
      </c>
      <c r="Q429" s="31" t="s">
        <v>12887</v>
      </c>
      <c r="R429" s="31" t="s">
        <v>9934</v>
      </c>
      <c r="S429" s="31" t="s">
        <v>9963</v>
      </c>
    </row>
    <row r="430" customFormat="false" ht="51.75" hidden="false" customHeight="true" outlineLevel="0" collapsed="false">
      <c r="A430" s="30" t="s">
        <v>13071</v>
      </c>
      <c r="B430" s="31" t="s">
        <v>13072</v>
      </c>
      <c r="C430" s="31" t="s">
        <v>9926</v>
      </c>
      <c r="D430" s="31" t="s">
        <v>144</v>
      </c>
      <c r="E430" s="31" t="s">
        <v>12878</v>
      </c>
      <c r="F430" s="31" t="s">
        <v>13073</v>
      </c>
      <c r="G430" s="31" t="s">
        <v>7831</v>
      </c>
      <c r="H430" s="31" t="str">
        <f aca="false">IFERROR(VLOOKUP(G430,'Master Taxonomy'!$A$2:$B$1656,2,FALSE()),"")</f>
        <v>Pantheon or Patron Choice</v>
      </c>
      <c r="I430" s="31" t="s">
        <v>13074</v>
      </c>
      <c r="J430" s="31" t="s">
        <v>13075</v>
      </c>
      <c r="K430" s="31" t="s">
        <v>13076</v>
      </c>
      <c r="L430" s="31" t="s">
        <v>13077</v>
      </c>
      <c r="M430" s="31" t="s">
        <v>13078</v>
      </c>
      <c r="N430" s="31" t="s">
        <v>13079</v>
      </c>
      <c r="O430" s="31" t="s">
        <v>12886</v>
      </c>
      <c r="P430" s="31" t="s">
        <v>9961</v>
      </c>
      <c r="Q430" s="31" t="s">
        <v>12887</v>
      </c>
      <c r="R430" s="31" t="s">
        <v>9934</v>
      </c>
      <c r="S430" s="31" t="s">
        <v>9963</v>
      </c>
    </row>
    <row r="431" customFormat="false" ht="51.75" hidden="false" customHeight="true" outlineLevel="0" collapsed="false">
      <c r="A431" s="30" t="s">
        <v>13080</v>
      </c>
      <c r="B431" s="31" t="s">
        <v>13081</v>
      </c>
      <c r="C431" s="31" t="s">
        <v>9926</v>
      </c>
      <c r="D431" s="31" t="s">
        <v>144</v>
      </c>
      <c r="E431" s="31" t="s">
        <v>12878</v>
      </c>
      <c r="F431" s="31" t="s">
        <v>13082</v>
      </c>
      <c r="G431" s="31" t="s">
        <v>5045</v>
      </c>
      <c r="H431" s="31" t="str">
        <f aca="false">IFERROR(VLOOKUP(G431,'Master Taxonomy'!$A$2:$B$1656,2,FALSE()),"")</f>
        <v>Hero Unit</v>
      </c>
      <c r="I431" s="31" t="s">
        <v>13083</v>
      </c>
      <c r="J431" s="31" t="s">
        <v>13084</v>
      </c>
      <c r="K431" s="31" t="s">
        <v>13085</v>
      </c>
      <c r="L431" s="31" t="s">
        <v>13086</v>
      </c>
      <c r="M431" s="31" t="s">
        <v>13087</v>
      </c>
      <c r="N431" s="31" t="s">
        <v>13088</v>
      </c>
      <c r="O431" s="31" t="s">
        <v>12886</v>
      </c>
      <c r="P431" s="31" t="s">
        <v>9961</v>
      </c>
      <c r="Q431" s="31" t="s">
        <v>12887</v>
      </c>
      <c r="R431" s="31" t="s">
        <v>9934</v>
      </c>
      <c r="S431" s="31" t="s">
        <v>9963</v>
      </c>
    </row>
    <row r="432" customFormat="false" ht="51.75" hidden="false" customHeight="true" outlineLevel="0" collapsed="false">
      <c r="A432" s="30" t="s">
        <v>13089</v>
      </c>
      <c r="B432" s="31" t="s">
        <v>13090</v>
      </c>
      <c r="C432" s="31" t="s">
        <v>9926</v>
      </c>
      <c r="D432" s="31" t="s">
        <v>144</v>
      </c>
      <c r="E432" s="31" t="s">
        <v>12878</v>
      </c>
      <c r="F432" s="31" t="s">
        <v>13091</v>
      </c>
      <c r="G432" s="31" t="s">
        <v>7859</v>
      </c>
      <c r="H432" s="31" t="str">
        <f aca="false">IFERROR(VLOOKUP(G432,'Master Taxonomy'!$A$2:$B$1656,2,FALSE()),"")</f>
        <v>Favor Generation Model</v>
      </c>
      <c r="I432" s="31" t="s">
        <v>13092</v>
      </c>
      <c r="J432" s="31" t="s">
        <v>13093</v>
      </c>
      <c r="K432" s="31" t="s">
        <v>13094</v>
      </c>
      <c r="L432" s="31" t="s">
        <v>13095</v>
      </c>
      <c r="M432" s="31" t="s">
        <v>13096</v>
      </c>
      <c r="N432" s="31" t="s">
        <v>13097</v>
      </c>
      <c r="O432" s="31" t="s">
        <v>12886</v>
      </c>
      <c r="P432" s="31" t="s">
        <v>9961</v>
      </c>
      <c r="Q432" s="31" t="s">
        <v>12887</v>
      </c>
      <c r="R432" s="31" t="s">
        <v>9934</v>
      </c>
      <c r="S432" s="31" t="s">
        <v>9963</v>
      </c>
    </row>
    <row r="433" customFormat="false" ht="51.75" hidden="false" customHeight="true" outlineLevel="0" collapsed="false">
      <c r="A433" s="30" t="s">
        <v>13098</v>
      </c>
      <c r="B433" s="31" t="s">
        <v>13099</v>
      </c>
      <c r="C433" s="31" t="s">
        <v>9926</v>
      </c>
      <c r="D433" s="31" t="s">
        <v>144</v>
      </c>
      <c r="E433" s="31" t="s">
        <v>12878</v>
      </c>
      <c r="F433" s="31" t="s">
        <v>13100</v>
      </c>
      <c r="G433" s="31" t="s">
        <v>7838</v>
      </c>
      <c r="H433" s="31" t="str">
        <f aca="false">IFERROR(VLOOKUP(G433,'Master Taxonomy'!$A$2:$B$1656,2,FALSE()),"")</f>
        <v>Branching Age-Up Choice</v>
      </c>
      <c r="I433" s="31" t="s">
        <v>13101</v>
      </c>
      <c r="J433" s="31" t="s">
        <v>13102</v>
      </c>
      <c r="K433" s="31" t="s">
        <v>13103</v>
      </c>
      <c r="L433" s="31" t="s">
        <v>13104</v>
      </c>
      <c r="M433" s="31" t="s">
        <v>13105</v>
      </c>
      <c r="N433" s="31" t="s">
        <v>13106</v>
      </c>
      <c r="O433" s="31" t="s">
        <v>12886</v>
      </c>
      <c r="P433" s="31" t="s">
        <v>9961</v>
      </c>
      <c r="Q433" s="31" t="s">
        <v>12887</v>
      </c>
      <c r="R433" s="31" t="s">
        <v>9934</v>
      </c>
      <c r="S433" s="31" t="s">
        <v>9963</v>
      </c>
    </row>
    <row r="434" customFormat="false" ht="51.75" hidden="false" customHeight="true" outlineLevel="0" collapsed="false">
      <c r="A434" s="30" t="s">
        <v>13107</v>
      </c>
      <c r="B434" s="31" t="s">
        <v>13108</v>
      </c>
      <c r="C434" s="31" t="s">
        <v>9364</v>
      </c>
      <c r="D434" s="31" t="s">
        <v>146</v>
      </c>
      <c r="E434" s="31" t="s">
        <v>13109</v>
      </c>
      <c r="F434" s="31" t="s">
        <v>13110</v>
      </c>
      <c r="G434" s="31" t="s">
        <v>7768</v>
      </c>
      <c r="H434" s="31" t="str">
        <f aca="false">IFERROR(VLOOKUP(G434,'Master Taxonomy'!$A$2:$B$1656,2,FALSE()),"")</f>
        <v>Stress Resource Track</v>
      </c>
      <c r="I434" s="31" t="s">
        <v>13111</v>
      </c>
      <c r="J434" s="31" t="s">
        <v>13112</v>
      </c>
      <c r="K434" s="31" t="s">
        <v>13113</v>
      </c>
      <c r="L434" s="31" t="s">
        <v>13114</v>
      </c>
      <c r="M434" s="31" t="s">
        <v>13115</v>
      </c>
      <c r="N434" s="31" t="s">
        <v>13116</v>
      </c>
      <c r="O434" s="31" t="s">
        <v>9960</v>
      </c>
      <c r="P434" s="31" t="s">
        <v>9961</v>
      </c>
      <c r="Q434" s="31" t="s">
        <v>13117</v>
      </c>
      <c r="R434" s="31" t="s">
        <v>9371</v>
      </c>
      <c r="S434" s="31" t="s">
        <v>9963</v>
      </c>
    </row>
    <row r="435" customFormat="false" ht="51.75" hidden="false" customHeight="true" outlineLevel="0" collapsed="false">
      <c r="A435" s="30" t="s">
        <v>13118</v>
      </c>
      <c r="B435" s="31" t="s">
        <v>13119</v>
      </c>
      <c r="C435" s="31" t="s">
        <v>9364</v>
      </c>
      <c r="D435" s="31" t="s">
        <v>146</v>
      </c>
      <c r="E435" s="31" t="s">
        <v>13109</v>
      </c>
      <c r="F435" s="31" t="s">
        <v>13120</v>
      </c>
      <c r="G435" s="31" t="s">
        <v>7775</v>
      </c>
      <c r="H435" s="31" t="str">
        <f aca="false">IFERROR(VLOOKUP(G435,'Master Taxonomy'!$A$2:$B$1656,2,FALSE()),"")</f>
        <v>Crisis Threshold or Resolve Check</v>
      </c>
      <c r="I435" s="31" t="s">
        <v>13121</v>
      </c>
      <c r="J435" s="31" t="s">
        <v>13122</v>
      </c>
      <c r="K435" s="31" t="s">
        <v>13123</v>
      </c>
      <c r="L435" s="31" t="s">
        <v>13124</v>
      </c>
      <c r="M435" s="31" t="s">
        <v>13125</v>
      </c>
      <c r="N435" s="31" t="s">
        <v>13126</v>
      </c>
      <c r="O435" s="31" t="s">
        <v>9960</v>
      </c>
      <c r="P435" s="31" t="s">
        <v>9961</v>
      </c>
      <c r="Q435" s="31" t="s">
        <v>13117</v>
      </c>
      <c r="R435" s="31" t="s">
        <v>9371</v>
      </c>
      <c r="S435" s="31" t="s">
        <v>9963</v>
      </c>
    </row>
    <row r="436" customFormat="false" ht="51.75" hidden="false" customHeight="true" outlineLevel="0" collapsed="false">
      <c r="A436" s="30" t="s">
        <v>13127</v>
      </c>
      <c r="B436" s="31" t="s">
        <v>13128</v>
      </c>
      <c r="C436" s="31" t="s">
        <v>9364</v>
      </c>
      <c r="D436" s="31" t="s">
        <v>146</v>
      </c>
      <c r="E436" s="31" t="s">
        <v>13109</v>
      </c>
      <c r="F436" s="31" t="s">
        <v>13129</v>
      </c>
      <c r="G436" s="31" t="s">
        <v>7894</v>
      </c>
      <c r="H436" s="31" t="str">
        <f aca="false">IFERROR(VLOOKUP(G436,'Master Taxonomy'!$A$2:$B$1656,2,FALSE()),"")</f>
        <v>Stress Affliction</v>
      </c>
      <c r="I436" s="31" t="s">
        <v>13130</v>
      </c>
      <c r="J436" s="31" t="s">
        <v>13131</v>
      </c>
      <c r="K436" s="31" t="s">
        <v>13132</v>
      </c>
      <c r="L436" s="31" t="s">
        <v>13133</v>
      </c>
      <c r="M436" s="31" t="s">
        <v>13134</v>
      </c>
      <c r="N436" s="31" t="s">
        <v>13135</v>
      </c>
      <c r="O436" s="31" t="s">
        <v>9960</v>
      </c>
      <c r="P436" s="31" t="s">
        <v>9961</v>
      </c>
      <c r="Q436" s="31" t="s">
        <v>13117</v>
      </c>
      <c r="R436" s="31" t="s">
        <v>9371</v>
      </c>
      <c r="S436" s="31" t="s">
        <v>9963</v>
      </c>
    </row>
    <row r="437" customFormat="false" ht="51.75" hidden="false" customHeight="true" outlineLevel="0" collapsed="false">
      <c r="A437" s="30" t="s">
        <v>13136</v>
      </c>
      <c r="B437" s="31" t="s">
        <v>13137</v>
      </c>
      <c r="C437" s="31" t="s">
        <v>9364</v>
      </c>
      <c r="D437" s="31" t="s">
        <v>146</v>
      </c>
      <c r="E437" s="31" t="s">
        <v>13109</v>
      </c>
      <c r="F437" s="31" t="s">
        <v>13138</v>
      </c>
      <c r="G437" s="31" t="s">
        <v>7901</v>
      </c>
      <c r="H437" s="31" t="str">
        <f aca="false">IFERROR(VLOOKUP(G437,'Master Taxonomy'!$A$2:$B$1656,2,FALSE()),"")</f>
        <v>Virtue Crisis State</v>
      </c>
      <c r="I437" s="31" t="s">
        <v>13139</v>
      </c>
      <c r="J437" s="31" t="s">
        <v>13140</v>
      </c>
      <c r="K437" s="31" t="s">
        <v>13141</v>
      </c>
      <c r="L437" s="31" t="s">
        <v>13142</v>
      </c>
      <c r="M437" s="31" t="s">
        <v>13143</v>
      </c>
      <c r="N437" s="31" t="s">
        <v>13144</v>
      </c>
      <c r="O437" s="31" t="s">
        <v>9960</v>
      </c>
      <c r="P437" s="31" t="s">
        <v>9961</v>
      </c>
      <c r="Q437" s="31" t="s">
        <v>13117</v>
      </c>
      <c r="R437" s="31" t="s">
        <v>9371</v>
      </c>
      <c r="S437" s="31" t="s">
        <v>9963</v>
      </c>
    </row>
    <row r="438" customFormat="false" ht="51.75" hidden="false" customHeight="true" outlineLevel="0" collapsed="false">
      <c r="A438" s="30" t="s">
        <v>13145</v>
      </c>
      <c r="B438" s="31" t="s">
        <v>13146</v>
      </c>
      <c r="C438" s="31" t="s">
        <v>9364</v>
      </c>
      <c r="D438" s="31" t="s">
        <v>146</v>
      </c>
      <c r="E438" s="31" t="s">
        <v>13109</v>
      </c>
      <c r="F438" s="31" t="s">
        <v>13147</v>
      </c>
      <c r="G438" s="31" t="s">
        <v>7789</v>
      </c>
      <c r="H438" s="31" t="str">
        <f aca="false">IFERROR(VLOOKUP(G438,'Master Taxonomy'!$A$2:$B$1656,2,FALSE()),"")</f>
        <v>Quirk Trait System</v>
      </c>
      <c r="I438" s="31" t="s">
        <v>7908</v>
      </c>
      <c r="J438" s="31" t="s">
        <v>7909</v>
      </c>
      <c r="K438" s="31" t="s">
        <v>13148</v>
      </c>
      <c r="L438" s="31" t="s">
        <v>13149</v>
      </c>
      <c r="M438" s="31" t="s">
        <v>13150</v>
      </c>
      <c r="N438" s="31" t="s">
        <v>13151</v>
      </c>
      <c r="O438" s="31" t="s">
        <v>9960</v>
      </c>
      <c r="P438" s="31" t="s">
        <v>9961</v>
      </c>
      <c r="Q438" s="31" t="s">
        <v>13117</v>
      </c>
      <c r="R438" s="31" t="s">
        <v>9371</v>
      </c>
      <c r="S438" s="31" t="s">
        <v>9963</v>
      </c>
    </row>
    <row r="439" customFormat="false" ht="51.75" hidden="false" customHeight="true" outlineLevel="0" collapsed="false">
      <c r="A439" s="30" t="s">
        <v>13152</v>
      </c>
      <c r="B439" s="31" t="s">
        <v>13153</v>
      </c>
      <c r="C439" s="31" t="s">
        <v>9364</v>
      </c>
      <c r="D439" s="31" t="s">
        <v>146</v>
      </c>
      <c r="E439" s="31" t="s">
        <v>13109</v>
      </c>
      <c r="F439" s="31" t="s">
        <v>13154</v>
      </c>
      <c r="G439" s="31" t="s">
        <v>2907</v>
      </c>
      <c r="H439" s="31" t="str">
        <f aca="false">IFERROR(VLOOKUP(G439,'Master Taxonomy'!$A$2:$B$1656,2,FALSE()),"")</f>
        <v>Disease or Magical Illness</v>
      </c>
      <c r="I439" s="31" t="s">
        <v>7803</v>
      </c>
      <c r="J439" s="31" t="s">
        <v>7804</v>
      </c>
      <c r="K439" s="31" t="s">
        <v>13155</v>
      </c>
      <c r="L439" s="31" t="s">
        <v>13156</v>
      </c>
      <c r="M439" s="31" t="s">
        <v>13157</v>
      </c>
      <c r="N439" s="31" t="s">
        <v>13158</v>
      </c>
      <c r="O439" s="31" t="s">
        <v>9960</v>
      </c>
      <c r="P439" s="31" t="s">
        <v>9961</v>
      </c>
      <c r="Q439" s="31" t="s">
        <v>13117</v>
      </c>
      <c r="R439" s="31" t="s">
        <v>9371</v>
      </c>
      <c r="S439" s="31" t="s">
        <v>9963</v>
      </c>
    </row>
    <row r="440" customFormat="false" ht="51.75" hidden="false" customHeight="true" outlineLevel="0" collapsed="false">
      <c r="A440" s="30" t="s">
        <v>13159</v>
      </c>
      <c r="B440" s="31" t="s">
        <v>13160</v>
      </c>
      <c r="C440" s="31" t="s">
        <v>9364</v>
      </c>
      <c r="D440" s="31" t="s">
        <v>146</v>
      </c>
      <c r="E440" s="31" t="s">
        <v>13109</v>
      </c>
      <c r="F440" s="31" t="s">
        <v>13161</v>
      </c>
      <c r="G440" s="31" t="s">
        <v>7796</v>
      </c>
      <c r="H440" s="31" t="str">
        <f aca="false">IFERROR(VLOOKUP(G440,'Master Taxonomy'!$A$2:$B$1656,2,FALSE()),"")</f>
        <v>Light–Risk Meter</v>
      </c>
      <c r="I440" s="31" t="s">
        <v>13162</v>
      </c>
      <c r="J440" s="31" t="s">
        <v>13163</v>
      </c>
      <c r="K440" s="31" t="s">
        <v>13164</v>
      </c>
      <c r="L440" s="31" t="s">
        <v>13165</v>
      </c>
      <c r="M440" s="31" t="s">
        <v>13166</v>
      </c>
      <c r="N440" s="31" t="s">
        <v>13167</v>
      </c>
      <c r="O440" s="31" t="s">
        <v>9960</v>
      </c>
      <c r="P440" s="31" t="s">
        <v>9961</v>
      </c>
      <c r="Q440" s="31" t="s">
        <v>13117</v>
      </c>
      <c r="R440" s="31" t="s">
        <v>9371</v>
      </c>
      <c r="S440" s="31" t="s">
        <v>9963</v>
      </c>
    </row>
    <row r="441" customFormat="false" ht="51.75" hidden="false" customHeight="true" outlineLevel="0" collapsed="false">
      <c r="A441" s="30" t="s">
        <v>13168</v>
      </c>
      <c r="B441" s="31" t="s">
        <v>13169</v>
      </c>
      <c r="C441" s="31" t="s">
        <v>9364</v>
      </c>
      <c r="D441" s="31" t="s">
        <v>146</v>
      </c>
      <c r="E441" s="31" t="s">
        <v>13109</v>
      </c>
      <c r="F441" s="31" t="s">
        <v>13170</v>
      </c>
      <c r="G441" s="31" t="s">
        <v>7803</v>
      </c>
      <c r="H441" s="31" t="str">
        <f aca="false">IFERROR(VLOOKUP(G441,'Master Taxonomy'!$A$2:$B$1656,2,FALSE()),"")</f>
        <v>Expedition Attrition Loop</v>
      </c>
      <c r="I441" s="31" t="s">
        <v>13171</v>
      </c>
      <c r="J441" s="31" t="s">
        <v>13172</v>
      </c>
      <c r="K441" s="31" t="s">
        <v>13173</v>
      </c>
      <c r="L441" s="31" t="s">
        <v>13174</v>
      </c>
      <c r="M441" s="31" t="s">
        <v>13175</v>
      </c>
      <c r="N441" s="31" t="s">
        <v>13176</v>
      </c>
      <c r="O441" s="31" t="s">
        <v>9960</v>
      </c>
      <c r="P441" s="31" t="s">
        <v>9961</v>
      </c>
      <c r="Q441" s="31" t="s">
        <v>13117</v>
      </c>
      <c r="R441" s="31" t="s">
        <v>9371</v>
      </c>
      <c r="S441" s="31" t="s">
        <v>9963</v>
      </c>
    </row>
    <row r="442" customFormat="false" ht="51.75" hidden="false" customHeight="true" outlineLevel="0" collapsed="false">
      <c r="A442" s="30" t="s">
        <v>13177</v>
      </c>
      <c r="B442" s="31" t="s">
        <v>13178</v>
      </c>
      <c r="C442" s="31" t="s">
        <v>9364</v>
      </c>
      <c r="D442" s="31" t="s">
        <v>146</v>
      </c>
      <c r="E442" s="31" t="s">
        <v>13109</v>
      </c>
      <c r="F442" s="31" t="s">
        <v>13179</v>
      </c>
      <c r="G442" s="31" t="s">
        <v>7817</v>
      </c>
      <c r="H442" s="31" t="str">
        <f aca="false">IFERROR(VLOOKUP(G442,'Master Taxonomy'!$A$2:$B$1656,2,FALSE()),"")</f>
        <v>Town Recovery Loop</v>
      </c>
      <c r="I442" s="31" t="s">
        <v>13180</v>
      </c>
      <c r="J442" s="31" t="s">
        <v>13181</v>
      </c>
      <c r="K442" s="31" t="s">
        <v>13182</v>
      </c>
      <c r="L442" s="31" t="s">
        <v>13183</v>
      </c>
      <c r="M442" s="31" t="s">
        <v>13184</v>
      </c>
      <c r="N442" s="31" t="s">
        <v>13185</v>
      </c>
      <c r="O442" s="31" t="s">
        <v>9960</v>
      </c>
      <c r="P442" s="31" t="s">
        <v>9961</v>
      </c>
      <c r="Q442" s="31" t="s">
        <v>13117</v>
      </c>
      <c r="R442" s="31" t="s">
        <v>9371</v>
      </c>
      <c r="S442" s="31" t="s">
        <v>9963</v>
      </c>
    </row>
    <row r="443" customFormat="false" ht="51.75" hidden="false" customHeight="true" outlineLevel="0" collapsed="false">
      <c r="A443" s="30" t="s">
        <v>13186</v>
      </c>
      <c r="B443" s="31" t="s">
        <v>13187</v>
      </c>
      <c r="C443" s="31" t="s">
        <v>9364</v>
      </c>
      <c r="D443" s="31" t="s">
        <v>146</v>
      </c>
      <c r="E443" s="31" t="s">
        <v>13109</v>
      </c>
      <c r="F443" s="31" t="s">
        <v>13188</v>
      </c>
      <c r="G443" s="31" t="s">
        <v>7943</v>
      </c>
      <c r="H443" s="31" t="str">
        <f aca="false">IFERROR(VLOOKUP(G443,'Master Taxonomy'!$A$2:$B$1656,2,FALSE()),"")</f>
        <v>Recovery and Respite Institution</v>
      </c>
      <c r="I443" s="31" t="s">
        <v>13189</v>
      </c>
      <c r="J443" s="31" t="s">
        <v>13190</v>
      </c>
      <c r="K443" s="31" t="s">
        <v>13191</v>
      </c>
      <c r="L443" s="31" t="s">
        <v>13192</v>
      </c>
      <c r="M443" s="31" t="s">
        <v>13193</v>
      </c>
      <c r="N443" s="31" t="s">
        <v>13194</v>
      </c>
      <c r="O443" s="31" t="s">
        <v>9960</v>
      </c>
      <c r="P443" s="31" t="s">
        <v>9961</v>
      </c>
      <c r="Q443" s="31" t="s">
        <v>13117</v>
      </c>
      <c r="R443" s="31" t="s">
        <v>9371</v>
      </c>
      <c r="S443" s="31" t="s">
        <v>9963</v>
      </c>
    </row>
    <row r="444" customFormat="false" ht="51.75" hidden="false" customHeight="true" outlineLevel="0" collapsed="false">
      <c r="A444" s="30" t="s">
        <v>13195</v>
      </c>
      <c r="B444" s="31" t="s">
        <v>13196</v>
      </c>
      <c r="C444" s="31" t="s">
        <v>9364</v>
      </c>
      <c r="D444" s="31" t="s">
        <v>146</v>
      </c>
      <c r="E444" s="31" t="s">
        <v>13109</v>
      </c>
      <c r="F444" s="31" t="s">
        <v>13197</v>
      </c>
      <c r="G444" s="31" t="s">
        <v>7943</v>
      </c>
      <c r="H444" s="31" t="str">
        <f aca="false">IFERROR(VLOOKUP(G444,'Master Taxonomy'!$A$2:$B$1656,2,FALSE()),"")</f>
        <v>Recovery and Respite Institution</v>
      </c>
      <c r="I444" s="31" t="s">
        <v>13198</v>
      </c>
      <c r="J444" s="31" t="s">
        <v>13199</v>
      </c>
      <c r="K444" s="31" t="s">
        <v>13200</v>
      </c>
      <c r="L444" s="31" t="s">
        <v>13201</v>
      </c>
      <c r="M444" s="31" t="s">
        <v>13202</v>
      </c>
      <c r="N444" s="31" t="s">
        <v>13203</v>
      </c>
      <c r="O444" s="31" t="s">
        <v>9960</v>
      </c>
      <c r="P444" s="31" t="s">
        <v>9961</v>
      </c>
      <c r="Q444" s="31" t="s">
        <v>13117</v>
      </c>
      <c r="R444" s="31" t="s">
        <v>9371</v>
      </c>
      <c r="S444" s="31" t="s">
        <v>9963</v>
      </c>
    </row>
    <row r="445" customFormat="false" ht="51.75" hidden="false" customHeight="true" outlineLevel="0" collapsed="false">
      <c r="A445" s="30" t="s">
        <v>13204</v>
      </c>
      <c r="B445" s="31" t="s">
        <v>13205</v>
      </c>
      <c r="C445" s="31" t="s">
        <v>9364</v>
      </c>
      <c r="D445" s="31" t="s">
        <v>146</v>
      </c>
      <c r="E445" s="31" t="s">
        <v>13109</v>
      </c>
      <c r="F445" s="31" t="s">
        <v>13206</v>
      </c>
      <c r="G445" s="31" t="s">
        <v>5120</v>
      </c>
      <c r="H445" s="31" t="str">
        <f aca="false">IFERROR(VLOOKUP(G445,'Master Taxonomy'!$A$2:$B$1656,2,FALSE()),"")</f>
        <v>Permadeath Unit</v>
      </c>
      <c r="I445" s="31" t="s">
        <v>13207</v>
      </c>
      <c r="J445" s="31" t="s">
        <v>13208</v>
      </c>
      <c r="K445" s="31" t="s">
        <v>13209</v>
      </c>
      <c r="L445" s="31" t="s">
        <v>13210</v>
      </c>
      <c r="M445" s="31" t="s">
        <v>13211</v>
      </c>
      <c r="N445" s="31" t="s">
        <v>13212</v>
      </c>
      <c r="O445" s="31" t="s">
        <v>9960</v>
      </c>
      <c r="P445" s="31" t="s">
        <v>9961</v>
      </c>
      <c r="Q445" s="31" t="s">
        <v>13117</v>
      </c>
      <c r="R445" s="31" t="s">
        <v>9371</v>
      </c>
      <c r="S445" s="31" t="s">
        <v>9963</v>
      </c>
    </row>
    <row r="446" customFormat="false" ht="51.75" hidden="false" customHeight="true" outlineLevel="0" collapsed="false">
      <c r="A446" s="30" t="s">
        <v>13213</v>
      </c>
      <c r="B446" s="31" t="s">
        <v>13214</v>
      </c>
      <c r="C446" s="31" t="s">
        <v>9364</v>
      </c>
      <c r="D446" s="31" t="s">
        <v>146</v>
      </c>
      <c r="E446" s="31" t="s">
        <v>13109</v>
      </c>
      <c r="F446" s="31" t="s">
        <v>13215</v>
      </c>
      <c r="G446" s="31" t="s">
        <v>7810</v>
      </c>
      <c r="H446" s="31" t="str">
        <f aca="false">IFERROR(VLOOKUP(G446,'Master Taxonomy'!$A$2:$B$1656,2,FALSE()),"")</f>
        <v>Roster-Based Campaign</v>
      </c>
      <c r="I446" s="31" t="s">
        <v>13216</v>
      </c>
      <c r="J446" s="31" t="s">
        <v>13217</v>
      </c>
      <c r="K446" s="31" t="s">
        <v>13218</v>
      </c>
      <c r="L446" s="31" t="s">
        <v>13219</v>
      </c>
      <c r="M446" s="31" t="s">
        <v>13220</v>
      </c>
      <c r="N446" s="31" t="s">
        <v>13221</v>
      </c>
      <c r="O446" s="31" t="s">
        <v>9960</v>
      </c>
      <c r="P446" s="31" t="s">
        <v>9961</v>
      </c>
      <c r="Q446" s="31" t="s">
        <v>13117</v>
      </c>
      <c r="R446" s="31" t="s">
        <v>9371</v>
      </c>
      <c r="S446" s="31" t="s">
        <v>9963</v>
      </c>
    </row>
    <row r="447" customFormat="false" ht="51.75" hidden="false" customHeight="true" outlineLevel="0" collapsed="false">
      <c r="A447" s="30" t="s">
        <v>13222</v>
      </c>
      <c r="B447" s="31" t="s">
        <v>13223</v>
      </c>
      <c r="C447" s="31" t="s">
        <v>9364</v>
      </c>
      <c r="D447" s="31" t="s">
        <v>146</v>
      </c>
      <c r="E447" s="31" t="s">
        <v>13109</v>
      </c>
      <c r="F447" s="31" t="s">
        <v>13224</v>
      </c>
      <c r="G447" s="31" t="s">
        <v>7824</v>
      </c>
      <c r="H447" s="31" t="str">
        <f aca="false">IFERROR(VLOOKUP(G447,'Master Taxonomy'!$A$2:$B$1656,2,FALSE()),"")</f>
        <v>Position-Restricted Skill Kit</v>
      </c>
      <c r="I447" s="31" t="s">
        <v>13225</v>
      </c>
      <c r="J447" s="31" t="s">
        <v>13226</v>
      </c>
      <c r="K447" s="31" t="s">
        <v>13227</v>
      </c>
      <c r="L447" s="31" t="s">
        <v>13228</v>
      </c>
      <c r="M447" s="31" t="s">
        <v>13229</v>
      </c>
      <c r="N447" s="31" t="s">
        <v>13230</v>
      </c>
      <c r="O447" s="31" t="s">
        <v>9960</v>
      </c>
      <c r="P447" s="31" t="s">
        <v>9961</v>
      </c>
      <c r="Q447" s="31" t="s">
        <v>13117</v>
      </c>
      <c r="R447" s="31" t="s">
        <v>9371</v>
      </c>
      <c r="S447" s="31" t="s">
        <v>9963</v>
      </c>
    </row>
    <row r="448" customFormat="false" ht="51.75" hidden="false" customHeight="true" outlineLevel="0" collapsed="false">
      <c r="A448" s="30" t="s">
        <v>13231</v>
      </c>
      <c r="B448" s="31" t="s">
        <v>13232</v>
      </c>
      <c r="C448" s="31" t="s">
        <v>9364</v>
      </c>
      <c r="D448" s="31" t="s">
        <v>146</v>
      </c>
      <c r="E448" s="31" t="s">
        <v>13109</v>
      </c>
      <c r="F448" s="31" t="s">
        <v>13233</v>
      </c>
      <c r="G448" s="31" t="s">
        <v>7887</v>
      </c>
      <c r="H448" s="31" t="str">
        <f aca="false">IFERROR(VLOOKUP(G448,'Master Taxonomy'!$A$2:$B$1656,2,FALSE()),"")</f>
        <v>Procedural Expedition Layout</v>
      </c>
      <c r="I448" s="31" t="s">
        <v>13234</v>
      </c>
      <c r="J448" s="31" t="s">
        <v>13235</v>
      </c>
      <c r="K448" s="31" t="s">
        <v>13236</v>
      </c>
      <c r="L448" s="31" t="s">
        <v>13237</v>
      </c>
      <c r="M448" s="31" t="s">
        <v>13238</v>
      </c>
      <c r="N448" s="31" t="s">
        <v>13239</v>
      </c>
      <c r="O448" s="31" t="s">
        <v>9960</v>
      </c>
      <c r="P448" s="31" t="s">
        <v>9961</v>
      </c>
      <c r="Q448" s="31" t="s">
        <v>13117</v>
      </c>
      <c r="R448" s="31" t="s">
        <v>9371</v>
      </c>
      <c r="S448" s="31" t="s">
        <v>9963</v>
      </c>
    </row>
    <row r="449" customFormat="false" ht="51.75" hidden="false" customHeight="true" outlineLevel="0" collapsed="false">
      <c r="A449" s="30" t="s">
        <v>13240</v>
      </c>
      <c r="B449" s="31" t="s">
        <v>13241</v>
      </c>
      <c r="C449" s="31" t="s">
        <v>9364</v>
      </c>
      <c r="D449" s="31" t="s">
        <v>146</v>
      </c>
      <c r="E449" s="31" t="s">
        <v>13109</v>
      </c>
      <c r="F449" s="31" t="s">
        <v>13242</v>
      </c>
      <c r="G449" s="31" t="s">
        <v>7922</v>
      </c>
      <c r="H449" s="31" t="str">
        <f aca="false">IFERROR(VLOOKUP(G449,'Master Taxonomy'!$A$2:$B$1656,2,FALSE()),"")</f>
        <v>Inherited Ruin or Ancestor's Folly</v>
      </c>
      <c r="I449" s="31" t="s">
        <v>13243</v>
      </c>
      <c r="J449" s="31" t="s">
        <v>13244</v>
      </c>
      <c r="K449" s="31" t="s">
        <v>13245</v>
      </c>
      <c r="L449" s="31" t="s">
        <v>13246</v>
      </c>
      <c r="M449" s="31" t="s">
        <v>13247</v>
      </c>
      <c r="N449" s="31" t="s">
        <v>13248</v>
      </c>
      <c r="O449" s="31" t="s">
        <v>9960</v>
      </c>
      <c r="P449" s="31" t="s">
        <v>9961</v>
      </c>
      <c r="Q449" s="31" t="s">
        <v>13117</v>
      </c>
      <c r="R449" s="31" t="s">
        <v>9371</v>
      </c>
      <c r="S449" s="31" t="s">
        <v>9963</v>
      </c>
    </row>
    <row r="450" customFormat="false" ht="51.75" hidden="false" customHeight="true" outlineLevel="0" collapsed="false">
      <c r="A450" s="30" t="s">
        <v>13249</v>
      </c>
      <c r="B450" s="31" t="s">
        <v>13250</v>
      </c>
      <c r="C450" s="31" t="s">
        <v>9364</v>
      </c>
      <c r="D450" s="31" t="s">
        <v>146</v>
      </c>
      <c r="E450" s="31" t="s">
        <v>13109</v>
      </c>
      <c r="F450" s="31" t="s">
        <v>13251</v>
      </c>
      <c r="G450" s="31" t="s">
        <v>7929</v>
      </c>
      <c r="H450" s="31" t="str">
        <f aca="false">IFERROR(VLOOKUP(G450,'Master Taxonomy'!$A$2:$B$1656,2,FALSE()),"")</f>
        <v>Roster of Flawed Adventurers</v>
      </c>
      <c r="I450" s="31" t="s">
        <v>13252</v>
      </c>
      <c r="J450" s="31" t="s">
        <v>13253</v>
      </c>
      <c r="K450" s="31" t="s">
        <v>13254</v>
      </c>
      <c r="L450" s="31" t="s">
        <v>13255</v>
      </c>
      <c r="M450" s="31" t="s">
        <v>13256</v>
      </c>
      <c r="N450" s="31" t="s">
        <v>13257</v>
      </c>
      <c r="O450" s="31" t="s">
        <v>9960</v>
      </c>
      <c r="P450" s="31" t="s">
        <v>9961</v>
      </c>
      <c r="Q450" s="31" t="s">
        <v>13117</v>
      </c>
      <c r="R450" s="31" t="s">
        <v>9371</v>
      </c>
      <c r="S450" s="31" t="s">
        <v>9963</v>
      </c>
    </row>
    <row r="451" customFormat="false" ht="51.75" hidden="false" customHeight="true" outlineLevel="0" collapsed="false">
      <c r="A451" s="30" t="s">
        <v>13258</v>
      </c>
      <c r="B451" s="31" t="s">
        <v>13259</v>
      </c>
      <c r="C451" s="31" t="s">
        <v>9364</v>
      </c>
      <c r="D451" s="31" t="s">
        <v>146</v>
      </c>
      <c r="E451" s="31" t="s">
        <v>13109</v>
      </c>
      <c r="F451" s="31" t="s">
        <v>13260</v>
      </c>
      <c r="G451" s="31" t="s">
        <v>7936</v>
      </c>
      <c r="H451" s="31" t="str">
        <f aca="false">IFERROR(VLOOKUP(G451,'Master Taxonomy'!$A$2:$B$1656,2,FALSE()),"")</f>
        <v>Psychological Attrition Journey</v>
      </c>
      <c r="I451" s="31" t="s">
        <v>13261</v>
      </c>
      <c r="J451" s="31" t="s">
        <v>13262</v>
      </c>
      <c r="K451" s="31" t="s">
        <v>13263</v>
      </c>
      <c r="L451" s="31" t="s">
        <v>13264</v>
      </c>
      <c r="M451" s="31" t="s">
        <v>13265</v>
      </c>
      <c r="N451" s="31" t="s">
        <v>13266</v>
      </c>
      <c r="O451" s="31" t="s">
        <v>9960</v>
      </c>
      <c r="P451" s="31" t="s">
        <v>9961</v>
      </c>
      <c r="Q451" s="31" t="s">
        <v>13117</v>
      </c>
      <c r="R451" s="31" t="s">
        <v>9371</v>
      </c>
      <c r="S451" s="31" t="s">
        <v>9963</v>
      </c>
    </row>
    <row r="452" customFormat="false" ht="51.75" hidden="false" customHeight="true" outlineLevel="0" collapsed="false">
      <c r="A452" s="30" t="s">
        <v>13267</v>
      </c>
      <c r="B452" s="31" t="s">
        <v>13268</v>
      </c>
      <c r="C452" s="31" t="s">
        <v>9364</v>
      </c>
      <c r="D452" s="31" t="s">
        <v>146</v>
      </c>
      <c r="E452" s="31" t="s">
        <v>13109</v>
      </c>
      <c r="F452" s="31" t="s">
        <v>13269</v>
      </c>
      <c r="G452" s="31" t="s">
        <v>7915</v>
      </c>
      <c r="H452" s="31" t="str">
        <f aca="false">IFERROR(VLOOKUP(G452,'Master Taxonomy'!$A$2:$B$1656,2,FALSE()),"")</f>
        <v>Expedition Trauma</v>
      </c>
      <c r="I452" s="31" t="s">
        <v>13270</v>
      </c>
      <c r="J452" s="31" t="s">
        <v>13271</v>
      </c>
      <c r="K452" s="31" t="s">
        <v>13272</v>
      </c>
      <c r="L452" s="31" t="s">
        <v>13273</v>
      </c>
      <c r="M452" s="31" t="s">
        <v>13274</v>
      </c>
      <c r="N452" s="31" t="s">
        <v>13275</v>
      </c>
      <c r="O452" s="31" t="s">
        <v>9960</v>
      </c>
      <c r="P452" s="31" t="s">
        <v>9961</v>
      </c>
      <c r="Q452" s="31" t="s">
        <v>13117</v>
      </c>
      <c r="R452" s="31" t="s">
        <v>9371</v>
      </c>
      <c r="S452" s="31" t="s">
        <v>9963</v>
      </c>
    </row>
  </sheetData>
  <conditionalFormatting sqref="P2:P317">
    <cfRule type="expression" priority="2" aboveAverage="0" equalAverage="0" bottom="0" percent="0" rank="0" text="" dxfId="23">
      <formula>$P2="Primary text reviewed"</formula>
    </cfRule>
    <cfRule type="expression" priority="3" aboveAverage="0" equalAverage="0" bottom="0" percent="0" rank="0" text="" dxfId="29">
      <formula>$P2="Official reference reviewed"</formula>
    </cfRule>
    <cfRule type="expression" priority="4" aboveAverage="0" equalAverage="0" bottom="0" percent="0" rank="0" text="" dxfId="30">
      <formula>$P2="Secondary reference reviewed"</formula>
    </cfRule>
    <cfRule type="expression" priority="5" aboveAverage="0" equalAverage="0" bottom="0" percent="0" rank="0" text="" dxfId="31">
      <formula>$P2="Orientation only"</formula>
    </cfRule>
    <cfRule type="expression" priority="6" aboveAverage="0" equalAverage="0" bottom="0" percent="0" rank="0" text="" dxfId="32">
      <formula>$P2="Needs verification"</formula>
    </cfRule>
  </conditionalFormatting>
  <conditionalFormatting sqref="S2:S317">
    <cfRule type="expression" priority="7" aboveAverage="0" equalAverage="0" bottom="0" percent="0" rank="0" text="" dxfId="24">
      <formula>$S2="Seeded"</formula>
    </cfRule>
    <cfRule type="expression" priority="8" aboveAverage="0" equalAverage="0" bottom="0" percent="0" rank="0" text="" dxfId="23">
      <formula>$S2="Verified"</formula>
    </cfRule>
  </conditionalFormatting>
  <dataValidations count="3">
    <dataValidation allowBlank="false" errorStyle="stop" operator="between" showDropDown="false" showErrorMessage="false" showInputMessage="false" sqref="O2:O317" type="list">
      <formula1>"Primary canon,Multiple primary continuities,Official adaptation,Licensed secondary,Optional rules,Legacy edition,Apocryphal / disputed,Fan / unofficial"</formula1>
      <formula2>0</formula2>
    </dataValidation>
    <dataValidation allowBlank="false" errorStyle="stop" operator="between" showDropDown="false" showErrorMessage="false" showInputMessage="false" sqref="P2:P317" type="list">
      <formula1>"Primary text reviewed,Official reference reviewed,Secondary reference reviewed,Orientation only,Needs verification"</formula1>
      <formula2>0</formula2>
    </dataValidation>
    <dataValidation allowBlank="false" errorStyle="stop" operator="between" showDropDown="false" showErrorMessage="false" showInputMessage="false" sqref="S2:S317" type="list">
      <formula1>"Framework core,Seeded,Needs source review,Verified,Deprecated / merged"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37.37"/>
    <col collapsed="false" customWidth="true" hidden="false" outlineLevel="0" max="4" min="3" style="1" width="57.15"/>
  </cols>
  <sheetData>
    <row r="1" customFormat="false" ht="33.75" hidden="false" customHeight="true" outlineLevel="0" collapsed="false">
      <c r="A1" s="29" t="s">
        <v>13276</v>
      </c>
      <c r="B1" s="29" t="s">
        <v>5</v>
      </c>
      <c r="C1" s="29" t="s">
        <v>13277</v>
      </c>
      <c r="D1" s="29" t="s">
        <v>13278</v>
      </c>
    </row>
    <row r="2" customFormat="false" ht="37.5" hidden="false" customHeight="true" outlineLevel="0" collapsed="false">
      <c r="A2" s="22" t="s">
        <v>13279</v>
      </c>
      <c r="B2" s="22" t="s">
        <v>13280</v>
      </c>
      <c r="C2" s="22" t="s">
        <v>13281</v>
      </c>
      <c r="D2" s="22" t="s">
        <v>13282</v>
      </c>
    </row>
    <row r="3" customFormat="false" ht="37.5" hidden="false" customHeight="true" outlineLevel="0" collapsed="false">
      <c r="A3" s="22" t="s">
        <v>13279</v>
      </c>
      <c r="B3" s="22" t="s">
        <v>13283</v>
      </c>
      <c r="C3" s="22" t="s">
        <v>13284</v>
      </c>
      <c r="D3" s="22" t="s">
        <v>13282</v>
      </c>
    </row>
    <row r="4" customFormat="false" ht="37.5" hidden="false" customHeight="true" outlineLevel="0" collapsed="false">
      <c r="A4" s="22" t="s">
        <v>13279</v>
      </c>
      <c r="B4" s="22" t="s">
        <v>13285</v>
      </c>
      <c r="C4" s="22" t="s">
        <v>13286</v>
      </c>
      <c r="D4" s="22" t="s">
        <v>13282</v>
      </c>
    </row>
    <row r="5" customFormat="false" ht="37.5" hidden="false" customHeight="true" outlineLevel="0" collapsed="false">
      <c r="A5" s="22" t="s">
        <v>13279</v>
      </c>
      <c r="B5" s="22" t="s">
        <v>13287</v>
      </c>
      <c r="C5" s="22" t="s">
        <v>13288</v>
      </c>
      <c r="D5" s="22" t="s">
        <v>13282</v>
      </c>
    </row>
    <row r="6" customFormat="false" ht="37.5" hidden="false" customHeight="true" outlineLevel="0" collapsed="false">
      <c r="A6" s="22" t="s">
        <v>13279</v>
      </c>
      <c r="B6" s="22" t="s">
        <v>13289</v>
      </c>
      <c r="C6" s="22" t="s">
        <v>13290</v>
      </c>
      <c r="D6" s="22" t="s">
        <v>13282</v>
      </c>
    </row>
    <row r="7" customFormat="false" ht="37.5" hidden="false" customHeight="true" outlineLevel="0" collapsed="false">
      <c r="A7" s="22" t="s">
        <v>13279</v>
      </c>
      <c r="B7" s="22" t="s">
        <v>13291</v>
      </c>
      <c r="C7" s="22" t="s">
        <v>13292</v>
      </c>
      <c r="D7" s="22" t="s">
        <v>13282</v>
      </c>
    </row>
    <row r="8" customFormat="false" ht="37.5" hidden="false" customHeight="true" outlineLevel="0" collapsed="false">
      <c r="A8" s="22" t="s">
        <v>13279</v>
      </c>
      <c r="B8" s="22" t="s">
        <v>13293</v>
      </c>
      <c r="C8" s="22" t="s">
        <v>13294</v>
      </c>
      <c r="D8" s="22" t="s">
        <v>13282</v>
      </c>
    </row>
    <row r="9" customFormat="false" ht="37.5" hidden="false" customHeight="true" outlineLevel="0" collapsed="false">
      <c r="A9" s="22" t="s">
        <v>13279</v>
      </c>
      <c r="B9" s="22" t="s">
        <v>13295</v>
      </c>
      <c r="C9" s="22" t="s">
        <v>13296</v>
      </c>
      <c r="D9" s="22" t="s">
        <v>13282</v>
      </c>
    </row>
    <row r="10" customFormat="false" ht="37.5" hidden="false" customHeight="true" outlineLevel="0" collapsed="false">
      <c r="A10" s="22" t="s">
        <v>13279</v>
      </c>
      <c r="B10" s="22" t="s">
        <v>13297</v>
      </c>
      <c r="C10" s="22" t="s">
        <v>13298</v>
      </c>
      <c r="D10" s="22" t="s">
        <v>13282</v>
      </c>
    </row>
    <row r="11" customFormat="false" ht="37.5" hidden="false" customHeight="true" outlineLevel="0" collapsed="false">
      <c r="A11" s="22" t="s">
        <v>13279</v>
      </c>
      <c r="B11" s="22" t="s">
        <v>13299</v>
      </c>
      <c r="C11" s="22" t="s">
        <v>13300</v>
      </c>
      <c r="D11" s="22" t="s">
        <v>13282</v>
      </c>
    </row>
    <row r="12" customFormat="false" ht="37.5" hidden="false" customHeight="true" outlineLevel="0" collapsed="false">
      <c r="A12" s="22" t="s">
        <v>13279</v>
      </c>
      <c r="B12" s="22" t="s">
        <v>13301</v>
      </c>
      <c r="C12" s="22" t="s">
        <v>13302</v>
      </c>
      <c r="D12" s="22" t="s">
        <v>13282</v>
      </c>
    </row>
    <row r="13" customFormat="false" ht="37.5" hidden="false" customHeight="true" outlineLevel="0" collapsed="false">
      <c r="A13" s="22" t="s">
        <v>13279</v>
      </c>
      <c r="B13" s="22" t="s">
        <v>13303</v>
      </c>
      <c r="C13" s="22" t="s">
        <v>13304</v>
      </c>
      <c r="D13" s="22" t="s">
        <v>13282</v>
      </c>
    </row>
    <row r="14" customFormat="false" ht="37.5" hidden="false" customHeight="true" outlineLevel="0" collapsed="false">
      <c r="A14" s="22" t="s">
        <v>13279</v>
      </c>
      <c r="B14" s="22" t="s">
        <v>13305</v>
      </c>
      <c r="C14" s="22" t="s">
        <v>13306</v>
      </c>
      <c r="D14" s="22" t="s">
        <v>13282</v>
      </c>
    </row>
    <row r="15" customFormat="false" ht="37.5" hidden="false" customHeight="true" outlineLevel="0" collapsed="false">
      <c r="A15" s="22" t="s">
        <v>13279</v>
      </c>
      <c r="B15" s="22" t="s">
        <v>11240</v>
      </c>
      <c r="C15" s="22" t="s">
        <v>13307</v>
      </c>
      <c r="D15" s="22" t="s">
        <v>13282</v>
      </c>
    </row>
    <row r="16" customFormat="false" ht="37.5" hidden="false" customHeight="true" outlineLevel="0" collapsed="false">
      <c r="A16" s="22" t="s">
        <v>13279</v>
      </c>
      <c r="B16" s="22" t="s">
        <v>13308</v>
      </c>
      <c r="C16" s="22" t="s">
        <v>13309</v>
      </c>
      <c r="D16" s="22" t="s">
        <v>13282</v>
      </c>
    </row>
    <row r="17" customFormat="false" ht="37.5" hidden="false" customHeight="true" outlineLevel="0" collapsed="false">
      <c r="A17" s="22" t="s">
        <v>13279</v>
      </c>
      <c r="B17" s="22" t="s">
        <v>13310</v>
      </c>
      <c r="C17" s="22" t="s">
        <v>13311</v>
      </c>
      <c r="D17" s="22" t="s">
        <v>13282</v>
      </c>
    </row>
    <row r="18" customFormat="false" ht="37.5" hidden="false" customHeight="true" outlineLevel="0" collapsed="false">
      <c r="A18" s="22" t="s">
        <v>13312</v>
      </c>
      <c r="B18" s="22" t="s">
        <v>13313</v>
      </c>
      <c r="C18" s="22" t="s">
        <v>13314</v>
      </c>
      <c r="D18" s="22" t="s">
        <v>13315</v>
      </c>
    </row>
    <row r="19" customFormat="false" ht="37.5" hidden="false" customHeight="true" outlineLevel="0" collapsed="false">
      <c r="A19" s="22" t="s">
        <v>13312</v>
      </c>
      <c r="B19" s="22" t="s">
        <v>13316</v>
      </c>
      <c r="C19" s="22" t="s">
        <v>13317</v>
      </c>
      <c r="D19" s="22" t="s">
        <v>13315</v>
      </c>
    </row>
    <row r="20" customFormat="false" ht="37.5" hidden="false" customHeight="true" outlineLevel="0" collapsed="false">
      <c r="A20" s="22" t="s">
        <v>13312</v>
      </c>
      <c r="B20" s="22" t="s">
        <v>13318</v>
      </c>
      <c r="C20" s="22" t="s">
        <v>13319</v>
      </c>
      <c r="D20" s="22" t="s">
        <v>13315</v>
      </c>
    </row>
    <row r="21" customFormat="false" ht="37.5" hidden="false" customHeight="true" outlineLevel="0" collapsed="false">
      <c r="A21" s="22" t="s">
        <v>13312</v>
      </c>
      <c r="B21" s="22" t="s">
        <v>13320</v>
      </c>
      <c r="C21" s="22" t="s">
        <v>13321</v>
      </c>
      <c r="D21" s="22" t="s">
        <v>13315</v>
      </c>
    </row>
    <row r="22" customFormat="false" ht="37.5" hidden="false" customHeight="true" outlineLevel="0" collapsed="false">
      <c r="A22" s="22" t="s">
        <v>13312</v>
      </c>
      <c r="B22" s="22" t="s">
        <v>13322</v>
      </c>
      <c r="C22" s="22" t="s">
        <v>13323</v>
      </c>
      <c r="D22" s="22" t="s">
        <v>13315</v>
      </c>
    </row>
    <row r="23" customFormat="false" ht="37.5" hidden="false" customHeight="true" outlineLevel="0" collapsed="false">
      <c r="A23" s="22" t="s">
        <v>13312</v>
      </c>
      <c r="B23" s="22" t="s">
        <v>13324</v>
      </c>
      <c r="C23" s="22" t="s">
        <v>13325</v>
      </c>
      <c r="D23" s="22" t="s">
        <v>13315</v>
      </c>
    </row>
    <row r="24" customFormat="false" ht="37.5" hidden="false" customHeight="true" outlineLevel="0" collapsed="false">
      <c r="A24" s="22" t="s">
        <v>13312</v>
      </c>
      <c r="B24" s="22" t="s">
        <v>3174</v>
      </c>
      <c r="C24" s="22" t="s">
        <v>13326</v>
      </c>
      <c r="D24" s="22" t="s">
        <v>13315</v>
      </c>
    </row>
    <row r="25" customFormat="false" ht="37.5" hidden="false" customHeight="true" outlineLevel="0" collapsed="false">
      <c r="A25" s="22" t="s">
        <v>13312</v>
      </c>
      <c r="B25" s="22" t="s">
        <v>13327</v>
      </c>
      <c r="C25" s="22" t="s">
        <v>13328</v>
      </c>
      <c r="D25" s="22" t="s">
        <v>13315</v>
      </c>
    </row>
    <row r="26" customFormat="false" ht="37.5" hidden="false" customHeight="true" outlineLevel="0" collapsed="false">
      <c r="A26" s="22" t="s">
        <v>13312</v>
      </c>
      <c r="B26" s="22" t="s">
        <v>13329</v>
      </c>
      <c r="C26" s="22" t="s">
        <v>13330</v>
      </c>
      <c r="D26" s="22" t="s">
        <v>13315</v>
      </c>
    </row>
    <row r="27" customFormat="false" ht="37.5" hidden="false" customHeight="true" outlineLevel="0" collapsed="false">
      <c r="A27" s="22" t="s">
        <v>13312</v>
      </c>
      <c r="B27" s="22" t="s">
        <v>13331</v>
      </c>
      <c r="C27" s="22" t="s">
        <v>13332</v>
      </c>
      <c r="D27" s="22" t="s">
        <v>13315</v>
      </c>
    </row>
    <row r="28" customFormat="false" ht="37.5" hidden="false" customHeight="true" outlineLevel="0" collapsed="false">
      <c r="A28" s="22" t="s">
        <v>13333</v>
      </c>
      <c r="B28" s="22" t="s">
        <v>13334</v>
      </c>
      <c r="C28" s="22" t="s">
        <v>13335</v>
      </c>
      <c r="D28" s="22" t="s">
        <v>13336</v>
      </c>
    </row>
    <row r="29" customFormat="false" ht="37.5" hidden="false" customHeight="true" outlineLevel="0" collapsed="false">
      <c r="A29" s="22" t="s">
        <v>13333</v>
      </c>
      <c r="B29" s="22" t="s">
        <v>13337</v>
      </c>
      <c r="C29" s="22" t="s">
        <v>13338</v>
      </c>
      <c r="D29" s="22" t="s">
        <v>13336</v>
      </c>
    </row>
    <row r="30" customFormat="false" ht="37.5" hidden="false" customHeight="true" outlineLevel="0" collapsed="false">
      <c r="A30" s="22" t="s">
        <v>13333</v>
      </c>
      <c r="B30" s="22" t="s">
        <v>13339</v>
      </c>
      <c r="C30" s="22" t="s">
        <v>13340</v>
      </c>
      <c r="D30" s="22" t="s">
        <v>13336</v>
      </c>
    </row>
    <row r="31" customFormat="false" ht="37.5" hidden="false" customHeight="true" outlineLevel="0" collapsed="false">
      <c r="A31" s="22" t="s">
        <v>13333</v>
      </c>
      <c r="B31" s="22" t="s">
        <v>13341</v>
      </c>
      <c r="C31" s="22" t="s">
        <v>13342</v>
      </c>
      <c r="D31" s="22" t="s">
        <v>13336</v>
      </c>
    </row>
    <row r="32" customFormat="false" ht="37.5" hidden="false" customHeight="true" outlineLevel="0" collapsed="false">
      <c r="A32" s="22" t="s">
        <v>13333</v>
      </c>
      <c r="B32" s="22" t="s">
        <v>13343</v>
      </c>
      <c r="C32" s="22" t="s">
        <v>13344</v>
      </c>
      <c r="D32" s="22" t="s">
        <v>13336</v>
      </c>
    </row>
    <row r="33" customFormat="false" ht="37.5" hidden="false" customHeight="true" outlineLevel="0" collapsed="false">
      <c r="A33" s="22" t="s">
        <v>13333</v>
      </c>
      <c r="B33" s="22" t="s">
        <v>13345</v>
      </c>
      <c r="C33" s="22" t="s">
        <v>13346</v>
      </c>
      <c r="D33" s="22" t="s">
        <v>13336</v>
      </c>
    </row>
    <row r="34" customFormat="false" ht="37.5" hidden="false" customHeight="true" outlineLevel="0" collapsed="false">
      <c r="A34" s="22" t="s">
        <v>13347</v>
      </c>
      <c r="B34" s="22" t="s">
        <v>13348</v>
      </c>
      <c r="C34" s="22" t="s">
        <v>13349</v>
      </c>
      <c r="D34" s="22" t="s">
        <v>13350</v>
      </c>
    </row>
    <row r="35" customFormat="false" ht="37.5" hidden="false" customHeight="true" outlineLevel="0" collapsed="false">
      <c r="A35" s="22" t="s">
        <v>13347</v>
      </c>
      <c r="B35" s="22" t="s">
        <v>13351</v>
      </c>
      <c r="C35" s="22" t="s">
        <v>13352</v>
      </c>
      <c r="D35" s="22" t="s">
        <v>13350</v>
      </c>
    </row>
    <row r="36" customFormat="false" ht="37.5" hidden="false" customHeight="true" outlineLevel="0" collapsed="false">
      <c r="A36" s="22" t="s">
        <v>13347</v>
      </c>
      <c r="B36" s="22" t="s">
        <v>13353</v>
      </c>
      <c r="C36" s="22" t="s">
        <v>13354</v>
      </c>
      <c r="D36" s="22" t="s">
        <v>13350</v>
      </c>
    </row>
    <row r="37" customFormat="false" ht="37.5" hidden="false" customHeight="true" outlineLevel="0" collapsed="false">
      <c r="A37" s="22" t="s">
        <v>13347</v>
      </c>
      <c r="B37" s="22" t="s">
        <v>13355</v>
      </c>
      <c r="C37" s="22" t="s">
        <v>13356</v>
      </c>
      <c r="D37" s="22" t="s">
        <v>13350</v>
      </c>
    </row>
    <row r="38" customFormat="false" ht="37.5" hidden="false" customHeight="true" outlineLevel="0" collapsed="false">
      <c r="A38" s="22" t="s">
        <v>13347</v>
      </c>
      <c r="B38" s="22" t="s">
        <v>13357</v>
      </c>
      <c r="C38" s="22" t="s">
        <v>13358</v>
      </c>
      <c r="D38" s="22" t="s">
        <v>13350</v>
      </c>
    </row>
    <row r="39" customFormat="false" ht="37.5" hidden="false" customHeight="true" outlineLevel="0" collapsed="false">
      <c r="A39" s="22" t="s">
        <v>13347</v>
      </c>
      <c r="B39" s="22" t="s">
        <v>13359</v>
      </c>
      <c r="C39" s="22" t="s">
        <v>13360</v>
      </c>
      <c r="D39" s="22" t="s">
        <v>13350</v>
      </c>
    </row>
    <row r="40" customFormat="false" ht="37.5" hidden="false" customHeight="true" outlineLevel="0" collapsed="false">
      <c r="A40" s="22" t="s">
        <v>13347</v>
      </c>
      <c r="B40" s="22" t="s">
        <v>13331</v>
      </c>
      <c r="C40" s="22" t="s">
        <v>13361</v>
      </c>
      <c r="D40" s="22" t="s">
        <v>13350</v>
      </c>
    </row>
    <row r="41" customFormat="false" ht="37.5" hidden="false" customHeight="true" outlineLevel="0" collapsed="false">
      <c r="A41" s="22" t="s">
        <v>13362</v>
      </c>
      <c r="B41" s="22" t="s">
        <v>13363</v>
      </c>
      <c r="C41" s="22" t="s">
        <v>13364</v>
      </c>
      <c r="D41" s="22" t="s">
        <v>13365</v>
      </c>
    </row>
    <row r="42" customFormat="false" ht="37.5" hidden="false" customHeight="true" outlineLevel="0" collapsed="false">
      <c r="A42" s="22" t="s">
        <v>13362</v>
      </c>
      <c r="B42" s="22" t="s">
        <v>13366</v>
      </c>
      <c r="C42" s="22" t="s">
        <v>13367</v>
      </c>
      <c r="D42" s="22" t="s">
        <v>13365</v>
      </c>
    </row>
    <row r="43" customFormat="false" ht="37.5" hidden="false" customHeight="true" outlineLevel="0" collapsed="false">
      <c r="A43" s="22" t="s">
        <v>13362</v>
      </c>
      <c r="B43" s="22" t="s">
        <v>13368</v>
      </c>
      <c r="C43" s="22" t="s">
        <v>13369</v>
      </c>
      <c r="D43" s="22" t="s">
        <v>13365</v>
      </c>
    </row>
    <row r="44" customFormat="false" ht="37.5" hidden="false" customHeight="true" outlineLevel="0" collapsed="false">
      <c r="A44" s="22" t="s">
        <v>13362</v>
      </c>
      <c r="B44" s="22" t="s">
        <v>13370</v>
      </c>
      <c r="C44" s="22" t="s">
        <v>13371</v>
      </c>
      <c r="D44" s="22" t="s">
        <v>13365</v>
      </c>
    </row>
    <row r="45" customFormat="false" ht="37.5" hidden="false" customHeight="true" outlineLevel="0" collapsed="false">
      <c r="A45" s="22" t="s">
        <v>13362</v>
      </c>
      <c r="B45" s="22" t="s">
        <v>13372</v>
      </c>
      <c r="C45" s="22" t="s">
        <v>13373</v>
      </c>
      <c r="D45" s="22" t="s">
        <v>13365</v>
      </c>
    </row>
    <row r="46" customFormat="false" ht="37.5" hidden="false" customHeight="true" outlineLevel="0" collapsed="false">
      <c r="A46" s="22" t="s">
        <v>13362</v>
      </c>
      <c r="B46" s="22" t="s">
        <v>13374</v>
      </c>
      <c r="C46" s="22" t="s">
        <v>13375</v>
      </c>
      <c r="D46" s="22" t="s">
        <v>13365</v>
      </c>
    </row>
    <row r="47" customFormat="false" ht="37.5" hidden="false" customHeight="true" outlineLevel="0" collapsed="false">
      <c r="A47" s="22" t="s">
        <v>13362</v>
      </c>
      <c r="B47" s="22" t="s">
        <v>13376</v>
      </c>
      <c r="C47" s="22" t="s">
        <v>13377</v>
      </c>
      <c r="D47" s="22" t="s">
        <v>13365</v>
      </c>
    </row>
    <row r="48" customFormat="false" ht="37.5" hidden="false" customHeight="true" outlineLevel="0" collapsed="false">
      <c r="A48" s="22" t="s">
        <v>13362</v>
      </c>
      <c r="B48" s="22" t="s">
        <v>13378</v>
      </c>
      <c r="C48" s="22" t="s">
        <v>13379</v>
      </c>
      <c r="D48" s="22" t="s">
        <v>13365</v>
      </c>
    </row>
    <row r="49" customFormat="false" ht="37.5" hidden="false" customHeight="true" outlineLevel="0" collapsed="false">
      <c r="A49" s="22" t="s">
        <v>13362</v>
      </c>
      <c r="B49" s="22" t="s">
        <v>13380</v>
      </c>
      <c r="C49" s="22" t="s">
        <v>13381</v>
      </c>
      <c r="D49" s="22" t="s">
        <v>13365</v>
      </c>
    </row>
    <row r="50" customFormat="false" ht="37.5" hidden="false" customHeight="true" outlineLevel="0" collapsed="false">
      <c r="A50" s="22" t="s">
        <v>13362</v>
      </c>
      <c r="B50" s="22" t="s">
        <v>2596</v>
      </c>
      <c r="C50" s="22" t="s">
        <v>13382</v>
      </c>
      <c r="D50" s="22" t="s">
        <v>13365</v>
      </c>
    </row>
    <row r="51" customFormat="false" ht="37.5" hidden="false" customHeight="true" outlineLevel="0" collapsed="false">
      <c r="A51" s="22" t="s">
        <v>13362</v>
      </c>
      <c r="B51" s="22" t="s">
        <v>13383</v>
      </c>
      <c r="C51" s="22" t="s">
        <v>13384</v>
      </c>
      <c r="D51" s="22" t="s">
        <v>13365</v>
      </c>
    </row>
    <row r="52" customFormat="false" ht="37.5" hidden="false" customHeight="true" outlineLevel="0" collapsed="false">
      <c r="A52" s="22" t="s">
        <v>13362</v>
      </c>
      <c r="B52" s="22" t="s">
        <v>13385</v>
      </c>
      <c r="C52" s="22" t="s">
        <v>13386</v>
      </c>
      <c r="D52" s="22" t="s">
        <v>13365</v>
      </c>
    </row>
    <row r="53" customFormat="false" ht="37.5" hidden="false" customHeight="true" outlineLevel="0" collapsed="false">
      <c r="A53" s="22" t="s">
        <v>13362</v>
      </c>
      <c r="B53" s="22" t="s">
        <v>13387</v>
      </c>
      <c r="C53" s="22" t="s">
        <v>13388</v>
      </c>
      <c r="D53" s="22" t="s">
        <v>13365</v>
      </c>
    </row>
    <row r="54" customFormat="false" ht="37.5" hidden="false" customHeight="true" outlineLevel="0" collapsed="false">
      <c r="A54" s="22" t="s">
        <v>13362</v>
      </c>
      <c r="B54" s="22" t="s">
        <v>13389</v>
      </c>
      <c r="C54" s="22" t="s">
        <v>13390</v>
      </c>
      <c r="D54" s="22" t="s">
        <v>13365</v>
      </c>
    </row>
    <row r="55" customFormat="false" ht="37.5" hidden="false" customHeight="true" outlineLevel="0" collapsed="false">
      <c r="A55" s="22" t="s">
        <v>13362</v>
      </c>
      <c r="B55" s="22" t="s">
        <v>13391</v>
      </c>
      <c r="C55" s="22" t="s">
        <v>13392</v>
      </c>
      <c r="D55" s="22" t="s">
        <v>13365</v>
      </c>
    </row>
    <row r="56" customFormat="false" ht="37.5" hidden="false" customHeight="true" outlineLevel="0" collapsed="false">
      <c r="A56" s="22" t="s">
        <v>13393</v>
      </c>
      <c r="B56" s="22" t="s">
        <v>80</v>
      </c>
      <c r="C56" s="22" t="s">
        <v>13394</v>
      </c>
      <c r="D56" s="22" t="s">
        <v>13395</v>
      </c>
    </row>
    <row r="57" customFormat="false" ht="37.5" hidden="false" customHeight="true" outlineLevel="0" collapsed="false">
      <c r="A57" s="22" t="s">
        <v>13393</v>
      </c>
      <c r="B57" s="22" t="s">
        <v>82</v>
      </c>
      <c r="C57" s="22" t="s">
        <v>13396</v>
      </c>
      <c r="D57" s="22" t="s">
        <v>13395</v>
      </c>
    </row>
    <row r="58" customFormat="false" ht="37.5" hidden="false" customHeight="true" outlineLevel="0" collapsed="false">
      <c r="A58" s="22" t="s">
        <v>13393</v>
      </c>
      <c r="B58" s="22" t="s">
        <v>96</v>
      </c>
      <c r="C58" s="22" t="s">
        <v>13397</v>
      </c>
      <c r="D58" s="22" t="s">
        <v>13395</v>
      </c>
    </row>
    <row r="59" customFormat="false" ht="37.5" hidden="false" customHeight="true" outlineLevel="0" collapsed="false">
      <c r="A59" s="22" t="s">
        <v>13393</v>
      </c>
      <c r="B59" s="22" t="s">
        <v>98</v>
      </c>
      <c r="C59" s="22" t="s">
        <v>13398</v>
      </c>
      <c r="D59" s="22" t="s">
        <v>13395</v>
      </c>
    </row>
    <row r="60" customFormat="false" ht="37.5" hidden="false" customHeight="true" outlineLevel="0" collapsed="false">
      <c r="A60" s="22" t="s">
        <v>13393</v>
      </c>
      <c r="B60" s="22" t="s">
        <v>106</v>
      </c>
      <c r="C60" s="22" t="s">
        <v>13399</v>
      </c>
      <c r="D60" s="22" t="s">
        <v>13395</v>
      </c>
    </row>
    <row r="61" customFormat="false" ht="37.5" hidden="false" customHeight="true" outlineLevel="0" collapsed="false">
      <c r="A61" s="22" t="s">
        <v>13393</v>
      </c>
      <c r="B61" s="22" t="s">
        <v>104</v>
      </c>
      <c r="C61" s="22" t="s">
        <v>13400</v>
      </c>
      <c r="D61" s="22" t="s">
        <v>13395</v>
      </c>
    </row>
    <row r="62" customFormat="false" ht="37.5" hidden="false" customHeight="true" outlineLevel="0" collapsed="false">
      <c r="A62" s="22" t="s">
        <v>13393</v>
      </c>
      <c r="B62" s="22" t="s">
        <v>94</v>
      </c>
      <c r="C62" s="22" t="s">
        <v>13401</v>
      </c>
      <c r="D62" s="22" t="s">
        <v>13395</v>
      </c>
    </row>
    <row r="63" customFormat="false" ht="37.5" hidden="false" customHeight="true" outlineLevel="0" collapsed="false">
      <c r="A63" s="22" t="s">
        <v>13393</v>
      </c>
      <c r="B63" s="22" t="s">
        <v>84</v>
      </c>
      <c r="C63" s="22" t="s">
        <v>13402</v>
      </c>
      <c r="D63" s="22" t="s">
        <v>13395</v>
      </c>
    </row>
    <row r="64" customFormat="false" ht="37.5" hidden="false" customHeight="true" outlineLevel="0" collapsed="false">
      <c r="A64" s="22" t="s">
        <v>13393</v>
      </c>
      <c r="B64" s="22" t="s">
        <v>86</v>
      </c>
      <c r="C64" s="22" t="s">
        <v>13403</v>
      </c>
      <c r="D64" s="22" t="s">
        <v>13395</v>
      </c>
    </row>
    <row r="65" customFormat="false" ht="37.5" hidden="false" customHeight="true" outlineLevel="0" collapsed="false">
      <c r="A65" s="22" t="s">
        <v>13393</v>
      </c>
      <c r="B65" s="22" t="s">
        <v>88</v>
      </c>
      <c r="C65" s="22" t="s">
        <v>13404</v>
      </c>
      <c r="D65" s="22" t="s">
        <v>13395</v>
      </c>
    </row>
    <row r="66" customFormat="false" ht="37.5" hidden="false" customHeight="true" outlineLevel="0" collapsed="false">
      <c r="A66" s="22" t="s">
        <v>13393</v>
      </c>
      <c r="B66" s="22" t="s">
        <v>90</v>
      </c>
      <c r="C66" s="22" t="s">
        <v>13405</v>
      </c>
      <c r="D66" s="22" t="s">
        <v>13395</v>
      </c>
    </row>
    <row r="67" customFormat="false" ht="37.5" hidden="false" customHeight="true" outlineLevel="0" collapsed="false">
      <c r="A67" s="22" t="s">
        <v>13393</v>
      </c>
      <c r="B67" s="22" t="s">
        <v>92</v>
      </c>
      <c r="C67" s="22" t="s">
        <v>13406</v>
      </c>
      <c r="D67" s="22" t="s">
        <v>13395</v>
      </c>
    </row>
    <row r="68" customFormat="false" ht="37.5" hidden="false" customHeight="true" outlineLevel="0" collapsed="false">
      <c r="A68" s="22" t="s">
        <v>13393</v>
      </c>
      <c r="B68" s="22" t="s">
        <v>108</v>
      </c>
      <c r="C68" s="22" t="s">
        <v>13407</v>
      </c>
      <c r="D68" s="22" t="s">
        <v>13395</v>
      </c>
    </row>
    <row r="69" customFormat="false" ht="37.5" hidden="false" customHeight="true" outlineLevel="0" collapsed="false">
      <c r="A69" s="22" t="s">
        <v>13393</v>
      </c>
      <c r="B69" s="22" t="s">
        <v>100</v>
      </c>
      <c r="C69" s="22" t="s">
        <v>13408</v>
      </c>
      <c r="D69" s="22" t="s">
        <v>13395</v>
      </c>
    </row>
    <row r="70" customFormat="false" ht="37.5" hidden="false" customHeight="true" outlineLevel="0" collapsed="false">
      <c r="A70" s="22" t="s">
        <v>13393</v>
      </c>
      <c r="B70" s="22" t="s">
        <v>102</v>
      </c>
      <c r="C70" s="22" t="s">
        <v>13409</v>
      </c>
      <c r="D70" s="22" t="s">
        <v>13395</v>
      </c>
    </row>
    <row r="71" customFormat="false" ht="37.5" hidden="false" customHeight="true" outlineLevel="0" collapsed="false">
      <c r="A71" s="22" t="s">
        <v>13393</v>
      </c>
      <c r="B71" s="22" t="s">
        <v>13410</v>
      </c>
      <c r="C71" s="22" t="s">
        <v>13411</v>
      </c>
      <c r="D71" s="22" t="s">
        <v>13395</v>
      </c>
    </row>
    <row r="72" customFormat="false" ht="37.5" hidden="false" customHeight="true" outlineLevel="0" collapsed="false">
      <c r="A72" s="22" t="s">
        <v>13393</v>
      </c>
      <c r="B72" s="22" t="s">
        <v>110</v>
      </c>
      <c r="C72" s="22" t="s">
        <v>13412</v>
      </c>
      <c r="D72" s="22" t="s">
        <v>13395</v>
      </c>
    </row>
    <row r="73" customFormat="false" ht="37.5" hidden="false" customHeight="true" outlineLevel="0" collapsed="false">
      <c r="A73" s="22" t="s">
        <v>13393</v>
      </c>
      <c r="B73" s="22" t="s">
        <v>112</v>
      </c>
      <c r="C73" s="22" t="s">
        <v>13413</v>
      </c>
      <c r="D73" s="22" t="s">
        <v>13395</v>
      </c>
    </row>
    <row r="74" customFormat="false" ht="37.5" hidden="false" customHeight="true" outlineLevel="0" collapsed="false">
      <c r="A74" s="22" t="s">
        <v>9948</v>
      </c>
      <c r="B74" s="22" t="s">
        <v>9960</v>
      </c>
      <c r="C74" s="22" t="s">
        <v>13414</v>
      </c>
      <c r="D74" s="22" t="s">
        <v>13415</v>
      </c>
    </row>
    <row r="75" customFormat="false" ht="37.5" hidden="false" customHeight="true" outlineLevel="0" collapsed="false">
      <c r="A75" s="22" t="s">
        <v>9948</v>
      </c>
      <c r="B75" s="22" t="s">
        <v>10888</v>
      </c>
      <c r="C75" s="22" t="s">
        <v>13416</v>
      </c>
      <c r="D75" s="22" t="s">
        <v>13415</v>
      </c>
    </row>
    <row r="76" customFormat="false" ht="37.5" hidden="false" customHeight="true" outlineLevel="0" collapsed="false">
      <c r="A76" s="22" t="s">
        <v>9948</v>
      </c>
      <c r="B76" s="22" t="s">
        <v>12886</v>
      </c>
      <c r="C76" s="22" t="s">
        <v>13417</v>
      </c>
      <c r="D76" s="22" t="s">
        <v>13415</v>
      </c>
    </row>
    <row r="77" customFormat="false" ht="37.5" hidden="false" customHeight="true" outlineLevel="0" collapsed="false">
      <c r="A77" s="22" t="s">
        <v>9948</v>
      </c>
      <c r="B77" s="22" t="s">
        <v>13418</v>
      </c>
      <c r="C77" s="22" t="s">
        <v>13419</v>
      </c>
      <c r="D77" s="22" t="s">
        <v>13415</v>
      </c>
    </row>
    <row r="78" customFormat="false" ht="37.5" hidden="false" customHeight="true" outlineLevel="0" collapsed="false">
      <c r="A78" s="22" t="s">
        <v>9948</v>
      </c>
      <c r="B78" s="22" t="s">
        <v>13420</v>
      </c>
      <c r="C78" s="22" t="s">
        <v>13421</v>
      </c>
      <c r="D78" s="22" t="s">
        <v>13415</v>
      </c>
    </row>
    <row r="79" customFormat="false" ht="37.5" hidden="false" customHeight="true" outlineLevel="0" collapsed="false">
      <c r="A79" s="22" t="s">
        <v>9948</v>
      </c>
      <c r="B79" s="22" t="s">
        <v>13422</v>
      </c>
      <c r="C79" s="22" t="s">
        <v>13423</v>
      </c>
      <c r="D79" s="22" t="s">
        <v>13415</v>
      </c>
    </row>
    <row r="80" customFormat="false" ht="37.5" hidden="false" customHeight="true" outlineLevel="0" collapsed="false">
      <c r="A80" s="22" t="s">
        <v>9948</v>
      </c>
      <c r="B80" s="22" t="s">
        <v>13424</v>
      </c>
      <c r="C80" s="22" t="s">
        <v>13425</v>
      </c>
      <c r="D80" s="22" t="s">
        <v>13415</v>
      </c>
    </row>
    <row r="81" customFormat="false" ht="37.5" hidden="false" customHeight="true" outlineLevel="0" collapsed="false">
      <c r="A81" s="22" t="s">
        <v>9948</v>
      </c>
      <c r="B81" s="22" t="s">
        <v>13426</v>
      </c>
      <c r="C81" s="22" t="s">
        <v>13427</v>
      </c>
      <c r="D81" s="22" t="s">
        <v>13415</v>
      </c>
    </row>
    <row r="82" customFormat="false" ht="37.5" hidden="false" customHeight="true" outlineLevel="0" collapsed="false">
      <c r="A82" s="22" t="s">
        <v>9949</v>
      </c>
      <c r="B82" s="22" t="s">
        <v>10137</v>
      </c>
      <c r="C82" s="22" t="s">
        <v>13428</v>
      </c>
      <c r="D82" s="22" t="s">
        <v>13429</v>
      </c>
    </row>
    <row r="83" customFormat="false" ht="37.5" hidden="false" customHeight="true" outlineLevel="0" collapsed="false">
      <c r="A83" s="22" t="s">
        <v>9949</v>
      </c>
      <c r="B83" s="22" t="s">
        <v>9961</v>
      </c>
      <c r="C83" s="22" t="s">
        <v>13430</v>
      </c>
      <c r="D83" s="22" t="s">
        <v>13429</v>
      </c>
    </row>
    <row r="84" customFormat="false" ht="37.5" hidden="false" customHeight="true" outlineLevel="0" collapsed="false">
      <c r="A84" s="22" t="s">
        <v>9949</v>
      </c>
      <c r="B84" s="22" t="s">
        <v>10889</v>
      </c>
      <c r="C84" s="22" t="s">
        <v>13431</v>
      </c>
      <c r="D84" s="22" t="s">
        <v>13429</v>
      </c>
    </row>
    <row r="85" customFormat="false" ht="37.5" hidden="false" customHeight="true" outlineLevel="0" collapsed="false">
      <c r="A85" s="22" t="s">
        <v>9949</v>
      </c>
      <c r="B85" s="22" t="s">
        <v>13432</v>
      </c>
      <c r="C85" s="22" t="s">
        <v>13433</v>
      </c>
      <c r="D85" s="22" t="s">
        <v>13429</v>
      </c>
    </row>
    <row r="86" customFormat="false" ht="37.5" hidden="false" customHeight="true" outlineLevel="0" collapsed="false">
      <c r="A86" s="22" t="s">
        <v>9949</v>
      </c>
      <c r="B86" s="22" t="s">
        <v>13434</v>
      </c>
      <c r="C86" s="22" t="s">
        <v>13435</v>
      </c>
      <c r="D86" s="22" t="s">
        <v>13429</v>
      </c>
    </row>
    <row r="87" customFormat="false" ht="37.5" hidden="false" customHeight="true" outlineLevel="0" collapsed="false">
      <c r="A87" s="22" t="s">
        <v>9951</v>
      </c>
      <c r="B87" s="22" t="s">
        <v>5176</v>
      </c>
      <c r="C87" s="22" t="s">
        <v>13436</v>
      </c>
      <c r="D87" s="22" t="s">
        <v>13437</v>
      </c>
    </row>
    <row r="88" customFormat="false" ht="37.5" hidden="false" customHeight="true" outlineLevel="0" collapsed="false">
      <c r="A88" s="22" t="s">
        <v>9951</v>
      </c>
      <c r="B88" s="22" t="s">
        <v>9963</v>
      </c>
      <c r="C88" s="22" t="s">
        <v>13438</v>
      </c>
      <c r="D88" s="22" t="s">
        <v>13437</v>
      </c>
    </row>
    <row r="89" customFormat="false" ht="37.5" hidden="false" customHeight="true" outlineLevel="0" collapsed="false">
      <c r="A89" s="22" t="s">
        <v>9951</v>
      </c>
      <c r="B89" s="22" t="s">
        <v>13439</v>
      </c>
      <c r="C89" s="22" t="s">
        <v>13440</v>
      </c>
      <c r="D89" s="22" t="s">
        <v>13437</v>
      </c>
    </row>
    <row r="90" customFormat="false" ht="37.5" hidden="false" customHeight="true" outlineLevel="0" collapsed="false">
      <c r="A90" s="22" t="s">
        <v>9951</v>
      </c>
      <c r="B90" s="22" t="s">
        <v>13441</v>
      </c>
      <c r="C90" s="22" t="s">
        <v>13442</v>
      </c>
      <c r="D90" s="22" t="s">
        <v>13437</v>
      </c>
    </row>
    <row r="91" customFormat="false" ht="37.5" hidden="false" customHeight="true" outlineLevel="0" collapsed="false">
      <c r="A91" s="22" t="s">
        <v>9951</v>
      </c>
      <c r="B91" s="22" t="s">
        <v>13443</v>
      </c>
      <c r="C91" s="22" t="s">
        <v>13444</v>
      </c>
      <c r="D91" s="22" t="s">
        <v>13437</v>
      </c>
    </row>
    <row r="92" customFormat="false" ht="37.5" hidden="false" customHeight="true" outlineLevel="0" collapsed="false">
      <c r="A92" s="22" t="s">
        <v>1575</v>
      </c>
      <c r="B92" s="22" t="s">
        <v>8275</v>
      </c>
      <c r="C92" s="22" t="s">
        <v>13445</v>
      </c>
      <c r="D92" s="22" t="s">
        <v>13446</v>
      </c>
    </row>
    <row r="93" customFormat="false" ht="37.5" hidden="false" customHeight="true" outlineLevel="0" collapsed="false">
      <c r="A93" s="22" t="s">
        <v>1575</v>
      </c>
      <c r="B93" s="22" t="s">
        <v>13447</v>
      </c>
      <c r="C93" s="22" t="s">
        <v>13448</v>
      </c>
      <c r="D93" s="22" t="s">
        <v>13446</v>
      </c>
    </row>
    <row r="94" customFormat="false" ht="37.5" hidden="false" customHeight="true" outlineLevel="0" collapsed="false">
      <c r="A94" s="22" t="s">
        <v>1575</v>
      </c>
      <c r="B94" s="22" t="s">
        <v>8721</v>
      </c>
      <c r="C94" s="22" t="s">
        <v>13449</v>
      </c>
      <c r="D94" s="22" t="s">
        <v>13446</v>
      </c>
    </row>
    <row r="95" customFormat="false" ht="37.5" hidden="false" customHeight="true" outlineLevel="0" collapsed="false">
      <c r="A95" s="22" t="s">
        <v>1575</v>
      </c>
      <c r="B95" s="22" t="s">
        <v>13450</v>
      </c>
      <c r="C95" s="22" t="s">
        <v>13451</v>
      </c>
      <c r="D95" s="22" t="s">
        <v>13446</v>
      </c>
    </row>
    <row r="96" customFormat="false" ht="37.5" hidden="false" customHeight="true" outlineLevel="0" collapsed="false">
      <c r="A96" s="22" t="s">
        <v>1575</v>
      </c>
      <c r="B96" s="22" t="s">
        <v>13452</v>
      </c>
      <c r="C96" s="22" t="s">
        <v>13453</v>
      </c>
      <c r="D96" s="22" t="s">
        <v>13446</v>
      </c>
    </row>
    <row r="97" customFormat="false" ht="37.5" hidden="false" customHeight="true" outlineLevel="0" collapsed="false">
      <c r="A97" s="22" t="s">
        <v>1575</v>
      </c>
      <c r="B97" s="22" t="s">
        <v>13454</v>
      </c>
      <c r="C97" s="22" t="s">
        <v>13455</v>
      </c>
      <c r="D97" s="22" t="s">
        <v>13446</v>
      </c>
    </row>
    <row r="98" customFormat="false" ht="37.5" hidden="false" customHeight="true" outlineLevel="0" collapsed="false">
      <c r="A98" s="22" t="s">
        <v>1575</v>
      </c>
      <c r="B98" s="22" t="s">
        <v>13456</v>
      </c>
      <c r="C98" s="22" t="s">
        <v>13457</v>
      </c>
      <c r="D98" s="22" t="s">
        <v>13446</v>
      </c>
    </row>
    <row r="99" customFormat="false" ht="37.5" hidden="false" customHeight="true" outlineLevel="0" collapsed="false">
      <c r="A99" s="22" t="s">
        <v>1575</v>
      </c>
      <c r="B99" s="22" t="s">
        <v>13458</v>
      </c>
      <c r="C99" s="22" t="s">
        <v>13459</v>
      </c>
      <c r="D99" s="22" t="s">
        <v>13446</v>
      </c>
    </row>
    <row r="100" customFormat="false" ht="37.5" hidden="false" customHeight="true" outlineLevel="0" collapsed="false">
      <c r="A100" s="22" t="s">
        <v>1575</v>
      </c>
      <c r="B100" s="22" t="s">
        <v>13460</v>
      </c>
      <c r="C100" s="22" t="s">
        <v>13461</v>
      </c>
      <c r="D100" s="22" t="s">
        <v>13446</v>
      </c>
    </row>
    <row r="101" customFormat="false" ht="37.5" hidden="false" customHeight="true" outlineLevel="0" collapsed="false">
      <c r="A101" s="22" t="s">
        <v>1575</v>
      </c>
      <c r="B101" s="22" t="s">
        <v>13462</v>
      </c>
      <c r="C101" s="22" t="s">
        <v>13463</v>
      </c>
      <c r="D101" s="22" t="s">
        <v>13446</v>
      </c>
    </row>
    <row r="102" customFormat="false" ht="37.5" hidden="false" customHeight="true" outlineLevel="0" collapsed="false">
      <c r="A102" s="22" t="s">
        <v>1575</v>
      </c>
      <c r="B102" s="22" t="s">
        <v>9713</v>
      </c>
      <c r="C102" s="22" t="s">
        <v>13464</v>
      </c>
      <c r="D102" s="22" t="s">
        <v>13446</v>
      </c>
    </row>
    <row r="103" customFormat="false" ht="37.5" hidden="false" customHeight="true" outlineLevel="0" collapsed="false">
      <c r="A103" s="22" t="s">
        <v>1575</v>
      </c>
      <c r="B103" s="22" t="s">
        <v>9818</v>
      </c>
      <c r="C103" s="22" t="s">
        <v>13465</v>
      </c>
      <c r="D103" s="22" t="s">
        <v>13446</v>
      </c>
    </row>
    <row r="104" customFormat="false" ht="37.5" hidden="false" customHeight="true" outlineLevel="0" collapsed="false">
      <c r="A104" s="22" t="s">
        <v>1575</v>
      </c>
      <c r="B104" s="22" t="s">
        <v>13466</v>
      </c>
      <c r="C104" s="22" t="s">
        <v>13467</v>
      </c>
      <c r="D104" s="22" t="s">
        <v>13446</v>
      </c>
    </row>
    <row r="105" customFormat="false" ht="37.5" hidden="false" customHeight="true" outlineLevel="0" collapsed="false">
      <c r="A105" s="22" t="s">
        <v>179</v>
      </c>
      <c r="B105" s="22" t="s">
        <v>185</v>
      </c>
      <c r="C105" s="22" t="s">
        <v>13468</v>
      </c>
      <c r="D105" s="22" t="s">
        <v>13469</v>
      </c>
    </row>
    <row r="106" customFormat="false" ht="37.5" hidden="false" customHeight="true" outlineLevel="0" collapsed="false">
      <c r="A106" s="22" t="s">
        <v>179</v>
      </c>
      <c r="B106" s="22" t="s">
        <v>206</v>
      </c>
      <c r="C106" s="22" t="s">
        <v>13470</v>
      </c>
      <c r="D106" s="22" t="s">
        <v>13471</v>
      </c>
    </row>
    <row r="107" customFormat="false" ht="37.5" hidden="false" customHeight="true" outlineLevel="0" collapsed="false">
      <c r="A107" s="22" t="s">
        <v>179</v>
      </c>
      <c r="B107" s="22" t="s">
        <v>253</v>
      </c>
      <c r="C107" s="22" t="s">
        <v>13472</v>
      </c>
      <c r="D107" s="22" t="s">
        <v>13473</v>
      </c>
    </row>
    <row r="108" customFormat="false" ht="37.5" hidden="false" customHeight="true" outlineLevel="0" collapsed="false">
      <c r="A108" s="22" t="s">
        <v>179</v>
      </c>
      <c r="B108" s="22" t="s">
        <v>13443</v>
      </c>
      <c r="C108" s="22" t="s">
        <v>13474</v>
      </c>
      <c r="D108" s="22" t="s">
        <v>13475</v>
      </c>
    </row>
    <row r="109" customFormat="false" ht="37.5" hidden="false" customHeight="true" outlineLevel="0" collapsed="false">
      <c r="A109" s="30" t="s">
        <v>13279</v>
      </c>
      <c r="B109" s="31" t="s">
        <v>13476</v>
      </c>
      <c r="C109" s="31" t="s">
        <v>13477</v>
      </c>
      <c r="D109" s="31" t="s">
        <v>13478</v>
      </c>
    </row>
    <row r="110" customFormat="false" ht="37.5" hidden="false" customHeight="true" outlineLevel="0" collapsed="false">
      <c r="A110" s="30" t="s">
        <v>13279</v>
      </c>
      <c r="B110" s="31" t="s">
        <v>13479</v>
      </c>
      <c r="C110" s="31" t="s">
        <v>13480</v>
      </c>
      <c r="D110" s="31" t="s">
        <v>13481</v>
      </c>
    </row>
    <row r="111" customFormat="false" ht="37.5" hidden="false" customHeight="true" outlineLevel="0" collapsed="false">
      <c r="A111" s="30" t="s">
        <v>13279</v>
      </c>
      <c r="B111" s="31" t="s">
        <v>13482</v>
      </c>
      <c r="C111" s="31" t="s">
        <v>13483</v>
      </c>
      <c r="D111" s="31" t="s">
        <v>13484</v>
      </c>
    </row>
    <row r="112" customFormat="false" ht="37.5" hidden="false" customHeight="true" outlineLevel="0" collapsed="false">
      <c r="A112" s="30" t="s">
        <v>13279</v>
      </c>
      <c r="B112" s="31" t="s">
        <v>13485</v>
      </c>
      <c r="C112" s="31" t="s">
        <v>13486</v>
      </c>
      <c r="D112" s="31" t="s">
        <v>13487</v>
      </c>
    </row>
    <row r="113" customFormat="false" ht="37.5" hidden="false" customHeight="true" outlineLevel="0" collapsed="false">
      <c r="A113" s="30" t="s">
        <v>13279</v>
      </c>
      <c r="B113" s="31" t="s">
        <v>13488</v>
      </c>
      <c r="C113" s="31" t="s">
        <v>13489</v>
      </c>
      <c r="D113" s="31" t="s">
        <v>13490</v>
      </c>
    </row>
    <row r="114" customFormat="false" ht="37.5" hidden="false" customHeight="true" outlineLevel="0" collapsed="false">
      <c r="A114" s="30" t="s">
        <v>13279</v>
      </c>
      <c r="B114" s="31" t="s">
        <v>13491</v>
      </c>
      <c r="C114" s="31" t="s">
        <v>13492</v>
      </c>
      <c r="D114" s="31" t="s">
        <v>13493</v>
      </c>
    </row>
    <row r="115" customFormat="false" ht="37.5" hidden="false" customHeight="true" outlineLevel="0" collapsed="false">
      <c r="A115" s="30" t="s">
        <v>13279</v>
      </c>
      <c r="B115" s="31" t="s">
        <v>13494</v>
      </c>
      <c r="C115" s="31" t="s">
        <v>13495</v>
      </c>
      <c r="D115" s="31" t="s">
        <v>13496</v>
      </c>
    </row>
    <row r="116" customFormat="false" ht="37.5" hidden="false" customHeight="true" outlineLevel="0" collapsed="false">
      <c r="A116" s="30" t="s">
        <v>13362</v>
      </c>
      <c r="B116" s="31" t="s">
        <v>13497</v>
      </c>
      <c r="C116" s="31" t="s">
        <v>13498</v>
      </c>
      <c r="D116" s="31" t="s">
        <v>13499</v>
      </c>
    </row>
    <row r="117" customFormat="false" ht="37.5" hidden="false" customHeight="true" outlineLevel="0" collapsed="false">
      <c r="A117" s="30" t="s">
        <v>13362</v>
      </c>
      <c r="B117" s="31" t="s">
        <v>13500</v>
      </c>
      <c r="C117" s="31" t="s">
        <v>13501</v>
      </c>
      <c r="D117" s="31" t="s">
        <v>13502</v>
      </c>
    </row>
    <row r="118" customFormat="false" ht="37.5" hidden="false" customHeight="true" outlineLevel="0" collapsed="false">
      <c r="A118" s="30" t="s">
        <v>13362</v>
      </c>
      <c r="B118" s="31" t="s">
        <v>13503</v>
      </c>
      <c r="C118" s="31" t="s">
        <v>13504</v>
      </c>
      <c r="D118" s="31" t="s">
        <v>13505</v>
      </c>
    </row>
    <row r="119" customFormat="false" ht="37.5" hidden="false" customHeight="true" outlineLevel="0" collapsed="false">
      <c r="A119" s="30" t="s">
        <v>13362</v>
      </c>
      <c r="B119" s="31" t="s">
        <v>13506</v>
      </c>
      <c r="C119" s="31" t="s">
        <v>13507</v>
      </c>
      <c r="D119" s="31" t="s">
        <v>13508</v>
      </c>
    </row>
    <row r="120" customFormat="false" ht="37.5" hidden="false" customHeight="true" outlineLevel="0" collapsed="false">
      <c r="A120" s="30" t="s">
        <v>13362</v>
      </c>
      <c r="B120" s="31" t="s">
        <v>13509</v>
      </c>
      <c r="C120" s="31" t="s">
        <v>13510</v>
      </c>
      <c r="D120" s="31" t="s">
        <v>13511</v>
      </c>
    </row>
    <row r="121" customFormat="false" ht="37.5" hidden="false" customHeight="true" outlineLevel="0" collapsed="false">
      <c r="A121" s="30" t="s">
        <v>13512</v>
      </c>
      <c r="B121" s="31" t="s">
        <v>13513</v>
      </c>
      <c r="C121" s="31" t="s">
        <v>13514</v>
      </c>
      <c r="D121" s="31" t="s">
        <v>13515</v>
      </c>
    </row>
    <row r="122" customFormat="false" ht="37.5" hidden="false" customHeight="true" outlineLevel="0" collapsed="false">
      <c r="A122" s="30" t="s">
        <v>13512</v>
      </c>
      <c r="B122" s="31" t="s">
        <v>13516</v>
      </c>
      <c r="C122" s="31" t="s">
        <v>13517</v>
      </c>
      <c r="D122" s="31" t="s">
        <v>13515</v>
      </c>
    </row>
    <row r="123" customFormat="false" ht="37.5" hidden="false" customHeight="true" outlineLevel="0" collapsed="false">
      <c r="A123" s="30" t="s">
        <v>13512</v>
      </c>
      <c r="B123" s="31" t="s">
        <v>13518</v>
      </c>
      <c r="C123" s="31" t="s">
        <v>13519</v>
      </c>
      <c r="D123" s="31" t="s">
        <v>13515</v>
      </c>
    </row>
    <row r="124" customFormat="false" ht="37.5" hidden="false" customHeight="true" outlineLevel="0" collapsed="false">
      <c r="A124" s="30" t="s">
        <v>13512</v>
      </c>
      <c r="B124" s="31" t="s">
        <v>13520</v>
      </c>
      <c r="C124" s="31" t="s">
        <v>13521</v>
      </c>
      <c r="D124" s="31" t="s">
        <v>13515</v>
      </c>
    </row>
    <row r="125" customFormat="false" ht="37.5" hidden="false" customHeight="true" outlineLevel="0" collapsed="false">
      <c r="A125" s="30" t="s">
        <v>13512</v>
      </c>
      <c r="B125" s="31" t="s">
        <v>13522</v>
      </c>
      <c r="C125" s="31" t="s">
        <v>13523</v>
      </c>
      <c r="D125" s="31" t="s">
        <v>13515</v>
      </c>
    </row>
    <row r="126" customFormat="false" ht="37.5" hidden="false" customHeight="true" outlineLevel="0" collapsed="false">
      <c r="A126" s="30" t="s">
        <v>13512</v>
      </c>
      <c r="B126" s="31" t="s">
        <v>13524</v>
      </c>
      <c r="C126" s="31" t="s">
        <v>13525</v>
      </c>
      <c r="D126" s="31" t="s">
        <v>13515</v>
      </c>
    </row>
    <row r="127" customFormat="false" ht="37.5" hidden="false" customHeight="true" outlineLevel="0" collapsed="false">
      <c r="A127" s="30" t="s">
        <v>13512</v>
      </c>
      <c r="B127" s="31" t="s">
        <v>13526</v>
      </c>
      <c r="C127" s="31" t="s">
        <v>13527</v>
      </c>
      <c r="D127" s="31" t="s">
        <v>13515</v>
      </c>
    </row>
    <row r="128" customFormat="false" ht="37.5" hidden="false" customHeight="true" outlineLevel="0" collapsed="false">
      <c r="A128" s="30" t="s">
        <v>13512</v>
      </c>
      <c r="B128" s="31" t="s">
        <v>13528</v>
      </c>
      <c r="C128" s="31" t="s">
        <v>13529</v>
      </c>
      <c r="D128" s="31" t="s">
        <v>13515</v>
      </c>
    </row>
    <row r="129" customFormat="false" ht="37.5" hidden="false" customHeight="true" outlineLevel="0" collapsed="false">
      <c r="A129" s="30" t="s">
        <v>13512</v>
      </c>
      <c r="B129" s="31" t="s">
        <v>13530</v>
      </c>
      <c r="C129" s="31" t="s">
        <v>13531</v>
      </c>
      <c r="D129" s="31" t="s">
        <v>13515</v>
      </c>
    </row>
    <row r="130" customFormat="false" ht="37.5" hidden="false" customHeight="true" outlineLevel="0" collapsed="false">
      <c r="A130" s="30" t="s">
        <v>13512</v>
      </c>
      <c r="B130" s="31" t="s">
        <v>13532</v>
      </c>
      <c r="C130" s="31" t="s">
        <v>13533</v>
      </c>
      <c r="D130" s="31" t="s">
        <v>13515</v>
      </c>
    </row>
    <row r="131" customFormat="false" ht="37.5" hidden="false" customHeight="true" outlineLevel="0" collapsed="false">
      <c r="A131" s="30" t="s">
        <v>13512</v>
      </c>
      <c r="B131" s="31" t="s">
        <v>13534</v>
      </c>
      <c r="C131" s="31" t="s">
        <v>13535</v>
      </c>
      <c r="D131" s="31" t="s">
        <v>13515</v>
      </c>
    </row>
    <row r="132" customFormat="false" ht="37.5" hidden="false" customHeight="true" outlineLevel="0" collapsed="false">
      <c r="A132" s="30" t="s">
        <v>13512</v>
      </c>
      <c r="B132" s="31" t="s">
        <v>13536</v>
      </c>
      <c r="C132" s="31" t="s">
        <v>13537</v>
      </c>
      <c r="D132" s="31" t="s">
        <v>13515</v>
      </c>
    </row>
    <row r="133" customFormat="false" ht="37.5" hidden="false" customHeight="true" outlineLevel="0" collapsed="false">
      <c r="A133" s="30" t="s">
        <v>13512</v>
      </c>
      <c r="B133" s="31" t="s">
        <v>13538</v>
      </c>
      <c r="C133" s="31" t="s">
        <v>13539</v>
      </c>
      <c r="D133" s="31" t="s">
        <v>13515</v>
      </c>
    </row>
    <row r="134" customFormat="false" ht="37.5" hidden="false" customHeight="true" outlineLevel="0" collapsed="false">
      <c r="A134" s="30" t="s">
        <v>13512</v>
      </c>
      <c r="B134" s="31" t="s">
        <v>13540</v>
      </c>
      <c r="C134" s="31" t="s">
        <v>13541</v>
      </c>
      <c r="D134" s="31" t="s">
        <v>13515</v>
      </c>
    </row>
    <row r="135" customFormat="false" ht="37.5" hidden="false" customHeight="true" outlineLevel="0" collapsed="false">
      <c r="A135" s="30" t="s">
        <v>13512</v>
      </c>
      <c r="B135" s="31" t="s">
        <v>13542</v>
      </c>
      <c r="C135" s="31" t="s">
        <v>13543</v>
      </c>
      <c r="D135" s="31" t="s">
        <v>13515</v>
      </c>
    </row>
    <row r="136" customFormat="false" ht="37.5" hidden="false" customHeight="true" outlineLevel="0" collapsed="false">
      <c r="A136" s="30" t="s">
        <v>13512</v>
      </c>
      <c r="B136" s="31" t="s">
        <v>108</v>
      </c>
      <c r="C136" s="31" t="s">
        <v>13544</v>
      </c>
      <c r="D136" s="31" t="s">
        <v>13515</v>
      </c>
    </row>
    <row r="137" customFormat="false" ht="37.5" hidden="false" customHeight="true" outlineLevel="0" collapsed="false">
      <c r="A137" s="30" t="s">
        <v>13512</v>
      </c>
      <c r="B137" s="31" t="s">
        <v>13545</v>
      </c>
      <c r="C137" s="31" t="s">
        <v>13546</v>
      </c>
      <c r="D137" s="31" t="s">
        <v>13515</v>
      </c>
    </row>
    <row r="138" customFormat="false" ht="37.5" hidden="false" customHeight="true" outlineLevel="0" collapsed="false">
      <c r="A138" s="30" t="s">
        <v>13512</v>
      </c>
      <c r="B138" s="31" t="s">
        <v>13547</v>
      </c>
      <c r="C138" s="31" t="s">
        <v>13548</v>
      </c>
      <c r="D138" s="31" t="s">
        <v>13515</v>
      </c>
    </row>
    <row r="139" customFormat="false" ht="37.5" hidden="false" customHeight="true" outlineLevel="0" collapsed="false">
      <c r="A139" s="30" t="s">
        <v>13512</v>
      </c>
      <c r="B139" s="31" t="s">
        <v>13549</v>
      </c>
      <c r="C139" s="31" t="s">
        <v>13550</v>
      </c>
      <c r="D139" s="31" t="s">
        <v>13515</v>
      </c>
    </row>
    <row r="140" customFormat="false" ht="37.5" hidden="false" customHeight="true" outlineLevel="0" collapsed="false">
      <c r="A140" s="30" t="s">
        <v>13512</v>
      </c>
      <c r="B140" s="31" t="s">
        <v>13551</v>
      </c>
      <c r="C140" s="31" t="s">
        <v>13552</v>
      </c>
      <c r="D140" s="31" t="s">
        <v>13515</v>
      </c>
    </row>
    <row r="141" customFormat="false" ht="37.5" hidden="false" customHeight="true" outlineLevel="0" collapsed="false">
      <c r="A141" s="30" t="s">
        <v>13512</v>
      </c>
      <c r="B141" s="31" t="s">
        <v>13553</v>
      </c>
      <c r="C141" s="31" t="s">
        <v>13554</v>
      </c>
      <c r="D141" s="31" t="s">
        <v>13515</v>
      </c>
    </row>
    <row r="142" customFormat="false" ht="37.5" hidden="false" customHeight="true" outlineLevel="0" collapsed="false">
      <c r="A142" s="30" t="s">
        <v>13512</v>
      </c>
      <c r="B142" s="31" t="s">
        <v>13555</v>
      </c>
      <c r="C142" s="31" t="s">
        <v>13556</v>
      </c>
      <c r="D142" s="31" t="s">
        <v>13515</v>
      </c>
    </row>
    <row r="143" customFormat="false" ht="37.5" hidden="false" customHeight="true" outlineLevel="0" collapsed="false">
      <c r="A143" s="30" t="s">
        <v>13512</v>
      </c>
      <c r="B143" s="31" t="s">
        <v>13557</v>
      </c>
      <c r="C143" s="31" t="s">
        <v>13558</v>
      </c>
      <c r="D143" s="31" t="s">
        <v>13515</v>
      </c>
    </row>
    <row r="144" customFormat="false" ht="37.5" hidden="false" customHeight="true" outlineLevel="0" collapsed="false">
      <c r="A144" s="30" t="s">
        <v>13559</v>
      </c>
      <c r="B144" s="31" t="s">
        <v>13560</v>
      </c>
      <c r="C144" s="31" t="s">
        <v>13561</v>
      </c>
      <c r="D144" s="31" t="s">
        <v>13562</v>
      </c>
    </row>
    <row r="145" customFormat="false" ht="37.5" hidden="false" customHeight="true" outlineLevel="0" collapsed="false">
      <c r="A145" s="30" t="s">
        <v>13559</v>
      </c>
      <c r="B145" s="31" t="s">
        <v>13563</v>
      </c>
      <c r="C145" s="31" t="s">
        <v>13564</v>
      </c>
      <c r="D145" s="31" t="s">
        <v>13562</v>
      </c>
    </row>
    <row r="146" customFormat="false" ht="37.5" hidden="false" customHeight="true" outlineLevel="0" collapsed="false">
      <c r="A146" s="30" t="s">
        <v>13559</v>
      </c>
      <c r="B146" s="31" t="s">
        <v>13565</v>
      </c>
      <c r="C146" s="31" t="s">
        <v>13566</v>
      </c>
      <c r="D146" s="31" t="s">
        <v>13562</v>
      </c>
    </row>
    <row r="147" customFormat="false" ht="37.5" hidden="false" customHeight="true" outlineLevel="0" collapsed="false">
      <c r="A147" s="30" t="s">
        <v>13559</v>
      </c>
      <c r="B147" s="31" t="s">
        <v>13567</v>
      </c>
      <c r="C147" s="31" t="s">
        <v>13568</v>
      </c>
      <c r="D147" s="31" t="s">
        <v>13562</v>
      </c>
    </row>
    <row r="148" customFormat="false" ht="37.5" hidden="false" customHeight="true" outlineLevel="0" collapsed="false">
      <c r="A148" s="30" t="s">
        <v>13559</v>
      </c>
      <c r="B148" s="31" t="s">
        <v>13569</v>
      </c>
      <c r="C148" s="31" t="s">
        <v>13570</v>
      </c>
      <c r="D148" s="31" t="s">
        <v>13562</v>
      </c>
    </row>
    <row r="149" customFormat="false" ht="37.5" hidden="false" customHeight="true" outlineLevel="0" collapsed="false">
      <c r="A149" s="30" t="s">
        <v>13559</v>
      </c>
      <c r="B149" s="31" t="s">
        <v>13571</v>
      </c>
      <c r="C149" s="31" t="s">
        <v>13572</v>
      </c>
      <c r="D149" s="31" t="s">
        <v>13562</v>
      </c>
    </row>
    <row r="150" customFormat="false" ht="37.5" hidden="false" customHeight="true" outlineLevel="0" collapsed="false">
      <c r="A150" s="30" t="s">
        <v>13559</v>
      </c>
      <c r="B150" s="31" t="s">
        <v>13573</v>
      </c>
      <c r="C150" s="31" t="s">
        <v>13574</v>
      </c>
      <c r="D150" s="31" t="s">
        <v>13562</v>
      </c>
    </row>
    <row r="151" customFormat="false" ht="37.5" hidden="false" customHeight="true" outlineLevel="0" collapsed="false">
      <c r="A151" s="30" t="s">
        <v>13575</v>
      </c>
      <c r="B151" s="31" t="s">
        <v>13576</v>
      </c>
      <c r="C151" s="31" t="s">
        <v>13577</v>
      </c>
      <c r="D151" s="31" t="s">
        <v>13578</v>
      </c>
    </row>
    <row r="152" customFormat="false" ht="37.5" hidden="false" customHeight="true" outlineLevel="0" collapsed="false">
      <c r="A152" s="30" t="s">
        <v>13575</v>
      </c>
      <c r="B152" s="31" t="s">
        <v>13579</v>
      </c>
      <c r="C152" s="31" t="s">
        <v>13580</v>
      </c>
      <c r="D152" s="31" t="s">
        <v>13578</v>
      </c>
    </row>
    <row r="153" customFormat="false" ht="37.5" hidden="false" customHeight="true" outlineLevel="0" collapsed="false">
      <c r="A153" s="30" t="s">
        <v>13575</v>
      </c>
      <c r="B153" s="31" t="s">
        <v>13581</v>
      </c>
      <c r="C153" s="31" t="s">
        <v>13582</v>
      </c>
      <c r="D153" s="31" t="s">
        <v>13578</v>
      </c>
    </row>
    <row r="154" customFormat="false" ht="37.5" hidden="false" customHeight="true" outlineLevel="0" collapsed="false">
      <c r="A154" s="30" t="s">
        <v>13575</v>
      </c>
      <c r="B154" s="31" t="s">
        <v>13583</v>
      </c>
      <c r="C154" s="31" t="s">
        <v>13584</v>
      </c>
      <c r="D154" s="31" t="s">
        <v>13578</v>
      </c>
    </row>
    <row r="155" customFormat="false" ht="37.5" hidden="false" customHeight="true" outlineLevel="0" collapsed="false">
      <c r="A155" s="30" t="s">
        <v>13575</v>
      </c>
      <c r="B155" s="31" t="s">
        <v>13585</v>
      </c>
      <c r="C155" s="31" t="s">
        <v>13586</v>
      </c>
      <c r="D155" s="31" t="s">
        <v>13578</v>
      </c>
    </row>
    <row r="156" customFormat="false" ht="37.5" hidden="false" customHeight="true" outlineLevel="0" collapsed="false">
      <c r="A156" s="30" t="s">
        <v>13575</v>
      </c>
      <c r="B156" s="31" t="s">
        <v>13587</v>
      </c>
      <c r="C156" s="31" t="s">
        <v>13588</v>
      </c>
      <c r="D156" s="31" t="s">
        <v>13578</v>
      </c>
    </row>
    <row r="157" customFormat="false" ht="37.5" hidden="false" customHeight="true" outlineLevel="0" collapsed="false">
      <c r="A157" s="30" t="s">
        <v>13575</v>
      </c>
      <c r="B157" s="31" t="s">
        <v>13589</v>
      </c>
      <c r="C157" s="31" t="s">
        <v>13590</v>
      </c>
      <c r="D157" s="31" t="s">
        <v>13578</v>
      </c>
    </row>
    <row r="158" customFormat="false" ht="37.5" hidden="false" customHeight="true" outlineLevel="0" collapsed="false">
      <c r="A158" s="30" t="s">
        <v>13591</v>
      </c>
      <c r="B158" s="31" t="s">
        <v>13592</v>
      </c>
      <c r="C158" s="31" t="s">
        <v>13593</v>
      </c>
      <c r="D158" s="31" t="s">
        <v>13594</v>
      </c>
    </row>
    <row r="159" customFormat="false" ht="37.5" hidden="false" customHeight="true" outlineLevel="0" collapsed="false">
      <c r="A159" s="30" t="s">
        <v>13591</v>
      </c>
      <c r="B159" s="31" t="s">
        <v>13595</v>
      </c>
      <c r="C159" s="31" t="s">
        <v>13596</v>
      </c>
      <c r="D159" s="31" t="s">
        <v>13594</v>
      </c>
    </row>
    <row r="160" customFormat="false" ht="37.5" hidden="false" customHeight="true" outlineLevel="0" collapsed="false">
      <c r="A160" s="30" t="s">
        <v>13591</v>
      </c>
      <c r="B160" s="31" t="s">
        <v>13597</v>
      </c>
      <c r="C160" s="31" t="s">
        <v>13598</v>
      </c>
      <c r="D160" s="31" t="s">
        <v>13594</v>
      </c>
    </row>
    <row r="161" customFormat="false" ht="37.5" hidden="false" customHeight="true" outlineLevel="0" collapsed="false">
      <c r="A161" s="30" t="s">
        <v>13591</v>
      </c>
      <c r="B161" s="31" t="s">
        <v>13599</v>
      </c>
      <c r="C161" s="31" t="s">
        <v>13600</v>
      </c>
      <c r="D161" s="31" t="s">
        <v>13594</v>
      </c>
    </row>
    <row r="162" customFormat="false" ht="37.5" hidden="false" customHeight="true" outlineLevel="0" collapsed="false">
      <c r="A162" s="30" t="s">
        <v>13591</v>
      </c>
      <c r="B162" s="31" t="s">
        <v>13601</v>
      </c>
      <c r="C162" s="31" t="s">
        <v>13602</v>
      </c>
      <c r="D162" s="31" t="s">
        <v>13594</v>
      </c>
    </row>
    <row r="163" customFormat="false" ht="37.5" hidden="false" customHeight="true" outlineLevel="0" collapsed="false">
      <c r="A163" s="30" t="s">
        <v>13591</v>
      </c>
      <c r="B163" s="31" t="s">
        <v>13603</v>
      </c>
      <c r="C163" s="31" t="s">
        <v>13604</v>
      </c>
      <c r="D163" s="31" t="s">
        <v>13594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17.59"/>
    <col collapsed="false" customWidth="true" hidden="false" outlineLevel="0" max="3" min="3" style="1" width="26.38"/>
    <col collapsed="false" customWidth="true" hidden="false" outlineLevel="0" max="6" min="4" style="1" width="52.76"/>
  </cols>
  <sheetData>
    <row r="1" customFormat="false" ht="33.75" hidden="false" customHeight="true" outlineLevel="0" collapsed="false">
      <c r="A1" s="29" t="s">
        <v>13605</v>
      </c>
      <c r="B1" s="29" t="s">
        <v>13606</v>
      </c>
      <c r="C1" s="29" t="s">
        <v>13607</v>
      </c>
      <c r="D1" s="29" t="s">
        <v>13608</v>
      </c>
      <c r="E1" s="29" t="s">
        <v>13609</v>
      </c>
      <c r="F1" s="29" t="s">
        <v>13610</v>
      </c>
    </row>
    <row r="2" customFormat="false" ht="43.5" hidden="false" customHeight="true" outlineLevel="0" collapsed="false">
      <c r="A2" s="22" t="s">
        <v>80</v>
      </c>
      <c r="B2" s="22" t="s">
        <v>13611</v>
      </c>
      <c r="C2" s="22" t="s">
        <v>13612</v>
      </c>
      <c r="D2" s="22" t="s">
        <v>13613</v>
      </c>
      <c r="E2" s="22" t="s">
        <v>13614</v>
      </c>
      <c r="F2" s="22" t="s">
        <v>13615</v>
      </c>
    </row>
    <row r="3" customFormat="false" ht="43.5" hidden="false" customHeight="true" outlineLevel="0" collapsed="false">
      <c r="A3" s="22" t="s">
        <v>82</v>
      </c>
      <c r="B3" s="22" t="s">
        <v>13611</v>
      </c>
      <c r="C3" s="22" t="s">
        <v>13616</v>
      </c>
      <c r="D3" s="22" t="s">
        <v>13617</v>
      </c>
      <c r="E3" s="22" t="s">
        <v>13618</v>
      </c>
      <c r="F3" s="22" t="s">
        <v>13619</v>
      </c>
    </row>
    <row r="4" customFormat="false" ht="43.5" hidden="false" customHeight="true" outlineLevel="0" collapsed="false">
      <c r="A4" s="22" t="s">
        <v>96</v>
      </c>
      <c r="B4" s="22" t="s">
        <v>13620</v>
      </c>
      <c r="C4" s="22" t="s">
        <v>13621</v>
      </c>
      <c r="D4" s="22" t="s">
        <v>13622</v>
      </c>
      <c r="E4" s="22" t="s">
        <v>13623</v>
      </c>
      <c r="F4" s="22" t="s">
        <v>13624</v>
      </c>
    </row>
    <row r="5" customFormat="false" ht="43.5" hidden="false" customHeight="true" outlineLevel="0" collapsed="false">
      <c r="A5" s="22" t="s">
        <v>98</v>
      </c>
      <c r="B5" s="22" t="s">
        <v>13620</v>
      </c>
      <c r="C5" s="22" t="s">
        <v>13625</v>
      </c>
      <c r="D5" s="22" t="s">
        <v>13626</v>
      </c>
      <c r="E5" s="22" t="s">
        <v>13627</v>
      </c>
      <c r="F5" s="22" t="s">
        <v>13628</v>
      </c>
    </row>
    <row r="6" customFormat="false" ht="43.5" hidden="false" customHeight="true" outlineLevel="0" collapsed="false">
      <c r="A6" s="22" t="s">
        <v>106</v>
      </c>
      <c r="B6" s="22" t="s">
        <v>13620</v>
      </c>
      <c r="C6" s="22" t="s">
        <v>13629</v>
      </c>
      <c r="D6" s="22" t="s">
        <v>13630</v>
      </c>
      <c r="E6" s="22" t="s">
        <v>13631</v>
      </c>
      <c r="F6" s="22" t="s">
        <v>13632</v>
      </c>
    </row>
    <row r="7" customFormat="false" ht="43.5" hidden="false" customHeight="true" outlineLevel="0" collapsed="false">
      <c r="A7" s="22" t="s">
        <v>104</v>
      </c>
      <c r="B7" s="22" t="s">
        <v>13620</v>
      </c>
      <c r="C7" s="22" t="s">
        <v>13633</v>
      </c>
      <c r="D7" s="22" t="s">
        <v>13634</v>
      </c>
      <c r="E7" s="22" t="s">
        <v>13635</v>
      </c>
      <c r="F7" s="22" t="s">
        <v>13636</v>
      </c>
    </row>
    <row r="8" customFormat="false" ht="43.5" hidden="false" customHeight="true" outlineLevel="0" collapsed="false">
      <c r="A8" s="22" t="s">
        <v>94</v>
      </c>
      <c r="B8" s="22" t="s">
        <v>13620</v>
      </c>
      <c r="C8" s="22" t="s">
        <v>13637</v>
      </c>
      <c r="D8" s="22" t="s">
        <v>13638</v>
      </c>
      <c r="E8" s="22" t="s">
        <v>13639</v>
      </c>
      <c r="F8" s="22" t="s">
        <v>13640</v>
      </c>
    </row>
    <row r="9" customFormat="false" ht="43.5" hidden="false" customHeight="true" outlineLevel="0" collapsed="false">
      <c r="A9" s="22" t="s">
        <v>84</v>
      </c>
      <c r="B9" s="22" t="s">
        <v>13611</v>
      </c>
      <c r="C9" s="22" t="s">
        <v>13641</v>
      </c>
      <c r="D9" s="22" t="s">
        <v>13642</v>
      </c>
      <c r="E9" s="22" t="s">
        <v>13643</v>
      </c>
      <c r="F9" s="22" t="s">
        <v>13644</v>
      </c>
    </row>
    <row r="10" customFormat="false" ht="43.5" hidden="false" customHeight="true" outlineLevel="0" collapsed="false">
      <c r="A10" s="22" t="s">
        <v>86</v>
      </c>
      <c r="B10" s="22" t="s">
        <v>13611</v>
      </c>
      <c r="C10" s="22" t="s">
        <v>13641</v>
      </c>
      <c r="D10" s="22" t="s">
        <v>13645</v>
      </c>
      <c r="E10" s="22" t="s">
        <v>13646</v>
      </c>
      <c r="F10" s="22" t="s">
        <v>13647</v>
      </c>
    </row>
    <row r="11" customFormat="false" ht="43.5" hidden="false" customHeight="true" outlineLevel="0" collapsed="false">
      <c r="A11" s="22" t="s">
        <v>88</v>
      </c>
      <c r="B11" s="22" t="s">
        <v>13611</v>
      </c>
      <c r="C11" s="22" t="s">
        <v>13648</v>
      </c>
      <c r="D11" s="22" t="s">
        <v>13649</v>
      </c>
      <c r="E11" s="22" t="s">
        <v>13650</v>
      </c>
      <c r="F11" s="22" t="s">
        <v>13651</v>
      </c>
    </row>
    <row r="12" customFormat="false" ht="43.5" hidden="false" customHeight="true" outlineLevel="0" collapsed="false">
      <c r="A12" s="22" t="s">
        <v>90</v>
      </c>
      <c r="B12" s="22" t="s">
        <v>13611</v>
      </c>
      <c r="C12" s="22" t="s">
        <v>13652</v>
      </c>
      <c r="D12" s="22" t="s">
        <v>13653</v>
      </c>
      <c r="E12" s="22" t="s">
        <v>13654</v>
      </c>
      <c r="F12" s="22" t="s">
        <v>13655</v>
      </c>
    </row>
    <row r="13" customFormat="false" ht="43.5" hidden="false" customHeight="true" outlineLevel="0" collapsed="false">
      <c r="A13" s="22" t="s">
        <v>92</v>
      </c>
      <c r="B13" s="22" t="s">
        <v>13611</v>
      </c>
      <c r="C13" s="22" t="s">
        <v>13656</v>
      </c>
      <c r="D13" s="22" t="s">
        <v>13657</v>
      </c>
      <c r="E13" s="22" t="s">
        <v>13658</v>
      </c>
      <c r="F13" s="22" t="s">
        <v>13659</v>
      </c>
    </row>
    <row r="14" customFormat="false" ht="43.5" hidden="false" customHeight="true" outlineLevel="0" collapsed="false">
      <c r="A14" s="22" t="s">
        <v>108</v>
      </c>
      <c r="B14" s="22" t="s">
        <v>13620</v>
      </c>
      <c r="C14" s="22" t="s">
        <v>13660</v>
      </c>
      <c r="D14" s="22" t="s">
        <v>13661</v>
      </c>
      <c r="E14" s="22" t="s">
        <v>13662</v>
      </c>
      <c r="F14" s="22" t="s">
        <v>13663</v>
      </c>
    </row>
    <row r="15" customFormat="false" ht="43.5" hidden="false" customHeight="true" outlineLevel="0" collapsed="false">
      <c r="A15" s="22" t="s">
        <v>100</v>
      </c>
      <c r="B15" s="22" t="s">
        <v>13620</v>
      </c>
      <c r="C15" s="22" t="s">
        <v>13664</v>
      </c>
      <c r="D15" s="22" t="s">
        <v>13665</v>
      </c>
      <c r="E15" s="22" t="s">
        <v>13666</v>
      </c>
      <c r="F15" s="22" t="s">
        <v>13667</v>
      </c>
    </row>
    <row r="16" customFormat="false" ht="43.5" hidden="false" customHeight="true" outlineLevel="0" collapsed="false">
      <c r="A16" s="22" t="s">
        <v>102</v>
      </c>
      <c r="B16" s="22" t="s">
        <v>13620</v>
      </c>
      <c r="C16" s="22" t="s">
        <v>13668</v>
      </c>
      <c r="D16" s="22" t="s">
        <v>13669</v>
      </c>
      <c r="E16" s="22" t="s">
        <v>13670</v>
      </c>
      <c r="F16" s="22" t="s">
        <v>13671</v>
      </c>
    </row>
    <row r="17" customFormat="false" ht="43.5" hidden="false" customHeight="true" outlineLevel="0" collapsed="false">
      <c r="A17" s="22" t="s">
        <v>110</v>
      </c>
      <c r="B17" s="22" t="s">
        <v>13611</v>
      </c>
      <c r="C17" s="22" t="s">
        <v>13672</v>
      </c>
      <c r="D17" s="22" t="s">
        <v>13673</v>
      </c>
      <c r="E17" s="22" t="s">
        <v>13674</v>
      </c>
      <c r="F17" s="22" t="s">
        <v>13675</v>
      </c>
    </row>
    <row r="18" customFormat="false" ht="43.5" hidden="false" customHeight="true" outlineLevel="0" collapsed="false">
      <c r="A18" s="22" t="s">
        <v>112</v>
      </c>
      <c r="B18" s="22" t="s">
        <v>13676</v>
      </c>
      <c r="C18" s="22" t="s">
        <v>13677</v>
      </c>
      <c r="D18" s="22" t="s">
        <v>13678</v>
      </c>
      <c r="E18" s="22" t="s">
        <v>13679</v>
      </c>
      <c r="F18" s="22" t="s">
        <v>13680</v>
      </c>
    </row>
    <row r="19" customFormat="false" ht="43.5" hidden="false" customHeight="true" outlineLevel="0" collapsed="false">
      <c r="A19" s="30" t="s">
        <v>13681</v>
      </c>
      <c r="B19" s="31" t="s">
        <v>13620</v>
      </c>
      <c r="C19" s="31" t="s">
        <v>13682</v>
      </c>
      <c r="D19" s="31" t="s">
        <v>13683</v>
      </c>
      <c r="E19" s="31" t="s">
        <v>13684</v>
      </c>
      <c r="F19" s="31" t="s">
        <v>13685</v>
      </c>
    </row>
    <row r="20" customFormat="false" ht="43.5" hidden="false" customHeight="true" outlineLevel="0" collapsed="false">
      <c r="A20" s="30" t="s">
        <v>13686</v>
      </c>
      <c r="B20" s="31" t="s">
        <v>13620</v>
      </c>
      <c r="C20" s="31" t="s">
        <v>13687</v>
      </c>
      <c r="D20" s="31" t="s">
        <v>13688</v>
      </c>
      <c r="E20" s="31" t="s">
        <v>13689</v>
      </c>
      <c r="F20" s="31" t="s">
        <v>13690</v>
      </c>
    </row>
    <row r="21" customFormat="false" ht="43.5" hidden="false" customHeight="true" outlineLevel="0" collapsed="false">
      <c r="A21" s="30" t="s">
        <v>13691</v>
      </c>
      <c r="B21" s="31" t="s">
        <v>13620</v>
      </c>
      <c r="C21" s="31" t="s">
        <v>13692</v>
      </c>
      <c r="D21" s="31" t="s">
        <v>13693</v>
      </c>
      <c r="E21" s="31" t="s">
        <v>13694</v>
      </c>
      <c r="F21" s="31" t="s">
        <v>13695</v>
      </c>
    </row>
    <row r="22" customFormat="false" ht="43.5" hidden="false" customHeight="true" outlineLevel="0" collapsed="false">
      <c r="A22" s="30" t="s">
        <v>13696</v>
      </c>
      <c r="B22" s="31" t="s">
        <v>13620</v>
      </c>
      <c r="C22" s="31" t="s">
        <v>13687</v>
      </c>
      <c r="D22" s="31" t="s">
        <v>13697</v>
      </c>
      <c r="E22" s="31" t="s">
        <v>13698</v>
      </c>
      <c r="F22" s="31" t="s">
        <v>13699</v>
      </c>
    </row>
    <row r="23" customFormat="false" ht="43.5" hidden="false" customHeight="true" outlineLevel="0" collapsed="false">
      <c r="A23" s="30" t="s">
        <v>13700</v>
      </c>
      <c r="B23" s="31" t="s">
        <v>13620</v>
      </c>
      <c r="C23" s="31" t="s">
        <v>13701</v>
      </c>
      <c r="D23" s="31" t="s">
        <v>13702</v>
      </c>
      <c r="E23" s="31" t="s">
        <v>13703</v>
      </c>
      <c r="F23" s="31" t="s">
        <v>13704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38.47"/>
    <col collapsed="false" customWidth="true" hidden="false" outlineLevel="0" max="2" min="2" style="1" width="12.09"/>
    <col collapsed="false" customWidth="true" hidden="false" outlineLevel="0" max="4" min="4" style="1" width="37.37"/>
    <col collapsed="false" customWidth="true" hidden="false" outlineLevel="0" max="5" min="5" style="1" width="12.09"/>
    <col collapsed="false" customWidth="true" hidden="false" outlineLevel="0" max="7" min="7" style="1" width="29.67"/>
    <col collapsed="false" customWidth="true" hidden="false" outlineLevel="0" max="8" min="8" style="1" width="12.09"/>
    <col collapsed="false" customWidth="true" hidden="false" outlineLevel="0" max="10" min="10" style="1" width="38.47"/>
    <col collapsed="false" customWidth="true" hidden="false" outlineLevel="0" max="11" min="11" style="1" width="12.09"/>
  </cols>
  <sheetData>
    <row r="1" customFormat="false" ht="15" hidden="false" customHeight="false" outlineLevel="0" collapsed="false">
      <c r="A1" s="33" t="s">
        <v>13705</v>
      </c>
      <c r="B1" s="33" t="s">
        <v>13706</v>
      </c>
      <c r="D1" s="33" t="s">
        <v>13707</v>
      </c>
      <c r="E1" s="33" t="s">
        <v>13706</v>
      </c>
      <c r="G1" s="33" t="s">
        <v>13708</v>
      </c>
      <c r="H1" s="33" t="s">
        <v>13706</v>
      </c>
      <c r="J1" s="33" t="s">
        <v>13709</v>
      </c>
      <c r="K1" s="33" t="s">
        <v>13710</v>
      </c>
    </row>
    <row r="2" customFormat="false" ht="15" hidden="false" customHeight="false" outlineLevel="0" collapsed="false">
      <c r="A2" s="22" t="s">
        <v>47</v>
      </c>
      <c r="B2" s="22" t="n">
        <f aca="false">COUNTIF('Master Taxonomy'!$C$2:$C$1656,A2)</f>
        <v>169</v>
      </c>
      <c r="C2" s="30"/>
      <c r="D2" s="22" t="s">
        <v>8275</v>
      </c>
      <c r="E2" s="22" t="n">
        <f aca="false">COUNTIF('Source Corpus'!$D$2:$D$282,D2)</f>
        <v>56</v>
      </c>
      <c r="F2" s="30"/>
      <c r="G2" s="22" t="s">
        <v>10137</v>
      </c>
      <c r="H2" s="22" t="n">
        <f aca="false">COUNTIF('Seed Catalogue'!$P$2:$P$452,G2)</f>
        <v>105</v>
      </c>
      <c r="I2" s="30"/>
      <c r="J2" s="22" t="s">
        <v>9890</v>
      </c>
      <c r="K2" s="22" t="n">
        <f aca="false">COUNTIF('Seed Catalogue'!$D$2:$D$452,J2)</f>
        <v>81</v>
      </c>
    </row>
    <row r="3" customFormat="false" ht="15" hidden="false" customHeight="false" outlineLevel="0" collapsed="false">
      <c r="A3" s="22" t="s">
        <v>49</v>
      </c>
      <c r="B3" s="22" t="n">
        <f aca="false">COUNTIF('Master Taxonomy'!$C$2:$C$1656,A3)</f>
        <v>315</v>
      </c>
      <c r="C3" s="30"/>
      <c r="D3" s="22" t="s">
        <v>9410</v>
      </c>
      <c r="E3" s="22" t="n">
        <f aca="false">COUNTIF('Source Corpus'!$D$2:$D$282,D3)</f>
        <v>25</v>
      </c>
      <c r="F3" s="30"/>
      <c r="G3" s="22" t="s">
        <v>9961</v>
      </c>
      <c r="H3" s="22" t="n">
        <f aca="false">COUNTIF('Seed Catalogue'!$P$2:$P$452,G3)</f>
        <v>237</v>
      </c>
      <c r="I3" s="30"/>
      <c r="J3" s="22" t="s">
        <v>8991</v>
      </c>
      <c r="K3" s="22" t="n">
        <f aca="false">COUNTIF('Seed Catalogue'!$D$2:$D$452,J3)</f>
        <v>45</v>
      </c>
    </row>
    <row r="4" customFormat="false" ht="15" hidden="false" customHeight="false" outlineLevel="0" collapsed="false">
      <c r="A4" s="22" t="s">
        <v>51</v>
      </c>
      <c r="B4" s="22" t="n">
        <f aca="false">COUNTIF('Master Taxonomy'!$C$2:$C$1656,A4)</f>
        <v>147</v>
      </c>
      <c r="C4" s="30"/>
      <c r="D4" s="22" t="s">
        <v>8721</v>
      </c>
      <c r="E4" s="22" t="n">
        <f aca="false">COUNTIF('Source Corpus'!$D$2:$D$282,D4)</f>
        <v>14</v>
      </c>
      <c r="F4" s="30"/>
      <c r="G4" s="22" t="s">
        <v>10889</v>
      </c>
      <c r="H4" s="22" t="n">
        <f aca="false">COUNTIF('Seed Catalogue'!$P$2:$P$452,G4)</f>
        <v>109</v>
      </c>
      <c r="I4" s="30"/>
      <c r="J4" s="22" t="s">
        <v>8998</v>
      </c>
      <c r="K4" s="22" t="n">
        <f aca="false">COUNTIF('Seed Catalogue'!$D$2:$D$452,J4)</f>
        <v>29</v>
      </c>
    </row>
    <row r="5" customFormat="false" ht="15" hidden="false" customHeight="false" outlineLevel="0" collapsed="false">
      <c r="A5" s="22" t="s">
        <v>53</v>
      </c>
      <c r="B5" s="22" t="n">
        <f aca="false">COUNTIF('Master Taxonomy'!$C$2:$C$1656,A5)</f>
        <v>127</v>
      </c>
      <c r="C5" s="30"/>
      <c r="D5" s="22" t="s">
        <v>8076</v>
      </c>
      <c r="E5" s="22" t="n">
        <f aca="false">COUNTIF('Source Corpus'!$D$2:$D$282,D5)</f>
        <v>10</v>
      </c>
      <c r="F5" s="30"/>
      <c r="G5" s="22" t="s">
        <v>13432</v>
      </c>
      <c r="H5" s="22" t="n">
        <f aca="false">COUNTIF('Seed Catalogue'!$P$2:$P$452,G5)</f>
        <v>0</v>
      </c>
      <c r="I5" s="30"/>
      <c r="J5" s="22" t="s">
        <v>9040</v>
      </c>
      <c r="K5" s="22" t="n">
        <f aca="false">COUNTIF('Seed Catalogue'!$D$2:$D$452,J5)</f>
        <v>28</v>
      </c>
    </row>
    <row r="6" customFormat="false" ht="15" hidden="false" customHeight="false" outlineLevel="0" collapsed="false">
      <c r="A6" s="22" t="s">
        <v>55</v>
      </c>
      <c r="B6" s="22" t="n">
        <f aca="false">COUNTIF('Master Taxonomy'!$C$2:$C$1656,A6)</f>
        <v>87</v>
      </c>
      <c r="C6" s="30"/>
      <c r="D6" s="22" t="s">
        <v>9000</v>
      </c>
      <c r="E6" s="22" t="n">
        <f aca="false">COUNTIF('Source Corpus'!$D$2:$D$282,D6)</f>
        <v>10</v>
      </c>
      <c r="F6" s="30"/>
      <c r="G6" s="22" t="s">
        <v>13434</v>
      </c>
      <c r="H6" s="22" t="n">
        <f aca="false">COUNTIF('Seed Catalogue'!$P$2:$P$452,G6)</f>
        <v>0</v>
      </c>
      <c r="I6" s="30"/>
      <c r="J6" s="22" t="s">
        <v>144</v>
      </c>
      <c r="K6" s="22" t="n">
        <f aca="false">COUNTIF('Seed Catalogue'!$D$2:$D$452,J6)</f>
        <v>26</v>
      </c>
    </row>
    <row r="7" customFormat="false" ht="15" hidden="false" customHeight="false" outlineLevel="0" collapsed="false">
      <c r="A7" s="22" t="s">
        <v>57</v>
      </c>
      <c r="B7" s="22" t="n">
        <f aca="false">COUNTIF('Master Taxonomy'!$C$2:$C$1656,A7)</f>
        <v>171</v>
      </c>
      <c r="C7" s="30"/>
      <c r="D7" s="22" t="s">
        <v>9055</v>
      </c>
      <c r="E7" s="22" t="n">
        <f aca="false">COUNTIF('Source Corpus'!$D$2:$D$282,D7)</f>
        <v>10</v>
      </c>
      <c r="F7" s="30"/>
      <c r="G7" s="30"/>
      <c r="H7" s="30"/>
      <c r="I7" s="30"/>
      <c r="J7" s="22" t="s">
        <v>8273</v>
      </c>
      <c r="K7" s="22" t="n">
        <f aca="false">COUNTIF('Seed Catalogue'!$D$2:$D$452,J7)</f>
        <v>25</v>
      </c>
    </row>
    <row r="8" customFormat="false" ht="15" hidden="false" customHeight="false" outlineLevel="0" collapsed="false">
      <c r="A8" s="22" t="s">
        <v>59</v>
      </c>
      <c r="B8" s="22" t="n">
        <f aca="false">COUNTIF('Master Taxonomy'!$C$2:$C$1656,A8)</f>
        <v>103</v>
      </c>
      <c r="C8" s="30"/>
      <c r="D8" s="22" t="s">
        <v>9818</v>
      </c>
      <c r="E8" s="22" t="n">
        <f aca="false">COUNTIF('Source Corpus'!$D$2:$D$282,D8)</f>
        <v>10</v>
      </c>
      <c r="F8" s="30"/>
      <c r="G8" s="30"/>
      <c r="H8" s="30"/>
      <c r="I8" s="30"/>
      <c r="J8" s="22" t="s">
        <v>8428</v>
      </c>
      <c r="K8" s="22" t="n">
        <f aca="false">COUNTIF('Seed Catalogue'!$D$2:$D$452,J8)</f>
        <v>25</v>
      </c>
    </row>
    <row r="9" customFormat="false" ht="15" hidden="false" customHeight="false" outlineLevel="0" collapsed="false">
      <c r="A9" s="22" t="s">
        <v>61</v>
      </c>
      <c r="B9" s="22" t="n">
        <f aca="false">COUNTIF('Master Taxonomy'!$C$2:$C$1656,A9)</f>
        <v>148</v>
      </c>
      <c r="C9" s="30"/>
      <c r="D9" s="22" t="s">
        <v>8629</v>
      </c>
      <c r="E9" s="22" t="n">
        <f aca="false">COUNTIF('Source Corpus'!$D$2:$D$282,D9)</f>
        <v>9</v>
      </c>
      <c r="F9" s="30"/>
      <c r="G9" s="30"/>
      <c r="H9" s="30"/>
      <c r="I9" s="30"/>
      <c r="J9" s="22" t="s">
        <v>8719</v>
      </c>
      <c r="K9" s="22" t="n">
        <f aca="false">COUNTIF('Seed Catalogue'!$D$2:$D$452,J9)</f>
        <v>25</v>
      </c>
    </row>
    <row r="10" customFormat="false" ht="15" hidden="false" customHeight="false" outlineLevel="0" collapsed="false">
      <c r="A10" s="31" t="s">
        <v>128</v>
      </c>
      <c r="B10" s="34" t="n">
        <f aca="false">COUNTIF('Master Taxonomy'!$C$2:$C$1656,A10)</f>
        <v>113</v>
      </c>
      <c r="C10" s="30"/>
      <c r="D10" s="22" t="s">
        <v>9077</v>
      </c>
      <c r="E10" s="22" t="n">
        <f aca="false">COUNTIF('Source Corpus'!$D$2:$D$282,D10)</f>
        <v>8</v>
      </c>
      <c r="F10" s="30"/>
      <c r="G10" s="30"/>
      <c r="H10" s="30"/>
      <c r="I10" s="30"/>
      <c r="J10" s="22" t="s">
        <v>9033</v>
      </c>
      <c r="K10" s="22" t="n">
        <f aca="false">COUNTIF('Seed Catalogue'!$D$2:$D$452,J10)</f>
        <v>24</v>
      </c>
    </row>
    <row r="11" customFormat="false" ht="26.85" hidden="false" customHeight="false" outlineLevel="0" collapsed="false">
      <c r="A11" s="31" t="s">
        <v>130</v>
      </c>
      <c r="B11" s="34" t="n">
        <f aca="false">COUNTIF('Master Taxonomy'!$C$2:$C$1656,A11)</f>
        <v>127</v>
      </c>
      <c r="C11" s="30"/>
      <c r="D11" s="22" t="s">
        <v>9713</v>
      </c>
      <c r="E11" s="22" t="n">
        <f aca="false">COUNTIF('Source Corpus'!$D$2:$D$282,D11)</f>
        <v>8</v>
      </c>
      <c r="F11" s="30"/>
      <c r="G11" s="30"/>
      <c r="H11" s="30"/>
      <c r="I11" s="30"/>
      <c r="J11" s="22" t="s">
        <v>8421</v>
      </c>
      <c r="K11" s="22" t="n">
        <f aca="false">COUNTIF('Seed Catalogue'!$D$2:$D$452,J11)</f>
        <v>22</v>
      </c>
    </row>
    <row r="12" customFormat="false" ht="26.85" hidden="false" customHeight="false" outlineLevel="0" collapsed="false">
      <c r="A12" s="31" t="s">
        <v>132</v>
      </c>
      <c r="B12" s="34" t="n">
        <f aca="false">COUNTIF('Master Taxonomy'!$C$2:$C$1656,A12)</f>
        <v>148</v>
      </c>
      <c r="C12" s="30"/>
      <c r="D12" s="22" t="s">
        <v>9773</v>
      </c>
      <c r="E12" s="22" t="n">
        <f aca="false">COUNTIF('Source Corpus'!$D$2:$D$282,D12)</f>
        <v>8</v>
      </c>
      <c r="F12" s="30"/>
      <c r="G12" s="30"/>
      <c r="H12" s="30"/>
      <c r="I12" s="30"/>
      <c r="J12" s="22" t="s">
        <v>8801</v>
      </c>
      <c r="K12" s="22" t="n">
        <f aca="false">COUNTIF('Seed Catalogue'!$D$2:$D$452,J12)</f>
        <v>21</v>
      </c>
    </row>
    <row r="13" customFormat="false" ht="15" hidden="false" customHeight="false" outlineLevel="0" collapsed="false">
      <c r="A13" s="30"/>
      <c r="B13" s="30"/>
      <c r="C13" s="30"/>
      <c r="D13" s="22" t="s">
        <v>8730</v>
      </c>
      <c r="E13" s="22" t="n">
        <f aca="false">COUNTIF('Source Corpus'!$D$2:$D$282,D13)</f>
        <v>7</v>
      </c>
      <c r="F13" s="30"/>
      <c r="G13" s="30"/>
      <c r="H13" s="30"/>
      <c r="I13" s="30"/>
      <c r="J13" s="22" t="s">
        <v>146</v>
      </c>
      <c r="K13" s="22" t="n">
        <f aca="false">COUNTIF('Seed Catalogue'!$D$2:$D$452,J13)</f>
        <v>19</v>
      </c>
    </row>
    <row r="14" customFormat="false" ht="16.15" hidden="false" customHeight="false" outlineLevel="0" collapsed="false">
      <c r="A14" s="35"/>
      <c r="B14" s="35"/>
      <c r="C14" s="35"/>
      <c r="D14" s="36" t="s">
        <v>8984</v>
      </c>
      <c r="E14" s="36" t="n">
        <f aca="false">COUNTIF('Source Corpus'!$D$2:$D$282,D14)</f>
        <v>7</v>
      </c>
      <c r="F14" s="35"/>
      <c r="G14" s="35"/>
      <c r="H14" s="35"/>
      <c r="I14" s="35"/>
      <c r="J14" s="36" t="s">
        <v>9012</v>
      </c>
      <c r="K14" s="36" t="n">
        <f aca="false">COUNTIF('Seed Catalogue'!$D$2:$D$452,J14)</f>
        <v>16</v>
      </c>
    </row>
    <row r="16" customFormat="false" ht="24" hidden="false" customHeight="true" outlineLevel="0" collapsed="false">
      <c r="A16" s="15" t="s">
        <v>13711</v>
      </c>
      <c r="B16" s="15"/>
      <c r="C16" s="15"/>
      <c r="D16" s="15"/>
      <c r="E16" s="15"/>
      <c r="F16" s="15"/>
      <c r="G16" s="15"/>
      <c r="H16" s="15"/>
      <c r="I16" s="15"/>
      <c r="J16" s="15"/>
      <c r="K16" s="15"/>
    </row>
  </sheetData>
  <mergeCells count="1">
    <mergeCell ref="A16:K16"/>
  </mergeCells>
  <conditionalFormatting sqref="B2:B12">
    <cfRule type="dataBar" priority="2">
      <dataBar showValue="1" minLength="10" maxLength="90">
        <cfvo type="min" val="0"/>
        <cfvo type="max" val="0"/>
        <color rgb="FF5B9BD5"/>
      </dataBar>
      <extLst>
        <ext xmlns:x14="http://schemas.microsoft.com/office/spreadsheetml/2009/9/main" uri="{B025F937-C7B1-47D3-B67F-A62EFF666E3E}">
          <x14:id>{4B202BB7-4BE9-47B0-BCF4-3C90A0C774C4}</x14:id>
        </ext>
      </extLst>
    </cfRule>
  </conditionalFormatting>
  <conditionalFormatting sqref="E2:E14">
    <cfRule type="dataBar" priority="3">
      <dataBar showValue="1" minLength="10" maxLength="90">
        <cfvo type="min" val="0"/>
        <cfvo type="max" val="0"/>
        <color rgb="FF70AD47"/>
      </dataBar>
      <extLst>
        <ext xmlns:x14="http://schemas.microsoft.com/office/spreadsheetml/2009/9/main" uri="{B025F937-C7B1-47D3-B67F-A62EFF666E3E}">
          <x14:id>{E69A45C9-7CCC-48C7-942D-4A21786E8046}</x14:id>
        </ext>
      </extLst>
    </cfRule>
  </conditionalFormatting>
  <conditionalFormatting sqref="H2:H6">
    <cfRule type="dataBar" priority="4">
      <dataBar showValue="1" minLength="10" maxLength="90">
        <cfvo type="min" val="0"/>
        <cfvo type="max" val="0"/>
        <color rgb="FFED7D31"/>
      </dataBar>
      <extLst>
        <ext xmlns:x14="http://schemas.microsoft.com/office/spreadsheetml/2009/9/main" uri="{B025F937-C7B1-47D3-B67F-A62EFF666E3E}">
          <x14:id>{D0CC724B-94D0-42A7-AC50-99A775775F6D}</x14:id>
        </ext>
      </extLst>
    </cfRule>
  </conditionalFormatting>
  <conditionalFormatting sqref="K2:K14">
    <cfRule type="dataBar" priority="5">
      <dataBar showValue="1" minLength="10" maxLength="90">
        <cfvo type="min" val="0"/>
        <cfvo type="max" val="0"/>
        <color rgb="FFA5A5A5"/>
      </dataBar>
      <extLst>
        <ext xmlns:x14="http://schemas.microsoft.com/office/spreadsheetml/2009/9/main" uri="{B025F937-C7B1-47D3-B67F-A62EFF666E3E}">
          <x14:id>{9BABEDFE-61AE-47FF-9251-4043ECA23B9C}</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 r:id="rId5"/>
  </tableParts>
  <extLst>
    <ext xmlns:x14="http://schemas.microsoft.com/office/spreadsheetml/2009/9/main" uri="{78C0D931-6437-407d-A8EE-F0AAD7539E65}">
      <x14:conditionalFormattings>
        <x14:conditionalFormatting xmlns:xm="http://schemas.microsoft.com/office/excel/2006/main">
          <x14:cfRule type="dataBar" id="{4B202BB7-4BE9-47B0-BCF4-3C90A0C774C4}">
            <x14:dataBar minLength="10" maxLength="90" axisPosition="none" gradient="true">
              <x14:cfvo type="min"/>
              <x14:cfvo type="max"/>
              <x14:negativeFillColor rgb="FF5B9BD5"/>
              <x14:axisColor rgb="FF000000"/>
            </x14:dataBar>
          </x14:cfRule>
          <xm:sqref>B2:B12</xm:sqref>
        </x14:conditionalFormatting>
        <x14:conditionalFormatting xmlns:xm="http://schemas.microsoft.com/office/excel/2006/main">
          <x14:cfRule type="dataBar" id="{E69A45C9-7CCC-48C7-942D-4A21786E8046}">
            <x14:dataBar minLength="10" maxLength="90" axisPosition="none" gradient="true">
              <x14:cfvo type="min"/>
              <x14:cfvo type="max"/>
              <x14:negativeFillColor rgb="FF70AD47"/>
              <x14:axisColor rgb="FF000000"/>
            </x14:dataBar>
          </x14:cfRule>
          <xm:sqref>E2:E14</xm:sqref>
        </x14:conditionalFormatting>
        <x14:conditionalFormatting xmlns:xm="http://schemas.microsoft.com/office/excel/2006/main">
          <x14:cfRule type="dataBar" id="{D0CC724B-94D0-42A7-AC50-99A775775F6D}">
            <x14:dataBar minLength="10" maxLength="90" axisPosition="none" gradient="true">
              <x14:cfvo type="min"/>
              <x14:cfvo type="max"/>
              <x14:negativeFillColor rgb="FFED7D31"/>
              <x14:axisColor rgb="FF000000"/>
            </x14:dataBar>
          </x14:cfRule>
          <xm:sqref>H2:H6</xm:sqref>
        </x14:conditionalFormatting>
        <x14:conditionalFormatting xmlns:xm="http://schemas.microsoft.com/office/excel/2006/main">
          <x14:cfRule type="dataBar" id="{9BABEDFE-61AE-47FF-9251-4043ECA23B9C}">
            <x14:dataBar minLength="10" maxLength="90" axisPosition="none" gradient="true">
              <x14:cfvo type="min"/>
              <x14:cfvo type="max"/>
              <x14:negativeFillColor rgb="FFA5A5A5"/>
              <x14:axisColor rgb="FF000000"/>
            </x14:dataBar>
          </x14:cfRule>
          <xm:sqref>K2:K14</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4.18"/>
    <col collapsed="false" customWidth="true" hidden="false" outlineLevel="0" max="2" min="2" style="1" width="30.77"/>
    <col collapsed="false" customWidth="true" hidden="false" outlineLevel="0" max="3" min="3" style="1" width="21.98"/>
    <col collapsed="false" customWidth="true" hidden="false" outlineLevel="0" max="4" min="4" style="1" width="13.19"/>
    <col collapsed="false" customWidth="true" hidden="false" outlineLevel="0" max="6" min="5" style="1" width="54.96"/>
  </cols>
  <sheetData>
    <row r="1" customFormat="false" ht="33.75" hidden="false" customHeight="true" outlineLevel="0" collapsed="false">
      <c r="A1" s="29" t="s">
        <v>13712</v>
      </c>
      <c r="B1" s="29" t="s">
        <v>13713</v>
      </c>
      <c r="C1" s="29" t="s">
        <v>13714</v>
      </c>
      <c r="D1" s="29" t="s">
        <v>13715</v>
      </c>
      <c r="E1" s="29" t="s">
        <v>13277</v>
      </c>
      <c r="F1" s="29" t="s">
        <v>13716</v>
      </c>
    </row>
    <row r="2" customFormat="false" ht="39.75" hidden="false" customHeight="true" outlineLevel="0" collapsed="false">
      <c r="A2" s="22" t="s">
        <v>13717</v>
      </c>
      <c r="B2" s="22" t="s">
        <v>167</v>
      </c>
      <c r="C2" s="22" t="s">
        <v>13718</v>
      </c>
      <c r="D2" s="22" t="s">
        <v>13719</v>
      </c>
      <c r="E2" s="22" t="s">
        <v>13720</v>
      </c>
      <c r="F2" s="22" t="s">
        <v>13721</v>
      </c>
    </row>
    <row r="3" customFormat="false" ht="39.75" hidden="false" customHeight="true" outlineLevel="0" collapsed="false">
      <c r="A3" s="22" t="s">
        <v>13717</v>
      </c>
      <c r="B3" s="22" t="s">
        <v>168</v>
      </c>
      <c r="C3" s="22" t="s">
        <v>13722</v>
      </c>
      <c r="D3" s="22" t="s">
        <v>13719</v>
      </c>
      <c r="E3" s="22" t="s">
        <v>13723</v>
      </c>
      <c r="F3" s="22" t="s">
        <v>13724</v>
      </c>
    </row>
    <row r="4" customFormat="false" ht="39.75" hidden="false" customHeight="true" outlineLevel="0" collapsed="false">
      <c r="A4" s="22" t="s">
        <v>13717</v>
      </c>
      <c r="B4" s="22" t="s">
        <v>169</v>
      </c>
      <c r="C4" s="22" t="s">
        <v>13725</v>
      </c>
      <c r="D4" s="22" t="s">
        <v>13719</v>
      </c>
      <c r="E4" s="22" t="s">
        <v>13726</v>
      </c>
      <c r="F4" s="22" t="s">
        <v>13727</v>
      </c>
    </row>
    <row r="5" customFormat="false" ht="39.75" hidden="false" customHeight="true" outlineLevel="0" collapsed="false">
      <c r="A5" s="22" t="s">
        <v>13717</v>
      </c>
      <c r="B5" s="22" t="s">
        <v>170</v>
      </c>
      <c r="C5" s="22" t="s">
        <v>13728</v>
      </c>
      <c r="D5" s="22" t="s">
        <v>13729</v>
      </c>
      <c r="E5" s="22" t="s">
        <v>13730</v>
      </c>
      <c r="F5" s="22" t="s">
        <v>13731</v>
      </c>
    </row>
    <row r="6" customFormat="false" ht="39.75" hidden="false" customHeight="true" outlineLevel="0" collapsed="false">
      <c r="A6" s="22" t="s">
        <v>13717</v>
      </c>
      <c r="B6" s="22" t="s">
        <v>172</v>
      </c>
      <c r="C6" s="22" t="s">
        <v>13732</v>
      </c>
      <c r="D6" s="22" t="s">
        <v>13719</v>
      </c>
      <c r="E6" s="22" t="s">
        <v>13733</v>
      </c>
      <c r="F6" s="22" t="s">
        <v>13734</v>
      </c>
    </row>
    <row r="7" customFormat="false" ht="39.75" hidden="false" customHeight="true" outlineLevel="0" collapsed="false">
      <c r="A7" s="22" t="s">
        <v>13717</v>
      </c>
      <c r="B7" s="22" t="s">
        <v>173</v>
      </c>
      <c r="C7" s="22" t="s">
        <v>13735</v>
      </c>
      <c r="D7" s="22" t="s">
        <v>13719</v>
      </c>
      <c r="E7" s="22" t="s">
        <v>13736</v>
      </c>
      <c r="F7" s="22" t="s">
        <v>13737</v>
      </c>
    </row>
    <row r="8" customFormat="false" ht="39.75" hidden="false" customHeight="true" outlineLevel="0" collapsed="false">
      <c r="A8" s="22" t="s">
        <v>13717</v>
      </c>
      <c r="B8" s="22" t="s">
        <v>174</v>
      </c>
      <c r="C8" s="22" t="s">
        <v>13735</v>
      </c>
      <c r="D8" s="22" t="s">
        <v>13719</v>
      </c>
      <c r="E8" s="22" t="s">
        <v>13738</v>
      </c>
      <c r="F8" s="22" t="s">
        <v>13739</v>
      </c>
    </row>
    <row r="9" customFormat="false" ht="39.75" hidden="false" customHeight="true" outlineLevel="0" collapsed="false">
      <c r="A9" s="22" t="s">
        <v>13717</v>
      </c>
      <c r="B9" s="22" t="s">
        <v>175</v>
      </c>
      <c r="C9" s="22" t="s">
        <v>13735</v>
      </c>
      <c r="D9" s="22" t="s">
        <v>13740</v>
      </c>
      <c r="E9" s="22" t="s">
        <v>13741</v>
      </c>
      <c r="F9" s="22" t="s">
        <v>13742</v>
      </c>
    </row>
    <row r="10" customFormat="false" ht="39.75" hidden="false" customHeight="true" outlineLevel="0" collapsed="false">
      <c r="A10" s="22" t="s">
        <v>13717</v>
      </c>
      <c r="B10" s="22" t="s">
        <v>176</v>
      </c>
      <c r="C10" s="22" t="s">
        <v>13735</v>
      </c>
      <c r="D10" s="22" t="s">
        <v>13740</v>
      </c>
      <c r="E10" s="22" t="s">
        <v>13743</v>
      </c>
      <c r="F10" s="22" t="s">
        <v>13744</v>
      </c>
    </row>
    <row r="11" customFormat="false" ht="39.75" hidden="false" customHeight="true" outlineLevel="0" collapsed="false">
      <c r="A11" s="22" t="s">
        <v>13717</v>
      </c>
      <c r="B11" s="22" t="s">
        <v>177</v>
      </c>
      <c r="C11" s="22" t="s">
        <v>13735</v>
      </c>
      <c r="D11" s="22" t="s">
        <v>13740</v>
      </c>
      <c r="E11" s="22" t="s">
        <v>13745</v>
      </c>
      <c r="F11" s="22" t="s">
        <v>13746</v>
      </c>
    </row>
    <row r="12" customFormat="false" ht="39.75" hidden="false" customHeight="true" outlineLevel="0" collapsed="false">
      <c r="A12" s="22" t="s">
        <v>13717</v>
      </c>
      <c r="B12" s="22" t="s">
        <v>178</v>
      </c>
      <c r="C12" s="22" t="s">
        <v>13735</v>
      </c>
      <c r="D12" s="22" t="s">
        <v>13740</v>
      </c>
      <c r="E12" s="22" t="s">
        <v>13747</v>
      </c>
      <c r="F12" s="22" t="s">
        <v>13748</v>
      </c>
    </row>
    <row r="13" customFormat="false" ht="39.75" hidden="false" customHeight="true" outlineLevel="0" collapsed="false">
      <c r="A13" s="22" t="s">
        <v>13717</v>
      </c>
      <c r="B13" s="22" t="s">
        <v>179</v>
      </c>
      <c r="C13" s="22" t="s">
        <v>13725</v>
      </c>
      <c r="D13" s="22" t="s">
        <v>13719</v>
      </c>
      <c r="E13" s="22" t="s">
        <v>13749</v>
      </c>
      <c r="F13" s="22" t="s">
        <v>13750</v>
      </c>
    </row>
    <row r="14" customFormat="false" ht="39.75" hidden="false" customHeight="true" outlineLevel="0" collapsed="false">
      <c r="A14" s="22" t="s">
        <v>13751</v>
      </c>
      <c r="B14" s="22" t="s">
        <v>8062</v>
      </c>
      <c r="C14" s="22" t="s">
        <v>13718</v>
      </c>
      <c r="D14" s="22" t="s">
        <v>13719</v>
      </c>
      <c r="E14" s="22" t="s">
        <v>13752</v>
      </c>
      <c r="F14" s="22" t="s">
        <v>13753</v>
      </c>
    </row>
    <row r="15" customFormat="false" ht="39.75" hidden="false" customHeight="true" outlineLevel="0" collapsed="false">
      <c r="A15" s="22" t="s">
        <v>13751</v>
      </c>
      <c r="B15" s="22" t="s">
        <v>8063</v>
      </c>
      <c r="C15" s="22" t="s">
        <v>13722</v>
      </c>
      <c r="D15" s="22" t="s">
        <v>13719</v>
      </c>
      <c r="E15" s="22" t="s">
        <v>13754</v>
      </c>
      <c r="F15" s="22" t="s">
        <v>13755</v>
      </c>
    </row>
    <row r="16" customFormat="false" ht="39.75" hidden="false" customHeight="true" outlineLevel="0" collapsed="false">
      <c r="A16" s="22" t="s">
        <v>13751</v>
      </c>
      <c r="B16" s="22" t="s">
        <v>8064</v>
      </c>
      <c r="C16" s="22" t="s">
        <v>13722</v>
      </c>
      <c r="D16" s="22" t="s">
        <v>13719</v>
      </c>
      <c r="E16" s="22" t="s">
        <v>13756</v>
      </c>
      <c r="F16" s="22" t="s">
        <v>13757</v>
      </c>
    </row>
    <row r="17" customFormat="false" ht="39.75" hidden="false" customHeight="true" outlineLevel="0" collapsed="false">
      <c r="A17" s="22" t="s">
        <v>13751</v>
      </c>
      <c r="B17" s="22" t="s">
        <v>1575</v>
      </c>
      <c r="C17" s="22" t="s">
        <v>13758</v>
      </c>
      <c r="D17" s="22" t="s">
        <v>13719</v>
      </c>
      <c r="E17" s="22" t="s">
        <v>13759</v>
      </c>
      <c r="F17" s="22" t="s">
        <v>13760</v>
      </c>
    </row>
    <row r="18" customFormat="false" ht="39.75" hidden="false" customHeight="true" outlineLevel="0" collapsed="false">
      <c r="A18" s="22" t="s">
        <v>13751</v>
      </c>
      <c r="B18" s="22" t="s">
        <v>8065</v>
      </c>
      <c r="C18" s="22" t="s">
        <v>13722</v>
      </c>
      <c r="D18" s="22" t="s">
        <v>13719</v>
      </c>
      <c r="E18" s="22" t="s">
        <v>13761</v>
      </c>
      <c r="F18" s="22" t="s">
        <v>13762</v>
      </c>
    </row>
    <row r="19" customFormat="false" ht="39.75" hidden="false" customHeight="true" outlineLevel="0" collapsed="false">
      <c r="A19" s="22" t="s">
        <v>13751</v>
      </c>
      <c r="B19" s="22" t="s">
        <v>8066</v>
      </c>
      <c r="C19" s="22" t="s">
        <v>13763</v>
      </c>
      <c r="D19" s="22" t="s">
        <v>13740</v>
      </c>
      <c r="E19" s="22" t="s">
        <v>13764</v>
      </c>
      <c r="F19" s="22" t="s">
        <v>13765</v>
      </c>
    </row>
    <row r="20" customFormat="false" ht="39.75" hidden="false" customHeight="true" outlineLevel="0" collapsed="false">
      <c r="A20" s="22" t="s">
        <v>13751</v>
      </c>
      <c r="B20" s="22" t="s">
        <v>8067</v>
      </c>
      <c r="C20" s="22" t="s">
        <v>13722</v>
      </c>
      <c r="D20" s="22" t="s">
        <v>13719</v>
      </c>
      <c r="E20" s="22" t="s">
        <v>13766</v>
      </c>
      <c r="F20" s="22" t="s">
        <v>13767</v>
      </c>
    </row>
    <row r="21" customFormat="false" ht="39.75" hidden="false" customHeight="true" outlineLevel="0" collapsed="false">
      <c r="A21" s="22" t="s">
        <v>13751</v>
      </c>
      <c r="B21" s="22" t="s">
        <v>8068</v>
      </c>
      <c r="C21" s="22" t="s">
        <v>13725</v>
      </c>
      <c r="D21" s="22" t="s">
        <v>13719</v>
      </c>
      <c r="E21" s="22" t="s">
        <v>13768</v>
      </c>
      <c r="F21" s="22" t="s">
        <v>13769</v>
      </c>
    </row>
    <row r="22" customFormat="false" ht="39.75" hidden="false" customHeight="true" outlineLevel="0" collapsed="false">
      <c r="A22" s="22" t="s">
        <v>13751</v>
      </c>
      <c r="B22" s="22" t="s">
        <v>8069</v>
      </c>
      <c r="C22" s="22" t="s">
        <v>13735</v>
      </c>
      <c r="D22" s="22" t="s">
        <v>13719</v>
      </c>
      <c r="E22" s="22" t="s">
        <v>13770</v>
      </c>
      <c r="F22" s="22" t="s">
        <v>13771</v>
      </c>
    </row>
    <row r="23" customFormat="false" ht="39.75" hidden="false" customHeight="true" outlineLevel="0" collapsed="false">
      <c r="A23" s="22" t="s">
        <v>13751</v>
      </c>
      <c r="B23" s="22" t="s">
        <v>8070</v>
      </c>
      <c r="C23" s="22" t="s">
        <v>13735</v>
      </c>
      <c r="D23" s="22" t="s">
        <v>13740</v>
      </c>
      <c r="E23" s="22" t="s">
        <v>13772</v>
      </c>
      <c r="F23" s="22" t="s">
        <v>13773</v>
      </c>
    </row>
    <row r="24" customFormat="false" ht="39.75" hidden="false" customHeight="true" outlineLevel="0" collapsed="false">
      <c r="A24" s="22" t="s">
        <v>13751</v>
      </c>
      <c r="B24" s="22" t="s">
        <v>8071</v>
      </c>
      <c r="C24" s="22" t="s">
        <v>13774</v>
      </c>
      <c r="D24" s="22" t="s">
        <v>13740</v>
      </c>
      <c r="E24" s="22" t="s">
        <v>13775</v>
      </c>
      <c r="F24" s="22" t="s">
        <v>13776</v>
      </c>
    </row>
    <row r="25" customFormat="false" ht="39.75" hidden="false" customHeight="true" outlineLevel="0" collapsed="false">
      <c r="A25" s="22" t="s">
        <v>13751</v>
      </c>
      <c r="B25" s="22" t="s">
        <v>8072</v>
      </c>
      <c r="C25" s="22" t="s">
        <v>13725</v>
      </c>
      <c r="D25" s="22" t="s">
        <v>13719</v>
      </c>
      <c r="E25" s="22" t="s">
        <v>13777</v>
      </c>
      <c r="F25" s="22" t="s">
        <v>13778</v>
      </c>
    </row>
    <row r="26" customFormat="false" ht="39.75" hidden="false" customHeight="true" outlineLevel="0" collapsed="false">
      <c r="A26" s="22" t="s">
        <v>13779</v>
      </c>
      <c r="B26" s="22" t="s">
        <v>9935</v>
      </c>
      <c r="C26" s="22" t="s">
        <v>13718</v>
      </c>
      <c r="D26" s="22" t="s">
        <v>13719</v>
      </c>
      <c r="E26" s="22" t="s">
        <v>13780</v>
      </c>
      <c r="F26" s="22" t="s">
        <v>13781</v>
      </c>
    </row>
    <row r="27" customFormat="false" ht="39.75" hidden="false" customHeight="true" outlineLevel="0" collapsed="false">
      <c r="A27" s="22" t="s">
        <v>13779</v>
      </c>
      <c r="B27" s="22" t="s">
        <v>9936</v>
      </c>
      <c r="C27" s="22" t="s">
        <v>13722</v>
      </c>
      <c r="D27" s="22" t="s">
        <v>13719</v>
      </c>
      <c r="E27" s="22" t="s">
        <v>13782</v>
      </c>
      <c r="F27" s="22" t="s">
        <v>13783</v>
      </c>
    </row>
    <row r="28" customFormat="false" ht="39.75" hidden="false" customHeight="true" outlineLevel="0" collapsed="false">
      <c r="A28" s="22" t="s">
        <v>13779</v>
      </c>
      <c r="B28" s="22" t="s">
        <v>8062</v>
      </c>
      <c r="C28" s="22" t="s">
        <v>13784</v>
      </c>
      <c r="D28" s="22" t="s">
        <v>13719</v>
      </c>
      <c r="E28" s="22" t="s">
        <v>13785</v>
      </c>
      <c r="F28" s="22" t="s">
        <v>13786</v>
      </c>
    </row>
    <row r="29" customFormat="false" ht="39.75" hidden="false" customHeight="true" outlineLevel="0" collapsed="false">
      <c r="A29" s="22" t="s">
        <v>13779</v>
      </c>
      <c r="B29" s="22" t="s">
        <v>9937</v>
      </c>
      <c r="C29" s="22" t="s">
        <v>13722</v>
      </c>
      <c r="D29" s="22" t="s">
        <v>13719</v>
      </c>
      <c r="E29" s="22" t="s">
        <v>13787</v>
      </c>
      <c r="F29" s="22" t="s">
        <v>13788</v>
      </c>
    </row>
    <row r="30" customFormat="false" ht="39.75" hidden="false" customHeight="true" outlineLevel="0" collapsed="false">
      <c r="A30" s="22" t="s">
        <v>13779</v>
      </c>
      <c r="B30" s="22" t="s">
        <v>9938</v>
      </c>
      <c r="C30" s="22" t="s">
        <v>13722</v>
      </c>
      <c r="D30" s="22" t="s">
        <v>13719</v>
      </c>
      <c r="E30" s="22" t="s">
        <v>13789</v>
      </c>
      <c r="F30" s="22" t="s">
        <v>13790</v>
      </c>
    </row>
    <row r="31" customFormat="false" ht="39.75" hidden="false" customHeight="true" outlineLevel="0" collapsed="false">
      <c r="A31" s="22" t="s">
        <v>13779</v>
      </c>
      <c r="B31" s="22" t="s">
        <v>9939</v>
      </c>
      <c r="C31" s="22" t="s">
        <v>13758</v>
      </c>
      <c r="D31" s="22" t="s">
        <v>13719</v>
      </c>
      <c r="E31" s="22" t="s">
        <v>13791</v>
      </c>
      <c r="F31" s="22" t="s">
        <v>13792</v>
      </c>
    </row>
    <row r="32" customFormat="false" ht="39.75" hidden="false" customHeight="true" outlineLevel="0" collapsed="false">
      <c r="A32" s="22" t="s">
        <v>13779</v>
      </c>
      <c r="B32" s="22" t="s">
        <v>9940</v>
      </c>
      <c r="C32" s="22" t="s">
        <v>13784</v>
      </c>
      <c r="D32" s="22" t="s">
        <v>13719</v>
      </c>
      <c r="E32" s="22" t="s">
        <v>13793</v>
      </c>
      <c r="F32" s="22" t="s">
        <v>13794</v>
      </c>
    </row>
    <row r="33" customFormat="false" ht="39.75" hidden="false" customHeight="true" outlineLevel="0" collapsed="false">
      <c r="A33" s="22" t="s">
        <v>13779</v>
      </c>
      <c r="B33" s="22" t="s">
        <v>9942</v>
      </c>
      <c r="C33" s="22" t="s">
        <v>13795</v>
      </c>
      <c r="D33" s="22" t="s">
        <v>13740</v>
      </c>
      <c r="E33" s="22" t="s">
        <v>13796</v>
      </c>
      <c r="F33" s="22" t="s">
        <v>13797</v>
      </c>
    </row>
    <row r="34" customFormat="false" ht="39.75" hidden="false" customHeight="true" outlineLevel="0" collapsed="false">
      <c r="A34" s="22" t="s">
        <v>13779</v>
      </c>
      <c r="B34" s="22" t="s">
        <v>9944</v>
      </c>
      <c r="C34" s="22" t="s">
        <v>13735</v>
      </c>
      <c r="D34" s="22" t="s">
        <v>13719</v>
      </c>
      <c r="E34" s="22" t="s">
        <v>13798</v>
      </c>
      <c r="F34" s="22" t="s">
        <v>13799</v>
      </c>
    </row>
    <row r="35" customFormat="false" ht="39.75" hidden="false" customHeight="true" outlineLevel="0" collapsed="false">
      <c r="A35" s="22" t="s">
        <v>13779</v>
      </c>
      <c r="B35" s="22" t="s">
        <v>9945</v>
      </c>
      <c r="C35" s="22" t="s">
        <v>13735</v>
      </c>
      <c r="D35" s="22" t="s">
        <v>13740</v>
      </c>
      <c r="E35" s="22" t="s">
        <v>13800</v>
      </c>
      <c r="F35" s="22" t="s">
        <v>13801</v>
      </c>
    </row>
    <row r="36" customFormat="false" ht="39.75" hidden="false" customHeight="true" outlineLevel="0" collapsed="false">
      <c r="A36" s="22" t="s">
        <v>13779</v>
      </c>
      <c r="B36" s="22" t="s">
        <v>9946</v>
      </c>
      <c r="C36" s="22" t="s">
        <v>13735</v>
      </c>
      <c r="D36" s="22" t="s">
        <v>13719</v>
      </c>
      <c r="E36" s="22" t="s">
        <v>13802</v>
      </c>
      <c r="F36" s="22" t="s">
        <v>13803</v>
      </c>
    </row>
    <row r="37" customFormat="false" ht="39.75" hidden="false" customHeight="true" outlineLevel="0" collapsed="false">
      <c r="A37" s="22" t="s">
        <v>13779</v>
      </c>
      <c r="B37" s="22" t="s">
        <v>9947</v>
      </c>
      <c r="C37" s="22" t="s">
        <v>13735</v>
      </c>
      <c r="D37" s="22" t="s">
        <v>13740</v>
      </c>
      <c r="E37" s="22" t="s">
        <v>13804</v>
      </c>
      <c r="F37" s="22" t="s">
        <v>13805</v>
      </c>
    </row>
    <row r="38" customFormat="false" ht="39.75" hidden="false" customHeight="true" outlineLevel="0" collapsed="false">
      <c r="A38" s="22" t="s">
        <v>13779</v>
      </c>
      <c r="B38" s="22" t="s">
        <v>9948</v>
      </c>
      <c r="C38" s="22" t="s">
        <v>13725</v>
      </c>
      <c r="D38" s="22" t="s">
        <v>13719</v>
      </c>
      <c r="E38" s="22" t="s">
        <v>13806</v>
      </c>
      <c r="F38" s="22" t="s">
        <v>13807</v>
      </c>
    </row>
    <row r="39" customFormat="false" ht="39.75" hidden="false" customHeight="true" outlineLevel="0" collapsed="false">
      <c r="A39" s="22" t="s">
        <v>13779</v>
      </c>
      <c r="B39" s="22" t="s">
        <v>9949</v>
      </c>
      <c r="C39" s="22" t="s">
        <v>13725</v>
      </c>
      <c r="D39" s="22" t="s">
        <v>13719</v>
      </c>
      <c r="E39" s="22" t="s">
        <v>13808</v>
      </c>
      <c r="F39" s="22" t="s">
        <v>13807</v>
      </c>
    </row>
    <row r="40" customFormat="false" ht="39.75" hidden="false" customHeight="true" outlineLevel="0" collapsed="false">
      <c r="A40" s="22" t="s">
        <v>13779</v>
      </c>
      <c r="B40" s="22" t="s">
        <v>9950</v>
      </c>
      <c r="C40" s="22" t="s">
        <v>13735</v>
      </c>
      <c r="D40" s="22" t="s">
        <v>13719</v>
      </c>
      <c r="E40" s="22" t="s">
        <v>13809</v>
      </c>
      <c r="F40" s="22" t="s">
        <v>13810</v>
      </c>
    </row>
    <row r="41" customFormat="false" ht="39.75" hidden="false" customHeight="true" outlineLevel="0" collapsed="false">
      <c r="A41" s="22" t="s">
        <v>13779</v>
      </c>
      <c r="B41" s="22" t="s">
        <v>8071</v>
      </c>
      <c r="C41" s="22" t="s">
        <v>13774</v>
      </c>
      <c r="D41" s="22" t="s">
        <v>13740</v>
      </c>
      <c r="E41" s="22" t="s">
        <v>13811</v>
      </c>
      <c r="F41" s="22" t="s">
        <v>13812</v>
      </c>
    </row>
    <row r="42" customFormat="false" ht="39.75" hidden="false" customHeight="true" outlineLevel="0" collapsed="false">
      <c r="A42" s="22" t="s">
        <v>13779</v>
      </c>
      <c r="B42" s="22" t="s">
        <v>9951</v>
      </c>
      <c r="C42" s="22" t="s">
        <v>13725</v>
      </c>
      <c r="D42" s="22" t="s">
        <v>13719</v>
      </c>
      <c r="E42" s="22" t="s">
        <v>13813</v>
      </c>
      <c r="F42" s="22" t="s">
        <v>13814</v>
      </c>
    </row>
    <row r="43" customFormat="false" ht="39.75" hidden="false" customHeight="true" outlineLevel="0" collapsed="false">
      <c r="A43" s="22" t="s">
        <v>13815</v>
      </c>
      <c r="B43" s="22" t="s">
        <v>13276</v>
      </c>
      <c r="C43" s="22" t="s">
        <v>13722</v>
      </c>
      <c r="D43" s="22" t="s">
        <v>13719</v>
      </c>
      <c r="E43" s="22" t="s">
        <v>13816</v>
      </c>
      <c r="F43" s="22" t="s">
        <v>13817</v>
      </c>
    </row>
    <row r="44" customFormat="false" ht="39.75" hidden="false" customHeight="true" outlineLevel="0" collapsed="false">
      <c r="A44" s="22" t="s">
        <v>13815</v>
      </c>
      <c r="B44" s="22" t="s">
        <v>5</v>
      </c>
      <c r="C44" s="22" t="s">
        <v>13722</v>
      </c>
      <c r="D44" s="22" t="s">
        <v>13719</v>
      </c>
      <c r="E44" s="22" t="s">
        <v>13818</v>
      </c>
      <c r="F44" s="22" t="s">
        <v>13819</v>
      </c>
    </row>
    <row r="45" customFormat="false" ht="39.75" hidden="false" customHeight="true" outlineLevel="0" collapsed="false">
      <c r="A45" s="22" t="s">
        <v>13815</v>
      </c>
      <c r="B45" s="22" t="s">
        <v>13277</v>
      </c>
      <c r="C45" s="22" t="s">
        <v>13735</v>
      </c>
      <c r="D45" s="22" t="s">
        <v>13719</v>
      </c>
      <c r="E45" s="22" t="s">
        <v>13820</v>
      </c>
      <c r="F45" s="22" t="s">
        <v>13821</v>
      </c>
    </row>
    <row r="46" customFormat="false" ht="39.75" hidden="false" customHeight="true" outlineLevel="0" collapsed="false">
      <c r="A46" s="22" t="s">
        <v>13815</v>
      </c>
      <c r="B46" s="22" t="s">
        <v>13278</v>
      </c>
      <c r="C46" s="22" t="s">
        <v>13735</v>
      </c>
      <c r="D46" s="22" t="s">
        <v>13719</v>
      </c>
      <c r="E46" s="22" t="s">
        <v>13822</v>
      </c>
      <c r="F46" s="22" t="s">
        <v>13823</v>
      </c>
    </row>
    <row r="47" customFormat="false" ht="39.75" hidden="false" customHeight="true" outlineLevel="0" collapsed="false">
      <c r="A47" s="22" t="s">
        <v>13824</v>
      </c>
      <c r="B47" s="22" t="s">
        <v>13605</v>
      </c>
      <c r="C47" s="22" t="s">
        <v>13725</v>
      </c>
      <c r="D47" s="22" t="s">
        <v>13719</v>
      </c>
      <c r="E47" s="22" t="s">
        <v>13825</v>
      </c>
      <c r="F47" s="22" t="s">
        <v>13826</v>
      </c>
    </row>
    <row r="48" customFormat="false" ht="39.75" hidden="false" customHeight="true" outlineLevel="0" collapsed="false">
      <c r="A48" s="22" t="s">
        <v>13824</v>
      </c>
      <c r="B48" s="22" t="s">
        <v>13606</v>
      </c>
      <c r="C48" s="22" t="s">
        <v>13725</v>
      </c>
      <c r="D48" s="22" t="s">
        <v>13719</v>
      </c>
      <c r="E48" s="22" t="s">
        <v>13827</v>
      </c>
      <c r="F48" s="22" t="s">
        <v>13828</v>
      </c>
    </row>
    <row r="49" customFormat="false" ht="39.75" hidden="false" customHeight="true" outlineLevel="0" collapsed="false">
      <c r="A49" s="22" t="s">
        <v>13824</v>
      </c>
      <c r="B49" s="22" t="s">
        <v>13607</v>
      </c>
      <c r="C49" s="22" t="s">
        <v>13722</v>
      </c>
      <c r="D49" s="22" t="s">
        <v>13719</v>
      </c>
      <c r="E49" s="22" t="s">
        <v>13829</v>
      </c>
      <c r="F49" s="22" t="s">
        <v>13830</v>
      </c>
    </row>
    <row r="50" customFormat="false" ht="39.75" hidden="false" customHeight="true" outlineLevel="0" collapsed="false">
      <c r="A50" s="22" t="s">
        <v>13824</v>
      </c>
      <c r="B50" s="22" t="s">
        <v>13608</v>
      </c>
      <c r="C50" s="22" t="s">
        <v>13735</v>
      </c>
      <c r="D50" s="22" t="s">
        <v>13719</v>
      </c>
      <c r="E50" s="22" t="s">
        <v>13831</v>
      </c>
      <c r="F50" s="22" t="s">
        <v>13832</v>
      </c>
    </row>
    <row r="51" customFormat="false" ht="39.75" hidden="false" customHeight="true" outlineLevel="0" collapsed="false">
      <c r="A51" s="22" t="s">
        <v>13824</v>
      </c>
      <c r="B51" s="22" t="s">
        <v>13609</v>
      </c>
      <c r="C51" s="22" t="s">
        <v>13735</v>
      </c>
      <c r="D51" s="22" t="s">
        <v>13719</v>
      </c>
      <c r="E51" s="22" t="s">
        <v>13833</v>
      </c>
      <c r="F51" s="22" t="s">
        <v>13834</v>
      </c>
    </row>
    <row r="52" customFormat="false" ht="39.75" hidden="false" customHeight="true" outlineLevel="0" collapsed="false">
      <c r="A52" s="22" t="s">
        <v>13824</v>
      </c>
      <c r="B52" s="22" t="s">
        <v>13610</v>
      </c>
      <c r="C52" s="22" t="s">
        <v>13735</v>
      </c>
      <c r="D52" s="22" t="s">
        <v>13740</v>
      </c>
      <c r="E52" s="22" t="s">
        <v>13835</v>
      </c>
      <c r="F52" s="22" t="s">
        <v>13836</v>
      </c>
    </row>
    <row r="53" customFormat="false" ht="39.75" hidden="false" customHeight="true" outlineLevel="0" collapsed="false">
      <c r="A53" s="22" t="s">
        <v>13717</v>
      </c>
      <c r="B53" s="22" t="s">
        <v>171</v>
      </c>
      <c r="C53" s="22" t="s">
        <v>13837</v>
      </c>
      <c r="D53" s="22" t="s">
        <v>13729</v>
      </c>
      <c r="E53" s="22" t="s">
        <v>13838</v>
      </c>
      <c r="F53" s="22" t="s">
        <v>13839</v>
      </c>
    </row>
    <row r="54" customFormat="false" ht="39.75" hidden="false" customHeight="true" outlineLevel="0" collapsed="false">
      <c r="A54" s="22" t="s">
        <v>13779</v>
      </c>
      <c r="B54" s="22" t="s">
        <v>9941</v>
      </c>
      <c r="C54" s="22" t="s">
        <v>13837</v>
      </c>
      <c r="D54" s="22" t="s">
        <v>13719</v>
      </c>
      <c r="E54" s="22" t="s">
        <v>13840</v>
      </c>
      <c r="F54" s="22" t="s">
        <v>13841</v>
      </c>
    </row>
    <row r="55" customFormat="false" ht="39.75" hidden="false" customHeight="true" outlineLevel="0" collapsed="false">
      <c r="A55" s="22" t="s">
        <v>13779</v>
      </c>
      <c r="B55" s="22" t="s">
        <v>9943</v>
      </c>
      <c r="C55" s="22" t="s">
        <v>13842</v>
      </c>
      <c r="D55" s="22" t="s">
        <v>13740</v>
      </c>
      <c r="E55" s="22" t="s">
        <v>13843</v>
      </c>
      <c r="F55" s="22" t="s">
        <v>13844</v>
      </c>
    </row>
    <row r="56" customFormat="false" ht="39.75" hidden="false" customHeight="true" outlineLevel="0" collapsed="false">
      <c r="A56" s="30" t="s">
        <v>135</v>
      </c>
      <c r="B56" s="31" t="s">
        <v>13845</v>
      </c>
      <c r="C56" s="31" t="s">
        <v>13732</v>
      </c>
      <c r="D56" s="31" t="s">
        <v>13719</v>
      </c>
      <c r="E56" s="31" t="s">
        <v>13846</v>
      </c>
      <c r="F56" s="31" t="s">
        <v>13847</v>
      </c>
    </row>
    <row r="57" customFormat="false" ht="39.75" hidden="false" customHeight="true" outlineLevel="0" collapsed="false">
      <c r="A57" s="30" t="s">
        <v>135</v>
      </c>
      <c r="B57" s="31" t="s">
        <v>8062</v>
      </c>
      <c r="C57" s="31" t="s">
        <v>13728</v>
      </c>
      <c r="D57" s="31" t="s">
        <v>13719</v>
      </c>
      <c r="E57" s="31" t="s">
        <v>13848</v>
      </c>
      <c r="F57" s="31" t="s">
        <v>13849</v>
      </c>
    </row>
    <row r="58" customFormat="false" ht="39.75" hidden="false" customHeight="true" outlineLevel="0" collapsed="false">
      <c r="A58" s="30" t="s">
        <v>135</v>
      </c>
      <c r="B58" s="31" t="s">
        <v>8063</v>
      </c>
      <c r="C58" s="31" t="s">
        <v>13722</v>
      </c>
      <c r="D58" s="31" t="s">
        <v>13719</v>
      </c>
      <c r="E58" s="31" t="s">
        <v>13850</v>
      </c>
      <c r="F58" s="31" t="s">
        <v>13851</v>
      </c>
    </row>
    <row r="59" customFormat="false" ht="39.75" hidden="false" customHeight="true" outlineLevel="0" collapsed="false">
      <c r="A59" s="30" t="s">
        <v>135</v>
      </c>
      <c r="B59" s="31" t="s">
        <v>1575</v>
      </c>
      <c r="C59" s="31" t="s">
        <v>13852</v>
      </c>
      <c r="D59" s="31" t="s">
        <v>13719</v>
      </c>
      <c r="E59" s="31" t="s">
        <v>13853</v>
      </c>
      <c r="F59" s="31" t="s">
        <v>13854</v>
      </c>
    </row>
    <row r="60" customFormat="false" ht="39.75" hidden="false" customHeight="true" outlineLevel="0" collapsed="false">
      <c r="A60" s="30" t="s">
        <v>135</v>
      </c>
      <c r="B60" s="31" t="s">
        <v>8065</v>
      </c>
      <c r="C60" s="31" t="s">
        <v>13722</v>
      </c>
      <c r="D60" s="31" t="s">
        <v>13719</v>
      </c>
      <c r="E60" s="31" t="s">
        <v>13855</v>
      </c>
      <c r="F60" s="31" t="s">
        <v>13856</v>
      </c>
    </row>
    <row r="61" customFormat="false" ht="39.75" hidden="false" customHeight="true" outlineLevel="0" collapsed="false">
      <c r="A61" s="30" t="s">
        <v>135</v>
      </c>
      <c r="B61" s="31" t="s">
        <v>13857</v>
      </c>
      <c r="C61" s="31" t="s">
        <v>13858</v>
      </c>
      <c r="D61" s="31" t="s">
        <v>13719</v>
      </c>
      <c r="E61" s="31" t="s">
        <v>13859</v>
      </c>
      <c r="F61" s="31" t="s">
        <v>13860</v>
      </c>
    </row>
    <row r="62" customFormat="false" ht="39.75" hidden="false" customHeight="true" outlineLevel="0" collapsed="false">
      <c r="A62" s="30" t="s">
        <v>135</v>
      </c>
      <c r="B62" s="31" t="s">
        <v>13861</v>
      </c>
      <c r="C62" s="31" t="s">
        <v>13862</v>
      </c>
      <c r="D62" s="31" t="s">
        <v>13719</v>
      </c>
      <c r="E62" s="31" t="s">
        <v>13863</v>
      </c>
      <c r="F62" s="31" t="s">
        <v>13864</v>
      </c>
    </row>
    <row r="63" customFormat="false" ht="39.75" hidden="false" customHeight="true" outlineLevel="0" collapsed="false">
      <c r="A63" s="30" t="s">
        <v>135</v>
      </c>
      <c r="B63" s="31" t="s">
        <v>13865</v>
      </c>
      <c r="C63" s="31" t="s">
        <v>13862</v>
      </c>
      <c r="D63" s="31" t="s">
        <v>13719</v>
      </c>
      <c r="E63" s="31" t="s">
        <v>13866</v>
      </c>
      <c r="F63" s="31" t="s">
        <v>13867</v>
      </c>
    </row>
    <row r="64" customFormat="false" ht="39.75" hidden="false" customHeight="true" outlineLevel="0" collapsed="false">
      <c r="A64" s="30" t="s">
        <v>135</v>
      </c>
      <c r="B64" s="31" t="s">
        <v>13868</v>
      </c>
      <c r="C64" s="31" t="s">
        <v>13862</v>
      </c>
      <c r="D64" s="31" t="s">
        <v>13719</v>
      </c>
      <c r="E64" s="31" t="s">
        <v>13869</v>
      </c>
      <c r="F64" s="31" t="s">
        <v>13870</v>
      </c>
    </row>
    <row r="65" customFormat="false" ht="39.75" hidden="false" customHeight="true" outlineLevel="0" collapsed="false">
      <c r="A65" s="30" t="s">
        <v>135</v>
      </c>
      <c r="B65" s="31" t="s">
        <v>13871</v>
      </c>
      <c r="C65" s="31" t="s">
        <v>13862</v>
      </c>
      <c r="D65" s="31" t="s">
        <v>13719</v>
      </c>
      <c r="E65" s="31" t="s">
        <v>13872</v>
      </c>
      <c r="F65" s="31" t="s">
        <v>13873</v>
      </c>
    </row>
    <row r="66" customFormat="false" ht="39.75" hidden="false" customHeight="true" outlineLevel="0" collapsed="false">
      <c r="A66" s="30" t="s">
        <v>135</v>
      </c>
      <c r="B66" s="31" t="s">
        <v>13874</v>
      </c>
      <c r="C66" s="31" t="s">
        <v>13862</v>
      </c>
      <c r="D66" s="31" t="s">
        <v>13719</v>
      </c>
      <c r="E66" s="31" t="s">
        <v>13875</v>
      </c>
      <c r="F66" s="31" t="s">
        <v>13876</v>
      </c>
    </row>
    <row r="67" customFormat="false" ht="39.75" hidden="false" customHeight="true" outlineLevel="0" collapsed="false">
      <c r="A67" s="30" t="s">
        <v>135</v>
      </c>
      <c r="B67" s="31" t="s">
        <v>13877</v>
      </c>
      <c r="C67" s="31" t="s">
        <v>13862</v>
      </c>
      <c r="D67" s="31" t="s">
        <v>13719</v>
      </c>
      <c r="E67" s="31" t="s">
        <v>13878</v>
      </c>
      <c r="F67" s="31" t="s">
        <v>13879</v>
      </c>
    </row>
    <row r="68" customFormat="false" ht="39.75" hidden="false" customHeight="true" outlineLevel="0" collapsed="false">
      <c r="A68" s="30" t="s">
        <v>135</v>
      </c>
      <c r="B68" s="31" t="s">
        <v>13880</v>
      </c>
      <c r="C68" s="31" t="s">
        <v>13862</v>
      </c>
      <c r="D68" s="31" t="s">
        <v>13719</v>
      </c>
      <c r="E68" s="31" t="s">
        <v>13881</v>
      </c>
      <c r="F68" s="31" t="s">
        <v>13882</v>
      </c>
    </row>
    <row r="69" customFormat="false" ht="39.75" hidden="false" customHeight="true" outlineLevel="0" collapsed="false">
      <c r="A69" s="30" t="s">
        <v>135</v>
      </c>
      <c r="B69" s="31" t="s">
        <v>13883</v>
      </c>
      <c r="C69" s="31" t="s">
        <v>13884</v>
      </c>
      <c r="D69" s="31" t="s">
        <v>13719</v>
      </c>
      <c r="E69" s="31" t="s">
        <v>13885</v>
      </c>
      <c r="F69" s="31" t="s">
        <v>13886</v>
      </c>
    </row>
    <row r="70" customFormat="false" ht="39.75" hidden="false" customHeight="true" outlineLevel="0" collapsed="false">
      <c r="A70" s="30" t="s">
        <v>135</v>
      </c>
      <c r="B70" s="31" t="s">
        <v>13887</v>
      </c>
      <c r="C70" s="31" t="s">
        <v>13888</v>
      </c>
      <c r="D70" s="31" t="s">
        <v>13719</v>
      </c>
      <c r="E70" s="31" t="s">
        <v>13889</v>
      </c>
      <c r="F70" s="31" t="s">
        <v>13890</v>
      </c>
    </row>
    <row r="71" customFormat="false" ht="39.75" hidden="false" customHeight="true" outlineLevel="0" collapsed="false">
      <c r="A71" s="30" t="s">
        <v>135</v>
      </c>
      <c r="B71" s="31" t="s">
        <v>13891</v>
      </c>
      <c r="C71" s="31" t="s">
        <v>13892</v>
      </c>
      <c r="D71" s="31" t="s">
        <v>13719</v>
      </c>
      <c r="E71" s="31" t="s">
        <v>13893</v>
      </c>
      <c r="F71" s="31" t="s">
        <v>13894</v>
      </c>
    </row>
    <row r="72" customFormat="false" ht="39.75" hidden="false" customHeight="true" outlineLevel="0" collapsed="false">
      <c r="A72" s="30" t="s">
        <v>135</v>
      </c>
      <c r="B72" s="31" t="s">
        <v>13895</v>
      </c>
      <c r="C72" s="31" t="s">
        <v>13722</v>
      </c>
      <c r="D72" s="31" t="s">
        <v>13719</v>
      </c>
      <c r="E72" s="31" t="s">
        <v>13896</v>
      </c>
      <c r="F72" s="31" t="s">
        <v>13897</v>
      </c>
    </row>
    <row r="73" customFormat="false" ht="39.75" hidden="false" customHeight="true" outlineLevel="0" collapsed="false">
      <c r="A73" s="30" t="s">
        <v>135</v>
      </c>
      <c r="B73" s="31" t="s">
        <v>13898</v>
      </c>
      <c r="C73" s="31" t="s">
        <v>13735</v>
      </c>
      <c r="D73" s="31" t="s">
        <v>13719</v>
      </c>
      <c r="E73" s="31" t="s">
        <v>13899</v>
      </c>
      <c r="F73" s="31" t="s">
        <v>13900</v>
      </c>
    </row>
    <row r="74" customFormat="false" ht="39.75" hidden="false" customHeight="true" outlineLevel="0" collapsed="false">
      <c r="A74" s="30" t="s">
        <v>135</v>
      </c>
      <c r="B74" s="31" t="s">
        <v>9951</v>
      </c>
      <c r="C74" s="31" t="s">
        <v>13725</v>
      </c>
      <c r="D74" s="31" t="s">
        <v>13719</v>
      </c>
      <c r="E74" s="31" t="s">
        <v>13901</v>
      </c>
      <c r="F74" s="31" t="s">
        <v>13902</v>
      </c>
    </row>
    <row r="75" customFormat="false" ht="39.75" hidden="false" customHeight="true" outlineLevel="0" collapsed="false">
      <c r="A75" s="30" t="s">
        <v>135</v>
      </c>
      <c r="B75" s="31" t="s">
        <v>8071</v>
      </c>
      <c r="C75" s="31" t="s">
        <v>13774</v>
      </c>
      <c r="D75" s="31" t="s">
        <v>13740</v>
      </c>
      <c r="E75" s="31" t="s">
        <v>13903</v>
      </c>
      <c r="F75" s="31" t="s">
        <v>13904</v>
      </c>
    </row>
    <row r="76" customFormat="false" ht="39.75" hidden="false" customHeight="true" outlineLevel="0" collapsed="false">
      <c r="A76" s="30" t="s">
        <v>135</v>
      </c>
      <c r="B76" s="31" t="s">
        <v>13905</v>
      </c>
      <c r="C76" s="31" t="s">
        <v>13906</v>
      </c>
      <c r="D76" s="31" t="s">
        <v>13719</v>
      </c>
      <c r="E76" s="31" t="s">
        <v>13907</v>
      </c>
      <c r="F76" s="31" t="s">
        <v>13908</v>
      </c>
    </row>
    <row r="77" customFormat="false" ht="39.75" hidden="false" customHeight="true" outlineLevel="0" collapsed="false">
      <c r="A77" s="30" t="s">
        <v>137</v>
      </c>
      <c r="B77" s="31" t="s">
        <v>13909</v>
      </c>
      <c r="C77" s="31" t="s">
        <v>13718</v>
      </c>
      <c r="D77" s="31" t="s">
        <v>13719</v>
      </c>
      <c r="E77" s="31" t="s">
        <v>13910</v>
      </c>
      <c r="F77" s="31" t="s">
        <v>13911</v>
      </c>
    </row>
    <row r="78" customFormat="false" ht="39.75" hidden="false" customHeight="true" outlineLevel="0" collapsed="false">
      <c r="A78" s="30" t="s">
        <v>137</v>
      </c>
      <c r="B78" s="31" t="s">
        <v>13912</v>
      </c>
      <c r="C78" s="31" t="s">
        <v>13728</v>
      </c>
      <c r="D78" s="31" t="s">
        <v>13719</v>
      </c>
      <c r="E78" s="31" t="s">
        <v>13913</v>
      </c>
      <c r="F78" s="31" t="s">
        <v>13914</v>
      </c>
    </row>
    <row r="79" customFormat="false" ht="39.75" hidden="false" customHeight="true" outlineLevel="0" collapsed="false">
      <c r="A79" s="30" t="s">
        <v>137</v>
      </c>
      <c r="B79" s="31" t="s">
        <v>8062</v>
      </c>
      <c r="C79" s="31" t="s">
        <v>13728</v>
      </c>
      <c r="D79" s="31" t="s">
        <v>13719</v>
      </c>
      <c r="E79" s="31" t="s">
        <v>13915</v>
      </c>
      <c r="F79" s="31" t="s">
        <v>13849</v>
      </c>
    </row>
    <row r="80" customFormat="false" ht="39.75" hidden="false" customHeight="true" outlineLevel="0" collapsed="false">
      <c r="A80" s="30" t="s">
        <v>137</v>
      </c>
      <c r="B80" s="31" t="s">
        <v>13916</v>
      </c>
      <c r="C80" s="31" t="s">
        <v>13722</v>
      </c>
      <c r="D80" s="31" t="s">
        <v>13719</v>
      </c>
      <c r="E80" s="31" t="s">
        <v>13917</v>
      </c>
      <c r="F80" s="31" t="s">
        <v>13918</v>
      </c>
    </row>
    <row r="81" customFormat="false" ht="39.75" hidden="false" customHeight="true" outlineLevel="0" collapsed="false">
      <c r="A81" s="30" t="s">
        <v>137</v>
      </c>
      <c r="B81" s="31" t="s">
        <v>13919</v>
      </c>
      <c r="C81" s="31" t="s">
        <v>13722</v>
      </c>
      <c r="D81" s="31" t="s">
        <v>13740</v>
      </c>
      <c r="E81" s="31" t="s">
        <v>13920</v>
      </c>
      <c r="F81" s="31" t="s">
        <v>13921</v>
      </c>
    </row>
    <row r="82" customFormat="false" ht="39.75" hidden="false" customHeight="true" outlineLevel="0" collapsed="false">
      <c r="A82" s="30" t="s">
        <v>137</v>
      </c>
      <c r="B82" s="31" t="s">
        <v>13922</v>
      </c>
      <c r="C82" s="31" t="s">
        <v>13722</v>
      </c>
      <c r="D82" s="31" t="s">
        <v>13740</v>
      </c>
      <c r="E82" s="31" t="s">
        <v>13923</v>
      </c>
      <c r="F82" s="31" t="s">
        <v>13924</v>
      </c>
    </row>
    <row r="83" customFormat="false" ht="39.75" hidden="false" customHeight="true" outlineLevel="0" collapsed="false">
      <c r="A83" s="30" t="s">
        <v>137</v>
      </c>
      <c r="B83" s="31" t="s">
        <v>13925</v>
      </c>
      <c r="C83" s="31" t="s">
        <v>13722</v>
      </c>
      <c r="D83" s="31" t="s">
        <v>13740</v>
      </c>
      <c r="E83" s="31" t="s">
        <v>13926</v>
      </c>
      <c r="F83" s="31" t="s">
        <v>13927</v>
      </c>
    </row>
    <row r="84" customFormat="false" ht="39.75" hidden="false" customHeight="true" outlineLevel="0" collapsed="false">
      <c r="A84" s="30" t="s">
        <v>137</v>
      </c>
      <c r="B84" s="31" t="s">
        <v>13928</v>
      </c>
      <c r="C84" s="31" t="s">
        <v>13722</v>
      </c>
      <c r="D84" s="31" t="s">
        <v>13740</v>
      </c>
      <c r="E84" s="31" t="s">
        <v>13929</v>
      </c>
      <c r="F84" s="31" t="s">
        <v>13930</v>
      </c>
    </row>
    <row r="85" customFormat="false" ht="39.75" hidden="false" customHeight="true" outlineLevel="0" collapsed="false">
      <c r="A85" s="30" t="s">
        <v>137</v>
      </c>
      <c r="B85" s="31" t="s">
        <v>13931</v>
      </c>
      <c r="C85" s="31" t="s">
        <v>13722</v>
      </c>
      <c r="D85" s="31" t="s">
        <v>13740</v>
      </c>
      <c r="E85" s="31" t="s">
        <v>13932</v>
      </c>
      <c r="F85" s="31" t="s">
        <v>13933</v>
      </c>
    </row>
    <row r="86" customFormat="false" ht="39.75" hidden="false" customHeight="true" outlineLevel="0" collapsed="false">
      <c r="A86" s="30" t="s">
        <v>137</v>
      </c>
      <c r="B86" s="31" t="s">
        <v>13934</v>
      </c>
      <c r="C86" s="31" t="s">
        <v>13722</v>
      </c>
      <c r="D86" s="31" t="s">
        <v>13719</v>
      </c>
      <c r="E86" s="31" t="s">
        <v>13935</v>
      </c>
      <c r="F86" s="31" t="s">
        <v>13936</v>
      </c>
    </row>
    <row r="87" customFormat="false" ht="39.75" hidden="false" customHeight="true" outlineLevel="0" collapsed="false">
      <c r="A87" s="30" t="s">
        <v>137</v>
      </c>
      <c r="B87" s="31" t="s">
        <v>13937</v>
      </c>
      <c r="C87" s="31" t="s">
        <v>13722</v>
      </c>
      <c r="D87" s="31" t="s">
        <v>13740</v>
      </c>
      <c r="E87" s="31" t="s">
        <v>13938</v>
      </c>
      <c r="F87" s="31" t="s">
        <v>13939</v>
      </c>
    </row>
    <row r="88" customFormat="false" ht="39.75" hidden="false" customHeight="true" outlineLevel="0" collapsed="false">
      <c r="A88" s="30" t="s">
        <v>137</v>
      </c>
      <c r="B88" s="31" t="s">
        <v>13575</v>
      </c>
      <c r="C88" s="31" t="s">
        <v>13725</v>
      </c>
      <c r="D88" s="31" t="s">
        <v>13719</v>
      </c>
      <c r="E88" s="31" t="s">
        <v>13940</v>
      </c>
      <c r="F88" s="31" t="s">
        <v>13941</v>
      </c>
    </row>
    <row r="89" customFormat="false" ht="39.75" hidden="false" customHeight="true" outlineLevel="0" collapsed="false">
      <c r="A89" s="30" t="s">
        <v>137</v>
      </c>
      <c r="B89" s="31" t="s">
        <v>13942</v>
      </c>
      <c r="C89" s="31" t="s">
        <v>13735</v>
      </c>
      <c r="D89" s="31" t="s">
        <v>13740</v>
      </c>
      <c r="E89" s="31" t="s">
        <v>13943</v>
      </c>
      <c r="F89" s="31" t="s">
        <v>13944</v>
      </c>
    </row>
    <row r="90" customFormat="false" ht="39.75" hidden="false" customHeight="true" outlineLevel="0" collapsed="false">
      <c r="A90" s="30" t="s">
        <v>137</v>
      </c>
      <c r="B90" s="31" t="s">
        <v>13945</v>
      </c>
      <c r="C90" s="31" t="s">
        <v>13735</v>
      </c>
      <c r="D90" s="31" t="s">
        <v>13740</v>
      </c>
      <c r="E90" s="31" t="s">
        <v>13946</v>
      </c>
      <c r="F90" s="31" t="s">
        <v>13947</v>
      </c>
    </row>
    <row r="91" customFormat="false" ht="39.75" hidden="false" customHeight="true" outlineLevel="0" collapsed="false">
      <c r="A91" s="30" t="s">
        <v>137</v>
      </c>
      <c r="B91" s="31" t="s">
        <v>13559</v>
      </c>
      <c r="C91" s="31" t="s">
        <v>13725</v>
      </c>
      <c r="D91" s="31" t="s">
        <v>13719</v>
      </c>
      <c r="E91" s="31" t="s">
        <v>13948</v>
      </c>
      <c r="F91" s="31" t="s">
        <v>13949</v>
      </c>
    </row>
    <row r="92" customFormat="false" ht="39.75" hidden="false" customHeight="true" outlineLevel="0" collapsed="false">
      <c r="A92" s="30" t="s">
        <v>137</v>
      </c>
      <c r="B92" s="31" t="s">
        <v>13950</v>
      </c>
      <c r="C92" s="31" t="s">
        <v>13722</v>
      </c>
      <c r="D92" s="31" t="s">
        <v>13719</v>
      </c>
      <c r="E92" s="31" t="s">
        <v>13951</v>
      </c>
      <c r="F92" s="31" t="s">
        <v>13952</v>
      </c>
    </row>
    <row r="93" customFormat="false" ht="39.75" hidden="false" customHeight="true" outlineLevel="0" collapsed="false">
      <c r="A93" s="30" t="s">
        <v>137</v>
      </c>
      <c r="B93" s="31" t="s">
        <v>8071</v>
      </c>
      <c r="C93" s="31" t="s">
        <v>13774</v>
      </c>
      <c r="D93" s="31" t="s">
        <v>13740</v>
      </c>
      <c r="E93" s="31" t="s">
        <v>13953</v>
      </c>
      <c r="F93" s="31" t="s">
        <v>13954</v>
      </c>
    </row>
    <row r="94" customFormat="false" ht="39.75" hidden="false" customHeight="true" outlineLevel="0" collapsed="false">
      <c r="A94" s="30" t="s">
        <v>137</v>
      </c>
      <c r="B94" s="31" t="s">
        <v>9951</v>
      </c>
      <c r="C94" s="31" t="s">
        <v>13725</v>
      </c>
      <c r="D94" s="31" t="s">
        <v>13719</v>
      </c>
      <c r="E94" s="31" t="s">
        <v>13955</v>
      </c>
      <c r="F94" s="31" t="s">
        <v>13956</v>
      </c>
    </row>
    <row r="95" customFormat="false" ht="39.75" hidden="false" customHeight="true" outlineLevel="0" collapsed="false">
      <c r="A95" s="30" t="s">
        <v>139</v>
      </c>
      <c r="B95" s="31" t="s">
        <v>13957</v>
      </c>
      <c r="C95" s="31" t="s">
        <v>13718</v>
      </c>
      <c r="D95" s="31" t="s">
        <v>13719</v>
      </c>
      <c r="E95" s="31" t="s">
        <v>13958</v>
      </c>
      <c r="F95" s="31" t="s">
        <v>13911</v>
      </c>
    </row>
    <row r="96" customFormat="false" ht="39.75" hidden="false" customHeight="true" outlineLevel="0" collapsed="false">
      <c r="A96" s="30" t="s">
        <v>139</v>
      </c>
      <c r="B96" s="31" t="s">
        <v>13959</v>
      </c>
      <c r="C96" s="31" t="s">
        <v>13728</v>
      </c>
      <c r="D96" s="31" t="s">
        <v>13960</v>
      </c>
      <c r="E96" s="31" t="s">
        <v>13961</v>
      </c>
      <c r="F96" s="31" t="s">
        <v>13962</v>
      </c>
    </row>
    <row r="97" customFormat="false" ht="39.75" hidden="false" customHeight="true" outlineLevel="0" collapsed="false">
      <c r="A97" s="30" t="s">
        <v>139</v>
      </c>
      <c r="B97" s="31" t="s">
        <v>13963</v>
      </c>
      <c r="C97" s="31" t="s">
        <v>13722</v>
      </c>
      <c r="D97" s="31" t="s">
        <v>13719</v>
      </c>
      <c r="E97" s="31" t="s">
        <v>13964</v>
      </c>
      <c r="F97" s="31" t="s">
        <v>13965</v>
      </c>
    </row>
    <row r="98" customFormat="false" ht="39.75" hidden="false" customHeight="true" outlineLevel="0" collapsed="false">
      <c r="A98" s="30" t="s">
        <v>139</v>
      </c>
      <c r="B98" s="31" t="s">
        <v>13966</v>
      </c>
      <c r="C98" s="31" t="s">
        <v>13722</v>
      </c>
      <c r="D98" s="31" t="s">
        <v>13719</v>
      </c>
      <c r="E98" s="31" t="s">
        <v>13967</v>
      </c>
      <c r="F98" s="31" t="s">
        <v>13968</v>
      </c>
    </row>
    <row r="99" customFormat="false" ht="39.75" hidden="false" customHeight="true" outlineLevel="0" collapsed="false">
      <c r="A99" s="30" t="s">
        <v>139</v>
      </c>
      <c r="B99" s="31" t="s">
        <v>13969</v>
      </c>
      <c r="C99" s="31" t="s">
        <v>13728</v>
      </c>
      <c r="D99" s="31" t="s">
        <v>13719</v>
      </c>
      <c r="E99" s="31" t="s">
        <v>13970</v>
      </c>
      <c r="F99" s="31" t="s">
        <v>13849</v>
      </c>
    </row>
    <row r="100" customFormat="false" ht="39.75" hidden="false" customHeight="true" outlineLevel="0" collapsed="false">
      <c r="A100" s="30" t="s">
        <v>139</v>
      </c>
      <c r="B100" s="31" t="s">
        <v>13971</v>
      </c>
      <c r="C100" s="31" t="s">
        <v>13722</v>
      </c>
      <c r="D100" s="31" t="s">
        <v>13719</v>
      </c>
      <c r="E100" s="31" t="s">
        <v>13972</v>
      </c>
      <c r="F100" s="31" t="s">
        <v>13851</v>
      </c>
    </row>
    <row r="101" customFormat="false" ht="39.75" hidden="false" customHeight="true" outlineLevel="0" collapsed="false">
      <c r="A101" s="30" t="s">
        <v>139</v>
      </c>
      <c r="B101" s="31" t="s">
        <v>13973</v>
      </c>
      <c r="C101" s="31" t="s">
        <v>13722</v>
      </c>
      <c r="D101" s="31" t="s">
        <v>13719</v>
      </c>
      <c r="E101" s="31" t="s">
        <v>13974</v>
      </c>
      <c r="F101" s="31" t="s">
        <v>13975</v>
      </c>
    </row>
    <row r="102" customFormat="false" ht="39.75" hidden="false" customHeight="true" outlineLevel="0" collapsed="false">
      <c r="A102" s="30" t="s">
        <v>139</v>
      </c>
      <c r="B102" s="31" t="s">
        <v>13976</v>
      </c>
      <c r="C102" s="31" t="s">
        <v>13722</v>
      </c>
      <c r="D102" s="31" t="s">
        <v>13740</v>
      </c>
      <c r="E102" s="31" t="s">
        <v>13977</v>
      </c>
      <c r="F102" s="31" t="s">
        <v>13978</v>
      </c>
    </row>
    <row r="103" customFormat="false" ht="39.75" hidden="false" customHeight="true" outlineLevel="0" collapsed="false">
      <c r="A103" s="30" t="s">
        <v>139</v>
      </c>
      <c r="B103" s="31" t="s">
        <v>13512</v>
      </c>
      <c r="C103" s="31" t="s">
        <v>13725</v>
      </c>
      <c r="D103" s="31" t="s">
        <v>13719</v>
      </c>
      <c r="E103" s="31" t="s">
        <v>13979</v>
      </c>
      <c r="F103" s="31" t="s">
        <v>13980</v>
      </c>
    </row>
    <row r="104" customFormat="false" ht="39.75" hidden="false" customHeight="true" outlineLevel="0" collapsed="false">
      <c r="A104" s="30" t="s">
        <v>139</v>
      </c>
      <c r="B104" s="31" t="s">
        <v>13981</v>
      </c>
      <c r="C104" s="31" t="s">
        <v>13735</v>
      </c>
      <c r="D104" s="31" t="s">
        <v>13719</v>
      </c>
      <c r="E104" s="31" t="s">
        <v>13982</v>
      </c>
      <c r="F104" s="31" t="s">
        <v>13983</v>
      </c>
    </row>
    <row r="105" customFormat="false" ht="39.75" hidden="false" customHeight="true" outlineLevel="0" collapsed="false">
      <c r="A105" s="30" t="s">
        <v>139</v>
      </c>
      <c r="B105" s="31" t="s">
        <v>13984</v>
      </c>
      <c r="C105" s="31" t="s">
        <v>13735</v>
      </c>
      <c r="D105" s="31" t="s">
        <v>13719</v>
      </c>
      <c r="E105" s="31" t="s">
        <v>13985</v>
      </c>
      <c r="F105" s="31" t="s">
        <v>13986</v>
      </c>
    </row>
    <row r="106" customFormat="false" ht="39.75" hidden="false" customHeight="true" outlineLevel="0" collapsed="false">
      <c r="A106" s="30" t="s">
        <v>139</v>
      </c>
      <c r="B106" s="31" t="s">
        <v>13987</v>
      </c>
      <c r="C106" s="31" t="s">
        <v>13735</v>
      </c>
      <c r="D106" s="31" t="s">
        <v>13740</v>
      </c>
      <c r="E106" s="31" t="s">
        <v>13988</v>
      </c>
      <c r="F106" s="31" t="s">
        <v>13989</v>
      </c>
    </row>
    <row r="107" customFormat="false" ht="39.75" hidden="false" customHeight="true" outlineLevel="0" collapsed="false">
      <c r="A107" s="30" t="s">
        <v>139</v>
      </c>
      <c r="B107" s="31" t="s">
        <v>13990</v>
      </c>
      <c r="C107" s="31" t="s">
        <v>13725</v>
      </c>
      <c r="D107" s="31" t="s">
        <v>13719</v>
      </c>
      <c r="E107" s="31" t="s">
        <v>13991</v>
      </c>
      <c r="F107" s="31" t="s">
        <v>13992</v>
      </c>
    </row>
    <row r="108" customFormat="false" ht="39.75" hidden="false" customHeight="true" outlineLevel="0" collapsed="false">
      <c r="A108" s="30" t="s">
        <v>139</v>
      </c>
      <c r="B108" s="31" t="s">
        <v>9949</v>
      </c>
      <c r="C108" s="31" t="s">
        <v>13725</v>
      </c>
      <c r="D108" s="31" t="s">
        <v>13719</v>
      </c>
      <c r="E108" s="31" t="s">
        <v>13993</v>
      </c>
      <c r="F108" s="31" t="s">
        <v>13994</v>
      </c>
    </row>
    <row r="109" customFormat="false" ht="39.75" hidden="false" customHeight="true" outlineLevel="0" collapsed="false">
      <c r="A109" s="30" t="s">
        <v>139</v>
      </c>
      <c r="B109" s="31" t="s">
        <v>9950</v>
      </c>
      <c r="C109" s="31" t="s">
        <v>13735</v>
      </c>
      <c r="D109" s="31" t="s">
        <v>13719</v>
      </c>
      <c r="E109" s="31" t="s">
        <v>13995</v>
      </c>
      <c r="F109" s="31" t="s">
        <v>13996</v>
      </c>
    </row>
    <row r="110" customFormat="false" ht="39.75" hidden="false" customHeight="true" outlineLevel="0" collapsed="false">
      <c r="A110" s="30" t="s">
        <v>139</v>
      </c>
      <c r="B110" s="31" t="s">
        <v>8071</v>
      </c>
      <c r="C110" s="31" t="s">
        <v>13774</v>
      </c>
      <c r="D110" s="31" t="s">
        <v>13740</v>
      </c>
      <c r="E110" s="31" t="s">
        <v>13997</v>
      </c>
      <c r="F110" s="31" t="s">
        <v>13998</v>
      </c>
    </row>
    <row r="111" customFormat="false" ht="39.75" hidden="false" customHeight="true" outlineLevel="0" collapsed="false">
      <c r="A111" s="30" t="s">
        <v>139</v>
      </c>
      <c r="B111" s="31" t="s">
        <v>9951</v>
      </c>
      <c r="C111" s="31" t="s">
        <v>13725</v>
      </c>
      <c r="D111" s="31" t="s">
        <v>13719</v>
      </c>
      <c r="E111" s="31" t="s">
        <v>13955</v>
      </c>
      <c r="F111" s="31" t="s">
        <v>13999</v>
      </c>
    </row>
    <row r="112" customFormat="false" ht="15" hidden="false" customHeight="false" outlineLevel="0" collapsed="false">
      <c r="A112" s="1" t="s">
        <v>14000</v>
      </c>
      <c r="B112" s="1" t="s">
        <v>14001</v>
      </c>
      <c r="C112" s="1" t="s">
        <v>13718</v>
      </c>
      <c r="D112" s="1" t="s">
        <v>13719</v>
      </c>
      <c r="E112" s="1" t="s">
        <v>14002</v>
      </c>
      <c r="F112" s="1" t="s">
        <v>14003</v>
      </c>
    </row>
    <row r="113" customFormat="false" ht="15" hidden="false" customHeight="false" outlineLevel="0" collapsed="false">
      <c r="A113" s="1" t="s">
        <v>14000</v>
      </c>
      <c r="B113" s="1" t="s">
        <v>14004</v>
      </c>
      <c r="C113" s="1" t="s">
        <v>13722</v>
      </c>
      <c r="D113" s="1" t="s">
        <v>13719</v>
      </c>
      <c r="E113" s="1" t="s">
        <v>14005</v>
      </c>
      <c r="F113" s="1" t="s">
        <v>14006</v>
      </c>
    </row>
    <row r="114" customFormat="false" ht="15" hidden="false" customHeight="false" outlineLevel="0" collapsed="false">
      <c r="A114" s="1" t="s">
        <v>14000</v>
      </c>
      <c r="B114" s="1" t="s">
        <v>14007</v>
      </c>
      <c r="C114" s="1" t="s">
        <v>13795</v>
      </c>
      <c r="D114" s="1" t="s">
        <v>13740</v>
      </c>
      <c r="E114" s="1" t="s">
        <v>14008</v>
      </c>
      <c r="F114" s="1" t="s">
        <v>14009</v>
      </c>
    </row>
    <row r="115" customFormat="false" ht="15" hidden="false" customHeight="false" outlineLevel="0" collapsed="false">
      <c r="A115" s="1" t="s">
        <v>14010</v>
      </c>
      <c r="B115" s="1" t="s">
        <v>14011</v>
      </c>
      <c r="C115" s="1" t="s">
        <v>13725</v>
      </c>
      <c r="D115" s="1" t="s">
        <v>13719</v>
      </c>
      <c r="E115" s="1" t="s">
        <v>14012</v>
      </c>
      <c r="F115" s="1" t="s">
        <v>14013</v>
      </c>
    </row>
    <row r="116" customFormat="false" ht="15" hidden="false" customHeight="false" outlineLevel="0" collapsed="false">
      <c r="A116" s="1" t="s">
        <v>14014</v>
      </c>
      <c r="B116" s="1" t="s">
        <v>14015</v>
      </c>
      <c r="C116" s="1" t="s">
        <v>13725</v>
      </c>
      <c r="D116" s="1" t="s">
        <v>13719</v>
      </c>
      <c r="E116" s="1" t="s">
        <v>14016</v>
      </c>
      <c r="F116" s="1" t="s">
        <v>14017</v>
      </c>
    </row>
    <row r="117" customFormat="false" ht="15" hidden="false" customHeight="false" outlineLevel="0" collapsed="false">
      <c r="A117" s="1" t="s">
        <v>14014</v>
      </c>
      <c r="B117" s="1" t="s">
        <v>14018</v>
      </c>
      <c r="C117" s="1" t="s">
        <v>13725</v>
      </c>
      <c r="D117" s="1" t="s">
        <v>13719</v>
      </c>
      <c r="E117" s="1" t="s">
        <v>14019</v>
      </c>
      <c r="F117" s="1" t="s">
        <v>14020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2.97"/>
    <col collapsed="false" customWidth="true" hidden="false" outlineLevel="0" max="3" min="3" style="1" width="39.57"/>
    <col collapsed="false" customWidth="true" hidden="false" outlineLevel="0" max="4" min="4" style="1" width="63.75"/>
    <col collapsed="false" customWidth="true" hidden="false" outlineLevel="0" max="6" min="5" style="1" width="17.59"/>
  </cols>
  <sheetData>
    <row r="1" customFormat="false" ht="33.75" hidden="false" customHeight="true" outlineLevel="0" collapsed="false">
      <c r="A1" s="29" t="s">
        <v>14021</v>
      </c>
      <c r="B1" s="29" t="s">
        <v>14022</v>
      </c>
      <c r="C1" s="29" t="s">
        <v>13607</v>
      </c>
      <c r="D1" s="29" t="s">
        <v>14023</v>
      </c>
      <c r="E1" s="29" t="s">
        <v>14024</v>
      </c>
      <c r="F1" s="29" t="s">
        <v>8072</v>
      </c>
    </row>
    <row r="2" customFormat="false" ht="42" hidden="false" customHeight="true" outlineLevel="0" collapsed="false">
      <c r="A2" s="22" t="s">
        <v>14025</v>
      </c>
      <c r="B2" s="22" t="s">
        <v>14026</v>
      </c>
      <c r="C2" s="22" t="s">
        <v>14027</v>
      </c>
      <c r="D2" s="22" t="s">
        <v>14028</v>
      </c>
      <c r="E2" s="22" t="s">
        <v>14029</v>
      </c>
      <c r="F2" s="22" t="s">
        <v>14030</v>
      </c>
    </row>
    <row r="3" customFormat="false" ht="42" hidden="false" customHeight="true" outlineLevel="0" collapsed="false">
      <c r="A3" s="22" t="s">
        <v>14031</v>
      </c>
      <c r="B3" s="22" t="s">
        <v>14032</v>
      </c>
      <c r="C3" s="22" t="s">
        <v>14033</v>
      </c>
      <c r="D3" s="22" t="s">
        <v>14034</v>
      </c>
      <c r="E3" s="22" t="s">
        <v>14029</v>
      </c>
      <c r="F3" s="22" t="s">
        <v>14030</v>
      </c>
    </row>
    <row r="4" customFormat="false" ht="42" hidden="false" customHeight="true" outlineLevel="0" collapsed="false">
      <c r="A4" s="22" t="s">
        <v>14035</v>
      </c>
      <c r="B4" s="22" t="s">
        <v>14036</v>
      </c>
      <c r="C4" s="22" t="s">
        <v>8719</v>
      </c>
      <c r="D4" s="22" t="s">
        <v>14037</v>
      </c>
      <c r="E4" s="22" t="s">
        <v>14029</v>
      </c>
      <c r="F4" s="22" t="s">
        <v>14030</v>
      </c>
    </row>
    <row r="5" customFormat="false" ht="42" hidden="false" customHeight="true" outlineLevel="0" collapsed="false">
      <c r="A5" s="22" t="s">
        <v>14038</v>
      </c>
      <c r="B5" s="22" t="s">
        <v>14039</v>
      </c>
      <c r="C5" s="22" t="s">
        <v>8998</v>
      </c>
      <c r="D5" s="22" t="s">
        <v>14040</v>
      </c>
      <c r="E5" s="22" t="s">
        <v>14029</v>
      </c>
      <c r="F5" s="22" t="s">
        <v>14030</v>
      </c>
    </row>
    <row r="6" customFormat="false" ht="42" hidden="false" customHeight="true" outlineLevel="0" collapsed="false">
      <c r="A6" s="22" t="s">
        <v>14041</v>
      </c>
      <c r="B6" s="22" t="s">
        <v>14042</v>
      </c>
      <c r="C6" s="22" t="s">
        <v>14043</v>
      </c>
      <c r="D6" s="22" t="s">
        <v>14044</v>
      </c>
      <c r="E6" s="22" t="s">
        <v>14029</v>
      </c>
      <c r="F6" s="22" t="s">
        <v>14030</v>
      </c>
    </row>
    <row r="7" customFormat="false" ht="42" hidden="false" customHeight="true" outlineLevel="0" collapsed="false">
      <c r="A7" s="22" t="s">
        <v>14045</v>
      </c>
      <c r="B7" s="22" t="s">
        <v>14046</v>
      </c>
      <c r="C7" s="22" t="s">
        <v>14047</v>
      </c>
      <c r="D7" s="22" t="s">
        <v>14048</v>
      </c>
      <c r="E7" s="22" t="s">
        <v>14029</v>
      </c>
      <c r="F7" s="22" t="s">
        <v>14030</v>
      </c>
    </row>
    <row r="8" customFormat="false" ht="42" hidden="false" customHeight="true" outlineLevel="0" collapsed="false">
      <c r="A8" s="22" t="s">
        <v>14049</v>
      </c>
      <c r="B8" s="22" t="s">
        <v>14050</v>
      </c>
      <c r="C8" s="22" t="s">
        <v>14051</v>
      </c>
      <c r="D8" s="22" t="s">
        <v>14052</v>
      </c>
      <c r="E8" s="22" t="s">
        <v>14029</v>
      </c>
      <c r="F8" s="22" t="s">
        <v>14030</v>
      </c>
    </row>
    <row r="9" customFormat="false" ht="42" hidden="false" customHeight="true" outlineLevel="0" collapsed="false">
      <c r="A9" s="22" t="s">
        <v>14053</v>
      </c>
      <c r="B9" s="22" t="s">
        <v>14054</v>
      </c>
      <c r="C9" s="22" t="s">
        <v>14055</v>
      </c>
      <c r="D9" s="22" t="s">
        <v>14056</v>
      </c>
      <c r="E9" s="22" t="s">
        <v>14057</v>
      </c>
      <c r="F9" s="22" t="s">
        <v>14030</v>
      </c>
    </row>
    <row r="10" customFormat="false" ht="42" hidden="false" customHeight="true" outlineLevel="0" collapsed="false">
      <c r="A10" s="22" t="s">
        <v>14058</v>
      </c>
      <c r="B10" s="22" t="s">
        <v>14059</v>
      </c>
      <c r="C10" s="22" t="s">
        <v>14060</v>
      </c>
      <c r="D10" s="22" t="s">
        <v>14061</v>
      </c>
      <c r="E10" s="22" t="s">
        <v>14029</v>
      </c>
      <c r="F10" s="22" t="s">
        <v>14062</v>
      </c>
    </row>
    <row r="11" customFormat="false" ht="42" hidden="false" customHeight="true" outlineLevel="0" collapsed="false">
      <c r="A11" s="22" t="s">
        <v>14063</v>
      </c>
      <c r="B11" s="22" t="s">
        <v>14064</v>
      </c>
      <c r="C11" s="22" t="s">
        <v>14065</v>
      </c>
      <c r="D11" s="22" t="s">
        <v>14066</v>
      </c>
      <c r="E11" s="22" t="s">
        <v>14029</v>
      </c>
      <c r="F11" s="22" t="s">
        <v>14030</v>
      </c>
    </row>
    <row r="12" customFormat="false" ht="42" hidden="false" customHeight="true" outlineLevel="0" collapsed="false">
      <c r="A12" s="22" t="s">
        <v>14067</v>
      </c>
      <c r="B12" s="22" t="s">
        <v>14068</v>
      </c>
      <c r="C12" s="22" t="s">
        <v>14069</v>
      </c>
      <c r="D12" s="22" t="s">
        <v>14070</v>
      </c>
      <c r="E12" s="22" t="s">
        <v>14029</v>
      </c>
      <c r="F12" s="22" t="s">
        <v>14030</v>
      </c>
    </row>
    <row r="13" customFormat="false" ht="42" hidden="false" customHeight="true" outlineLevel="0" collapsed="false">
      <c r="A13" s="22" t="s">
        <v>14071</v>
      </c>
      <c r="B13" s="22" t="s">
        <v>14072</v>
      </c>
      <c r="C13" s="22" t="s">
        <v>14073</v>
      </c>
      <c r="D13" s="22" t="s">
        <v>14074</v>
      </c>
      <c r="E13" s="22" t="s">
        <v>14029</v>
      </c>
      <c r="F13" s="22" t="s">
        <v>14030</v>
      </c>
    </row>
    <row r="14" customFormat="false" ht="42" hidden="false" customHeight="true" outlineLevel="0" collapsed="false">
      <c r="A14" s="22" t="s">
        <v>14075</v>
      </c>
      <c r="B14" s="22" t="s">
        <v>14076</v>
      </c>
      <c r="C14" s="22" t="s">
        <v>14077</v>
      </c>
      <c r="D14" s="22" t="s">
        <v>14078</v>
      </c>
      <c r="E14" s="22" t="s">
        <v>14057</v>
      </c>
      <c r="F14" s="22" t="s">
        <v>14030</v>
      </c>
    </row>
    <row r="15" customFormat="false" ht="42" hidden="false" customHeight="true" outlineLevel="0" collapsed="false">
      <c r="A15" s="22" t="s">
        <v>14079</v>
      </c>
      <c r="B15" s="22" t="s">
        <v>14080</v>
      </c>
      <c r="C15" s="22" t="s">
        <v>13633</v>
      </c>
      <c r="D15" s="22" t="s">
        <v>14081</v>
      </c>
      <c r="E15" s="22" t="s">
        <v>14057</v>
      </c>
      <c r="F15" s="22" t="s">
        <v>14030</v>
      </c>
    </row>
    <row r="16" customFormat="false" ht="42" hidden="false" customHeight="true" outlineLevel="0" collapsed="false">
      <c r="A16" s="22" t="s">
        <v>14082</v>
      </c>
      <c r="B16" s="22" t="s">
        <v>14083</v>
      </c>
      <c r="C16" s="22" t="s">
        <v>14084</v>
      </c>
      <c r="D16" s="22" t="s">
        <v>14085</v>
      </c>
      <c r="E16" s="22" t="s">
        <v>14057</v>
      </c>
      <c r="F16" s="22" t="s">
        <v>14030</v>
      </c>
    </row>
    <row r="17" customFormat="false" ht="42" hidden="false" customHeight="true" outlineLevel="0" collapsed="false">
      <c r="A17" s="22" t="s">
        <v>14086</v>
      </c>
      <c r="B17" s="22" t="s">
        <v>14087</v>
      </c>
      <c r="C17" s="22" t="s">
        <v>14088</v>
      </c>
      <c r="D17" s="22" t="s">
        <v>14089</v>
      </c>
      <c r="E17" s="22" t="s">
        <v>14057</v>
      </c>
      <c r="F17" s="22" t="s">
        <v>14030</v>
      </c>
    </row>
    <row r="18" customFormat="false" ht="42" hidden="false" customHeight="true" outlineLevel="0" collapsed="false">
      <c r="A18" s="22" t="s">
        <v>14090</v>
      </c>
      <c r="B18" s="22" t="s">
        <v>14091</v>
      </c>
      <c r="C18" s="22" t="s">
        <v>14092</v>
      </c>
      <c r="D18" s="22" t="s">
        <v>14093</v>
      </c>
      <c r="E18" s="22" t="s">
        <v>14029</v>
      </c>
      <c r="F18" s="22" t="s">
        <v>14030</v>
      </c>
    </row>
    <row r="19" customFormat="false" ht="42" hidden="false" customHeight="true" outlineLevel="0" collapsed="false">
      <c r="A19" s="22" t="s">
        <v>14094</v>
      </c>
      <c r="B19" s="22" t="s">
        <v>14095</v>
      </c>
      <c r="C19" s="22" t="s">
        <v>14096</v>
      </c>
      <c r="D19" s="22" t="s">
        <v>14097</v>
      </c>
      <c r="E19" s="22" t="s">
        <v>14057</v>
      </c>
      <c r="F19" s="22" t="s">
        <v>14030</v>
      </c>
    </row>
    <row r="20" customFormat="false" ht="42" hidden="false" customHeight="true" outlineLevel="0" collapsed="false">
      <c r="A20" s="22" t="s">
        <v>14098</v>
      </c>
      <c r="B20" s="22" t="s">
        <v>14099</v>
      </c>
      <c r="C20" s="22" t="s">
        <v>14100</v>
      </c>
      <c r="D20" s="22" t="s">
        <v>14101</v>
      </c>
      <c r="E20" s="22" t="s">
        <v>14029</v>
      </c>
      <c r="F20" s="22" t="s">
        <v>14030</v>
      </c>
    </row>
    <row r="21" customFormat="false" ht="42" hidden="false" customHeight="true" outlineLevel="0" collapsed="false">
      <c r="A21" s="22" t="s">
        <v>14102</v>
      </c>
      <c r="B21" s="22" t="s">
        <v>14103</v>
      </c>
      <c r="C21" s="22" t="s">
        <v>14092</v>
      </c>
      <c r="D21" s="22" t="s">
        <v>14104</v>
      </c>
      <c r="E21" s="22" t="s">
        <v>14057</v>
      </c>
      <c r="F21" s="22" t="s">
        <v>14030</v>
      </c>
    </row>
    <row r="22" customFormat="false" ht="42" hidden="false" customHeight="true" outlineLevel="0" collapsed="false">
      <c r="A22" s="30" t="s">
        <v>14105</v>
      </c>
      <c r="B22" s="31" t="s">
        <v>14106</v>
      </c>
      <c r="C22" s="31" t="s">
        <v>14107</v>
      </c>
      <c r="D22" s="31" t="s">
        <v>14108</v>
      </c>
      <c r="E22" s="31" t="s">
        <v>14029</v>
      </c>
      <c r="F22" s="31" t="s">
        <v>14109</v>
      </c>
    </row>
    <row r="23" customFormat="false" ht="42" hidden="false" customHeight="true" outlineLevel="0" collapsed="false">
      <c r="A23" s="30" t="s">
        <v>14110</v>
      </c>
      <c r="B23" s="31" t="s">
        <v>14111</v>
      </c>
      <c r="C23" s="31" t="s">
        <v>14112</v>
      </c>
      <c r="D23" s="31" t="s">
        <v>14113</v>
      </c>
      <c r="E23" s="31" t="s">
        <v>14029</v>
      </c>
      <c r="F23" s="31" t="s">
        <v>14114</v>
      </c>
    </row>
    <row r="24" customFormat="false" ht="42" hidden="false" customHeight="true" outlineLevel="0" collapsed="false">
      <c r="A24" s="30" t="s">
        <v>14115</v>
      </c>
      <c r="B24" s="31" t="s">
        <v>14116</v>
      </c>
      <c r="C24" s="31" t="s">
        <v>14092</v>
      </c>
      <c r="D24" s="31" t="s">
        <v>14117</v>
      </c>
      <c r="E24" s="31" t="s">
        <v>14029</v>
      </c>
      <c r="F24" s="31" t="s">
        <v>14030</v>
      </c>
    </row>
    <row r="25" customFormat="false" ht="42" hidden="false" customHeight="true" outlineLevel="0" collapsed="false">
      <c r="A25" s="30" t="s">
        <v>14118</v>
      </c>
      <c r="B25" s="31" t="s">
        <v>14119</v>
      </c>
      <c r="C25" s="31" t="s">
        <v>14120</v>
      </c>
      <c r="D25" s="31" t="s">
        <v>14121</v>
      </c>
      <c r="E25" s="31" t="s">
        <v>14029</v>
      </c>
      <c r="F25" s="31" t="s">
        <v>14030</v>
      </c>
    </row>
    <row r="26" customFormat="false" ht="42" hidden="false" customHeight="true" outlineLevel="0" collapsed="false">
      <c r="A26" s="30" t="s">
        <v>14122</v>
      </c>
      <c r="B26" s="31" t="s">
        <v>14123</v>
      </c>
      <c r="C26" s="31" t="s">
        <v>14124</v>
      </c>
      <c r="D26" s="31" t="s">
        <v>14125</v>
      </c>
      <c r="E26" s="31" t="s">
        <v>14057</v>
      </c>
      <c r="F26" s="31" t="s">
        <v>14030</v>
      </c>
    </row>
    <row r="27" customFormat="false" ht="42" hidden="false" customHeight="true" outlineLevel="0" collapsed="false">
      <c r="A27" s="30" t="s">
        <v>14126</v>
      </c>
      <c r="B27" s="31" t="s">
        <v>14127</v>
      </c>
      <c r="C27" s="31" t="s">
        <v>14128</v>
      </c>
      <c r="D27" s="31" t="s">
        <v>14129</v>
      </c>
      <c r="E27" s="31" t="s">
        <v>14057</v>
      </c>
      <c r="F27" s="31" t="s">
        <v>14030</v>
      </c>
    </row>
  </sheetData>
  <conditionalFormatting sqref="E2:E21">
    <cfRule type="expression" priority="2" aboveAverage="0" equalAverage="0" bottom="0" percent="0" rank="0" text="" dxfId="32">
      <formula>$E2="High"</formula>
    </cfRule>
    <cfRule type="expression" priority="3" aboveAverage="0" equalAverage="0" bottom="0" percent="0" rank="0" text="" dxfId="30">
      <formula>$E2="Major"</formula>
    </cfRule>
  </conditionalFormatting>
  <conditionalFormatting sqref="F2:F21">
    <cfRule type="expression" priority="4" aboveAverage="0" equalAverage="0" bottom="0" percent="0" rank="0" text="" dxfId="24">
      <formula>$F2="Open"</formula>
    </cfRule>
  </conditionalFormatting>
  <dataValidations count="2">
    <dataValidation allowBlank="false" errorStyle="stop" operator="between" showDropDown="false" showErrorMessage="false" showInputMessage="false" sqref="E2:E21" type="list">
      <formula1>"High,Major,Moderate,Low"</formula1>
      <formula2>0</formula2>
    </dataValidation>
    <dataValidation allowBlank="false" errorStyle="stop" operator="between" showDropDown="false" showErrorMessage="false" showInputMessage="false" sqref="F2:F21" type="list">
      <formula1>"Open,In progress,Blocked,Complete"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2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2" min="1" style="1" width="12.09"/>
    <col collapsed="false" customWidth="true" hidden="false" outlineLevel="0" max="3" min="3" style="1" width="34.07"/>
    <col collapsed="false" customWidth="true" hidden="false" outlineLevel="0" max="4" min="4" style="1" width="25.28"/>
    <col collapsed="false" customWidth="true" hidden="false" outlineLevel="0" max="5" min="5" style="1" width="30.77"/>
    <col collapsed="false" customWidth="true" hidden="false" outlineLevel="0" max="7" min="6" style="1" width="13.19"/>
    <col collapsed="false" customWidth="true" hidden="false" outlineLevel="0" max="8" min="8" style="1" width="12.09"/>
    <col collapsed="false" customWidth="true" hidden="false" outlineLevel="0" max="10" min="9" style="1" width="13.19"/>
    <col collapsed="false" customWidth="true" hidden="false" outlineLevel="0" max="13" min="11" style="1" width="12.09"/>
    <col collapsed="false" customWidth="true" hidden="false" outlineLevel="0" max="14" min="14" style="1" width="13.19"/>
    <col collapsed="false" customWidth="true" hidden="false" outlineLevel="0" max="15" min="15" style="1" width="14.29"/>
    <col collapsed="false" customWidth="true" hidden="false" outlineLevel="0" max="16" min="16" style="1" width="25.28"/>
    <col collapsed="false" customWidth="true" hidden="false" outlineLevel="0" max="17" min="17" style="1" width="26.38"/>
    <col collapsed="false" customWidth="true" hidden="false" outlineLevel="0" max="18" min="18" style="1" width="46.16"/>
    <col collapsed="false" customWidth="true" hidden="false" outlineLevel="0" max="19" min="19" style="1" width="30.77"/>
    <col collapsed="false" customWidth="true" hidden="false" outlineLevel="0" max="20" min="20" style="1" width="37.37"/>
    <col collapsed="false" customWidth="true" hidden="false" outlineLevel="0" max="21" min="21" style="1" width="14.29"/>
    <col collapsed="false" customWidth="true" hidden="false" outlineLevel="0" max="23" min="23" style="1" width="28.58"/>
    <col collapsed="false" customWidth="true" hidden="false" outlineLevel="0" max="24" min="24" style="1" width="13.19"/>
  </cols>
  <sheetData>
    <row r="1" customFormat="false" ht="27.75" hidden="false" customHeight="true" outlineLevel="0" collapsed="false">
      <c r="A1" s="2" t="s">
        <v>14130</v>
      </c>
      <c r="B1" s="2"/>
      <c r="C1" s="2"/>
      <c r="D1" s="2"/>
      <c r="E1" s="2"/>
      <c r="F1" s="2"/>
      <c r="G1" s="2"/>
      <c r="H1" s="2"/>
      <c r="I1" s="2"/>
      <c r="J1" s="2"/>
      <c r="K1" s="2"/>
      <c r="L1" s="2"/>
      <c r="M1" s="2"/>
      <c r="N1" s="2"/>
      <c r="O1" s="2"/>
      <c r="P1" s="2"/>
      <c r="Q1" s="2"/>
      <c r="R1" s="2"/>
      <c r="S1" s="2"/>
      <c r="T1" s="2"/>
      <c r="U1" s="2"/>
      <c r="W1" s="37" t="s">
        <v>14131</v>
      </c>
      <c r="X1" s="37" t="s">
        <v>14132</v>
      </c>
    </row>
    <row r="2" customFormat="false" ht="30" hidden="false" customHeight="true" outlineLevel="0" collapsed="false">
      <c r="A2" s="38" t="s">
        <v>14133</v>
      </c>
      <c r="B2" s="38"/>
      <c r="C2" s="38"/>
      <c r="D2" s="38"/>
      <c r="E2" s="38"/>
      <c r="F2" s="38"/>
      <c r="G2" s="38"/>
      <c r="H2" s="38"/>
      <c r="I2" s="38"/>
      <c r="J2" s="38"/>
      <c r="K2" s="38"/>
      <c r="L2" s="38"/>
      <c r="M2" s="38"/>
      <c r="N2" s="38"/>
      <c r="O2" s="38"/>
      <c r="P2" s="38"/>
      <c r="Q2" s="38"/>
      <c r="R2" s="38"/>
      <c r="S2" s="38"/>
      <c r="T2" s="38"/>
      <c r="U2" s="38"/>
      <c r="W2" s="1" t="s">
        <v>14134</v>
      </c>
      <c r="X2" s="1" t="n">
        <v>25</v>
      </c>
    </row>
    <row r="3" customFormat="false" ht="42" hidden="false" customHeight="true" outlineLevel="0" collapsed="false">
      <c r="A3" s="39" t="s">
        <v>14135</v>
      </c>
      <c r="B3" s="39"/>
      <c r="C3" s="39"/>
      <c r="D3" s="39"/>
      <c r="E3" s="39"/>
      <c r="F3" s="39"/>
      <c r="G3" s="39"/>
      <c r="H3" s="39"/>
      <c r="I3" s="39"/>
      <c r="J3" s="39"/>
      <c r="K3" s="39"/>
      <c r="L3" s="39"/>
      <c r="M3" s="39"/>
      <c r="N3" s="39"/>
      <c r="O3" s="39"/>
      <c r="P3" s="39"/>
      <c r="Q3" s="39"/>
      <c r="R3" s="39"/>
      <c r="S3" s="39"/>
      <c r="T3" s="39"/>
      <c r="U3" s="39"/>
      <c r="W3" s="1" t="s">
        <v>14136</v>
      </c>
      <c r="X3" s="1" t="n">
        <v>15</v>
      </c>
    </row>
    <row r="4" customFormat="false" ht="15" hidden="false" customHeight="false" outlineLevel="0" collapsed="false">
      <c r="W4" s="1" t="s">
        <v>14137</v>
      </c>
      <c r="X4" s="1" t="n">
        <v>15</v>
      </c>
    </row>
    <row r="5" customFormat="false" ht="15" hidden="false" customHeight="false" outlineLevel="0" collapsed="false">
      <c r="W5" s="1" t="s">
        <v>13637</v>
      </c>
      <c r="X5" s="1" t="n">
        <v>15</v>
      </c>
    </row>
    <row r="6" customFormat="false" ht="42" hidden="false" customHeight="true" outlineLevel="0" collapsed="false">
      <c r="A6" s="37" t="s">
        <v>13845</v>
      </c>
      <c r="B6" s="37" t="s">
        <v>8062</v>
      </c>
      <c r="C6" s="37" t="s">
        <v>8063</v>
      </c>
      <c r="D6" s="37" t="s">
        <v>1575</v>
      </c>
      <c r="E6" s="37" t="s">
        <v>8065</v>
      </c>
      <c r="F6" s="37" t="s">
        <v>13857</v>
      </c>
      <c r="G6" s="37" t="s">
        <v>13861</v>
      </c>
      <c r="H6" s="37" t="s">
        <v>13865</v>
      </c>
      <c r="I6" s="37" t="s">
        <v>13868</v>
      </c>
      <c r="J6" s="37" t="s">
        <v>13871</v>
      </c>
      <c r="K6" s="37" t="s">
        <v>13874</v>
      </c>
      <c r="L6" s="37" t="s">
        <v>13877</v>
      </c>
      <c r="M6" s="37" t="s">
        <v>13880</v>
      </c>
      <c r="N6" s="37" t="s">
        <v>13883</v>
      </c>
      <c r="O6" s="37" t="s">
        <v>13887</v>
      </c>
      <c r="P6" s="37" t="s">
        <v>13891</v>
      </c>
      <c r="Q6" s="37" t="s">
        <v>13895</v>
      </c>
      <c r="R6" s="37" t="s">
        <v>13898</v>
      </c>
      <c r="S6" s="37" t="s">
        <v>9951</v>
      </c>
      <c r="T6" s="37" t="s">
        <v>8071</v>
      </c>
      <c r="U6" s="37" t="s">
        <v>13905</v>
      </c>
      <c r="W6" s="1" t="s">
        <v>14138</v>
      </c>
      <c r="X6" s="1" t="n">
        <v>10</v>
      </c>
    </row>
    <row r="7" customFormat="false" ht="45.75" hidden="false" customHeight="true" outlineLevel="0" collapsed="false">
      <c r="A7" s="30" t="n">
        <v>1</v>
      </c>
      <c r="B7" s="30" t="s">
        <v>9889</v>
      </c>
      <c r="C7" s="31" t="s">
        <v>9890</v>
      </c>
      <c r="D7" s="31" t="s">
        <v>9892</v>
      </c>
      <c r="E7" s="31" t="s">
        <v>9893</v>
      </c>
      <c r="F7" s="30" t="n">
        <f aca="false">COUNTIF('Seed Catalogue'!$C$2:$C$452,B7)</f>
        <v>81</v>
      </c>
      <c r="G7" s="40" t="n">
        <v>5</v>
      </c>
      <c r="H7" s="40" t="n">
        <v>5</v>
      </c>
      <c r="I7" s="40" t="n">
        <v>5</v>
      </c>
      <c r="J7" s="40" t="n">
        <v>5</v>
      </c>
      <c r="K7" s="40" t="n">
        <v>5</v>
      </c>
      <c r="L7" s="40" t="n">
        <v>4</v>
      </c>
      <c r="M7" s="40" t="n">
        <v>5</v>
      </c>
      <c r="N7" s="40" t="n">
        <v>0</v>
      </c>
      <c r="O7" s="41" t="n">
        <f aca="false">ROUND(G7/5*$X$2+H7/5*$X$3+I7/5*$X$4+J7/5*$X$5+K7/5*$X$6+L7/5*$X$7+M7/5*$X$8-N7/5*$X$9,1)</f>
        <v>98</v>
      </c>
      <c r="P7" s="30" t="str">
        <f aca="false">IF(O7&gt;=$X$12,"Foundational deep pass",IF(O7&gt;=$X$13,"Major deep pass",IF(O7&gt;=$X$14,"Targeted innovation pass",IF(O7&gt;=$X$15,"Sampling pass","Reference / defer"))))</f>
        <v>Foundational deep pass</v>
      </c>
      <c r="Q7" s="31" t="s">
        <v>14139</v>
      </c>
      <c r="R7" s="31" t="s">
        <v>14140</v>
      </c>
      <c r="S7" s="31" t="s">
        <v>14141</v>
      </c>
      <c r="T7" s="31" t="s">
        <v>8192</v>
      </c>
      <c r="U7" s="42" t="n">
        <v>46236</v>
      </c>
      <c r="W7" s="1" t="s">
        <v>14142</v>
      </c>
      <c r="X7" s="1" t="n">
        <v>10</v>
      </c>
    </row>
    <row r="8" customFormat="false" ht="45.75" hidden="false" customHeight="true" outlineLevel="0" collapsed="false">
      <c r="A8" s="30" t="n">
        <v>2</v>
      </c>
      <c r="B8" s="30" t="s">
        <v>9898</v>
      </c>
      <c r="C8" s="31" t="s">
        <v>9899</v>
      </c>
      <c r="D8" s="31" t="s">
        <v>9901</v>
      </c>
      <c r="E8" s="31" t="s">
        <v>9893</v>
      </c>
      <c r="F8" s="30" t="n">
        <f aca="false">COUNTIF('Seed Catalogue'!$C$2:$C$452,B8)</f>
        <v>9</v>
      </c>
      <c r="G8" s="40" t="n">
        <v>5</v>
      </c>
      <c r="H8" s="40" t="n">
        <v>5</v>
      </c>
      <c r="I8" s="40" t="n">
        <v>5</v>
      </c>
      <c r="J8" s="40" t="n">
        <v>5</v>
      </c>
      <c r="K8" s="40" t="n">
        <v>5</v>
      </c>
      <c r="L8" s="40" t="n">
        <v>5</v>
      </c>
      <c r="M8" s="40" t="n">
        <v>5</v>
      </c>
      <c r="N8" s="40" t="n">
        <v>1</v>
      </c>
      <c r="O8" s="41" t="n">
        <f aca="false">ROUND(G8/5*$X$2+H8/5*$X$3+I8/5*$X$4+J8/5*$X$5+K8/5*$X$6+L8/5*$X$7+M8/5*$X$8-N8/5*$X$9,1)</f>
        <v>96</v>
      </c>
      <c r="P8" s="30" t="str">
        <f aca="false">IF(O8&gt;=$X$12,"Foundational deep pass",IF(O8&gt;=$X$13,"Major deep pass",IF(O8&gt;=$X$14,"Targeted innovation pass",IF(O8&gt;=$X$15,"Sampling pass","Reference / defer"))))</f>
        <v>Foundational deep pass</v>
      </c>
      <c r="Q8" s="31" t="s">
        <v>14143</v>
      </c>
      <c r="R8" s="31" t="s">
        <v>14144</v>
      </c>
      <c r="S8" s="31" t="s">
        <v>14141</v>
      </c>
      <c r="T8" s="31" t="s">
        <v>9906</v>
      </c>
      <c r="U8" s="42" t="n">
        <v>46236</v>
      </c>
      <c r="W8" s="1" t="s">
        <v>14145</v>
      </c>
      <c r="X8" s="1" t="n">
        <v>10</v>
      </c>
    </row>
    <row r="9" customFormat="false" ht="45.75" hidden="false" customHeight="true" outlineLevel="0" collapsed="false">
      <c r="A9" s="30" t="n">
        <v>3</v>
      </c>
      <c r="B9" s="30" t="s">
        <v>8175</v>
      </c>
      <c r="C9" s="31" t="s">
        <v>8176</v>
      </c>
      <c r="D9" s="31" t="s">
        <v>8076</v>
      </c>
      <c r="E9" s="31" t="s">
        <v>8178</v>
      </c>
      <c r="F9" s="30" t="n">
        <f aca="false">COUNTIF('Seed Catalogue'!$C$2:$C$452,B9)</f>
        <v>0</v>
      </c>
      <c r="G9" s="40" t="n">
        <v>5</v>
      </c>
      <c r="H9" s="40" t="n">
        <v>5</v>
      </c>
      <c r="I9" s="40" t="n">
        <v>5</v>
      </c>
      <c r="J9" s="40" t="n">
        <v>5</v>
      </c>
      <c r="K9" s="40" t="n">
        <v>5</v>
      </c>
      <c r="L9" s="40" t="n">
        <v>5</v>
      </c>
      <c r="M9" s="40" t="n">
        <v>4</v>
      </c>
      <c r="N9" s="40" t="n">
        <v>1</v>
      </c>
      <c r="O9" s="41" t="n">
        <f aca="false">ROUND(G9/5*$X$2+H9/5*$X$3+I9/5*$X$4+J9/5*$X$5+K9/5*$X$6+L9/5*$X$7+M9/5*$X$8-N9/5*$X$9,1)</f>
        <v>94</v>
      </c>
      <c r="P9" s="30" t="str">
        <f aca="false">IF(O9&gt;=$X$12,"Foundational deep pass",IF(O9&gt;=$X$13,"Major deep pass",IF(O9&gt;=$X$14,"Targeted innovation pass",IF(O9&gt;=$X$15,"Sampling pass","Reference / defer"))))</f>
        <v>Foundational deep pass</v>
      </c>
      <c r="Q9" s="31" t="s">
        <v>14146</v>
      </c>
      <c r="R9" s="31" t="s">
        <v>14147</v>
      </c>
      <c r="S9" s="31" t="s">
        <v>14141</v>
      </c>
      <c r="T9" s="31" t="s">
        <v>8182</v>
      </c>
      <c r="U9" s="42" t="n">
        <v>46236</v>
      </c>
      <c r="W9" s="1" t="s">
        <v>14148</v>
      </c>
      <c r="X9" s="1" t="n">
        <v>20</v>
      </c>
    </row>
    <row r="10" customFormat="false" ht="45.75" hidden="false" customHeight="true" outlineLevel="0" collapsed="false">
      <c r="A10" s="30" t="n">
        <v>4</v>
      </c>
      <c r="B10" s="30" t="s">
        <v>9907</v>
      </c>
      <c r="C10" s="31" t="s">
        <v>9908</v>
      </c>
      <c r="D10" s="31" t="s">
        <v>8247</v>
      </c>
      <c r="E10" s="31" t="s">
        <v>9910</v>
      </c>
      <c r="F10" s="30" t="n">
        <f aca="false">COUNTIF('Seed Catalogue'!$C$2:$C$452,B10)</f>
        <v>0</v>
      </c>
      <c r="G10" s="40" t="n">
        <v>5</v>
      </c>
      <c r="H10" s="40" t="n">
        <v>5</v>
      </c>
      <c r="I10" s="40" t="n">
        <v>5</v>
      </c>
      <c r="J10" s="40" t="n">
        <v>5</v>
      </c>
      <c r="K10" s="40" t="n">
        <v>5</v>
      </c>
      <c r="L10" s="40" t="n">
        <v>5</v>
      </c>
      <c r="M10" s="40" t="n">
        <v>4</v>
      </c>
      <c r="N10" s="40" t="n">
        <v>1</v>
      </c>
      <c r="O10" s="41" t="n">
        <f aca="false">ROUND(G10/5*$X$2+H10/5*$X$3+I10/5*$X$4+J10/5*$X$5+K10/5*$X$6+L10/5*$X$7+M10/5*$X$8-N10/5*$X$9,1)</f>
        <v>94</v>
      </c>
      <c r="P10" s="30" t="str">
        <f aca="false">IF(O10&gt;=$X$12,"Foundational deep pass",IF(O10&gt;=$X$13,"Major deep pass",IF(O10&gt;=$X$14,"Targeted innovation pass",IF(O10&gt;=$X$15,"Sampling pass","Reference / defer"))))</f>
        <v>Foundational deep pass</v>
      </c>
      <c r="Q10" s="31" t="s">
        <v>14149</v>
      </c>
      <c r="R10" s="31" t="s">
        <v>14150</v>
      </c>
      <c r="S10" s="31" t="s">
        <v>14141</v>
      </c>
      <c r="T10" s="31" t="s">
        <v>9915</v>
      </c>
      <c r="U10" s="42" t="n">
        <v>46236</v>
      </c>
    </row>
    <row r="11" customFormat="false" ht="45.75" hidden="false" customHeight="true" outlineLevel="0" collapsed="false">
      <c r="A11" s="30" t="n">
        <v>5</v>
      </c>
      <c r="B11" s="30" t="s">
        <v>8093</v>
      </c>
      <c r="C11" s="31" t="s">
        <v>8094</v>
      </c>
      <c r="D11" s="31" t="s">
        <v>8076</v>
      </c>
      <c r="E11" s="31" t="s">
        <v>8096</v>
      </c>
      <c r="F11" s="30" t="n">
        <f aca="false">COUNTIF('Seed Catalogue'!$C$2:$C$452,B11)</f>
        <v>0</v>
      </c>
      <c r="G11" s="40" t="n">
        <v>5</v>
      </c>
      <c r="H11" s="40" t="n">
        <v>5</v>
      </c>
      <c r="I11" s="40" t="n">
        <v>5</v>
      </c>
      <c r="J11" s="40" t="n">
        <v>5</v>
      </c>
      <c r="K11" s="40" t="n">
        <v>5</v>
      </c>
      <c r="L11" s="40" t="n">
        <v>5</v>
      </c>
      <c r="M11" s="40" t="n">
        <v>4</v>
      </c>
      <c r="N11" s="40" t="n">
        <v>1</v>
      </c>
      <c r="O11" s="41" t="n">
        <f aca="false">ROUND(G11/5*$X$2+H11/5*$X$3+I11/5*$X$4+J11/5*$X$5+K11/5*$X$6+L11/5*$X$7+M11/5*$X$8-N11/5*$X$9,1)</f>
        <v>94</v>
      </c>
      <c r="P11" s="30" t="str">
        <f aca="false">IF(O11&gt;=$X$12,"Foundational deep pass",IF(O11&gt;=$X$13,"Major deep pass",IF(O11&gt;=$X$14,"Targeted innovation pass",IF(O11&gt;=$X$15,"Sampling pass","Reference / defer"))))</f>
        <v>Foundational deep pass</v>
      </c>
      <c r="Q11" s="31" t="s">
        <v>14151</v>
      </c>
      <c r="R11" s="31" t="s">
        <v>14152</v>
      </c>
      <c r="S11" s="31" t="s">
        <v>14141</v>
      </c>
      <c r="T11" s="31" t="s">
        <v>8099</v>
      </c>
      <c r="U11" s="42" t="n">
        <v>46236</v>
      </c>
      <c r="W11" s="37" t="s">
        <v>14153</v>
      </c>
      <c r="X11" s="37" t="s">
        <v>14154</v>
      </c>
    </row>
    <row r="12" customFormat="false" ht="45.75" hidden="false" customHeight="true" outlineLevel="0" collapsed="false">
      <c r="A12" s="30" t="n">
        <v>6</v>
      </c>
      <c r="B12" s="30" t="s">
        <v>8223</v>
      </c>
      <c r="C12" s="31" t="s">
        <v>8224</v>
      </c>
      <c r="D12" s="31" t="s">
        <v>8076</v>
      </c>
      <c r="E12" s="31" t="s">
        <v>8226</v>
      </c>
      <c r="F12" s="30" t="n">
        <f aca="false">COUNTIF('Seed Catalogue'!$C$2:$C$452,B12)</f>
        <v>0</v>
      </c>
      <c r="G12" s="40" t="n">
        <v>5</v>
      </c>
      <c r="H12" s="40" t="n">
        <v>5</v>
      </c>
      <c r="I12" s="40" t="n">
        <v>5</v>
      </c>
      <c r="J12" s="40" t="n">
        <v>5</v>
      </c>
      <c r="K12" s="40" t="n">
        <v>5</v>
      </c>
      <c r="L12" s="40" t="n">
        <v>5</v>
      </c>
      <c r="M12" s="40" t="n">
        <v>4</v>
      </c>
      <c r="N12" s="40" t="n">
        <v>1</v>
      </c>
      <c r="O12" s="41" t="n">
        <f aca="false">ROUND(G12/5*$X$2+H12/5*$X$3+I12/5*$X$4+J12/5*$X$5+K12/5*$X$6+L12/5*$X$7+M12/5*$X$8-N12/5*$X$9,1)</f>
        <v>94</v>
      </c>
      <c r="P12" s="30" t="str">
        <f aca="false">IF(O12&gt;=$X$12,"Foundational deep pass",IF(O12&gt;=$X$13,"Major deep pass",IF(O12&gt;=$X$14,"Targeted innovation pass",IF(O12&gt;=$X$15,"Sampling pass","Reference / defer"))))</f>
        <v>Foundational deep pass</v>
      </c>
      <c r="Q12" s="31" t="s">
        <v>14155</v>
      </c>
      <c r="R12" s="31" t="s">
        <v>14156</v>
      </c>
      <c r="S12" s="31" t="s">
        <v>14141</v>
      </c>
      <c r="T12" s="31" t="s">
        <v>8229</v>
      </c>
      <c r="U12" s="42" t="n">
        <v>46236</v>
      </c>
      <c r="W12" s="1" t="s">
        <v>14157</v>
      </c>
      <c r="X12" s="1" t="n">
        <v>75</v>
      </c>
    </row>
    <row r="13" customFormat="false" ht="45.75" hidden="false" customHeight="true" outlineLevel="0" collapsed="false">
      <c r="A13" s="30" t="n">
        <v>7</v>
      </c>
      <c r="B13" s="30" t="s">
        <v>8151</v>
      </c>
      <c r="C13" s="31" t="s">
        <v>8152</v>
      </c>
      <c r="D13" s="31" t="s">
        <v>8076</v>
      </c>
      <c r="E13" s="31" t="s">
        <v>8154</v>
      </c>
      <c r="F13" s="30" t="n">
        <f aca="false">COUNTIF('Seed Catalogue'!$C$2:$C$452,B13)</f>
        <v>0</v>
      </c>
      <c r="G13" s="40" t="n">
        <v>5</v>
      </c>
      <c r="H13" s="40" t="n">
        <v>5</v>
      </c>
      <c r="I13" s="40" t="n">
        <v>5</v>
      </c>
      <c r="J13" s="40" t="n">
        <v>5</v>
      </c>
      <c r="K13" s="40" t="n">
        <v>5</v>
      </c>
      <c r="L13" s="40" t="n">
        <v>5</v>
      </c>
      <c r="M13" s="40" t="n">
        <v>4</v>
      </c>
      <c r="N13" s="40" t="n">
        <v>1</v>
      </c>
      <c r="O13" s="41" t="n">
        <f aca="false">ROUND(G13/5*$X$2+H13/5*$X$3+I13/5*$X$4+J13/5*$X$5+K13/5*$X$6+L13/5*$X$7+M13/5*$X$8-N13/5*$X$9,1)</f>
        <v>94</v>
      </c>
      <c r="P13" s="30" t="str">
        <f aca="false">IF(O13&gt;=$X$12,"Foundational deep pass",IF(O13&gt;=$X$13,"Major deep pass",IF(O13&gt;=$X$14,"Targeted innovation pass",IF(O13&gt;=$X$15,"Sampling pass","Reference / defer"))))</f>
        <v>Foundational deep pass</v>
      </c>
      <c r="Q13" s="31" t="s">
        <v>14158</v>
      </c>
      <c r="R13" s="31" t="s">
        <v>14159</v>
      </c>
      <c r="S13" s="31" t="s">
        <v>14141</v>
      </c>
      <c r="T13" s="31" t="s">
        <v>8157</v>
      </c>
      <c r="U13" s="42" t="n">
        <v>46236</v>
      </c>
      <c r="W13" s="1" t="s">
        <v>14160</v>
      </c>
      <c r="X13" s="1" t="n">
        <v>60</v>
      </c>
    </row>
    <row r="14" customFormat="false" ht="45.75" hidden="false" customHeight="true" outlineLevel="0" collapsed="false">
      <c r="A14" s="30" t="n">
        <v>8</v>
      </c>
      <c r="B14" s="30" t="s">
        <v>8201</v>
      </c>
      <c r="C14" s="31" t="s">
        <v>8202</v>
      </c>
      <c r="D14" s="31" t="s">
        <v>8204</v>
      </c>
      <c r="E14" s="31" t="s">
        <v>8205</v>
      </c>
      <c r="F14" s="30" t="n">
        <f aca="false">COUNTIF('Seed Catalogue'!$C$2:$C$452,B14)</f>
        <v>0</v>
      </c>
      <c r="G14" s="40" t="n">
        <v>5</v>
      </c>
      <c r="H14" s="40" t="n">
        <v>5</v>
      </c>
      <c r="I14" s="40" t="n">
        <v>5</v>
      </c>
      <c r="J14" s="40" t="n">
        <v>5</v>
      </c>
      <c r="K14" s="40" t="n">
        <v>5</v>
      </c>
      <c r="L14" s="40" t="n">
        <v>5</v>
      </c>
      <c r="M14" s="40" t="n">
        <v>4</v>
      </c>
      <c r="N14" s="40" t="n">
        <v>1</v>
      </c>
      <c r="O14" s="41" t="n">
        <f aca="false">ROUND(G14/5*$X$2+H14/5*$X$3+I14/5*$X$4+J14/5*$X$5+K14/5*$X$6+L14/5*$X$7+M14/5*$X$8-N14/5*$X$9,1)</f>
        <v>94</v>
      </c>
      <c r="P14" s="30" t="str">
        <f aca="false">IF(O14&gt;=$X$12,"Foundational deep pass",IF(O14&gt;=$X$13,"Major deep pass",IF(O14&gt;=$X$14,"Targeted innovation pass",IF(O14&gt;=$X$15,"Sampling pass","Reference / defer"))))</f>
        <v>Foundational deep pass</v>
      </c>
      <c r="Q14" s="31" t="s">
        <v>14161</v>
      </c>
      <c r="R14" s="31" t="s">
        <v>14162</v>
      </c>
      <c r="S14" s="31" t="s">
        <v>14141</v>
      </c>
      <c r="T14" s="31" t="s">
        <v>8209</v>
      </c>
      <c r="U14" s="42" t="n">
        <v>46236</v>
      </c>
      <c r="W14" s="1" t="s">
        <v>14163</v>
      </c>
      <c r="X14" s="1" t="n">
        <v>45</v>
      </c>
    </row>
    <row r="15" customFormat="false" ht="45.75" hidden="false" customHeight="true" outlineLevel="0" collapsed="false">
      <c r="A15" s="30" t="n">
        <v>9</v>
      </c>
      <c r="B15" s="30" t="s">
        <v>8183</v>
      </c>
      <c r="C15" s="31" t="s">
        <v>8184</v>
      </c>
      <c r="D15" s="31" t="s">
        <v>8186</v>
      </c>
      <c r="E15" s="31" t="s">
        <v>8187</v>
      </c>
      <c r="F15" s="30" t="n">
        <f aca="false">COUNTIF('Seed Catalogue'!$C$2:$C$452,B15)</f>
        <v>0</v>
      </c>
      <c r="G15" s="40" t="n">
        <v>5</v>
      </c>
      <c r="H15" s="40" t="n">
        <v>5</v>
      </c>
      <c r="I15" s="40" t="n">
        <v>5</v>
      </c>
      <c r="J15" s="40" t="n">
        <v>5</v>
      </c>
      <c r="K15" s="40" t="n">
        <v>5</v>
      </c>
      <c r="L15" s="40" t="n">
        <v>5</v>
      </c>
      <c r="M15" s="40" t="n">
        <v>4</v>
      </c>
      <c r="N15" s="40" t="n">
        <v>1</v>
      </c>
      <c r="O15" s="41" t="n">
        <f aca="false">ROUND(G15/5*$X$2+H15/5*$X$3+I15/5*$X$4+J15/5*$X$5+K15/5*$X$6+L15/5*$X$7+M15/5*$X$8-N15/5*$X$9,1)</f>
        <v>94</v>
      </c>
      <c r="P15" s="30" t="str">
        <f aca="false">IF(O15&gt;=$X$12,"Foundational deep pass",IF(O15&gt;=$X$13,"Major deep pass",IF(O15&gt;=$X$14,"Targeted innovation pass",IF(O15&gt;=$X$15,"Sampling pass","Reference / defer"))))</f>
        <v>Foundational deep pass</v>
      </c>
      <c r="Q15" s="31" t="s">
        <v>14164</v>
      </c>
      <c r="R15" s="31" t="s">
        <v>14165</v>
      </c>
      <c r="S15" s="31" t="s">
        <v>14141</v>
      </c>
      <c r="T15" s="31" t="s">
        <v>8192</v>
      </c>
      <c r="U15" s="42" t="n">
        <v>46236</v>
      </c>
      <c r="W15" s="1" t="s">
        <v>14166</v>
      </c>
      <c r="X15" s="1" t="n">
        <v>30</v>
      </c>
    </row>
    <row r="16" customFormat="false" ht="33.75" hidden="false" customHeight="true" outlineLevel="0" collapsed="false">
      <c r="A16" s="30" t="n">
        <v>10</v>
      </c>
      <c r="B16" s="30" t="s">
        <v>9916</v>
      </c>
      <c r="C16" s="31" t="s">
        <v>9917</v>
      </c>
      <c r="D16" s="31" t="s">
        <v>9919</v>
      </c>
      <c r="E16" s="31" t="s">
        <v>9920</v>
      </c>
      <c r="F16" s="30" t="n">
        <f aca="false">COUNTIF('Seed Catalogue'!$C$2:$C$452,B16)</f>
        <v>0</v>
      </c>
      <c r="G16" s="40" t="n">
        <v>5</v>
      </c>
      <c r="H16" s="40" t="n">
        <v>5</v>
      </c>
      <c r="I16" s="40" t="n">
        <v>5</v>
      </c>
      <c r="J16" s="40" t="n">
        <v>5</v>
      </c>
      <c r="K16" s="40" t="n">
        <v>5</v>
      </c>
      <c r="L16" s="40" t="n">
        <v>5</v>
      </c>
      <c r="M16" s="40" t="n">
        <v>4</v>
      </c>
      <c r="N16" s="40" t="n">
        <v>1</v>
      </c>
      <c r="O16" s="41" t="n">
        <f aca="false">ROUND(G16/5*$X$2+H16/5*$X$3+I16/5*$X$4+J16/5*$X$5+K16/5*$X$6+L16/5*$X$7+M16/5*$X$8-N16/5*$X$9,1)</f>
        <v>94</v>
      </c>
      <c r="P16" s="30" t="str">
        <f aca="false">IF(O16&gt;=$X$12,"Foundational deep pass",IF(O16&gt;=$X$13,"Major deep pass",IF(O16&gt;=$X$14,"Targeted innovation pass",IF(O16&gt;=$X$15,"Sampling pass","Reference / defer"))))</f>
        <v>Foundational deep pass</v>
      </c>
      <c r="Q16" s="31" t="s">
        <v>14167</v>
      </c>
      <c r="R16" s="31" t="s">
        <v>14168</v>
      </c>
      <c r="S16" s="31" t="s">
        <v>14141</v>
      </c>
      <c r="T16" s="31" t="s">
        <v>9925</v>
      </c>
      <c r="U16" s="42" t="n">
        <v>46236</v>
      </c>
      <c r="W16" s="39" t="s">
        <v>14169</v>
      </c>
      <c r="X16" s="39"/>
      <c r="Y16" s="39"/>
      <c r="Z16" s="39"/>
      <c r="AA16" s="39"/>
      <c r="AB16" s="39"/>
      <c r="AC16" s="39"/>
      <c r="AD16" s="39"/>
    </row>
    <row r="17" customFormat="false" ht="45.75" hidden="false" customHeight="true" outlineLevel="0" collapsed="false">
      <c r="A17" s="30" t="n">
        <v>11</v>
      </c>
      <c r="B17" s="30" t="s">
        <v>8142</v>
      </c>
      <c r="C17" s="31" t="s">
        <v>8143</v>
      </c>
      <c r="D17" s="31" t="s">
        <v>8145</v>
      </c>
      <c r="E17" s="31" t="s">
        <v>8146</v>
      </c>
      <c r="F17" s="30" t="n">
        <f aca="false">COUNTIF('Seed Catalogue'!$C$2:$C$452,B17)</f>
        <v>0</v>
      </c>
      <c r="G17" s="40" t="n">
        <v>5</v>
      </c>
      <c r="H17" s="40" t="n">
        <v>5</v>
      </c>
      <c r="I17" s="40" t="n">
        <v>5</v>
      </c>
      <c r="J17" s="40" t="n">
        <v>5</v>
      </c>
      <c r="K17" s="40" t="n">
        <v>5</v>
      </c>
      <c r="L17" s="40" t="n">
        <v>5</v>
      </c>
      <c r="M17" s="40" t="n">
        <v>4</v>
      </c>
      <c r="N17" s="40" t="n">
        <v>1</v>
      </c>
      <c r="O17" s="41" t="n">
        <f aca="false">ROUND(G17/5*$X$2+H17/5*$X$3+I17/5*$X$4+J17/5*$X$5+K17/5*$X$6+L17/5*$X$7+M17/5*$X$8-N17/5*$X$9,1)</f>
        <v>94</v>
      </c>
      <c r="P17" s="30" t="str">
        <f aca="false">IF(O17&gt;=$X$12,"Foundational deep pass",IF(O17&gt;=$X$13,"Major deep pass",IF(O17&gt;=$X$14,"Targeted innovation pass",IF(O17&gt;=$X$15,"Sampling pass","Reference / defer"))))</f>
        <v>Foundational deep pass</v>
      </c>
      <c r="Q17" s="31" t="s">
        <v>14170</v>
      </c>
      <c r="R17" s="31" t="s">
        <v>14171</v>
      </c>
      <c r="S17" s="31" t="s">
        <v>14141</v>
      </c>
      <c r="T17" s="31" t="s">
        <v>8150</v>
      </c>
      <c r="U17" s="42" t="n">
        <v>46236</v>
      </c>
    </row>
    <row r="18" customFormat="false" ht="45.75" hidden="false" customHeight="true" outlineLevel="0" collapsed="false">
      <c r="A18" s="30" t="n">
        <v>12</v>
      </c>
      <c r="B18" s="30" t="s">
        <v>8193</v>
      </c>
      <c r="C18" s="31" t="s">
        <v>8194</v>
      </c>
      <c r="D18" s="31" t="s">
        <v>8161</v>
      </c>
      <c r="E18" s="31" t="s">
        <v>8196</v>
      </c>
      <c r="F18" s="30" t="n">
        <f aca="false">COUNTIF('Seed Catalogue'!$C$2:$C$452,B18)</f>
        <v>0</v>
      </c>
      <c r="G18" s="40" t="n">
        <v>5</v>
      </c>
      <c r="H18" s="40" t="n">
        <v>5</v>
      </c>
      <c r="I18" s="40" t="n">
        <v>5</v>
      </c>
      <c r="J18" s="40" t="n">
        <v>5</v>
      </c>
      <c r="K18" s="40" t="n">
        <v>5</v>
      </c>
      <c r="L18" s="40" t="n">
        <v>5</v>
      </c>
      <c r="M18" s="40" t="n">
        <v>4</v>
      </c>
      <c r="N18" s="40" t="n">
        <v>1</v>
      </c>
      <c r="O18" s="41" t="n">
        <f aca="false">ROUND(G18/5*$X$2+H18/5*$X$3+I18/5*$X$4+J18/5*$X$5+K18/5*$X$6+L18/5*$X$7+M18/5*$X$8-N18/5*$X$9,1)</f>
        <v>94</v>
      </c>
      <c r="P18" s="30" t="str">
        <f aca="false">IF(O18&gt;=$X$12,"Foundational deep pass",IF(O18&gt;=$X$13,"Major deep pass",IF(O18&gt;=$X$14,"Targeted innovation pass",IF(O18&gt;=$X$15,"Sampling pass","Reference / defer"))))</f>
        <v>Foundational deep pass</v>
      </c>
      <c r="Q18" s="31" t="s">
        <v>14172</v>
      </c>
      <c r="R18" s="31" t="s">
        <v>14173</v>
      </c>
      <c r="S18" s="31" t="s">
        <v>14141</v>
      </c>
      <c r="T18" s="31" t="s">
        <v>8200</v>
      </c>
      <c r="U18" s="42" t="n">
        <v>46236</v>
      </c>
    </row>
    <row r="19" customFormat="false" ht="45.75" hidden="false" customHeight="true" outlineLevel="0" collapsed="false">
      <c r="A19" s="30" t="n">
        <v>13</v>
      </c>
      <c r="B19" s="30" t="s">
        <v>8244</v>
      </c>
      <c r="C19" s="31" t="s">
        <v>8245</v>
      </c>
      <c r="D19" s="31" t="s">
        <v>8247</v>
      </c>
      <c r="E19" s="31" t="s">
        <v>8248</v>
      </c>
      <c r="F19" s="30" t="n">
        <f aca="false">COUNTIF('Seed Catalogue'!$C$2:$C$452,B19)</f>
        <v>0</v>
      </c>
      <c r="G19" s="40" t="n">
        <v>5</v>
      </c>
      <c r="H19" s="40" t="n">
        <v>5</v>
      </c>
      <c r="I19" s="40" t="n">
        <v>5</v>
      </c>
      <c r="J19" s="40" t="n">
        <v>5</v>
      </c>
      <c r="K19" s="40" t="n">
        <v>5</v>
      </c>
      <c r="L19" s="40" t="n">
        <v>5</v>
      </c>
      <c r="M19" s="40" t="n">
        <v>4</v>
      </c>
      <c r="N19" s="40" t="n">
        <v>1</v>
      </c>
      <c r="O19" s="41" t="n">
        <f aca="false">ROUND(G19/5*$X$2+H19/5*$X$3+I19/5*$X$4+J19/5*$X$5+K19/5*$X$6+L19/5*$X$7+M19/5*$X$8-N19/5*$X$9,1)</f>
        <v>94</v>
      </c>
      <c r="P19" s="30" t="str">
        <f aca="false">IF(O19&gt;=$X$12,"Foundational deep pass",IF(O19&gt;=$X$13,"Major deep pass",IF(O19&gt;=$X$14,"Targeted innovation pass",IF(O19&gt;=$X$15,"Sampling pass","Reference / defer"))))</f>
        <v>Foundational deep pass</v>
      </c>
      <c r="Q19" s="31" t="s">
        <v>14174</v>
      </c>
      <c r="R19" s="31" t="s">
        <v>14175</v>
      </c>
      <c r="S19" s="31" t="s">
        <v>14141</v>
      </c>
      <c r="T19" s="31" t="s">
        <v>8250</v>
      </c>
      <c r="U19" s="42" t="n">
        <v>46236</v>
      </c>
    </row>
    <row r="20" customFormat="false" ht="45.75" hidden="false" customHeight="true" outlineLevel="0" collapsed="false">
      <c r="A20" s="30" t="n">
        <v>14</v>
      </c>
      <c r="B20" s="30" t="s">
        <v>8235</v>
      </c>
      <c r="C20" s="31" t="s">
        <v>8236</v>
      </c>
      <c r="D20" s="31" t="s">
        <v>8238</v>
      </c>
      <c r="E20" s="31" t="s">
        <v>8239</v>
      </c>
      <c r="F20" s="30" t="n">
        <f aca="false">COUNTIF('Seed Catalogue'!$C$2:$C$452,B20)</f>
        <v>0</v>
      </c>
      <c r="G20" s="40" t="n">
        <v>5</v>
      </c>
      <c r="H20" s="40" t="n">
        <v>5</v>
      </c>
      <c r="I20" s="40" t="n">
        <v>5</v>
      </c>
      <c r="J20" s="40" t="n">
        <v>5</v>
      </c>
      <c r="K20" s="40" t="n">
        <v>5</v>
      </c>
      <c r="L20" s="40" t="n">
        <v>4</v>
      </c>
      <c r="M20" s="40" t="n">
        <v>4</v>
      </c>
      <c r="N20" s="40" t="n">
        <v>1</v>
      </c>
      <c r="O20" s="41" t="n">
        <f aca="false">ROUND(G20/5*$X$2+H20/5*$X$3+I20/5*$X$4+J20/5*$X$5+K20/5*$X$6+L20/5*$X$7+M20/5*$X$8-N20/5*$X$9,1)</f>
        <v>92</v>
      </c>
      <c r="P20" s="30" t="str">
        <f aca="false">IF(O20&gt;=$X$12,"Foundational deep pass",IF(O20&gt;=$X$13,"Major deep pass",IF(O20&gt;=$X$14,"Targeted innovation pass",IF(O20&gt;=$X$15,"Sampling pass","Reference / defer"))))</f>
        <v>Foundational deep pass</v>
      </c>
      <c r="Q20" s="31" t="s">
        <v>14176</v>
      </c>
      <c r="R20" s="31" t="s">
        <v>14177</v>
      </c>
      <c r="S20" s="31" t="s">
        <v>14141</v>
      </c>
      <c r="T20" s="31" t="s">
        <v>8243</v>
      </c>
      <c r="U20" s="42" t="n">
        <v>46236</v>
      </c>
    </row>
    <row r="21" customFormat="false" ht="45.75" hidden="false" customHeight="true" outlineLevel="0" collapsed="false">
      <c r="A21" s="30" t="n">
        <v>15</v>
      </c>
      <c r="B21" s="30" t="s">
        <v>8158</v>
      </c>
      <c r="C21" s="31" t="s">
        <v>8159</v>
      </c>
      <c r="D21" s="31" t="s">
        <v>8161</v>
      </c>
      <c r="E21" s="31" t="s">
        <v>8162</v>
      </c>
      <c r="F21" s="30" t="n">
        <f aca="false">COUNTIF('Seed Catalogue'!$C$2:$C$452,B21)</f>
        <v>0</v>
      </c>
      <c r="G21" s="40" t="n">
        <v>5</v>
      </c>
      <c r="H21" s="40" t="n">
        <v>5</v>
      </c>
      <c r="I21" s="40" t="n">
        <v>5</v>
      </c>
      <c r="J21" s="40" t="n">
        <v>5</v>
      </c>
      <c r="K21" s="40" t="n">
        <v>5</v>
      </c>
      <c r="L21" s="40" t="n">
        <v>4</v>
      </c>
      <c r="M21" s="40" t="n">
        <v>4</v>
      </c>
      <c r="N21" s="40" t="n">
        <v>1</v>
      </c>
      <c r="O21" s="41" t="n">
        <f aca="false">ROUND(G21/5*$X$2+H21/5*$X$3+I21/5*$X$4+J21/5*$X$5+K21/5*$X$6+L21/5*$X$7+M21/5*$X$8-N21/5*$X$9,1)</f>
        <v>92</v>
      </c>
      <c r="P21" s="30" t="str">
        <f aca="false">IF(O21&gt;=$X$12,"Foundational deep pass",IF(O21&gt;=$X$13,"Major deep pass",IF(O21&gt;=$X$14,"Targeted innovation pass",IF(O21&gt;=$X$15,"Sampling pass","Reference / defer"))))</f>
        <v>Foundational deep pass</v>
      </c>
      <c r="Q21" s="31" t="s">
        <v>14178</v>
      </c>
      <c r="R21" s="31" t="s">
        <v>14179</v>
      </c>
      <c r="S21" s="31" t="s">
        <v>14141</v>
      </c>
      <c r="T21" s="31" t="s">
        <v>8166</v>
      </c>
      <c r="U21" s="42" t="n">
        <v>46236</v>
      </c>
    </row>
    <row r="22" customFormat="false" ht="45.75" hidden="false" customHeight="true" outlineLevel="0" collapsed="false">
      <c r="A22" s="30" t="n">
        <v>16</v>
      </c>
      <c r="B22" s="30" t="s">
        <v>8167</v>
      </c>
      <c r="C22" s="31" t="s">
        <v>8168</v>
      </c>
      <c r="D22" s="31" t="s">
        <v>8161</v>
      </c>
      <c r="E22" s="31" t="s">
        <v>8170</v>
      </c>
      <c r="F22" s="30" t="n">
        <f aca="false">COUNTIF('Seed Catalogue'!$C$2:$C$452,B22)</f>
        <v>0</v>
      </c>
      <c r="G22" s="40" t="n">
        <v>5</v>
      </c>
      <c r="H22" s="40" t="n">
        <v>5</v>
      </c>
      <c r="I22" s="40" t="n">
        <v>4</v>
      </c>
      <c r="J22" s="40" t="n">
        <v>5</v>
      </c>
      <c r="K22" s="40" t="n">
        <v>5</v>
      </c>
      <c r="L22" s="40" t="n">
        <v>4</v>
      </c>
      <c r="M22" s="40" t="n">
        <v>5</v>
      </c>
      <c r="N22" s="40" t="n">
        <v>1</v>
      </c>
      <c r="O22" s="41" t="n">
        <f aca="false">ROUND(G22/5*$X$2+H22/5*$X$3+I22/5*$X$4+J22/5*$X$5+K22/5*$X$6+L22/5*$X$7+M22/5*$X$8-N22/5*$X$9,1)</f>
        <v>91</v>
      </c>
      <c r="P22" s="30" t="str">
        <f aca="false">IF(O22&gt;=$X$12,"Foundational deep pass",IF(O22&gt;=$X$13,"Major deep pass",IF(O22&gt;=$X$14,"Targeted innovation pass",IF(O22&gt;=$X$15,"Sampling pass","Reference / defer"))))</f>
        <v>Foundational deep pass</v>
      </c>
      <c r="Q22" s="31" t="s">
        <v>14180</v>
      </c>
      <c r="R22" s="31" t="s">
        <v>14181</v>
      </c>
      <c r="S22" s="31" t="s">
        <v>14141</v>
      </c>
      <c r="T22" s="31" t="s">
        <v>8174</v>
      </c>
      <c r="U22" s="42" t="n">
        <v>46236</v>
      </c>
    </row>
    <row r="23" customFormat="false" ht="45.75" hidden="false" customHeight="true" outlineLevel="0" collapsed="false">
      <c r="A23" s="30" t="n">
        <v>17</v>
      </c>
      <c r="B23" s="30" t="s">
        <v>8109</v>
      </c>
      <c r="C23" s="31" t="s">
        <v>8110</v>
      </c>
      <c r="D23" s="31" t="s">
        <v>8103</v>
      </c>
      <c r="E23" s="31" t="s">
        <v>8112</v>
      </c>
      <c r="F23" s="30" t="n">
        <f aca="false">COUNTIF('Seed Catalogue'!$C$2:$C$452,B23)</f>
        <v>0</v>
      </c>
      <c r="G23" s="40" t="n">
        <v>5</v>
      </c>
      <c r="H23" s="40" t="n">
        <v>5</v>
      </c>
      <c r="I23" s="40" t="n">
        <v>4</v>
      </c>
      <c r="J23" s="40" t="n">
        <v>5</v>
      </c>
      <c r="K23" s="40" t="n">
        <v>5</v>
      </c>
      <c r="L23" s="40" t="n">
        <v>4</v>
      </c>
      <c r="M23" s="40" t="n">
        <v>4</v>
      </c>
      <c r="N23" s="40" t="n">
        <v>1</v>
      </c>
      <c r="O23" s="41" t="n">
        <f aca="false">ROUND(G23/5*$X$2+H23/5*$X$3+I23/5*$X$4+J23/5*$X$5+K23/5*$X$6+L23/5*$X$7+M23/5*$X$8-N23/5*$X$9,1)</f>
        <v>89</v>
      </c>
      <c r="P23" s="30" t="str">
        <f aca="false">IF(O23&gt;=$X$12,"Foundational deep pass",IF(O23&gt;=$X$13,"Major deep pass",IF(O23&gt;=$X$14,"Targeted innovation pass",IF(O23&gt;=$X$15,"Sampling pass","Reference / defer"))))</f>
        <v>Foundational deep pass</v>
      </c>
      <c r="Q23" s="31" t="s">
        <v>14182</v>
      </c>
      <c r="R23" s="31" t="s">
        <v>14183</v>
      </c>
      <c r="S23" s="31" t="s">
        <v>14184</v>
      </c>
      <c r="T23" s="31" t="s">
        <v>8116</v>
      </c>
      <c r="U23" s="42" t="n">
        <v>46236</v>
      </c>
    </row>
    <row r="24" customFormat="false" ht="45.75" hidden="false" customHeight="true" outlineLevel="0" collapsed="false">
      <c r="A24" s="30" t="n">
        <v>18</v>
      </c>
      <c r="B24" s="30" t="s">
        <v>8117</v>
      </c>
      <c r="C24" s="31" t="s">
        <v>8118</v>
      </c>
      <c r="D24" s="31" t="s">
        <v>8120</v>
      </c>
      <c r="E24" s="31" t="s">
        <v>8121</v>
      </c>
      <c r="F24" s="30" t="n">
        <f aca="false">COUNTIF('Seed Catalogue'!$C$2:$C$452,B24)</f>
        <v>0</v>
      </c>
      <c r="G24" s="40" t="n">
        <v>5</v>
      </c>
      <c r="H24" s="40" t="n">
        <v>5</v>
      </c>
      <c r="I24" s="40" t="n">
        <v>4</v>
      </c>
      <c r="J24" s="40" t="n">
        <v>5</v>
      </c>
      <c r="K24" s="40" t="n">
        <v>5</v>
      </c>
      <c r="L24" s="40" t="n">
        <v>4</v>
      </c>
      <c r="M24" s="40" t="n">
        <v>4</v>
      </c>
      <c r="N24" s="40" t="n">
        <v>1</v>
      </c>
      <c r="O24" s="41" t="n">
        <f aca="false">ROUND(G24/5*$X$2+H24/5*$X$3+I24/5*$X$4+J24/5*$X$5+K24/5*$X$6+L24/5*$X$7+M24/5*$X$8-N24/5*$X$9,1)</f>
        <v>89</v>
      </c>
      <c r="P24" s="30" t="str">
        <f aca="false">IF(O24&gt;=$X$12,"Foundational deep pass",IF(O24&gt;=$X$13,"Major deep pass",IF(O24&gt;=$X$14,"Targeted innovation pass",IF(O24&gt;=$X$15,"Sampling pass","Reference / defer"))))</f>
        <v>Foundational deep pass</v>
      </c>
      <c r="Q24" s="31" t="s">
        <v>14185</v>
      </c>
      <c r="R24" s="31" t="s">
        <v>14186</v>
      </c>
      <c r="S24" s="31" t="s">
        <v>14141</v>
      </c>
      <c r="T24" s="31" t="s">
        <v>8125</v>
      </c>
      <c r="U24" s="42" t="n">
        <v>46236</v>
      </c>
    </row>
    <row r="25" customFormat="false" ht="45.75" hidden="false" customHeight="true" outlineLevel="0" collapsed="false">
      <c r="A25" s="30" t="n">
        <v>19</v>
      </c>
      <c r="B25" s="30" t="s">
        <v>8100</v>
      </c>
      <c r="C25" s="31" t="s">
        <v>8101</v>
      </c>
      <c r="D25" s="31" t="s">
        <v>8103</v>
      </c>
      <c r="E25" s="31" t="s">
        <v>8104</v>
      </c>
      <c r="F25" s="30" t="n">
        <f aca="false">COUNTIF('Seed Catalogue'!$C$2:$C$452,B25)</f>
        <v>0</v>
      </c>
      <c r="G25" s="40" t="n">
        <v>5</v>
      </c>
      <c r="H25" s="40" t="n">
        <v>5</v>
      </c>
      <c r="I25" s="40" t="n">
        <v>4</v>
      </c>
      <c r="J25" s="40" t="n">
        <v>5</v>
      </c>
      <c r="K25" s="40" t="n">
        <v>5</v>
      </c>
      <c r="L25" s="40" t="n">
        <v>4</v>
      </c>
      <c r="M25" s="40" t="n">
        <v>4</v>
      </c>
      <c r="N25" s="40" t="n">
        <v>1</v>
      </c>
      <c r="O25" s="41" t="n">
        <f aca="false">ROUND(G25/5*$X$2+H25/5*$X$3+I25/5*$X$4+J25/5*$X$5+K25/5*$X$6+L25/5*$X$7+M25/5*$X$8-N25/5*$X$9,1)</f>
        <v>89</v>
      </c>
      <c r="P25" s="30" t="str">
        <f aca="false">IF(O25&gt;=$X$12,"Foundational deep pass",IF(O25&gt;=$X$13,"Major deep pass",IF(O25&gt;=$X$14,"Targeted innovation pass",IF(O25&gt;=$X$15,"Sampling pass","Reference / defer"))))</f>
        <v>Foundational deep pass</v>
      </c>
      <c r="Q25" s="31" t="s">
        <v>14187</v>
      </c>
      <c r="R25" s="31" t="s">
        <v>14188</v>
      </c>
      <c r="S25" s="31" t="s">
        <v>14141</v>
      </c>
      <c r="T25" s="31" t="s">
        <v>8108</v>
      </c>
      <c r="U25" s="42" t="n">
        <v>46236</v>
      </c>
    </row>
    <row r="26" customFormat="false" ht="45.75" hidden="false" customHeight="true" outlineLevel="0" collapsed="false">
      <c r="A26" s="30" t="n">
        <v>20</v>
      </c>
      <c r="B26" s="30" t="s">
        <v>8230</v>
      </c>
      <c r="C26" s="31" t="s">
        <v>8231</v>
      </c>
      <c r="D26" s="31" t="s">
        <v>8076</v>
      </c>
      <c r="E26" s="31" t="s">
        <v>8232</v>
      </c>
      <c r="F26" s="30" t="n">
        <f aca="false">COUNTIF('Seed Catalogue'!$C$2:$C$452,B26)</f>
        <v>0</v>
      </c>
      <c r="G26" s="40" t="n">
        <v>5</v>
      </c>
      <c r="H26" s="40" t="n">
        <v>5</v>
      </c>
      <c r="I26" s="40" t="n">
        <v>4</v>
      </c>
      <c r="J26" s="40" t="n">
        <v>4</v>
      </c>
      <c r="K26" s="40" t="n">
        <v>5</v>
      </c>
      <c r="L26" s="40" t="n">
        <v>4</v>
      </c>
      <c r="M26" s="40" t="n">
        <v>4</v>
      </c>
      <c r="N26" s="40" t="n">
        <v>1</v>
      </c>
      <c r="O26" s="41" t="n">
        <f aca="false">ROUND(G26/5*$X$2+H26/5*$X$3+I26/5*$X$4+J26/5*$X$5+K26/5*$X$6+L26/5*$X$7+M26/5*$X$8-N26/5*$X$9,1)</f>
        <v>86</v>
      </c>
      <c r="P26" s="30" t="str">
        <f aca="false">IF(O26&gt;=$X$12,"Foundational deep pass",IF(O26&gt;=$X$13,"Major deep pass",IF(O26&gt;=$X$14,"Targeted innovation pass",IF(O26&gt;=$X$15,"Sampling pass","Reference / defer"))))</f>
        <v>Foundational deep pass</v>
      </c>
      <c r="Q26" s="31" t="s">
        <v>14182</v>
      </c>
      <c r="R26" s="31" t="s">
        <v>14183</v>
      </c>
      <c r="S26" s="31" t="s">
        <v>14184</v>
      </c>
      <c r="T26" s="31" t="s">
        <v>8234</v>
      </c>
      <c r="U26" s="42" t="n">
        <v>46236</v>
      </c>
    </row>
    <row r="27" customFormat="false" ht="45.75" hidden="false" customHeight="true" outlineLevel="0" collapsed="false">
      <c r="A27" s="30" t="n">
        <v>21</v>
      </c>
      <c r="B27" s="30" t="s">
        <v>8260</v>
      </c>
      <c r="C27" s="31" t="s">
        <v>8261</v>
      </c>
      <c r="D27" s="31" t="s">
        <v>8076</v>
      </c>
      <c r="E27" s="31" t="s">
        <v>8263</v>
      </c>
      <c r="F27" s="30" t="n">
        <f aca="false">COUNTIF('Seed Catalogue'!$C$2:$C$452,B27)</f>
        <v>0</v>
      </c>
      <c r="G27" s="40" t="n">
        <v>5</v>
      </c>
      <c r="H27" s="40" t="n">
        <v>5</v>
      </c>
      <c r="I27" s="40" t="n">
        <v>4</v>
      </c>
      <c r="J27" s="40" t="n">
        <v>4</v>
      </c>
      <c r="K27" s="40" t="n">
        <v>5</v>
      </c>
      <c r="L27" s="40" t="n">
        <v>4</v>
      </c>
      <c r="M27" s="40" t="n">
        <v>4</v>
      </c>
      <c r="N27" s="40" t="n">
        <v>1</v>
      </c>
      <c r="O27" s="41" t="n">
        <f aca="false">ROUND(G27/5*$X$2+H27/5*$X$3+I27/5*$X$4+J27/5*$X$5+K27/5*$X$6+L27/5*$X$7+M27/5*$X$8-N27/5*$X$9,1)</f>
        <v>86</v>
      </c>
      <c r="P27" s="30" t="str">
        <f aca="false">IF(O27&gt;=$X$12,"Foundational deep pass",IF(O27&gt;=$X$13,"Major deep pass",IF(O27&gt;=$X$14,"Targeted innovation pass",IF(O27&gt;=$X$15,"Sampling pass","Reference / defer"))))</f>
        <v>Foundational deep pass</v>
      </c>
      <c r="Q27" s="31" t="s">
        <v>14182</v>
      </c>
      <c r="R27" s="31" t="s">
        <v>14183</v>
      </c>
      <c r="S27" s="31" t="s">
        <v>14184</v>
      </c>
      <c r="T27" s="31" t="s">
        <v>8265</v>
      </c>
      <c r="U27" s="42" t="n">
        <v>46236</v>
      </c>
    </row>
    <row r="28" customFormat="false" ht="45.75" hidden="false" customHeight="true" outlineLevel="0" collapsed="false">
      <c r="A28" s="30" t="n">
        <v>22</v>
      </c>
      <c r="B28" s="30" t="s">
        <v>8266</v>
      </c>
      <c r="C28" s="31" t="s">
        <v>8267</v>
      </c>
      <c r="D28" s="31" t="s">
        <v>8076</v>
      </c>
      <c r="E28" s="31" t="s">
        <v>8269</v>
      </c>
      <c r="F28" s="30" t="n">
        <f aca="false">COUNTIF('Seed Catalogue'!$C$2:$C$452,B28)</f>
        <v>0</v>
      </c>
      <c r="G28" s="40" t="n">
        <v>5</v>
      </c>
      <c r="H28" s="40" t="n">
        <v>5</v>
      </c>
      <c r="I28" s="40" t="n">
        <v>4</v>
      </c>
      <c r="J28" s="40" t="n">
        <v>4</v>
      </c>
      <c r="K28" s="40" t="n">
        <v>5</v>
      </c>
      <c r="L28" s="40" t="n">
        <v>4</v>
      </c>
      <c r="M28" s="40" t="n">
        <v>4</v>
      </c>
      <c r="N28" s="40" t="n">
        <v>1</v>
      </c>
      <c r="O28" s="41" t="n">
        <f aca="false">ROUND(G28/5*$X$2+H28/5*$X$3+I28/5*$X$4+J28/5*$X$5+K28/5*$X$6+L28/5*$X$7+M28/5*$X$8-N28/5*$X$9,1)</f>
        <v>86</v>
      </c>
      <c r="P28" s="30" t="str">
        <f aca="false">IF(O28&gt;=$X$12,"Foundational deep pass",IF(O28&gt;=$X$13,"Major deep pass",IF(O28&gt;=$X$14,"Targeted innovation pass",IF(O28&gt;=$X$15,"Sampling pass","Reference / defer"))))</f>
        <v>Foundational deep pass</v>
      </c>
      <c r="Q28" s="31" t="s">
        <v>14182</v>
      </c>
      <c r="R28" s="31" t="s">
        <v>14183</v>
      </c>
      <c r="S28" s="31" t="s">
        <v>14184</v>
      </c>
      <c r="T28" s="31" t="s">
        <v>8271</v>
      </c>
      <c r="U28" s="42" t="n">
        <v>46236</v>
      </c>
    </row>
    <row r="29" customFormat="false" ht="45.75" hidden="false" customHeight="true" outlineLevel="0" collapsed="false">
      <c r="A29" s="30" t="n">
        <v>23</v>
      </c>
      <c r="B29" s="30" t="s">
        <v>8251</v>
      </c>
      <c r="C29" s="31" t="s">
        <v>8252</v>
      </c>
      <c r="D29" s="31" t="s">
        <v>8254</v>
      </c>
      <c r="E29" s="31" t="s">
        <v>8255</v>
      </c>
      <c r="F29" s="30" t="n">
        <f aca="false">COUNTIF('Seed Catalogue'!$C$2:$C$452,B29)</f>
        <v>0</v>
      </c>
      <c r="G29" s="40" t="n">
        <v>5</v>
      </c>
      <c r="H29" s="40" t="n">
        <v>5</v>
      </c>
      <c r="I29" s="40" t="n">
        <v>4</v>
      </c>
      <c r="J29" s="40" t="n">
        <v>4</v>
      </c>
      <c r="K29" s="40" t="n">
        <v>5</v>
      </c>
      <c r="L29" s="40" t="n">
        <v>4</v>
      </c>
      <c r="M29" s="40" t="n">
        <v>4</v>
      </c>
      <c r="N29" s="40" t="n">
        <v>1</v>
      </c>
      <c r="O29" s="41" t="n">
        <f aca="false">ROUND(G29/5*$X$2+H29/5*$X$3+I29/5*$X$4+J29/5*$X$5+K29/5*$X$6+L29/5*$X$7+M29/5*$X$8-N29/5*$X$9,1)</f>
        <v>86</v>
      </c>
      <c r="P29" s="30" t="str">
        <f aca="false">IF(O29&gt;=$X$12,"Foundational deep pass",IF(O29&gt;=$X$13,"Major deep pass",IF(O29&gt;=$X$14,"Targeted innovation pass",IF(O29&gt;=$X$15,"Sampling pass","Reference / defer"))))</f>
        <v>Foundational deep pass</v>
      </c>
      <c r="Q29" s="31" t="s">
        <v>14182</v>
      </c>
      <c r="R29" s="31" t="s">
        <v>14183</v>
      </c>
      <c r="S29" s="31" t="s">
        <v>14184</v>
      </c>
      <c r="T29" s="31" t="s">
        <v>8259</v>
      </c>
      <c r="U29" s="42" t="n">
        <v>46236</v>
      </c>
    </row>
    <row r="30" customFormat="false" ht="45.75" hidden="false" customHeight="true" outlineLevel="0" collapsed="false">
      <c r="A30" s="30" t="n">
        <v>24</v>
      </c>
      <c r="B30" s="30" t="s">
        <v>8126</v>
      </c>
      <c r="C30" s="31" t="s">
        <v>8127</v>
      </c>
      <c r="D30" s="31" t="s">
        <v>8076</v>
      </c>
      <c r="E30" s="31" t="s">
        <v>8129</v>
      </c>
      <c r="F30" s="30" t="n">
        <f aca="false">COUNTIF('Seed Catalogue'!$C$2:$C$452,B30)</f>
        <v>0</v>
      </c>
      <c r="G30" s="40" t="n">
        <v>5</v>
      </c>
      <c r="H30" s="40" t="n">
        <v>5</v>
      </c>
      <c r="I30" s="40" t="n">
        <v>4</v>
      </c>
      <c r="J30" s="40" t="n">
        <v>5</v>
      </c>
      <c r="K30" s="40" t="n">
        <v>5</v>
      </c>
      <c r="L30" s="40" t="n">
        <v>5</v>
      </c>
      <c r="M30" s="40" t="n">
        <v>3</v>
      </c>
      <c r="N30" s="40" t="n">
        <v>2</v>
      </c>
      <c r="O30" s="41" t="n">
        <f aca="false">ROUND(G30/5*$X$2+H30/5*$X$3+I30/5*$X$4+J30/5*$X$5+K30/5*$X$6+L30/5*$X$7+M30/5*$X$8-N30/5*$X$9,1)</f>
        <v>85</v>
      </c>
      <c r="P30" s="30" t="str">
        <f aca="false">IF(O30&gt;=$X$12,"Foundational deep pass",IF(O30&gt;=$X$13,"Major deep pass",IF(O30&gt;=$X$14,"Targeted innovation pass",IF(O30&gt;=$X$15,"Sampling pass","Reference / defer"))))</f>
        <v>Foundational deep pass</v>
      </c>
      <c r="Q30" s="31" t="s">
        <v>14189</v>
      </c>
      <c r="R30" s="31" t="s">
        <v>14190</v>
      </c>
      <c r="S30" s="31" t="s">
        <v>14141</v>
      </c>
      <c r="T30" s="31" t="s">
        <v>8132</v>
      </c>
      <c r="U30" s="42" t="n">
        <v>46236</v>
      </c>
    </row>
    <row r="31" customFormat="false" ht="45.75" hidden="false" customHeight="true" outlineLevel="0" collapsed="false">
      <c r="A31" s="30" t="n">
        <v>25</v>
      </c>
      <c r="B31" s="30" t="s">
        <v>8073</v>
      </c>
      <c r="C31" s="31" t="s">
        <v>8074</v>
      </c>
      <c r="D31" s="31" t="s">
        <v>8076</v>
      </c>
      <c r="E31" s="31" t="s">
        <v>8077</v>
      </c>
      <c r="F31" s="30" t="n">
        <f aca="false">COUNTIF('Seed Catalogue'!$C$2:$C$452,B31)</f>
        <v>0</v>
      </c>
      <c r="G31" s="40" t="n">
        <v>5</v>
      </c>
      <c r="H31" s="40" t="n">
        <v>5</v>
      </c>
      <c r="I31" s="40" t="n">
        <v>3</v>
      </c>
      <c r="J31" s="40" t="n">
        <v>5</v>
      </c>
      <c r="K31" s="40" t="n">
        <v>5</v>
      </c>
      <c r="L31" s="40" t="n">
        <v>5</v>
      </c>
      <c r="M31" s="40" t="n">
        <v>5</v>
      </c>
      <c r="N31" s="40" t="n">
        <v>3</v>
      </c>
      <c r="O31" s="41" t="n">
        <f aca="false">ROUND(G31/5*$X$2+H31/5*$X$3+I31/5*$X$4+J31/5*$X$5+K31/5*$X$6+L31/5*$X$7+M31/5*$X$8-N31/5*$X$9,1)</f>
        <v>82</v>
      </c>
      <c r="P31" s="30" t="str">
        <f aca="false">IF(O31&gt;=$X$12,"Foundational deep pass",IF(O31&gt;=$X$13,"Major deep pass",IF(O31&gt;=$X$14,"Targeted innovation pass",IF(O31&gt;=$X$15,"Sampling pass","Reference / defer"))))</f>
        <v>Foundational deep pass</v>
      </c>
      <c r="Q31" s="31" t="s">
        <v>14191</v>
      </c>
      <c r="R31" s="31" t="s">
        <v>14192</v>
      </c>
      <c r="S31" s="31" t="s">
        <v>14184</v>
      </c>
      <c r="T31" s="31" t="s">
        <v>8083</v>
      </c>
      <c r="U31" s="42" t="n">
        <v>46236</v>
      </c>
    </row>
    <row r="32" customFormat="false" ht="45.75" hidden="false" customHeight="true" outlineLevel="0" collapsed="false">
      <c r="A32" s="30" t="n">
        <v>26</v>
      </c>
      <c r="B32" s="30" t="s">
        <v>8085</v>
      </c>
      <c r="C32" s="31" t="s">
        <v>8086</v>
      </c>
      <c r="D32" s="31" t="s">
        <v>8076</v>
      </c>
      <c r="E32" s="31" t="s">
        <v>8088</v>
      </c>
      <c r="F32" s="30" t="n">
        <f aca="false">COUNTIF('Seed Catalogue'!$C$2:$C$452,B32)</f>
        <v>0</v>
      </c>
      <c r="G32" s="40" t="n">
        <v>5</v>
      </c>
      <c r="H32" s="40" t="n">
        <v>5</v>
      </c>
      <c r="I32" s="40" t="n">
        <v>3</v>
      </c>
      <c r="J32" s="40" t="n">
        <v>5</v>
      </c>
      <c r="K32" s="40" t="n">
        <v>5</v>
      </c>
      <c r="L32" s="40" t="n">
        <v>5</v>
      </c>
      <c r="M32" s="40" t="n">
        <v>5</v>
      </c>
      <c r="N32" s="40" t="n">
        <v>3</v>
      </c>
      <c r="O32" s="41" t="n">
        <f aca="false">ROUND(G32/5*$X$2+H32/5*$X$3+I32/5*$X$4+J32/5*$X$5+K32/5*$X$6+L32/5*$X$7+M32/5*$X$8-N32/5*$X$9,1)</f>
        <v>82</v>
      </c>
      <c r="P32" s="30" t="str">
        <f aca="false">IF(O32&gt;=$X$12,"Foundational deep pass",IF(O32&gt;=$X$13,"Major deep pass",IF(O32&gt;=$X$14,"Targeted innovation pass",IF(O32&gt;=$X$15,"Sampling pass","Reference / defer"))))</f>
        <v>Foundational deep pass</v>
      </c>
      <c r="Q32" s="31" t="s">
        <v>14193</v>
      </c>
      <c r="R32" s="31" t="s">
        <v>14194</v>
      </c>
      <c r="S32" s="31" t="s">
        <v>14184</v>
      </c>
      <c r="T32" s="31" t="s">
        <v>8092</v>
      </c>
      <c r="U32" s="42" t="n">
        <v>46236</v>
      </c>
    </row>
    <row r="33" customFormat="false" ht="45.75" hidden="false" customHeight="true" outlineLevel="0" collapsed="false">
      <c r="A33" s="30" t="n">
        <v>27</v>
      </c>
      <c r="B33" s="30" t="s">
        <v>9926</v>
      </c>
      <c r="C33" s="31" t="s">
        <v>144</v>
      </c>
      <c r="D33" s="31" t="s">
        <v>9928</v>
      </c>
      <c r="E33" s="31" t="s">
        <v>9929</v>
      </c>
      <c r="F33" s="30" t="n">
        <f aca="false">COUNTIF('Seed Catalogue'!$C$2:$C$452,B33)</f>
        <v>26</v>
      </c>
      <c r="G33" s="40" t="n">
        <v>4</v>
      </c>
      <c r="H33" s="40" t="n">
        <v>4</v>
      </c>
      <c r="I33" s="40" t="n">
        <v>4</v>
      </c>
      <c r="J33" s="40" t="n">
        <v>4</v>
      </c>
      <c r="K33" s="40" t="n">
        <v>4</v>
      </c>
      <c r="L33" s="40" t="n">
        <v>5</v>
      </c>
      <c r="M33" s="40" t="n">
        <v>5</v>
      </c>
      <c r="N33" s="40" t="n">
        <v>2</v>
      </c>
      <c r="O33" s="41" t="n">
        <f aca="false">ROUND(G33/5*$X$2+H33/5*$X$3+I33/5*$X$4+J33/5*$X$5+K33/5*$X$6+L33/5*$X$7+M33/5*$X$8-N33/5*$X$9,1)</f>
        <v>76</v>
      </c>
      <c r="P33" s="30" t="str">
        <f aca="false">IF(O33&gt;=$X$12,"Foundational deep pass",IF(O33&gt;=$X$13,"Major deep pass",IF(O33&gt;=$X$14,"Targeted innovation pass",IF(O33&gt;=$X$15,"Sampling pass","Reference / defer"))))</f>
        <v>Foundational deep pass</v>
      </c>
      <c r="Q33" s="31" t="s">
        <v>14195</v>
      </c>
      <c r="R33" s="31" t="s">
        <v>14196</v>
      </c>
      <c r="S33" s="31" t="s">
        <v>14141</v>
      </c>
      <c r="T33" s="31" t="s">
        <v>9934</v>
      </c>
      <c r="U33" s="42" t="n">
        <v>46236</v>
      </c>
    </row>
    <row r="34" customFormat="false" ht="45.75" hidden="false" customHeight="true" outlineLevel="0" collapsed="false">
      <c r="A34" s="30" t="n">
        <v>28</v>
      </c>
      <c r="B34" s="30" t="s">
        <v>8449</v>
      </c>
      <c r="C34" s="31" t="s">
        <v>8450</v>
      </c>
      <c r="D34" s="31" t="s">
        <v>8275</v>
      </c>
      <c r="E34" s="31" t="s">
        <v>8452</v>
      </c>
      <c r="F34" s="30" t="n">
        <f aca="false">COUNTIF('Seed Catalogue'!$C$2:$C$452,B34)</f>
        <v>0</v>
      </c>
      <c r="G34" s="40" t="n">
        <v>4</v>
      </c>
      <c r="H34" s="40" t="n">
        <v>4</v>
      </c>
      <c r="I34" s="40" t="n">
        <v>3</v>
      </c>
      <c r="J34" s="40" t="n">
        <v>5</v>
      </c>
      <c r="K34" s="40" t="n">
        <v>4</v>
      </c>
      <c r="L34" s="40" t="n">
        <v>4</v>
      </c>
      <c r="M34" s="40" t="n">
        <v>4</v>
      </c>
      <c r="N34" s="40" t="n">
        <v>2</v>
      </c>
      <c r="O34" s="41" t="n">
        <f aca="false">ROUND(G34/5*$X$2+H34/5*$X$3+I34/5*$X$4+J34/5*$X$5+K34/5*$X$6+L34/5*$X$7+M34/5*$X$8-N34/5*$X$9,1)</f>
        <v>72</v>
      </c>
      <c r="P34" s="30" t="str">
        <f aca="false">IF(O34&gt;=$X$12,"Foundational deep pass",IF(O34&gt;=$X$13,"Major deep pass",IF(O34&gt;=$X$14,"Targeted innovation pass",IF(O34&gt;=$X$15,"Sampling pass","Reference / defer"))))</f>
        <v>Major deep pass</v>
      </c>
      <c r="Q34" s="31" t="s">
        <v>14197</v>
      </c>
      <c r="R34" s="31" t="s">
        <v>14198</v>
      </c>
      <c r="S34" s="31" t="s">
        <v>14184</v>
      </c>
      <c r="T34" s="31" t="s">
        <v>8456</v>
      </c>
      <c r="U34" s="42" t="n">
        <v>46236</v>
      </c>
    </row>
    <row r="35" customFormat="false" ht="45.75" hidden="false" customHeight="true" outlineLevel="0" collapsed="false">
      <c r="A35" s="30" t="n">
        <v>29</v>
      </c>
      <c r="B35" s="30" t="s">
        <v>8563</v>
      </c>
      <c r="C35" s="31" t="s">
        <v>8564</v>
      </c>
      <c r="D35" s="31" t="s">
        <v>8275</v>
      </c>
      <c r="E35" s="31" t="s">
        <v>8566</v>
      </c>
      <c r="F35" s="30" t="n">
        <f aca="false">COUNTIF('Seed Catalogue'!$C$2:$C$452,B35)</f>
        <v>0</v>
      </c>
      <c r="G35" s="40" t="n">
        <v>4</v>
      </c>
      <c r="H35" s="40" t="n">
        <v>4</v>
      </c>
      <c r="I35" s="40" t="n">
        <v>3</v>
      </c>
      <c r="J35" s="40" t="n">
        <v>5</v>
      </c>
      <c r="K35" s="40" t="n">
        <v>4</v>
      </c>
      <c r="L35" s="40" t="n">
        <v>4</v>
      </c>
      <c r="M35" s="40" t="n">
        <v>4</v>
      </c>
      <c r="N35" s="40" t="n">
        <v>2</v>
      </c>
      <c r="O35" s="41" t="n">
        <f aca="false">ROUND(G35/5*$X$2+H35/5*$X$3+I35/5*$X$4+J35/5*$X$5+K35/5*$X$6+L35/5*$X$7+M35/5*$X$8-N35/5*$X$9,1)</f>
        <v>72</v>
      </c>
      <c r="P35" s="30" t="str">
        <f aca="false">IF(O35&gt;=$X$12,"Foundational deep pass",IF(O35&gt;=$X$13,"Major deep pass",IF(O35&gt;=$X$14,"Targeted innovation pass",IF(O35&gt;=$X$15,"Sampling pass","Reference / defer"))))</f>
        <v>Major deep pass</v>
      </c>
      <c r="Q35" s="31" t="s">
        <v>14197</v>
      </c>
      <c r="R35" s="31" t="s">
        <v>14198</v>
      </c>
      <c r="S35" s="31" t="s">
        <v>14184</v>
      </c>
      <c r="T35" s="31" t="s">
        <v>8569</v>
      </c>
      <c r="U35" s="42" t="n">
        <v>46236</v>
      </c>
    </row>
    <row r="36" customFormat="false" ht="45.75" hidden="false" customHeight="true" outlineLevel="0" collapsed="false">
      <c r="A36" s="30" t="n">
        <v>30</v>
      </c>
      <c r="B36" s="30" t="s">
        <v>8281</v>
      </c>
      <c r="C36" s="31" t="s">
        <v>8282</v>
      </c>
      <c r="D36" s="31" t="s">
        <v>8275</v>
      </c>
      <c r="E36" s="31" t="s">
        <v>8284</v>
      </c>
      <c r="F36" s="30" t="n">
        <f aca="false">COUNTIF('Seed Catalogue'!$C$2:$C$452,B36)</f>
        <v>0</v>
      </c>
      <c r="G36" s="40" t="n">
        <v>4</v>
      </c>
      <c r="H36" s="40" t="n">
        <v>4</v>
      </c>
      <c r="I36" s="40" t="n">
        <v>3</v>
      </c>
      <c r="J36" s="40" t="n">
        <v>5</v>
      </c>
      <c r="K36" s="40" t="n">
        <v>4</v>
      </c>
      <c r="L36" s="40" t="n">
        <v>4</v>
      </c>
      <c r="M36" s="40" t="n">
        <v>4</v>
      </c>
      <c r="N36" s="40" t="n">
        <v>2</v>
      </c>
      <c r="O36" s="41" t="n">
        <f aca="false">ROUND(G36/5*$X$2+H36/5*$X$3+I36/5*$X$4+J36/5*$X$5+K36/5*$X$6+L36/5*$X$7+M36/5*$X$8-N36/5*$X$9,1)</f>
        <v>72</v>
      </c>
      <c r="P36" s="30" t="str">
        <f aca="false">IF(O36&gt;=$X$12,"Foundational deep pass",IF(O36&gt;=$X$13,"Major deep pass",IF(O36&gt;=$X$14,"Targeted innovation pass",IF(O36&gt;=$X$15,"Sampling pass","Reference / defer"))))</f>
        <v>Major deep pass</v>
      </c>
      <c r="Q36" s="31" t="s">
        <v>14197</v>
      </c>
      <c r="R36" s="31" t="s">
        <v>14198</v>
      </c>
      <c r="S36" s="31" t="s">
        <v>14184</v>
      </c>
      <c r="T36" s="31" t="s">
        <v>8288</v>
      </c>
      <c r="U36" s="42" t="n">
        <v>46236</v>
      </c>
    </row>
    <row r="37" customFormat="false" ht="45.75" hidden="false" customHeight="true" outlineLevel="0" collapsed="false">
      <c r="A37" s="30" t="n">
        <v>31</v>
      </c>
      <c r="B37" s="30" t="s">
        <v>8392</v>
      </c>
      <c r="C37" s="31" t="s">
        <v>8393</v>
      </c>
      <c r="D37" s="31" t="s">
        <v>8275</v>
      </c>
      <c r="E37" s="31" t="s">
        <v>8307</v>
      </c>
      <c r="F37" s="30" t="n">
        <f aca="false">COUNTIF('Seed Catalogue'!$C$2:$C$452,B37)</f>
        <v>0</v>
      </c>
      <c r="G37" s="40" t="n">
        <v>4</v>
      </c>
      <c r="H37" s="40" t="n">
        <v>4</v>
      </c>
      <c r="I37" s="40" t="n">
        <v>3</v>
      </c>
      <c r="J37" s="40" t="n">
        <v>5</v>
      </c>
      <c r="K37" s="40" t="n">
        <v>4</v>
      </c>
      <c r="L37" s="40" t="n">
        <v>4</v>
      </c>
      <c r="M37" s="40" t="n">
        <v>4</v>
      </c>
      <c r="N37" s="40" t="n">
        <v>2</v>
      </c>
      <c r="O37" s="41" t="n">
        <f aca="false">ROUND(G37/5*$X$2+H37/5*$X$3+I37/5*$X$4+J37/5*$X$5+K37/5*$X$6+L37/5*$X$7+M37/5*$X$8-N37/5*$X$9,1)</f>
        <v>72</v>
      </c>
      <c r="P37" s="30" t="str">
        <f aca="false">IF(O37&gt;=$X$12,"Foundational deep pass",IF(O37&gt;=$X$13,"Major deep pass",IF(O37&gt;=$X$14,"Targeted innovation pass",IF(O37&gt;=$X$15,"Sampling pass","Reference / defer"))))</f>
        <v>Major deep pass</v>
      </c>
      <c r="Q37" s="31" t="s">
        <v>14197</v>
      </c>
      <c r="R37" s="31" t="s">
        <v>14198</v>
      </c>
      <c r="S37" s="31" t="s">
        <v>14184</v>
      </c>
      <c r="T37" s="31" t="s">
        <v>8398</v>
      </c>
      <c r="U37" s="42" t="n">
        <v>46236</v>
      </c>
    </row>
    <row r="38" customFormat="false" ht="45.75" hidden="false" customHeight="true" outlineLevel="0" collapsed="false">
      <c r="A38" s="30" t="n">
        <v>32</v>
      </c>
      <c r="B38" s="30" t="s">
        <v>8340</v>
      </c>
      <c r="C38" s="31" t="s">
        <v>8341</v>
      </c>
      <c r="D38" s="31" t="s">
        <v>8275</v>
      </c>
      <c r="E38" s="31" t="s">
        <v>8343</v>
      </c>
      <c r="F38" s="30" t="n">
        <f aca="false">COUNTIF('Seed Catalogue'!$C$2:$C$452,B38)</f>
        <v>0</v>
      </c>
      <c r="G38" s="40" t="n">
        <v>4</v>
      </c>
      <c r="H38" s="40" t="n">
        <v>4</v>
      </c>
      <c r="I38" s="40" t="n">
        <v>3</v>
      </c>
      <c r="J38" s="40" t="n">
        <v>5</v>
      </c>
      <c r="K38" s="40" t="n">
        <v>4</v>
      </c>
      <c r="L38" s="40" t="n">
        <v>4</v>
      </c>
      <c r="M38" s="40" t="n">
        <v>4</v>
      </c>
      <c r="N38" s="40" t="n">
        <v>2</v>
      </c>
      <c r="O38" s="41" t="n">
        <f aca="false">ROUND(G38/5*$X$2+H38/5*$X$3+I38/5*$X$4+J38/5*$X$5+K38/5*$X$6+L38/5*$X$7+M38/5*$X$8-N38/5*$X$9,1)</f>
        <v>72</v>
      </c>
      <c r="P38" s="30" t="str">
        <f aca="false">IF(O38&gt;=$X$12,"Foundational deep pass",IF(O38&gt;=$X$13,"Major deep pass",IF(O38&gt;=$X$14,"Targeted innovation pass",IF(O38&gt;=$X$15,"Sampling pass","Reference / defer"))))</f>
        <v>Major deep pass</v>
      </c>
      <c r="Q38" s="31" t="s">
        <v>14197</v>
      </c>
      <c r="R38" s="31" t="s">
        <v>14198</v>
      </c>
      <c r="S38" s="31" t="s">
        <v>14184</v>
      </c>
      <c r="T38" s="31" t="s">
        <v>8347</v>
      </c>
      <c r="U38" s="42" t="n">
        <v>46236</v>
      </c>
    </row>
    <row r="39" customFormat="false" ht="45.75" hidden="false" customHeight="true" outlineLevel="0" collapsed="false">
      <c r="A39" s="30" t="n">
        <v>33</v>
      </c>
      <c r="B39" s="30" t="s">
        <v>8348</v>
      </c>
      <c r="C39" s="31" t="s">
        <v>8349</v>
      </c>
      <c r="D39" s="31" t="s">
        <v>8275</v>
      </c>
      <c r="E39" s="31" t="s">
        <v>8351</v>
      </c>
      <c r="F39" s="30" t="n">
        <f aca="false">COUNTIF('Seed Catalogue'!$C$2:$C$452,B39)</f>
        <v>0</v>
      </c>
      <c r="G39" s="40" t="n">
        <v>4</v>
      </c>
      <c r="H39" s="40" t="n">
        <v>4</v>
      </c>
      <c r="I39" s="40" t="n">
        <v>3</v>
      </c>
      <c r="J39" s="40" t="n">
        <v>5</v>
      </c>
      <c r="K39" s="40" t="n">
        <v>4</v>
      </c>
      <c r="L39" s="40" t="n">
        <v>4</v>
      </c>
      <c r="M39" s="40" t="n">
        <v>4</v>
      </c>
      <c r="N39" s="40" t="n">
        <v>2</v>
      </c>
      <c r="O39" s="41" t="n">
        <f aca="false">ROUND(G39/5*$X$2+H39/5*$X$3+I39/5*$X$4+J39/5*$X$5+K39/5*$X$6+L39/5*$X$7+M39/5*$X$8-N39/5*$X$9,1)</f>
        <v>72</v>
      </c>
      <c r="P39" s="30" t="str">
        <f aca="false">IF(O39&gt;=$X$12,"Foundational deep pass",IF(O39&gt;=$X$13,"Major deep pass",IF(O39&gt;=$X$14,"Targeted innovation pass",IF(O39&gt;=$X$15,"Sampling pass","Reference / defer"))))</f>
        <v>Major deep pass</v>
      </c>
      <c r="Q39" s="31" t="s">
        <v>14197</v>
      </c>
      <c r="R39" s="31" t="s">
        <v>14198</v>
      </c>
      <c r="S39" s="31" t="s">
        <v>14184</v>
      </c>
      <c r="T39" s="31" t="s">
        <v>8355</v>
      </c>
      <c r="U39" s="42" t="n">
        <v>46236</v>
      </c>
    </row>
    <row r="40" customFormat="false" ht="45.75" hidden="false" customHeight="true" outlineLevel="0" collapsed="false">
      <c r="A40" s="30" t="n">
        <v>34</v>
      </c>
      <c r="B40" s="30" t="s">
        <v>8289</v>
      </c>
      <c r="C40" s="31" t="s">
        <v>8290</v>
      </c>
      <c r="D40" s="31" t="s">
        <v>8275</v>
      </c>
      <c r="E40" s="31" t="s">
        <v>8284</v>
      </c>
      <c r="F40" s="30" t="n">
        <f aca="false">COUNTIF('Seed Catalogue'!$C$2:$C$452,B40)</f>
        <v>0</v>
      </c>
      <c r="G40" s="40" t="n">
        <v>4</v>
      </c>
      <c r="H40" s="40" t="n">
        <v>4</v>
      </c>
      <c r="I40" s="40" t="n">
        <v>3</v>
      </c>
      <c r="J40" s="40" t="n">
        <v>5</v>
      </c>
      <c r="K40" s="40" t="n">
        <v>4</v>
      </c>
      <c r="L40" s="40" t="n">
        <v>4</v>
      </c>
      <c r="M40" s="40" t="n">
        <v>4</v>
      </c>
      <c r="N40" s="40" t="n">
        <v>2</v>
      </c>
      <c r="O40" s="41" t="n">
        <f aca="false">ROUND(G40/5*$X$2+H40/5*$X$3+I40/5*$X$4+J40/5*$X$5+K40/5*$X$6+L40/5*$X$7+M40/5*$X$8-N40/5*$X$9,1)</f>
        <v>72</v>
      </c>
      <c r="P40" s="30" t="str">
        <f aca="false">IF(O40&gt;=$X$12,"Foundational deep pass",IF(O40&gt;=$X$13,"Major deep pass",IF(O40&gt;=$X$14,"Targeted innovation pass",IF(O40&gt;=$X$15,"Sampling pass","Reference / defer"))))</f>
        <v>Major deep pass</v>
      </c>
      <c r="Q40" s="31" t="s">
        <v>14197</v>
      </c>
      <c r="R40" s="31" t="s">
        <v>14198</v>
      </c>
      <c r="S40" s="31" t="s">
        <v>14184</v>
      </c>
      <c r="T40" s="31" t="s">
        <v>8295</v>
      </c>
      <c r="U40" s="42" t="n">
        <v>46236</v>
      </c>
    </row>
    <row r="41" customFormat="false" ht="45.75" hidden="false" customHeight="true" outlineLevel="0" collapsed="false">
      <c r="A41" s="30" t="n">
        <v>35</v>
      </c>
      <c r="B41" s="30" t="s">
        <v>8133</v>
      </c>
      <c r="C41" s="31" t="s">
        <v>8134</v>
      </c>
      <c r="D41" s="31" t="s">
        <v>8136</v>
      </c>
      <c r="E41" s="31" t="s">
        <v>8137</v>
      </c>
      <c r="F41" s="30" t="n">
        <f aca="false">COUNTIF('Seed Catalogue'!$C$2:$C$452,B41)</f>
        <v>0</v>
      </c>
      <c r="G41" s="40" t="n">
        <v>4</v>
      </c>
      <c r="H41" s="40" t="n">
        <v>4</v>
      </c>
      <c r="I41" s="40" t="n">
        <v>3</v>
      </c>
      <c r="J41" s="40" t="n">
        <v>5</v>
      </c>
      <c r="K41" s="40" t="n">
        <v>4</v>
      </c>
      <c r="L41" s="40" t="n">
        <v>4</v>
      </c>
      <c r="M41" s="40" t="n">
        <v>4</v>
      </c>
      <c r="N41" s="40" t="n">
        <v>2</v>
      </c>
      <c r="O41" s="41" t="n">
        <f aca="false">ROUND(G41/5*$X$2+H41/5*$X$3+I41/5*$X$4+J41/5*$X$5+K41/5*$X$6+L41/5*$X$7+M41/5*$X$8-N41/5*$X$9,1)</f>
        <v>72</v>
      </c>
      <c r="P41" s="30" t="str">
        <f aca="false">IF(O41&gt;=$X$12,"Foundational deep pass",IF(O41&gt;=$X$13,"Major deep pass",IF(O41&gt;=$X$14,"Targeted innovation pass",IF(O41&gt;=$X$15,"Sampling pass","Reference / defer"))))</f>
        <v>Major deep pass</v>
      </c>
      <c r="Q41" s="31" t="s">
        <v>14197</v>
      </c>
      <c r="R41" s="31" t="s">
        <v>14198</v>
      </c>
      <c r="S41" s="31" t="s">
        <v>14184</v>
      </c>
      <c r="T41" s="31" t="s">
        <v>8141</v>
      </c>
      <c r="U41" s="42" t="n">
        <v>46236</v>
      </c>
    </row>
    <row r="42" customFormat="false" ht="45.75" hidden="false" customHeight="true" outlineLevel="0" collapsed="false">
      <c r="A42" s="30" t="n">
        <v>36</v>
      </c>
      <c r="B42" s="30" t="s">
        <v>8210</v>
      </c>
      <c r="C42" s="31" t="s">
        <v>8211</v>
      </c>
      <c r="D42" s="31" t="s">
        <v>8204</v>
      </c>
      <c r="E42" s="31" t="s">
        <v>8205</v>
      </c>
      <c r="F42" s="30" t="n">
        <f aca="false">COUNTIF('Seed Catalogue'!$C$2:$C$452,B42)</f>
        <v>0</v>
      </c>
      <c r="G42" s="40" t="n">
        <v>4</v>
      </c>
      <c r="H42" s="40" t="n">
        <v>4</v>
      </c>
      <c r="I42" s="40" t="n">
        <v>3</v>
      </c>
      <c r="J42" s="40" t="n">
        <v>5</v>
      </c>
      <c r="K42" s="40" t="n">
        <v>4</v>
      </c>
      <c r="L42" s="40" t="n">
        <v>4</v>
      </c>
      <c r="M42" s="40" t="n">
        <v>4</v>
      </c>
      <c r="N42" s="40" t="n">
        <v>2</v>
      </c>
      <c r="O42" s="41" t="n">
        <f aca="false">ROUND(G42/5*$X$2+H42/5*$X$3+I42/5*$X$4+J42/5*$X$5+K42/5*$X$6+L42/5*$X$7+M42/5*$X$8-N42/5*$X$9,1)</f>
        <v>72</v>
      </c>
      <c r="P42" s="30" t="str">
        <f aca="false">IF(O42&gt;=$X$12,"Foundational deep pass",IF(O42&gt;=$X$13,"Major deep pass",IF(O42&gt;=$X$14,"Targeted innovation pass",IF(O42&gt;=$X$15,"Sampling pass","Reference / defer"))))</f>
        <v>Major deep pass</v>
      </c>
      <c r="Q42" s="31" t="s">
        <v>14197</v>
      </c>
      <c r="R42" s="31" t="s">
        <v>14198</v>
      </c>
      <c r="S42" s="31" t="s">
        <v>14184</v>
      </c>
      <c r="T42" s="31" t="s">
        <v>8214</v>
      </c>
      <c r="U42" s="42" t="n">
        <v>46236</v>
      </c>
    </row>
    <row r="43" customFormat="false" ht="45.75" hidden="false" customHeight="true" outlineLevel="0" collapsed="false">
      <c r="A43" s="30" t="n">
        <v>37</v>
      </c>
      <c r="B43" s="30" t="s">
        <v>8549</v>
      </c>
      <c r="C43" s="31" t="s">
        <v>8550</v>
      </c>
      <c r="D43" s="31" t="s">
        <v>8275</v>
      </c>
      <c r="E43" s="31" t="s">
        <v>8307</v>
      </c>
      <c r="F43" s="30" t="n">
        <f aca="false">COUNTIF('Seed Catalogue'!$C$2:$C$452,B43)</f>
        <v>0</v>
      </c>
      <c r="G43" s="40" t="n">
        <v>4</v>
      </c>
      <c r="H43" s="40" t="n">
        <v>4</v>
      </c>
      <c r="I43" s="40" t="n">
        <v>3</v>
      </c>
      <c r="J43" s="40" t="n">
        <v>5</v>
      </c>
      <c r="K43" s="40" t="n">
        <v>4</v>
      </c>
      <c r="L43" s="40" t="n">
        <v>4</v>
      </c>
      <c r="M43" s="40" t="n">
        <v>4</v>
      </c>
      <c r="N43" s="40" t="n">
        <v>2</v>
      </c>
      <c r="O43" s="41" t="n">
        <f aca="false">ROUND(G43/5*$X$2+H43/5*$X$3+I43/5*$X$4+J43/5*$X$5+K43/5*$X$6+L43/5*$X$7+M43/5*$X$8-N43/5*$X$9,1)</f>
        <v>72</v>
      </c>
      <c r="P43" s="30" t="str">
        <f aca="false">IF(O43&gt;=$X$12,"Foundational deep pass",IF(O43&gt;=$X$13,"Major deep pass",IF(O43&gt;=$X$14,"Targeted innovation pass",IF(O43&gt;=$X$15,"Sampling pass","Reference / defer"))))</f>
        <v>Major deep pass</v>
      </c>
      <c r="Q43" s="31" t="s">
        <v>14197</v>
      </c>
      <c r="R43" s="31" t="s">
        <v>14198</v>
      </c>
      <c r="S43" s="31" t="s">
        <v>14184</v>
      </c>
      <c r="T43" s="31" t="s">
        <v>8555</v>
      </c>
      <c r="U43" s="42" t="n">
        <v>46236</v>
      </c>
    </row>
    <row r="44" customFormat="false" ht="45.75" hidden="false" customHeight="true" outlineLevel="0" collapsed="false">
      <c r="A44" s="30" t="n">
        <v>38</v>
      </c>
      <c r="B44" s="30" t="s">
        <v>8435</v>
      </c>
      <c r="C44" s="31" t="s">
        <v>8436</v>
      </c>
      <c r="D44" s="31" t="s">
        <v>8275</v>
      </c>
      <c r="E44" s="31" t="s">
        <v>8438</v>
      </c>
      <c r="F44" s="30" t="n">
        <f aca="false">COUNTIF('Seed Catalogue'!$C$2:$C$452,B44)</f>
        <v>0</v>
      </c>
      <c r="G44" s="40" t="n">
        <v>4</v>
      </c>
      <c r="H44" s="40" t="n">
        <v>4</v>
      </c>
      <c r="I44" s="40" t="n">
        <v>3</v>
      </c>
      <c r="J44" s="40" t="n">
        <v>5</v>
      </c>
      <c r="K44" s="40" t="n">
        <v>4</v>
      </c>
      <c r="L44" s="40" t="n">
        <v>4</v>
      </c>
      <c r="M44" s="40" t="n">
        <v>4</v>
      </c>
      <c r="N44" s="40" t="n">
        <v>2</v>
      </c>
      <c r="O44" s="41" t="n">
        <f aca="false">ROUND(G44/5*$X$2+H44/5*$X$3+I44/5*$X$4+J44/5*$X$5+K44/5*$X$6+L44/5*$X$7+M44/5*$X$8-N44/5*$X$9,1)</f>
        <v>72</v>
      </c>
      <c r="P44" s="30" t="str">
        <f aca="false">IF(O44&gt;=$X$12,"Foundational deep pass",IF(O44&gt;=$X$13,"Major deep pass",IF(O44&gt;=$X$14,"Targeted innovation pass",IF(O44&gt;=$X$15,"Sampling pass","Reference / defer"))))</f>
        <v>Major deep pass</v>
      </c>
      <c r="Q44" s="31" t="s">
        <v>14197</v>
      </c>
      <c r="R44" s="31" t="s">
        <v>14198</v>
      </c>
      <c r="S44" s="31" t="s">
        <v>14184</v>
      </c>
      <c r="T44" s="31" t="s">
        <v>8442</v>
      </c>
      <c r="U44" s="42" t="n">
        <v>46236</v>
      </c>
    </row>
    <row r="45" customFormat="false" ht="45.75" hidden="false" customHeight="true" outlineLevel="0" collapsed="false">
      <c r="A45" s="30" t="n">
        <v>39</v>
      </c>
      <c r="B45" s="30" t="s">
        <v>8399</v>
      </c>
      <c r="C45" s="31" t="s">
        <v>8400</v>
      </c>
      <c r="D45" s="31" t="s">
        <v>8275</v>
      </c>
      <c r="E45" s="31" t="s">
        <v>8343</v>
      </c>
      <c r="F45" s="30" t="n">
        <f aca="false">COUNTIF('Seed Catalogue'!$C$2:$C$452,B45)</f>
        <v>0</v>
      </c>
      <c r="G45" s="40" t="n">
        <v>4</v>
      </c>
      <c r="H45" s="40" t="n">
        <v>4</v>
      </c>
      <c r="I45" s="40" t="n">
        <v>3</v>
      </c>
      <c r="J45" s="40" t="n">
        <v>5</v>
      </c>
      <c r="K45" s="40" t="n">
        <v>4</v>
      </c>
      <c r="L45" s="40" t="n">
        <v>4</v>
      </c>
      <c r="M45" s="40" t="n">
        <v>4</v>
      </c>
      <c r="N45" s="40" t="n">
        <v>2</v>
      </c>
      <c r="O45" s="41" t="n">
        <f aca="false">ROUND(G45/5*$X$2+H45/5*$X$3+I45/5*$X$4+J45/5*$X$5+K45/5*$X$6+L45/5*$X$7+M45/5*$X$8-N45/5*$X$9,1)</f>
        <v>72</v>
      </c>
      <c r="P45" s="30" t="str">
        <f aca="false">IF(O45&gt;=$X$12,"Foundational deep pass",IF(O45&gt;=$X$13,"Major deep pass",IF(O45&gt;=$X$14,"Targeted innovation pass",IF(O45&gt;=$X$15,"Sampling pass","Reference / defer"))))</f>
        <v>Major deep pass</v>
      </c>
      <c r="Q45" s="31" t="s">
        <v>14197</v>
      </c>
      <c r="R45" s="31" t="s">
        <v>14198</v>
      </c>
      <c r="S45" s="31" t="s">
        <v>14184</v>
      </c>
      <c r="T45" s="31" t="s">
        <v>8405</v>
      </c>
      <c r="U45" s="42" t="n">
        <v>46236</v>
      </c>
    </row>
    <row r="46" customFormat="false" ht="45.75" hidden="false" customHeight="true" outlineLevel="0" collapsed="false">
      <c r="A46" s="30" t="n">
        <v>40</v>
      </c>
      <c r="B46" s="30" t="s">
        <v>8464</v>
      </c>
      <c r="C46" s="31" t="s">
        <v>8465</v>
      </c>
      <c r="D46" s="31" t="s">
        <v>8275</v>
      </c>
      <c r="E46" s="31" t="s">
        <v>8343</v>
      </c>
      <c r="F46" s="30" t="n">
        <f aca="false">COUNTIF('Seed Catalogue'!$C$2:$C$452,B46)</f>
        <v>0</v>
      </c>
      <c r="G46" s="40" t="n">
        <v>4</v>
      </c>
      <c r="H46" s="40" t="n">
        <v>4</v>
      </c>
      <c r="I46" s="40" t="n">
        <v>3</v>
      </c>
      <c r="J46" s="40" t="n">
        <v>5</v>
      </c>
      <c r="K46" s="40" t="n">
        <v>4</v>
      </c>
      <c r="L46" s="40" t="n">
        <v>4</v>
      </c>
      <c r="M46" s="40" t="n">
        <v>4</v>
      </c>
      <c r="N46" s="40" t="n">
        <v>2</v>
      </c>
      <c r="O46" s="41" t="n">
        <f aca="false">ROUND(G46/5*$X$2+H46/5*$X$3+I46/5*$X$4+J46/5*$X$5+K46/5*$X$6+L46/5*$X$7+M46/5*$X$8-N46/5*$X$9,1)</f>
        <v>72</v>
      </c>
      <c r="P46" s="30" t="str">
        <f aca="false">IF(O46&gt;=$X$12,"Foundational deep pass",IF(O46&gt;=$X$13,"Major deep pass",IF(O46&gt;=$X$14,"Targeted innovation pass",IF(O46&gt;=$X$15,"Sampling pass","Reference / defer"))))</f>
        <v>Major deep pass</v>
      </c>
      <c r="Q46" s="31" t="s">
        <v>14197</v>
      </c>
      <c r="R46" s="31" t="s">
        <v>14198</v>
      </c>
      <c r="S46" s="31" t="s">
        <v>14184</v>
      </c>
      <c r="T46" s="31" t="s">
        <v>8469</v>
      </c>
      <c r="U46" s="42" t="n">
        <v>46236</v>
      </c>
    </row>
    <row r="47" customFormat="false" ht="45.75" hidden="false" customHeight="true" outlineLevel="0" collapsed="false">
      <c r="A47" s="30" t="n">
        <v>41</v>
      </c>
      <c r="B47" s="30" t="s">
        <v>8613</v>
      </c>
      <c r="C47" s="31" t="s">
        <v>8614</v>
      </c>
      <c r="D47" s="31" t="s">
        <v>8275</v>
      </c>
      <c r="E47" s="31" t="s">
        <v>8226</v>
      </c>
      <c r="F47" s="30" t="n">
        <f aca="false">COUNTIF('Seed Catalogue'!$C$2:$C$452,B47)</f>
        <v>0</v>
      </c>
      <c r="G47" s="40" t="n">
        <v>4</v>
      </c>
      <c r="H47" s="40" t="n">
        <v>4</v>
      </c>
      <c r="I47" s="40" t="n">
        <v>3</v>
      </c>
      <c r="J47" s="40" t="n">
        <v>5</v>
      </c>
      <c r="K47" s="40" t="n">
        <v>4</v>
      </c>
      <c r="L47" s="40" t="n">
        <v>4</v>
      </c>
      <c r="M47" s="40" t="n">
        <v>4</v>
      </c>
      <c r="N47" s="40" t="n">
        <v>2</v>
      </c>
      <c r="O47" s="41" t="n">
        <f aca="false">ROUND(G47/5*$X$2+H47/5*$X$3+I47/5*$X$4+J47/5*$X$5+K47/5*$X$6+L47/5*$X$7+M47/5*$X$8-N47/5*$X$9,1)</f>
        <v>72</v>
      </c>
      <c r="P47" s="30" t="str">
        <f aca="false">IF(O47&gt;=$X$12,"Foundational deep pass",IF(O47&gt;=$X$13,"Major deep pass",IF(O47&gt;=$X$14,"Targeted innovation pass",IF(O47&gt;=$X$15,"Sampling pass","Reference / defer"))))</f>
        <v>Major deep pass</v>
      </c>
      <c r="Q47" s="31" t="s">
        <v>14197</v>
      </c>
      <c r="R47" s="31" t="s">
        <v>14198</v>
      </c>
      <c r="S47" s="31" t="s">
        <v>14184</v>
      </c>
      <c r="T47" s="31" t="s">
        <v>8617</v>
      </c>
      <c r="U47" s="42" t="n">
        <v>46236</v>
      </c>
    </row>
    <row r="48" customFormat="false" ht="45.75" hidden="false" customHeight="true" outlineLevel="0" collapsed="false">
      <c r="A48" s="30" t="n">
        <v>42</v>
      </c>
      <c r="B48" s="30" t="s">
        <v>8413</v>
      </c>
      <c r="C48" s="31" t="s">
        <v>8414</v>
      </c>
      <c r="D48" s="31" t="s">
        <v>8275</v>
      </c>
      <c r="E48" s="31" t="s">
        <v>8343</v>
      </c>
      <c r="F48" s="30" t="n">
        <f aca="false">COUNTIF('Seed Catalogue'!$C$2:$C$452,B48)</f>
        <v>0</v>
      </c>
      <c r="G48" s="40" t="n">
        <v>4</v>
      </c>
      <c r="H48" s="40" t="n">
        <v>4</v>
      </c>
      <c r="I48" s="40" t="n">
        <v>3</v>
      </c>
      <c r="J48" s="40" t="n">
        <v>5</v>
      </c>
      <c r="K48" s="40" t="n">
        <v>4</v>
      </c>
      <c r="L48" s="40" t="n">
        <v>4</v>
      </c>
      <c r="M48" s="40" t="n">
        <v>4</v>
      </c>
      <c r="N48" s="40" t="n">
        <v>2</v>
      </c>
      <c r="O48" s="41" t="n">
        <f aca="false">ROUND(G48/5*$X$2+H48/5*$X$3+I48/5*$X$4+J48/5*$X$5+K48/5*$X$6+L48/5*$X$7+M48/5*$X$8-N48/5*$X$9,1)</f>
        <v>72</v>
      </c>
      <c r="P48" s="30" t="str">
        <f aca="false">IF(O48&gt;=$X$12,"Foundational deep pass",IF(O48&gt;=$X$13,"Major deep pass",IF(O48&gt;=$X$14,"Targeted innovation pass",IF(O48&gt;=$X$15,"Sampling pass","Reference / defer"))))</f>
        <v>Major deep pass</v>
      </c>
      <c r="Q48" s="31" t="s">
        <v>14197</v>
      </c>
      <c r="R48" s="31" t="s">
        <v>14198</v>
      </c>
      <c r="S48" s="31" t="s">
        <v>14184</v>
      </c>
      <c r="T48" s="31" t="s">
        <v>8419</v>
      </c>
      <c r="U48" s="42" t="n">
        <v>46236</v>
      </c>
    </row>
    <row r="49" customFormat="false" ht="45.75" hidden="false" customHeight="true" outlineLevel="0" collapsed="false">
      <c r="A49" s="30" t="n">
        <v>43</v>
      </c>
      <c r="B49" s="30" t="s">
        <v>8589</v>
      </c>
      <c r="C49" s="31" t="s">
        <v>8590</v>
      </c>
      <c r="D49" s="31" t="s">
        <v>8275</v>
      </c>
      <c r="E49" s="31" t="s">
        <v>8592</v>
      </c>
      <c r="F49" s="30" t="n">
        <f aca="false">COUNTIF('Seed Catalogue'!$C$2:$C$452,B49)</f>
        <v>0</v>
      </c>
      <c r="G49" s="40" t="n">
        <v>4</v>
      </c>
      <c r="H49" s="40" t="n">
        <v>4</v>
      </c>
      <c r="I49" s="40" t="n">
        <v>3</v>
      </c>
      <c r="J49" s="40" t="n">
        <v>5</v>
      </c>
      <c r="K49" s="40" t="n">
        <v>4</v>
      </c>
      <c r="L49" s="40" t="n">
        <v>4</v>
      </c>
      <c r="M49" s="40" t="n">
        <v>4</v>
      </c>
      <c r="N49" s="40" t="n">
        <v>2</v>
      </c>
      <c r="O49" s="41" t="n">
        <f aca="false">ROUND(G49/5*$X$2+H49/5*$X$3+I49/5*$X$4+J49/5*$X$5+K49/5*$X$6+L49/5*$X$7+M49/5*$X$8-N49/5*$X$9,1)</f>
        <v>72</v>
      </c>
      <c r="P49" s="30" t="str">
        <f aca="false">IF(O49&gt;=$X$12,"Foundational deep pass",IF(O49&gt;=$X$13,"Major deep pass",IF(O49&gt;=$X$14,"Targeted innovation pass",IF(O49&gt;=$X$15,"Sampling pass","Reference / defer"))))</f>
        <v>Major deep pass</v>
      </c>
      <c r="Q49" s="31" t="s">
        <v>14197</v>
      </c>
      <c r="R49" s="31" t="s">
        <v>14198</v>
      </c>
      <c r="S49" s="31" t="s">
        <v>14184</v>
      </c>
      <c r="T49" s="31" t="s">
        <v>8596</v>
      </c>
      <c r="U49" s="42" t="n">
        <v>46236</v>
      </c>
    </row>
    <row r="50" customFormat="false" ht="45.75" hidden="false" customHeight="true" outlineLevel="0" collapsed="false">
      <c r="A50" s="30" t="n">
        <v>44</v>
      </c>
      <c r="B50" s="30" t="s">
        <v>8377</v>
      </c>
      <c r="C50" s="31" t="s">
        <v>8378</v>
      </c>
      <c r="D50" s="31" t="s">
        <v>8275</v>
      </c>
      <c r="E50" s="31" t="s">
        <v>8380</v>
      </c>
      <c r="F50" s="30" t="n">
        <f aca="false">COUNTIF('Seed Catalogue'!$C$2:$C$452,B50)</f>
        <v>0</v>
      </c>
      <c r="G50" s="40" t="n">
        <v>4</v>
      </c>
      <c r="H50" s="40" t="n">
        <v>4</v>
      </c>
      <c r="I50" s="40" t="n">
        <v>3</v>
      </c>
      <c r="J50" s="40" t="n">
        <v>5</v>
      </c>
      <c r="K50" s="40" t="n">
        <v>4</v>
      </c>
      <c r="L50" s="40" t="n">
        <v>4</v>
      </c>
      <c r="M50" s="40" t="n">
        <v>4</v>
      </c>
      <c r="N50" s="40" t="n">
        <v>2</v>
      </c>
      <c r="O50" s="41" t="n">
        <f aca="false">ROUND(G50/5*$X$2+H50/5*$X$3+I50/5*$X$4+J50/5*$X$5+K50/5*$X$6+L50/5*$X$7+M50/5*$X$8-N50/5*$X$9,1)</f>
        <v>72</v>
      </c>
      <c r="P50" s="30" t="str">
        <f aca="false">IF(O50&gt;=$X$12,"Foundational deep pass",IF(O50&gt;=$X$13,"Major deep pass",IF(O50&gt;=$X$14,"Targeted innovation pass",IF(O50&gt;=$X$15,"Sampling pass","Reference / defer"))))</f>
        <v>Major deep pass</v>
      </c>
      <c r="Q50" s="31" t="s">
        <v>14197</v>
      </c>
      <c r="R50" s="31" t="s">
        <v>14198</v>
      </c>
      <c r="S50" s="31" t="s">
        <v>14184</v>
      </c>
      <c r="T50" s="31" t="s">
        <v>8384</v>
      </c>
      <c r="U50" s="42" t="n">
        <v>46236</v>
      </c>
    </row>
    <row r="51" customFormat="false" ht="45.75" hidden="false" customHeight="true" outlineLevel="0" collapsed="false">
      <c r="A51" s="30" t="n">
        <v>45</v>
      </c>
      <c r="B51" s="30" t="s">
        <v>8690</v>
      </c>
      <c r="C51" s="31" t="s">
        <v>8691</v>
      </c>
      <c r="D51" s="31" t="s">
        <v>8275</v>
      </c>
      <c r="E51" s="31" t="s">
        <v>8343</v>
      </c>
      <c r="F51" s="30" t="n">
        <f aca="false">COUNTIF('Seed Catalogue'!$C$2:$C$452,B51)</f>
        <v>0</v>
      </c>
      <c r="G51" s="40" t="n">
        <v>4</v>
      </c>
      <c r="H51" s="40" t="n">
        <v>4</v>
      </c>
      <c r="I51" s="40" t="n">
        <v>3</v>
      </c>
      <c r="J51" s="40" t="n">
        <v>5</v>
      </c>
      <c r="K51" s="40" t="n">
        <v>4</v>
      </c>
      <c r="L51" s="40" t="n">
        <v>4</v>
      </c>
      <c r="M51" s="40" t="n">
        <v>4</v>
      </c>
      <c r="N51" s="40" t="n">
        <v>2</v>
      </c>
      <c r="O51" s="41" t="n">
        <f aca="false">ROUND(G51/5*$X$2+H51/5*$X$3+I51/5*$X$4+J51/5*$X$5+K51/5*$X$6+L51/5*$X$7+M51/5*$X$8-N51/5*$X$9,1)</f>
        <v>72</v>
      </c>
      <c r="P51" s="30" t="str">
        <f aca="false">IF(O51&gt;=$X$12,"Foundational deep pass",IF(O51&gt;=$X$13,"Major deep pass",IF(O51&gt;=$X$14,"Targeted innovation pass",IF(O51&gt;=$X$15,"Sampling pass","Reference / defer"))))</f>
        <v>Major deep pass</v>
      </c>
      <c r="Q51" s="31" t="s">
        <v>14197</v>
      </c>
      <c r="R51" s="31" t="s">
        <v>14198</v>
      </c>
      <c r="S51" s="31" t="s">
        <v>14184</v>
      </c>
      <c r="T51" s="31" t="s">
        <v>8695</v>
      </c>
      <c r="U51" s="42" t="n">
        <v>46236</v>
      </c>
    </row>
    <row r="52" customFormat="false" ht="45.75" hidden="false" customHeight="true" outlineLevel="0" collapsed="false">
      <c r="A52" s="30" t="n">
        <v>46</v>
      </c>
      <c r="B52" s="30" t="s">
        <v>8487</v>
      </c>
      <c r="C52" s="31" t="s">
        <v>8488</v>
      </c>
      <c r="D52" s="31" t="s">
        <v>8275</v>
      </c>
      <c r="E52" s="31" t="s">
        <v>8343</v>
      </c>
      <c r="F52" s="30" t="n">
        <f aca="false">COUNTIF('Seed Catalogue'!$C$2:$C$452,B52)</f>
        <v>0</v>
      </c>
      <c r="G52" s="40" t="n">
        <v>4</v>
      </c>
      <c r="H52" s="40" t="n">
        <v>4</v>
      </c>
      <c r="I52" s="40" t="n">
        <v>3</v>
      </c>
      <c r="J52" s="40" t="n">
        <v>5</v>
      </c>
      <c r="K52" s="40" t="n">
        <v>4</v>
      </c>
      <c r="L52" s="40" t="n">
        <v>4</v>
      </c>
      <c r="M52" s="40" t="n">
        <v>4</v>
      </c>
      <c r="N52" s="40" t="n">
        <v>2</v>
      </c>
      <c r="O52" s="41" t="n">
        <f aca="false">ROUND(G52/5*$X$2+H52/5*$X$3+I52/5*$X$4+J52/5*$X$5+K52/5*$X$6+L52/5*$X$7+M52/5*$X$8-N52/5*$X$9,1)</f>
        <v>72</v>
      </c>
      <c r="P52" s="30" t="str">
        <f aca="false">IF(O52&gt;=$X$12,"Foundational deep pass",IF(O52&gt;=$X$13,"Major deep pass",IF(O52&gt;=$X$14,"Targeted innovation pass",IF(O52&gt;=$X$15,"Sampling pass","Reference / defer"))))</f>
        <v>Major deep pass</v>
      </c>
      <c r="Q52" s="31" t="s">
        <v>14197</v>
      </c>
      <c r="R52" s="31" t="s">
        <v>14198</v>
      </c>
      <c r="S52" s="31" t="s">
        <v>14184</v>
      </c>
      <c r="T52" s="31" t="s">
        <v>8493</v>
      </c>
      <c r="U52" s="42" t="n">
        <v>46236</v>
      </c>
    </row>
    <row r="53" customFormat="false" ht="45.75" hidden="false" customHeight="true" outlineLevel="0" collapsed="false">
      <c r="A53" s="30" t="n">
        <v>47</v>
      </c>
      <c r="B53" s="30" t="s">
        <v>8304</v>
      </c>
      <c r="C53" s="31" t="s">
        <v>8305</v>
      </c>
      <c r="D53" s="31" t="s">
        <v>8275</v>
      </c>
      <c r="E53" s="31" t="s">
        <v>8307</v>
      </c>
      <c r="F53" s="30" t="n">
        <f aca="false">COUNTIF('Seed Catalogue'!$C$2:$C$452,B53)</f>
        <v>0</v>
      </c>
      <c r="G53" s="40" t="n">
        <v>4</v>
      </c>
      <c r="H53" s="40" t="n">
        <v>4</v>
      </c>
      <c r="I53" s="40" t="n">
        <v>3</v>
      </c>
      <c r="J53" s="40" t="n">
        <v>5</v>
      </c>
      <c r="K53" s="40" t="n">
        <v>4</v>
      </c>
      <c r="L53" s="40" t="n">
        <v>4</v>
      </c>
      <c r="M53" s="40" t="n">
        <v>4</v>
      </c>
      <c r="N53" s="40" t="n">
        <v>2</v>
      </c>
      <c r="O53" s="41" t="n">
        <f aca="false">ROUND(G53/5*$X$2+H53/5*$X$3+I53/5*$X$4+J53/5*$X$5+K53/5*$X$6+L53/5*$X$7+M53/5*$X$8-N53/5*$X$9,1)</f>
        <v>72</v>
      </c>
      <c r="P53" s="30" t="str">
        <f aca="false">IF(O53&gt;=$X$12,"Foundational deep pass",IF(O53&gt;=$X$13,"Major deep pass",IF(O53&gt;=$X$14,"Targeted innovation pass",IF(O53&gt;=$X$15,"Sampling pass","Reference / defer"))))</f>
        <v>Major deep pass</v>
      </c>
      <c r="Q53" s="31" t="s">
        <v>14197</v>
      </c>
      <c r="R53" s="31" t="s">
        <v>14198</v>
      </c>
      <c r="S53" s="31" t="s">
        <v>14184</v>
      </c>
      <c r="T53" s="31" t="s">
        <v>8310</v>
      </c>
      <c r="U53" s="42" t="n">
        <v>46236</v>
      </c>
    </row>
    <row r="54" customFormat="false" ht="45.75" hidden="false" customHeight="true" outlineLevel="0" collapsed="false">
      <c r="A54" s="30" t="n">
        <v>48</v>
      </c>
      <c r="B54" s="30" t="s">
        <v>8501</v>
      </c>
      <c r="C54" s="31" t="s">
        <v>8502</v>
      </c>
      <c r="D54" s="31" t="s">
        <v>8275</v>
      </c>
      <c r="E54" s="31" t="s">
        <v>8504</v>
      </c>
      <c r="F54" s="30" t="n">
        <f aca="false">COUNTIF('Seed Catalogue'!$C$2:$C$452,B54)</f>
        <v>0</v>
      </c>
      <c r="G54" s="40" t="n">
        <v>4</v>
      </c>
      <c r="H54" s="40" t="n">
        <v>4</v>
      </c>
      <c r="I54" s="40" t="n">
        <v>3</v>
      </c>
      <c r="J54" s="40" t="n">
        <v>5</v>
      </c>
      <c r="K54" s="40" t="n">
        <v>4</v>
      </c>
      <c r="L54" s="40" t="n">
        <v>4</v>
      </c>
      <c r="M54" s="40" t="n">
        <v>4</v>
      </c>
      <c r="N54" s="40" t="n">
        <v>2</v>
      </c>
      <c r="O54" s="41" t="n">
        <f aca="false">ROUND(G54/5*$X$2+H54/5*$X$3+I54/5*$X$4+J54/5*$X$5+K54/5*$X$6+L54/5*$X$7+M54/5*$X$8-N54/5*$X$9,1)</f>
        <v>72</v>
      </c>
      <c r="P54" s="30" t="str">
        <f aca="false">IF(O54&gt;=$X$12,"Foundational deep pass",IF(O54&gt;=$X$13,"Major deep pass",IF(O54&gt;=$X$14,"Targeted innovation pass",IF(O54&gt;=$X$15,"Sampling pass","Reference / defer"))))</f>
        <v>Major deep pass</v>
      </c>
      <c r="Q54" s="31" t="s">
        <v>14197</v>
      </c>
      <c r="R54" s="31" t="s">
        <v>14198</v>
      </c>
      <c r="S54" s="31" t="s">
        <v>14184</v>
      </c>
      <c r="T54" s="31" t="s">
        <v>8507</v>
      </c>
      <c r="U54" s="42" t="n">
        <v>46236</v>
      </c>
    </row>
    <row r="55" customFormat="false" ht="45.75" hidden="false" customHeight="true" outlineLevel="0" collapsed="false">
      <c r="A55" s="30" t="n">
        <v>49</v>
      </c>
      <c r="B55" s="30" t="s">
        <v>8296</v>
      </c>
      <c r="C55" s="31" t="s">
        <v>8297</v>
      </c>
      <c r="D55" s="31" t="s">
        <v>8275</v>
      </c>
      <c r="E55" s="31" t="s">
        <v>8299</v>
      </c>
      <c r="F55" s="30" t="n">
        <f aca="false">COUNTIF('Seed Catalogue'!$C$2:$C$452,B55)</f>
        <v>0</v>
      </c>
      <c r="G55" s="40" t="n">
        <v>4</v>
      </c>
      <c r="H55" s="40" t="n">
        <v>4</v>
      </c>
      <c r="I55" s="40" t="n">
        <v>3</v>
      </c>
      <c r="J55" s="40" t="n">
        <v>5</v>
      </c>
      <c r="K55" s="40" t="n">
        <v>4</v>
      </c>
      <c r="L55" s="40" t="n">
        <v>4</v>
      </c>
      <c r="M55" s="40" t="n">
        <v>4</v>
      </c>
      <c r="N55" s="40" t="n">
        <v>2</v>
      </c>
      <c r="O55" s="41" t="n">
        <f aca="false">ROUND(G55/5*$X$2+H55/5*$X$3+I55/5*$X$4+J55/5*$X$5+K55/5*$X$6+L55/5*$X$7+M55/5*$X$8-N55/5*$X$9,1)</f>
        <v>72</v>
      </c>
      <c r="P55" s="30" t="str">
        <f aca="false">IF(O55&gt;=$X$12,"Foundational deep pass",IF(O55&gt;=$X$13,"Major deep pass",IF(O55&gt;=$X$14,"Targeted innovation pass",IF(O55&gt;=$X$15,"Sampling pass","Reference / defer"))))</f>
        <v>Major deep pass</v>
      </c>
      <c r="Q55" s="31" t="s">
        <v>14197</v>
      </c>
      <c r="R55" s="31" t="s">
        <v>14198</v>
      </c>
      <c r="S55" s="31" t="s">
        <v>14184</v>
      </c>
      <c r="T55" s="31" t="s">
        <v>8303</v>
      </c>
      <c r="U55" s="42" t="n">
        <v>46236</v>
      </c>
    </row>
    <row r="56" customFormat="false" ht="45.75" hidden="false" customHeight="true" outlineLevel="0" collapsed="false">
      <c r="A56" s="30" t="n">
        <v>50</v>
      </c>
      <c r="B56" s="30" t="s">
        <v>8457</v>
      </c>
      <c r="C56" s="31" t="s">
        <v>8458</v>
      </c>
      <c r="D56" s="31" t="s">
        <v>8275</v>
      </c>
      <c r="E56" s="31" t="s">
        <v>8307</v>
      </c>
      <c r="F56" s="30" t="n">
        <f aca="false">COUNTIF('Seed Catalogue'!$C$2:$C$452,B56)</f>
        <v>0</v>
      </c>
      <c r="G56" s="40" t="n">
        <v>4</v>
      </c>
      <c r="H56" s="40" t="n">
        <v>4</v>
      </c>
      <c r="I56" s="40" t="n">
        <v>3</v>
      </c>
      <c r="J56" s="40" t="n">
        <v>5</v>
      </c>
      <c r="K56" s="40" t="n">
        <v>4</v>
      </c>
      <c r="L56" s="40" t="n">
        <v>4</v>
      </c>
      <c r="M56" s="40" t="n">
        <v>4</v>
      </c>
      <c r="N56" s="40" t="n">
        <v>2</v>
      </c>
      <c r="O56" s="41" t="n">
        <f aca="false">ROUND(G56/5*$X$2+H56/5*$X$3+I56/5*$X$4+J56/5*$X$5+K56/5*$X$6+L56/5*$X$7+M56/5*$X$8-N56/5*$X$9,1)</f>
        <v>72</v>
      </c>
      <c r="P56" s="30" t="str">
        <f aca="false">IF(O56&gt;=$X$12,"Foundational deep pass",IF(O56&gt;=$X$13,"Major deep pass",IF(O56&gt;=$X$14,"Targeted innovation pass",IF(O56&gt;=$X$15,"Sampling pass","Reference / defer"))))</f>
        <v>Major deep pass</v>
      </c>
      <c r="Q56" s="31" t="s">
        <v>14197</v>
      </c>
      <c r="R56" s="31" t="s">
        <v>14198</v>
      </c>
      <c r="S56" s="31" t="s">
        <v>14184</v>
      </c>
      <c r="T56" s="31" t="s">
        <v>8463</v>
      </c>
      <c r="U56" s="42" t="n">
        <v>46236</v>
      </c>
    </row>
    <row r="57" customFormat="false" ht="45.75" hidden="false" customHeight="true" outlineLevel="0" collapsed="false">
      <c r="A57" s="30" t="n">
        <v>51</v>
      </c>
      <c r="B57" s="30" t="s">
        <v>8648</v>
      </c>
      <c r="C57" s="31" t="s">
        <v>8649</v>
      </c>
      <c r="D57" s="31" t="s">
        <v>8651</v>
      </c>
      <c r="E57" s="31" t="s">
        <v>8652</v>
      </c>
      <c r="F57" s="30" t="n">
        <f aca="false">COUNTIF('Seed Catalogue'!$C$2:$C$452,B57)</f>
        <v>0</v>
      </c>
      <c r="G57" s="40" t="n">
        <v>4</v>
      </c>
      <c r="H57" s="40" t="n">
        <v>4</v>
      </c>
      <c r="I57" s="40" t="n">
        <v>3</v>
      </c>
      <c r="J57" s="40" t="n">
        <v>5</v>
      </c>
      <c r="K57" s="40" t="n">
        <v>4</v>
      </c>
      <c r="L57" s="40" t="n">
        <v>4</v>
      </c>
      <c r="M57" s="40" t="n">
        <v>4</v>
      </c>
      <c r="N57" s="40" t="n">
        <v>2</v>
      </c>
      <c r="O57" s="41" t="n">
        <f aca="false">ROUND(G57/5*$X$2+H57/5*$X$3+I57/5*$X$4+J57/5*$X$5+K57/5*$X$6+L57/5*$X$7+M57/5*$X$8-N57/5*$X$9,1)</f>
        <v>72</v>
      </c>
      <c r="P57" s="30" t="str">
        <f aca="false">IF(O57&gt;=$X$12,"Foundational deep pass",IF(O57&gt;=$X$13,"Major deep pass",IF(O57&gt;=$X$14,"Targeted innovation pass",IF(O57&gt;=$X$15,"Sampling pass","Reference / defer"))))</f>
        <v>Major deep pass</v>
      </c>
      <c r="Q57" s="31" t="s">
        <v>14197</v>
      </c>
      <c r="R57" s="31" t="s">
        <v>14198</v>
      </c>
      <c r="S57" s="31" t="s">
        <v>14184</v>
      </c>
      <c r="T57" s="31" t="s">
        <v>8655</v>
      </c>
      <c r="U57" s="42" t="n">
        <v>46236</v>
      </c>
    </row>
    <row r="58" customFormat="false" ht="45.75" hidden="false" customHeight="true" outlineLevel="0" collapsed="false">
      <c r="A58" s="30" t="n">
        <v>52</v>
      </c>
      <c r="B58" s="30" t="s">
        <v>8311</v>
      </c>
      <c r="C58" s="31" t="s">
        <v>8312</v>
      </c>
      <c r="D58" s="31" t="s">
        <v>8275</v>
      </c>
      <c r="E58" s="31" t="s">
        <v>8307</v>
      </c>
      <c r="F58" s="30" t="n">
        <f aca="false">COUNTIF('Seed Catalogue'!$C$2:$C$452,B58)</f>
        <v>0</v>
      </c>
      <c r="G58" s="40" t="n">
        <v>4</v>
      </c>
      <c r="H58" s="40" t="n">
        <v>4</v>
      </c>
      <c r="I58" s="40" t="n">
        <v>3</v>
      </c>
      <c r="J58" s="40" t="n">
        <v>5</v>
      </c>
      <c r="K58" s="40" t="n">
        <v>4</v>
      </c>
      <c r="L58" s="40" t="n">
        <v>4</v>
      </c>
      <c r="M58" s="40" t="n">
        <v>4</v>
      </c>
      <c r="N58" s="40" t="n">
        <v>2</v>
      </c>
      <c r="O58" s="41" t="n">
        <f aca="false">ROUND(G58/5*$X$2+H58/5*$X$3+I58/5*$X$4+J58/5*$X$5+K58/5*$X$6+L58/5*$X$7+M58/5*$X$8-N58/5*$X$9,1)</f>
        <v>72</v>
      </c>
      <c r="P58" s="30" t="str">
        <f aca="false">IF(O58&gt;=$X$12,"Foundational deep pass",IF(O58&gt;=$X$13,"Major deep pass",IF(O58&gt;=$X$14,"Targeted innovation pass",IF(O58&gt;=$X$15,"Sampling pass","Reference / defer"))))</f>
        <v>Major deep pass</v>
      </c>
      <c r="Q58" s="31" t="s">
        <v>14197</v>
      </c>
      <c r="R58" s="31" t="s">
        <v>14198</v>
      </c>
      <c r="S58" s="31" t="s">
        <v>14184</v>
      </c>
      <c r="T58" s="31" t="s">
        <v>8317</v>
      </c>
      <c r="U58" s="42" t="n">
        <v>46236</v>
      </c>
    </row>
    <row r="59" customFormat="false" ht="45.75" hidden="false" customHeight="true" outlineLevel="0" collapsed="false">
      <c r="A59" s="30" t="n">
        <v>53</v>
      </c>
      <c r="B59" s="30" t="s">
        <v>8325</v>
      </c>
      <c r="C59" s="31" t="s">
        <v>8326</v>
      </c>
      <c r="D59" s="31" t="s">
        <v>8275</v>
      </c>
      <c r="E59" s="31" t="s">
        <v>8307</v>
      </c>
      <c r="F59" s="30" t="n">
        <f aca="false">COUNTIF('Seed Catalogue'!$C$2:$C$452,B59)</f>
        <v>0</v>
      </c>
      <c r="G59" s="40" t="n">
        <v>4</v>
      </c>
      <c r="H59" s="40" t="n">
        <v>4</v>
      </c>
      <c r="I59" s="40" t="n">
        <v>3</v>
      </c>
      <c r="J59" s="40" t="n">
        <v>5</v>
      </c>
      <c r="K59" s="40" t="n">
        <v>4</v>
      </c>
      <c r="L59" s="40" t="n">
        <v>4</v>
      </c>
      <c r="M59" s="40" t="n">
        <v>4</v>
      </c>
      <c r="N59" s="40" t="n">
        <v>2</v>
      </c>
      <c r="O59" s="41" t="n">
        <f aca="false">ROUND(G59/5*$X$2+H59/5*$X$3+I59/5*$X$4+J59/5*$X$5+K59/5*$X$6+L59/5*$X$7+M59/5*$X$8-N59/5*$X$9,1)</f>
        <v>72</v>
      </c>
      <c r="P59" s="30" t="str">
        <f aca="false">IF(O59&gt;=$X$12,"Foundational deep pass",IF(O59&gt;=$X$13,"Major deep pass",IF(O59&gt;=$X$14,"Targeted innovation pass",IF(O59&gt;=$X$15,"Sampling pass","Reference / defer"))))</f>
        <v>Major deep pass</v>
      </c>
      <c r="Q59" s="31" t="s">
        <v>14197</v>
      </c>
      <c r="R59" s="31" t="s">
        <v>14198</v>
      </c>
      <c r="S59" s="31" t="s">
        <v>14184</v>
      </c>
      <c r="T59" s="31" t="s">
        <v>8331</v>
      </c>
      <c r="U59" s="42" t="n">
        <v>46236</v>
      </c>
    </row>
    <row r="60" customFormat="false" ht="45.75" hidden="false" customHeight="true" outlineLevel="0" collapsed="false">
      <c r="A60" s="30" t="n">
        <v>54</v>
      </c>
      <c r="B60" s="30" t="s">
        <v>8470</v>
      </c>
      <c r="C60" s="31" t="s">
        <v>8471</v>
      </c>
      <c r="D60" s="31" t="s">
        <v>8275</v>
      </c>
      <c r="E60" s="31" t="s">
        <v>8343</v>
      </c>
      <c r="F60" s="30" t="n">
        <f aca="false">COUNTIF('Seed Catalogue'!$C$2:$C$452,B60)</f>
        <v>0</v>
      </c>
      <c r="G60" s="40" t="n">
        <v>4</v>
      </c>
      <c r="H60" s="40" t="n">
        <v>4</v>
      </c>
      <c r="I60" s="40" t="n">
        <v>3</v>
      </c>
      <c r="J60" s="40" t="n">
        <v>5</v>
      </c>
      <c r="K60" s="40" t="n">
        <v>4</v>
      </c>
      <c r="L60" s="40" t="n">
        <v>4</v>
      </c>
      <c r="M60" s="40" t="n">
        <v>4</v>
      </c>
      <c r="N60" s="40" t="n">
        <v>2</v>
      </c>
      <c r="O60" s="41" t="n">
        <f aca="false">ROUND(G60/5*$X$2+H60/5*$X$3+I60/5*$X$4+J60/5*$X$5+K60/5*$X$6+L60/5*$X$7+M60/5*$X$8-N60/5*$X$9,1)</f>
        <v>72</v>
      </c>
      <c r="P60" s="30" t="str">
        <f aca="false">IF(O60&gt;=$X$12,"Foundational deep pass",IF(O60&gt;=$X$13,"Major deep pass",IF(O60&gt;=$X$14,"Targeted innovation pass",IF(O60&gt;=$X$15,"Sampling pass","Reference / defer"))))</f>
        <v>Major deep pass</v>
      </c>
      <c r="Q60" s="31" t="s">
        <v>14197</v>
      </c>
      <c r="R60" s="31" t="s">
        <v>14198</v>
      </c>
      <c r="S60" s="31" t="s">
        <v>14184</v>
      </c>
      <c r="T60" s="31" t="s">
        <v>8474</v>
      </c>
      <c r="U60" s="42" t="n">
        <v>46236</v>
      </c>
    </row>
    <row r="61" customFormat="false" ht="45.75" hidden="false" customHeight="true" outlineLevel="0" collapsed="false">
      <c r="A61" s="30" t="n">
        <v>55</v>
      </c>
      <c r="B61" s="30" t="s">
        <v>8406</v>
      </c>
      <c r="C61" s="31" t="s">
        <v>8407</v>
      </c>
      <c r="D61" s="31" t="s">
        <v>8275</v>
      </c>
      <c r="E61" s="31" t="s">
        <v>8343</v>
      </c>
      <c r="F61" s="30" t="n">
        <f aca="false">COUNTIF('Seed Catalogue'!$C$2:$C$452,B61)</f>
        <v>0</v>
      </c>
      <c r="G61" s="40" t="n">
        <v>4</v>
      </c>
      <c r="H61" s="40" t="n">
        <v>4</v>
      </c>
      <c r="I61" s="40" t="n">
        <v>3</v>
      </c>
      <c r="J61" s="40" t="n">
        <v>5</v>
      </c>
      <c r="K61" s="40" t="n">
        <v>4</v>
      </c>
      <c r="L61" s="40" t="n">
        <v>4</v>
      </c>
      <c r="M61" s="40" t="n">
        <v>4</v>
      </c>
      <c r="N61" s="40" t="n">
        <v>2</v>
      </c>
      <c r="O61" s="41" t="n">
        <f aca="false">ROUND(G61/5*$X$2+H61/5*$X$3+I61/5*$X$4+J61/5*$X$5+K61/5*$X$6+L61/5*$X$7+M61/5*$X$8-N61/5*$X$9,1)</f>
        <v>72</v>
      </c>
      <c r="P61" s="30" t="str">
        <f aca="false">IF(O61&gt;=$X$12,"Foundational deep pass",IF(O61&gt;=$X$13,"Major deep pass",IF(O61&gt;=$X$14,"Targeted innovation pass",IF(O61&gt;=$X$15,"Sampling pass","Reference / defer"))))</f>
        <v>Major deep pass</v>
      </c>
      <c r="Q61" s="31" t="s">
        <v>14197</v>
      </c>
      <c r="R61" s="31" t="s">
        <v>14198</v>
      </c>
      <c r="S61" s="31" t="s">
        <v>14184</v>
      </c>
      <c r="T61" s="31" t="s">
        <v>8412</v>
      </c>
      <c r="U61" s="42" t="n">
        <v>46236</v>
      </c>
    </row>
    <row r="62" customFormat="false" ht="45.75" hidden="false" customHeight="true" outlineLevel="0" collapsed="false">
      <c r="A62" s="30" t="n">
        <v>56</v>
      </c>
      <c r="B62" s="30" t="s">
        <v>8272</v>
      </c>
      <c r="C62" s="31" t="s">
        <v>8273</v>
      </c>
      <c r="D62" s="31" t="s">
        <v>8275</v>
      </c>
      <c r="E62" s="31" t="s">
        <v>8276</v>
      </c>
      <c r="F62" s="30" t="n">
        <f aca="false">COUNTIF('Seed Catalogue'!$C$2:$C$452,B62)</f>
        <v>25</v>
      </c>
      <c r="G62" s="40" t="n">
        <v>4</v>
      </c>
      <c r="H62" s="40" t="n">
        <v>5</v>
      </c>
      <c r="I62" s="40" t="n">
        <v>2</v>
      </c>
      <c r="J62" s="40" t="n">
        <v>5</v>
      </c>
      <c r="K62" s="40" t="n">
        <v>5</v>
      </c>
      <c r="L62" s="40" t="n">
        <v>5</v>
      </c>
      <c r="M62" s="40" t="n">
        <v>5</v>
      </c>
      <c r="N62" s="40" t="n">
        <v>4</v>
      </c>
      <c r="O62" s="41" t="n">
        <f aca="false">ROUND(G62/5*$X$2+H62/5*$X$3+I62/5*$X$4+J62/5*$X$5+K62/5*$X$6+L62/5*$X$7+M62/5*$X$8-N62/5*$X$9,1)</f>
        <v>70</v>
      </c>
      <c r="P62" s="30" t="str">
        <f aca="false">IF(O62&gt;=$X$12,"Foundational deep pass",IF(O62&gt;=$X$13,"Major deep pass",IF(O62&gt;=$X$14,"Targeted innovation pass",IF(O62&gt;=$X$15,"Sampling pass","Reference / defer"))))</f>
        <v>Major deep pass</v>
      </c>
      <c r="Q62" s="31" t="s">
        <v>14199</v>
      </c>
      <c r="R62" s="31" t="s">
        <v>14200</v>
      </c>
      <c r="S62" s="31" t="s">
        <v>14141</v>
      </c>
      <c r="T62" s="31" t="s">
        <v>8280</v>
      </c>
      <c r="U62" s="42" t="n">
        <v>46236</v>
      </c>
    </row>
    <row r="63" customFormat="false" ht="45.75" hidden="false" customHeight="true" outlineLevel="0" collapsed="false">
      <c r="A63" s="30" t="n">
        <v>57</v>
      </c>
      <c r="B63" s="30" t="s">
        <v>8577</v>
      </c>
      <c r="C63" s="31" t="s">
        <v>8578</v>
      </c>
      <c r="D63" s="31" t="s">
        <v>8275</v>
      </c>
      <c r="E63" s="31" t="s">
        <v>8573</v>
      </c>
      <c r="F63" s="30" t="n">
        <f aca="false">COUNTIF('Seed Catalogue'!$C$2:$C$452,B63)</f>
        <v>0</v>
      </c>
      <c r="G63" s="40" t="n">
        <v>4</v>
      </c>
      <c r="H63" s="40" t="n">
        <v>4</v>
      </c>
      <c r="I63" s="40" t="n">
        <v>3</v>
      </c>
      <c r="J63" s="40" t="n">
        <v>4</v>
      </c>
      <c r="K63" s="40" t="n">
        <v>4</v>
      </c>
      <c r="L63" s="40" t="n">
        <v>4</v>
      </c>
      <c r="M63" s="40" t="n">
        <v>4</v>
      </c>
      <c r="N63" s="40" t="n">
        <v>2</v>
      </c>
      <c r="O63" s="41" t="n">
        <f aca="false">ROUND(G63/5*$X$2+H63/5*$X$3+I63/5*$X$4+J63/5*$X$5+K63/5*$X$6+L63/5*$X$7+M63/5*$X$8-N63/5*$X$9,1)</f>
        <v>69</v>
      </c>
      <c r="P63" s="30" t="str">
        <f aca="false">IF(O63&gt;=$X$12,"Foundational deep pass",IF(O63&gt;=$X$13,"Major deep pass",IF(O63&gt;=$X$14,"Targeted innovation pass",IF(O63&gt;=$X$15,"Sampling pass","Reference / defer"))))</f>
        <v>Major deep pass</v>
      </c>
      <c r="Q63" s="31" t="s">
        <v>14197</v>
      </c>
      <c r="R63" s="31" t="s">
        <v>14198</v>
      </c>
      <c r="S63" s="31" t="s">
        <v>14184</v>
      </c>
      <c r="T63" s="31" t="s">
        <v>8581</v>
      </c>
      <c r="U63" s="42" t="n">
        <v>46236</v>
      </c>
    </row>
    <row r="64" customFormat="false" ht="45.75" hidden="false" customHeight="true" outlineLevel="0" collapsed="false">
      <c r="A64" s="30" t="n">
        <v>58</v>
      </c>
      <c r="B64" s="30" t="s">
        <v>8582</v>
      </c>
      <c r="C64" s="31" t="s">
        <v>8583</v>
      </c>
      <c r="D64" s="31" t="s">
        <v>8275</v>
      </c>
      <c r="E64" s="31" t="s">
        <v>8585</v>
      </c>
      <c r="F64" s="30" t="n">
        <f aca="false">COUNTIF('Seed Catalogue'!$C$2:$C$452,B64)</f>
        <v>0</v>
      </c>
      <c r="G64" s="40" t="n">
        <v>4</v>
      </c>
      <c r="H64" s="40" t="n">
        <v>4</v>
      </c>
      <c r="I64" s="40" t="n">
        <v>3</v>
      </c>
      <c r="J64" s="40" t="n">
        <v>4</v>
      </c>
      <c r="K64" s="40" t="n">
        <v>4</v>
      </c>
      <c r="L64" s="40" t="n">
        <v>4</v>
      </c>
      <c r="M64" s="40" t="n">
        <v>4</v>
      </c>
      <c r="N64" s="40" t="n">
        <v>2</v>
      </c>
      <c r="O64" s="41" t="n">
        <f aca="false">ROUND(G64/5*$X$2+H64/5*$X$3+I64/5*$X$4+J64/5*$X$5+K64/5*$X$6+L64/5*$X$7+M64/5*$X$8-N64/5*$X$9,1)</f>
        <v>69</v>
      </c>
      <c r="P64" s="30" t="str">
        <f aca="false">IF(O64&gt;=$X$12,"Foundational deep pass",IF(O64&gt;=$X$13,"Major deep pass",IF(O64&gt;=$X$14,"Targeted innovation pass",IF(O64&gt;=$X$15,"Sampling pass","Reference / defer"))))</f>
        <v>Major deep pass</v>
      </c>
      <c r="Q64" s="31" t="s">
        <v>14197</v>
      </c>
      <c r="R64" s="31" t="s">
        <v>14198</v>
      </c>
      <c r="S64" s="31" t="s">
        <v>14184</v>
      </c>
      <c r="T64" s="31" t="s">
        <v>8588</v>
      </c>
      <c r="U64" s="42" t="n">
        <v>46236</v>
      </c>
    </row>
    <row r="65" customFormat="false" ht="45.75" hidden="false" customHeight="true" outlineLevel="0" collapsed="false">
      <c r="A65" s="30" t="n">
        <v>59</v>
      </c>
      <c r="B65" s="30" t="s">
        <v>8362</v>
      </c>
      <c r="C65" s="31" t="s">
        <v>8363</v>
      </c>
      <c r="D65" s="31" t="s">
        <v>8275</v>
      </c>
      <c r="E65" s="31" t="s">
        <v>8365</v>
      </c>
      <c r="F65" s="30" t="n">
        <f aca="false">COUNTIF('Seed Catalogue'!$C$2:$C$452,B65)</f>
        <v>0</v>
      </c>
      <c r="G65" s="40" t="n">
        <v>4</v>
      </c>
      <c r="H65" s="40" t="n">
        <v>4</v>
      </c>
      <c r="I65" s="40" t="n">
        <v>3</v>
      </c>
      <c r="J65" s="40" t="n">
        <v>4</v>
      </c>
      <c r="K65" s="40" t="n">
        <v>4</v>
      </c>
      <c r="L65" s="40" t="n">
        <v>4</v>
      </c>
      <c r="M65" s="40" t="n">
        <v>4</v>
      </c>
      <c r="N65" s="40" t="n">
        <v>2</v>
      </c>
      <c r="O65" s="41" t="n">
        <f aca="false">ROUND(G65/5*$X$2+H65/5*$X$3+I65/5*$X$4+J65/5*$X$5+K65/5*$X$6+L65/5*$X$7+M65/5*$X$8-N65/5*$X$9,1)</f>
        <v>69</v>
      </c>
      <c r="P65" s="30" t="str">
        <f aca="false">IF(O65&gt;=$X$12,"Foundational deep pass",IF(O65&gt;=$X$13,"Major deep pass",IF(O65&gt;=$X$14,"Targeted innovation pass",IF(O65&gt;=$X$15,"Sampling pass","Reference / defer"))))</f>
        <v>Major deep pass</v>
      </c>
      <c r="Q65" s="31" t="s">
        <v>14197</v>
      </c>
      <c r="R65" s="31" t="s">
        <v>14198</v>
      </c>
      <c r="S65" s="31" t="s">
        <v>14184</v>
      </c>
      <c r="T65" s="31" t="s">
        <v>8369</v>
      </c>
      <c r="U65" s="42" t="n">
        <v>46236</v>
      </c>
    </row>
    <row r="66" customFormat="false" ht="45.75" hidden="false" customHeight="true" outlineLevel="0" collapsed="false">
      <c r="A66" s="30" t="n">
        <v>60</v>
      </c>
      <c r="B66" s="30" t="s">
        <v>8482</v>
      </c>
      <c r="C66" s="31" t="s">
        <v>8483</v>
      </c>
      <c r="D66" s="31" t="s">
        <v>8275</v>
      </c>
      <c r="E66" s="31" t="s">
        <v>8343</v>
      </c>
      <c r="F66" s="30" t="n">
        <f aca="false">COUNTIF('Seed Catalogue'!$C$2:$C$452,B66)</f>
        <v>0</v>
      </c>
      <c r="G66" s="40" t="n">
        <v>4</v>
      </c>
      <c r="H66" s="40" t="n">
        <v>4</v>
      </c>
      <c r="I66" s="40" t="n">
        <v>3</v>
      </c>
      <c r="J66" s="40" t="n">
        <v>4</v>
      </c>
      <c r="K66" s="40" t="n">
        <v>4</v>
      </c>
      <c r="L66" s="40" t="n">
        <v>4</v>
      </c>
      <c r="M66" s="40" t="n">
        <v>4</v>
      </c>
      <c r="N66" s="40" t="n">
        <v>2</v>
      </c>
      <c r="O66" s="41" t="n">
        <f aca="false">ROUND(G66/5*$X$2+H66/5*$X$3+I66/5*$X$4+J66/5*$X$5+K66/5*$X$6+L66/5*$X$7+M66/5*$X$8-N66/5*$X$9,1)</f>
        <v>69</v>
      </c>
      <c r="P66" s="30" t="str">
        <f aca="false">IF(O66&gt;=$X$12,"Foundational deep pass",IF(O66&gt;=$X$13,"Major deep pass",IF(O66&gt;=$X$14,"Targeted innovation pass",IF(O66&gt;=$X$15,"Sampling pass","Reference / defer"))))</f>
        <v>Major deep pass</v>
      </c>
      <c r="Q66" s="31" t="s">
        <v>14197</v>
      </c>
      <c r="R66" s="31" t="s">
        <v>14198</v>
      </c>
      <c r="S66" s="31" t="s">
        <v>14184</v>
      </c>
      <c r="T66" s="31" t="s">
        <v>8486</v>
      </c>
      <c r="U66" s="42" t="n">
        <v>46236</v>
      </c>
    </row>
    <row r="67" customFormat="false" ht="45.75" hidden="false" customHeight="true" outlineLevel="0" collapsed="false">
      <c r="A67" s="30" t="n">
        <v>61</v>
      </c>
      <c r="B67" s="30" t="s">
        <v>8318</v>
      </c>
      <c r="C67" s="31" t="s">
        <v>8319</v>
      </c>
      <c r="D67" s="31" t="s">
        <v>8275</v>
      </c>
      <c r="E67" s="31" t="s">
        <v>8307</v>
      </c>
      <c r="F67" s="30" t="n">
        <f aca="false">COUNTIF('Seed Catalogue'!$C$2:$C$452,B67)</f>
        <v>0</v>
      </c>
      <c r="G67" s="40" t="n">
        <v>4</v>
      </c>
      <c r="H67" s="40" t="n">
        <v>4</v>
      </c>
      <c r="I67" s="40" t="n">
        <v>3</v>
      </c>
      <c r="J67" s="40" t="n">
        <v>4</v>
      </c>
      <c r="K67" s="40" t="n">
        <v>4</v>
      </c>
      <c r="L67" s="40" t="n">
        <v>4</v>
      </c>
      <c r="M67" s="40" t="n">
        <v>4</v>
      </c>
      <c r="N67" s="40" t="n">
        <v>2</v>
      </c>
      <c r="O67" s="41" t="n">
        <f aca="false">ROUND(G67/5*$X$2+H67/5*$X$3+I67/5*$X$4+J67/5*$X$5+K67/5*$X$6+L67/5*$X$7+M67/5*$X$8-N67/5*$X$9,1)</f>
        <v>69</v>
      </c>
      <c r="P67" s="30" t="str">
        <f aca="false">IF(O67&gt;=$X$12,"Foundational deep pass",IF(O67&gt;=$X$13,"Major deep pass",IF(O67&gt;=$X$14,"Targeted innovation pass",IF(O67&gt;=$X$15,"Sampling pass","Reference / defer"))))</f>
        <v>Major deep pass</v>
      </c>
      <c r="Q67" s="31" t="s">
        <v>14197</v>
      </c>
      <c r="R67" s="31" t="s">
        <v>14198</v>
      </c>
      <c r="S67" s="31" t="s">
        <v>14184</v>
      </c>
      <c r="T67" s="31" t="s">
        <v>8324</v>
      </c>
      <c r="U67" s="42" t="n">
        <v>46236</v>
      </c>
    </row>
    <row r="68" customFormat="false" ht="45.75" hidden="false" customHeight="true" outlineLevel="0" collapsed="false">
      <c r="A68" s="30" t="n">
        <v>62</v>
      </c>
      <c r="B68" s="30" t="s">
        <v>8443</v>
      </c>
      <c r="C68" s="31" t="s">
        <v>8444</v>
      </c>
      <c r="D68" s="31" t="s">
        <v>8275</v>
      </c>
      <c r="E68" s="31" t="s">
        <v>8307</v>
      </c>
      <c r="F68" s="30" t="n">
        <f aca="false">COUNTIF('Seed Catalogue'!$C$2:$C$452,B68)</f>
        <v>0</v>
      </c>
      <c r="G68" s="40" t="n">
        <v>4</v>
      </c>
      <c r="H68" s="40" t="n">
        <v>4</v>
      </c>
      <c r="I68" s="40" t="n">
        <v>3</v>
      </c>
      <c r="J68" s="40" t="n">
        <v>4</v>
      </c>
      <c r="K68" s="40" t="n">
        <v>4</v>
      </c>
      <c r="L68" s="40" t="n">
        <v>4</v>
      </c>
      <c r="M68" s="40" t="n">
        <v>4</v>
      </c>
      <c r="N68" s="40" t="n">
        <v>2</v>
      </c>
      <c r="O68" s="41" t="n">
        <f aca="false">ROUND(G68/5*$X$2+H68/5*$X$3+I68/5*$X$4+J68/5*$X$5+K68/5*$X$6+L68/5*$X$7+M68/5*$X$8-N68/5*$X$9,1)</f>
        <v>69</v>
      </c>
      <c r="P68" s="30" t="str">
        <f aca="false">IF(O68&gt;=$X$12,"Foundational deep pass",IF(O68&gt;=$X$13,"Major deep pass",IF(O68&gt;=$X$14,"Targeted innovation pass",IF(O68&gt;=$X$15,"Sampling pass","Reference / defer"))))</f>
        <v>Major deep pass</v>
      </c>
      <c r="Q68" s="31" t="s">
        <v>14197</v>
      </c>
      <c r="R68" s="31" t="s">
        <v>14198</v>
      </c>
      <c r="S68" s="31" t="s">
        <v>14184</v>
      </c>
      <c r="T68" s="31" t="s">
        <v>8448</v>
      </c>
      <c r="U68" s="42" t="n">
        <v>46236</v>
      </c>
    </row>
    <row r="69" customFormat="false" ht="45.75" hidden="false" customHeight="true" outlineLevel="0" collapsed="false">
      <c r="A69" s="30" t="n">
        <v>63</v>
      </c>
      <c r="B69" s="30" t="s">
        <v>8656</v>
      </c>
      <c r="C69" s="31" t="s">
        <v>8657</v>
      </c>
      <c r="D69" s="31" t="s">
        <v>8275</v>
      </c>
      <c r="E69" s="31" t="s">
        <v>8659</v>
      </c>
      <c r="F69" s="30" t="n">
        <f aca="false">COUNTIF('Seed Catalogue'!$C$2:$C$452,B69)</f>
        <v>0</v>
      </c>
      <c r="G69" s="40" t="n">
        <v>4</v>
      </c>
      <c r="H69" s="40" t="n">
        <v>4</v>
      </c>
      <c r="I69" s="40" t="n">
        <v>3</v>
      </c>
      <c r="J69" s="40" t="n">
        <v>4</v>
      </c>
      <c r="K69" s="40" t="n">
        <v>4</v>
      </c>
      <c r="L69" s="40" t="n">
        <v>4</v>
      </c>
      <c r="M69" s="40" t="n">
        <v>4</v>
      </c>
      <c r="N69" s="40" t="n">
        <v>2</v>
      </c>
      <c r="O69" s="41" t="n">
        <f aca="false">ROUND(G69/5*$X$2+H69/5*$X$3+I69/5*$X$4+J69/5*$X$5+K69/5*$X$6+L69/5*$X$7+M69/5*$X$8-N69/5*$X$9,1)</f>
        <v>69</v>
      </c>
      <c r="P69" s="30" t="str">
        <f aca="false">IF(O69&gt;=$X$12,"Foundational deep pass",IF(O69&gt;=$X$13,"Major deep pass",IF(O69&gt;=$X$14,"Targeted innovation pass",IF(O69&gt;=$X$15,"Sampling pass","Reference / defer"))))</f>
        <v>Major deep pass</v>
      </c>
      <c r="Q69" s="31" t="s">
        <v>14197</v>
      </c>
      <c r="R69" s="31" t="s">
        <v>14198</v>
      </c>
      <c r="S69" s="31" t="s">
        <v>14184</v>
      </c>
      <c r="T69" s="31" t="s">
        <v>8663</v>
      </c>
      <c r="U69" s="42" t="n">
        <v>46236</v>
      </c>
    </row>
    <row r="70" customFormat="false" ht="45.75" hidden="false" customHeight="true" outlineLevel="0" collapsed="false">
      <c r="A70" s="30" t="n">
        <v>64</v>
      </c>
      <c r="B70" s="30" t="s">
        <v>8556</v>
      </c>
      <c r="C70" s="31" t="s">
        <v>8557</v>
      </c>
      <c r="D70" s="31" t="s">
        <v>8275</v>
      </c>
      <c r="E70" s="31" t="s">
        <v>8343</v>
      </c>
      <c r="F70" s="30" t="n">
        <f aca="false">COUNTIF('Seed Catalogue'!$C$2:$C$452,B70)</f>
        <v>0</v>
      </c>
      <c r="G70" s="40" t="n">
        <v>4</v>
      </c>
      <c r="H70" s="40" t="n">
        <v>4</v>
      </c>
      <c r="I70" s="40" t="n">
        <v>3</v>
      </c>
      <c r="J70" s="40" t="n">
        <v>4</v>
      </c>
      <c r="K70" s="40" t="n">
        <v>4</v>
      </c>
      <c r="L70" s="40" t="n">
        <v>4</v>
      </c>
      <c r="M70" s="40" t="n">
        <v>4</v>
      </c>
      <c r="N70" s="40" t="n">
        <v>2</v>
      </c>
      <c r="O70" s="41" t="n">
        <f aca="false">ROUND(G70/5*$X$2+H70/5*$X$3+I70/5*$X$4+J70/5*$X$5+K70/5*$X$6+L70/5*$X$7+M70/5*$X$8-N70/5*$X$9,1)</f>
        <v>69</v>
      </c>
      <c r="P70" s="30" t="str">
        <f aca="false">IF(O70&gt;=$X$12,"Foundational deep pass",IF(O70&gt;=$X$13,"Major deep pass",IF(O70&gt;=$X$14,"Targeted innovation pass",IF(O70&gt;=$X$15,"Sampling pass","Reference / defer"))))</f>
        <v>Major deep pass</v>
      </c>
      <c r="Q70" s="31" t="s">
        <v>14197</v>
      </c>
      <c r="R70" s="31" t="s">
        <v>14198</v>
      </c>
      <c r="S70" s="31" t="s">
        <v>14184</v>
      </c>
      <c r="T70" s="31" t="s">
        <v>8562</v>
      </c>
      <c r="U70" s="42" t="n">
        <v>46236</v>
      </c>
    </row>
    <row r="71" customFormat="false" ht="45.75" hidden="false" customHeight="true" outlineLevel="0" collapsed="false">
      <c r="A71" s="30" t="n">
        <v>65</v>
      </c>
      <c r="B71" s="30" t="s">
        <v>8542</v>
      </c>
      <c r="C71" s="31" t="s">
        <v>8543</v>
      </c>
      <c r="D71" s="31" t="s">
        <v>8275</v>
      </c>
      <c r="E71" s="31" t="s">
        <v>8545</v>
      </c>
      <c r="F71" s="30" t="n">
        <f aca="false">COUNTIF('Seed Catalogue'!$C$2:$C$452,B71)</f>
        <v>0</v>
      </c>
      <c r="G71" s="40" t="n">
        <v>4</v>
      </c>
      <c r="H71" s="40" t="n">
        <v>4</v>
      </c>
      <c r="I71" s="40" t="n">
        <v>3</v>
      </c>
      <c r="J71" s="40" t="n">
        <v>4</v>
      </c>
      <c r="K71" s="40" t="n">
        <v>4</v>
      </c>
      <c r="L71" s="40" t="n">
        <v>4</v>
      </c>
      <c r="M71" s="40" t="n">
        <v>4</v>
      </c>
      <c r="N71" s="40" t="n">
        <v>2</v>
      </c>
      <c r="O71" s="41" t="n">
        <f aca="false">ROUND(G71/5*$X$2+H71/5*$X$3+I71/5*$X$4+J71/5*$X$5+K71/5*$X$6+L71/5*$X$7+M71/5*$X$8-N71/5*$X$9,1)</f>
        <v>69</v>
      </c>
      <c r="P71" s="30" t="str">
        <f aca="false">IF(O71&gt;=$X$12,"Foundational deep pass",IF(O71&gt;=$X$13,"Major deep pass",IF(O71&gt;=$X$14,"Targeted innovation pass",IF(O71&gt;=$X$15,"Sampling pass","Reference / defer"))))</f>
        <v>Major deep pass</v>
      </c>
      <c r="Q71" s="31" t="s">
        <v>14197</v>
      </c>
      <c r="R71" s="31" t="s">
        <v>14198</v>
      </c>
      <c r="S71" s="31" t="s">
        <v>14184</v>
      </c>
      <c r="T71" s="31" t="s">
        <v>8548</v>
      </c>
      <c r="U71" s="42" t="n">
        <v>46236</v>
      </c>
    </row>
    <row r="72" customFormat="false" ht="45.75" hidden="false" customHeight="true" outlineLevel="0" collapsed="false">
      <c r="A72" s="30" t="n">
        <v>66</v>
      </c>
      <c r="B72" s="30" t="s">
        <v>8385</v>
      </c>
      <c r="C72" s="31" t="s">
        <v>8386</v>
      </c>
      <c r="D72" s="31" t="s">
        <v>8275</v>
      </c>
      <c r="E72" s="31" t="s">
        <v>8343</v>
      </c>
      <c r="F72" s="30" t="n">
        <f aca="false">COUNTIF('Seed Catalogue'!$C$2:$C$452,B72)</f>
        <v>0</v>
      </c>
      <c r="G72" s="40" t="n">
        <v>4</v>
      </c>
      <c r="H72" s="40" t="n">
        <v>4</v>
      </c>
      <c r="I72" s="40" t="n">
        <v>3</v>
      </c>
      <c r="J72" s="40" t="n">
        <v>4</v>
      </c>
      <c r="K72" s="40" t="n">
        <v>4</v>
      </c>
      <c r="L72" s="40" t="n">
        <v>4</v>
      </c>
      <c r="M72" s="40" t="n">
        <v>4</v>
      </c>
      <c r="N72" s="40" t="n">
        <v>2</v>
      </c>
      <c r="O72" s="41" t="n">
        <f aca="false">ROUND(G72/5*$X$2+H72/5*$X$3+I72/5*$X$4+J72/5*$X$5+K72/5*$X$6+L72/5*$X$7+M72/5*$X$8-N72/5*$X$9,1)</f>
        <v>69</v>
      </c>
      <c r="P72" s="30" t="str">
        <f aca="false">IF(O72&gt;=$X$12,"Foundational deep pass",IF(O72&gt;=$X$13,"Major deep pass",IF(O72&gt;=$X$14,"Targeted innovation pass",IF(O72&gt;=$X$15,"Sampling pass","Reference / defer"))))</f>
        <v>Major deep pass</v>
      </c>
      <c r="Q72" s="31" t="s">
        <v>14197</v>
      </c>
      <c r="R72" s="31" t="s">
        <v>14198</v>
      </c>
      <c r="S72" s="31" t="s">
        <v>14184</v>
      </c>
      <c r="T72" s="31" t="s">
        <v>8391</v>
      </c>
      <c r="U72" s="42" t="n">
        <v>46236</v>
      </c>
    </row>
    <row r="73" customFormat="false" ht="45.75" hidden="false" customHeight="true" outlineLevel="0" collapsed="false">
      <c r="A73" s="30" t="n">
        <v>67</v>
      </c>
      <c r="B73" s="30" t="s">
        <v>8711</v>
      </c>
      <c r="C73" s="31" t="s">
        <v>8712</v>
      </c>
      <c r="D73" s="31" t="s">
        <v>8275</v>
      </c>
      <c r="E73" s="31" t="s">
        <v>8714</v>
      </c>
      <c r="F73" s="30" t="n">
        <f aca="false">COUNTIF('Seed Catalogue'!$C$2:$C$452,B73)</f>
        <v>0</v>
      </c>
      <c r="G73" s="40" t="n">
        <v>4</v>
      </c>
      <c r="H73" s="40" t="n">
        <v>4</v>
      </c>
      <c r="I73" s="40" t="n">
        <v>3</v>
      </c>
      <c r="J73" s="40" t="n">
        <v>4</v>
      </c>
      <c r="K73" s="40" t="n">
        <v>4</v>
      </c>
      <c r="L73" s="40" t="n">
        <v>4</v>
      </c>
      <c r="M73" s="40" t="n">
        <v>4</v>
      </c>
      <c r="N73" s="40" t="n">
        <v>2</v>
      </c>
      <c r="O73" s="41" t="n">
        <f aca="false">ROUND(G73/5*$X$2+H73/5*$X$3+I73/5*$X$4+J73/5*$X$5+K73/5*$X$6+L73/5*$X$7+M73/5*$X$8-N73/5*$X$9,1)</f>
        <v>69</v>
      </c>
      <c r="P73" s="30" t="str">
        <f aca="false">IF(O73&gt;=$X$12,"Foundational deep pass",IF(O73&gt;=$X$13,"Major deep pass",IF(O73&gt;=$X$14,"Targeted innovation pass",IF(O73&gt;=$X$15,"Sampling pass","Reference / defer"))))</f>
        <v>Major deep pass</v>
      </c>
      <c r="Q73" s="31" t="s">
        <v>14197</v>
      </c>
      <c r="R73" s="31" t="s">
        <v>14198</v>
      </c>
      <c r="S73" s="31" t="s">
        <v>14184</v>
      </c>
      <c r="T73" s="31" t="s">
        <v>8717</v>
      </c>
      <c r="U73" s="42" t="n">
        <v>46236</v>
      </c>
    </row>
    <row r="74" customFormat="false" ht="45.75" hidden="false" customHeight="true" outlineLevel="0" collapsed="false">
      <c r="A74" s="30" t="n">
        <v>68</v>
      </c>
      <c r="B74" s="30" t="s">
        <v>8527</v>
      </c>
      <c r="C74" s="31" t="s">
        <v>8528</v>
      </c>
      <c r="D74" s="31" t="s">
        <v>8275</v>
      </c>
      <c r="E74" s="31" t="s">
        <v>8299</v>
      </c>
      <c r="F74" s="30" t="n">
        <f aca="false">COUNTIF('Seed Catalogue'!$C$2:$C$452,B74)</f>
        <v>0</v>
      </c>
      <c r="G74" s="40" t="n">
        <v>4</v>
      </c>
      <c r="H74" s="40" t="n">
        <v>4</v>
      </c>
      <c r="I74" s="40" t="n">
        <v>3</v>
      </c>
      <c r="J74" s="40" t="n">
        <v>4</v>
      </c>
      <c r="K74" s="40" t="n">
        <v>4</v>
      </c>
      <c r="L74" s="40" t="n">
        <v>4</v>
      </c>
      <c r="M74" s="40" t="n">
        <v>4</v>
      </c>
      <c r="N74" s="40" t="n">
        <v>2</v>
      </c>
      <c r="O74" s="41" t="n">
        <f aca="false">ROUND(G74/5*$X$2+H74/5*$X$3+I74/5*$X$4+J74/5*$X$5+K74/5*$X$6+L74/5*$X$7+M74/5*$X$8-N74/5*$X$9,1)</f>
        <v>69</v>
      </c>
      <c r="P74" s="30" t="str">
        <f aca="false">IF(O74&gt;=$X$12,"Foundational deep pass",IF(O74&gt;=$X$13,"Major deep pass",IF(O74&gt;=$X$14,"Targeted innovation pass",IF(O74&gt;=$X$15,"Sampling pass","Reference / defer"))))</f>
        <v>Major deep pass</v>
      </c>
      <c r="Q74" s="31" t="s">
        <v>14197</v>
      </c>
      <c r="R74" s="31" t="s">
        <v>14198</v>
      </c>
      <c r="S74" s="31" t="s">
        <v>14184</v>
      </c>
      <c r="T74" s="31" t="s">
        <v>8533</v>
      </c>
      <c r="U74" s="42" t="n">
        <v>46236</v>
      </c>
    </row>
    <row r="75" customFormat="false" ht="45.75" hidden="false" customHeight="true" outlineLevel="0" collapsed="false">
      <c r="A75" s="30" t="n">
        <v>69</v>
      </c>
      <c r="B75" s="30" t="s">
        <v>8370</v>
      </c>
      <c r="C75" s="31" t="s">
        <v>8371</v>
      </c>
      <c r="D75" s="31" t="s">
        <v>8275</v>
      </c>
      <c r="E75" s="31" t="s">
        <v>8343</v>
      </c>
      <c r="F75" s="30" t="n">
        <f aca="false">COUNTIF('Seed Catalogue'!$C$2:$C$452,B75)</f>
        <v>0</v>
      </c>
      <c r="G75" s="40" t="n">
        <v>4</v>
      </c>
      <c r="H75" s="40" t="n">
        <v>4</v>
      </c>
      <c r="I75" s="40" t="n">
        <v>3</v>
      </c>
      <c r="J75" s="40" t="n">
        <v>4</v>
      </c>
      <c r="K75" s="40" t="n">
        <v>4</v>
      </c>
      <c r="L75" s="40" t="n">
        <v>4</v>
      </c>
      <c r="M75" s="40" t="n">
        <v>4</v>
      </c>
      <c r="N75" s="40" t="n">
        <v>2</v>
      </c>
      <c r="O75" s="41" t="n">
        <f aca="false">ROUND(G75/5*$X$2+H75/5*$X$3+I75/5*$X$4+J75/5*$X$5+K75/5*$X$6+L75/5*$X$7+M75/5*$X$8-N75/5*$X$9,1)</f>
        <v>69</v>
      </c>
      <c r="P75" s="30" t="str">
        <f aca="false">IF(O75&gt;=$X$12,"Foundational deep pass",IF(O75&gt;=$X$13,"Major deep pass",IF(O75&gt;=$X$14,"Targeted innovation pass",IF(O75&gt;=$X$15,"Sampling pass","Reference / defer"))))</f>
        <v>Major deep pass</v>
      </c>
      <c r="Q75" s="31" t="s">
        <v>14197</v>
      </c>
      <c r="R75" s="31" t="s">
        <v>14198</v>
      </c>
      <c r="S75" s="31" t="s">
        <v>14184</v>
      </c>
      <c r="T75" s="31" t="s">
        <v>8376</v>
      </c>
      <c r="U75" s="42" t="n">
        <v>46236</v>
      </c>
    </row>
    <row r="76" customFormat="false" ht="45.75" hidden="false" customHeight="true" outlineLevel="0" collapsed="false">
      <c r="A76" s="30" t="n">
        <v>70</v>
      </c>
      <c r="B76" s="30" t="s">
        <v>8332</v>
      </c>
      <c r="C76" s="31" t="s">
        <v>8333</v>
      </c>
      <c r="D76" s="31" t="s">
        <v>8275</v>
      </c>
      <c r="E76" s="31" t="s">
        <v>8335</v>
      </c>
      <c r="F76" s="30" t="n">
        <f aca="false">COUNTIF('Seed Catalogue'!$C$2:$C$452,B76)</f>
        <v>0</v>
      </c>
      <c r="G76" s="40" t="n">
        <v>4</v>
      </c>
      <c r="H76" s="40" t="n">
        <v>4</v>
      </c>
      <c r="I76" s="40" t="n">
        <v>3</v>
      </c>
      <c r="J76" s="40" t="n">
        <v>4</v>
      </c>
      <c r="K76" s="40" t="n">
        <v>4</v>
      </c>
      <c r="L76" s="40" t="n">
        <v>4</v>
      </c>
      <c r="M76" s="40" t="n">
        <v>4</v>
      </c>
      <c r="N76" s="40" t="n">
        <v>2</v>
      </c>
      <c r="O76" s="41" t="n">
        <f aca="false">ROUND(G76/5*$X$2+H76/5*$X$3+I76/5*$X$4+J76/5*$X$5+K76/5*$X$6+L76/5*$X$7+M76/5*$X$8-N76/5*$X$9,1)</f>
        <v>69</v>
      </c>
      <c r="P76" s="30" t="str">
        <f aca="false">IF(O76&gt;=$X$12,"Foundational deep pass",IF(O76&gt;=$X$13,"Major deep pass",IF(O76&gt;=$X$14,"Targeted innovation pass",IF(O76&gt;=$X$15,"Sampling pass","Reference / defer"))))</f>
        <v>Major deep pass</v>
      </c>
      <c r="Q76" s="31" t="s">
        <v>14197</v>
      </c>
      <c r="R76" s="31" t="s">
        <v>14198</v>
      </c>
      <c r="S76" s="31" t="s">
        <v>14184</v>
      </c>
      <c r="T76" s="31" t="s">
        <v>8339</v>
      </c>
      <c r="U76" s="42" t="n">
        <v>46236</v>
      </c>
    </row>
    <row r="77" customFormat="false" ht="45.75" hidden="false" customHeight="true" outlineLevel="0" collapsed="false">
      <c r="A77" s="30" t="n">
        <v>71</v>
      </c>
      <c r="B77" s="30" t="s">
        <v>8670</v>
      </c>
      <c r="C77" s="31" t="s">
        <v>8671</v>
      </c>
      <c r="D77" s="31" t="s">
        <v>8275</v>
      </c>
      <c r="E77" s="31" t="s">
        <v>8343</v>
      </c>
      <c r="F77" s="30" t="n">
        <f aca="false">COUNTIF('Seed Catalogue'!$C$2:$C$452,B77)</f>
        <v>0</v>
      </c>
      <c r="G77" s="40" t="n">
        <v>4</v>
      </c>
      <c r="H77" s="40" t="n">
        <v>4</v>
      </c>
      <c r="I77" s="40" t="n">
        <v>3</v>
      </c>
      <c r="J77" s="40" t="n">
        <v>4</v>
      </c>
      <c r="K77" s="40" t="n">
        <v>4</v>
      </c>
      <c r="L77" s="40" t="n">
        <v>4</v>
      </c>
      <c r="M77" s="40" t="n">
        <v>4</v>
      </c>
      <c r="N77" s="40" t="n">
        <v>2</v>
      </c>
      <c r="O77" s="41" t="n">
        <f aca="false">ROUND(G77/5*$X$2+H77/5*$X$3+I77/5*$X$4+J77/5*$X$5+K77/5*$X$6+L77/5*$X$7+M77/5*$X$8-N77/5*$X$9,1)</f>
        <v>69</v>
      </c>
      <c r="P77" s="30" t="str">
        <f aca="false">IF(O77&gt;=$X$12,"Foundational deep pass",IF(O77&gt;=$X$13,"Major deep pass",IF(O77&gt;=$X$14,"Targeted innovation pass",IF(O77&gt;=$X$15,"Sampling pass","Reference / defer"))))</f>
        <v>Major deep pass</v>
      </c>
      <c r="Q77" s="31" t="s">
        <v>14197</v>
      </c>
      <c r="R77" s="31" t="s">
        <v>14198</v>
      </c>
      <c r="S77" s="31" t="s">
        <v>14184</v>
      </c>
      <c r="T77" s="31" t="s">
        <v>8676</v>
      </c>
      <c r="U77" s="42" t="n">
        <v>46236</v>
      </c>
    </row>
    <row r="78" customFormat="false" ht="45.75" hidden="false" customHeight="true" outlineLevel="0" collapsed="false">
      <c r="A78" s="30" t="n">
        <v>72</v>
      </c>
      <c r="B78" s="30" t="s">
        <v>8677</v>
      </c>
      <c r="C78" s="31" t="s">
        <v>8678</v>
      </c>
      <c r="D78" s="31" t="s">
        <v>8275</v>
      </c>
      <c r="E78" s="31" t="s">
        <v>8343</v>
      </c>
      <c r="F78" s="30" t="n">
        <f aca="false">COUNTIF('Seed Catalogue'!$C$2:$C$452,B78)</f>
        <v>0</v>
      </c>
      <c r="G78" s="40" t="n">
        <v>4</v>
      </c>
      <c r="H78" s="40" t="n">
        <v>4</v>
      </c>
      <c r="I78" s="40" t="n">
        <v>3</v>
      </c>
      <c r="J78" s="40" t="n">
        <v>4</v>
      </c>
      <c r="K78" s="40" t="n">
        <v>4</v>
      </c>
      <c r="L78" s="40" t="n">
        <v>4</v>
      </c>
      <c r="M78" s="40" t="n">
        <v>4</v>
      </c>
      <c r="N78" s="40" t="n">
        <v>2</v>
      </c>
      <c r="O78" s="41" t="n">
        <f aca="false">ROUND(G78/5*$X$2+H78/5*$X$3+I78/5*$X$4+J78/5*$X$5+K78/5*$X$6+L78/5*$X$7+M78/5*$X$8-N78/5*$X$9,1)</f>
        <v>69</v>
      </c>
      <c r="P78" s="30" t="str">
        <f aca="false">IF(O78&gt;=$X$12,"Foundational deep pass",IF(O78&gt;=$X$13,"Major deep pass",IF(O78&gt;=$X$14,"Targeted innovation pass",IF(O78&gt;=$X$15,"Sampling pass","Reference / defer"))))</f>
        <v>Major deep pass</v>
      </c>
      <c r="Q78" s="31" t="s">
        <v>14197</v>
      </c>
      <c r="R78" s="31" t="s">
        <v>14198</v>
      </c>
      <c r="S78" s="31" t="s">
        <v>14184</v>
      </c>
      <c r="T78" s="31" t="s">
        <v>8682</v>
      </c>
      <c r="U78" s="42" t="n">
        <v>46236</v>
      </c>
    </row>
    <row r="79" customFormat="false" ht="45.75" hidden="false" customHeight="true" outlineLevel="0" collapsed="false">
      <c r="A79" s="30" t="n">
        <v>73</v>
      </c>
      <c r="B79" s="30" t="s">
        <v>8508</v>
      </c>
      <c r="C79" s="31" t="s">
        <v>8509</v>
      </c>
      <c r="D79" s="31" t="s">
        <v>8275</v>
      </c>
      <c r="E79" s="31" t="s">
        <v>8511</v>
      </c>
      <c r="F79" s="30" t="n">
        <f aca="false">COUNTIF('Seed Catalogue'!$C$2:$C$452,B79)</f>
        <v>0</v>
      </c>
      <c r="G79" s="40" t="n">
        <v>4</v>
      </c>
      <c r="H79" s="40" t="n">
        <v>4</v>
      </c>
      <c r="I79" s="40" t="n">
        <v>3</v>
      </c>
      <c r="J79" s="40" t="n">
        <v>4</v>
      </c>
      <c r="K79" s="40" t="n">
        <v>4</v>
      </c>
      <c r="L79" s="40" t="n">
        <v>4</v>
      </c>
      <c r="M79" s="40" t="n">
        <v>4</v>
      </c>
      <c r="N79" s="40" t="n">
        <v>2</v>
      </c>
      <c r="O79" s="41" t="n">
        <f aca="false">ROUND(G79/5*$X$2+H79/5*$X$3+I79/5*$X$4+J79/5*$X$5+K79/5*$X$6+L79/5*$X$7+M79/5*$X$8-N79/5*$X$9,1)</f>
        <v>69</v>
      </c>
      <c r="P79" s="30" t="str">
        <f aca="false">IF(O79&gt;=$X$12,"Foundational deep pass",IF(O79&gt;=$X$13,"Major deep pass",IF(O79&gt;=$X$14,"Targeted innovation pass",IF(O79&gt;=$X$15,"Sampling pass","Reference / defer"))))</f>
        <v>Major deep pass</v>
      </c>
      <c r="Q79" s="31" t="s">
        <v>14197</v>
      </c>
      <c r="R79" s="31" t="s">
        <v>14198</v>
      </c>
      <c r="S79" s="31" t="s">
        <v>14184</v>
      </c>
      <c r="T79" s="31" t="s">
        <v>8513</v>
      </c>
      <c r="U79" s="42" t="n">
        <v>46236</v>
      </c>
    </row>
    <row r="80" customFormat="false" ht="45.75" hidden="false" customHeight="true" outlineLevel="0" collapsed="false">
      <c r="A80" s="30" t="n">
        <v>74</v>
      </c>
      <c r="B80" s="30" t="s">
        <v>8664</v>
      </c>
      <c r="C80" s="31" t="s">
        <v>8665</v>
      </c>
      <c r="D80" s="31" t="s">
        <v>8275</v>
      </c>
      <c r="E80" s="31" t="s">
        <v>8343</v>
      </c>
      <c r="F80" s="30" t="n">
        <f aca="false">COUNTIF('Seed Catalogue'!$C$2:$C$452,B80)</f>
        <v>0</v>
      </c>
      <c r="G80" s="40" t="n">
        <v>4</v>
      </c>
      <c r="H80" s="40" t="n">
        <v>4</v>
      </c>
      <c r="I80" s="40" t="n">
        <v>3</v>
      </c>
      <c r="J80" s="40" t="n">
        <v>4</v>
      </c>
      <c r="K80" s="40" t="n">
        <v>4</v>
      </c>
      <c r="L80" s="40" t="n">
        <v>4</v>
      </c>
      <c r="M80" s="40" t="n">
        <v>4</v>
      </c>
      <c r="N80" s="40" t="n">
        <v>2</v>
      </c>
      <c r="O80" s="41" t="n">
        <f aca="false">ROUND(G80/5*$X$2+H80/5*$X$3+I80/5*$X$4+J80/5*$X$5+K80/5*$X$6+L80/5*$X$7+M80/5*$X$8-N80/5*$X$9,1)</f>
        <v>69</v>
      </c>
      <c r="P80" s="30" t="str">
        <f aca="false">IF(O80&gt;=$X$12,"Foundational deep pass",IF(O80&gt;=$X$13,"Major deep pass",IF(O80&gt;=$X$14,"Targeted innovation pass",IF(O80&gt;=$X$15,"Sampling pass","Reference / defer"))))</f>
        <v>Major deep pass</v>
      </c>
      <c r="Q80" s="31" t="s">
        <v>14197</v>
      </c>
      <c r="R80" s="31" t="s">
        <v>14198</v>
      </c>
      <c r="S80" s="31" t="s">
        <v>14184</v>
      </c>
      <c r="T80" s="31" t="s">
        <v>8669</v>
      </c>
      <c r="U80" s="42" t="n">
        <v>46236</v>
      </c>
    </row>
    <row r="81" customFormat="false" ht="45.75" hidden="false" customHeight="true" outlineLevel="0" collapsed="false">
      <c r="A81" s="30" t="n">
        <v>75</v>
      </c>
      <c r="B81" s="30" t="s">
        <v>8703</v>
      </c>
      <c r="C81" s="31" t="s">
        <v>8704</v>
      </c>
      <c r="D81" s="31" t="s">
        <v>8275</v>
      </c>
      <c r="E81" s="31" t="s">
        <v>8706</v>
      </c>
      <c r="F81" s="30" t="n">
        <f aca="false">COUNTIF('Seed Catalogue'!$C$2:$C$452,B81)</f>
        <v>0</v>
      </c>
      <c r="G81" s="40" t="n">
        <v>4</v>
      </c>
      <c r="H81" s="40" t="n">
        <v>4</v>
      </c>
      <c r="I81" s="40" t="n">
        <v>3</v>
      </c>
      <c r="J81" s="40" t="n">
        <v>4</v>
      </c>
      <c r="K81" s="40" t="n">
        <v>4</v>
      </c>
      <c r="L81" s="40" t="n">
        <v>4</v>
      </c>
      <c r="M81" s="40" t="n">
        <v>4</v>
      </c>
      <c r="N81" s="40" t="n">
        <v>2</v>
      </c>
      <c r="O81" s="41" t="n">
        <f aca="false">ROUND(G81/5*$X$2+H81/5*$X$3+I81/5*$X$4+J81/5*$X$5+K81/5*$X$6+L81/5*$X$7+M81/5*$X$8-N81/5*$X$9,1)</f>
        <v>69</v>
      </c>
      <c r="P81" s="30" t="str">
        <f aca="false">IF(O81&gt;=$X$12,"Foundational deep pass",IF(O81&gt;=$X$13,"Major deep pass",IF(O81&gt;=$X$14,"Targeted innovation pass",IF(O81&gt;=$X$15,"Sampling pass","Reference / defer"))))</f>
        <v>Major deep pass</v>
      </c>
      <c r="Q81" s="31" t="s">
        <v>14197</v>
      </c>
      <c r="R81" s="31" t="s">
        <v>14198</v>
      </c>
      <c r="S81" s="31" t="s">
        <v>14184</v>
      </c>
      <c r="T81" s="31" t="s">
        <v>8710</v>
      </c>
      <c r="U81" s="42" t="n">
        <v>46236</v>
      </c>
    </row>
    <row r="82" customFormat="false" ht="45.75" hidden="false" customHeight="true" outlineLevel="0" collapsed="false">
      <c r="A82" s="30" t="n">
        <v>76</v>
      </c>
      <c r="B82" s="30" t="s">
        <v>8475</v>
      </c>
      <c r="C82" s="31" t="s">
        <v>8476</v>
      </c>
      <c r="D82" s="31" t="s">
        <v>8275</v>
      </c>
      <c r="E82" s="31" t="s">
        <v>8343</v>
      </c>
      <c r="F82" s="30" t="n">
        <f aca="false">COUNTIF('Seed Catalogue'!$C$2:$C$452,B82)</f>
        <v>0</v>
      </c>
      <c r="G82" s="40" t="n">
        <v>4</v>
      </c>
      <c r="H82" s="40" t="n">
        <v>4</v>
      </c>
      <c r="I82" s="40" t="n">
        <v>3</v>
      </c>
      <c r="J82" s="40" t="n">
        <v>4</v>
      </c>
      <c r="K82" s="40" t="n">
        <v>4</v>
      </c>
      <c r="L82" s="40" t="n">
        <v>4</v>
      </c>
      <c r="M82" s="40" t="n">
        <v>4</v>
      </c>
      <c r="N82" s="40" t="n">
        <v>2</v>
      </c>
      <c r="O82" s="41" t="n">
        <f aca="false">ROUND(G82/5*$X$2+H82/5*$X$3+I82/5*$X$4+J82/5*$X$5+K82/5*$X$6+L82/5*$X$7+M82/5*$X$8-N82/5*$X$9,1)</f>
        <v>69</v>
      </c>
      <c r="P82" s="30" t="str">
        <f aca="false">IF(O82&gt;=$X$12,"Foundational deep pass",IF(O82&gt;=$X$13,"Major deep pass",IF(O82&gt;=$X$14,"Targeted innovation pass",IF(O82&gt;=$X$15,"Sampling pass","Reference / defer"))))</f>
        <v>Major deep pass</v>
      </c>
      <c r="Q82" s="31" t="s">
        <v>14197</v>
      </c>
      <c r="R82" s="31" t="s">
        <v>14198</v>
      </c>
      <c r="S82" s="31" t="s">
        <v>14184</v>
      </c>
      <c r="T82" s="31" t="s">
        <v>8481</v>
      </c>
      <c r="U82" s="42" t="n">
        <v>46236</v>
      </c>
    </row>
    <row r="83" customFormat="false" ht="45.75" hidden="false" customHeight="true" outlineLevel="0" collapsed="false">
      <c r="A83" s="30" t="n">
        <v>77</v>
      </c>
      <c r="B83" s="30" t="s">
        <v>8356</v>
      </c>
      <c r="C83" s="31" t="s">
        <v>8357</v>
      </c>
      <c r="D83" s="31" t="s">
        <v>8275</v>
      </c>
      <c r="E83" s="31" t="s">
        <v>8343</v>
      </c>
      <c r="F83" s="30" t="n">
        <f aca="false">COUNTIF('Seed Catalogue'!$C$2:$C$452,B83)</f>
        <v>0</v>
      </c>
      <c r="G83" s="40" t="n">
        <v>4</v>
      </c>
      <c r="H83" s="40" t="n">
        <v>4</v>
      </c>
      <c r="I83" s="40" t="n">
        <v>3</v>
      </c>
      <c r="J83" s="40" t="n">
        <v>4</v>
      </c>
      <c r="K83" s="40" t="n">
        <v>4</v>
      </c>
      <c r="L83" s="40" t="n">
        <v>4</v>
      </c>
      <c r="M83" s="40" t="n">
        <v>4</v>
      </c>
      <c r="N83" s="40" t="n">
        <v>2</v>
      </c>
      <c r="O83" s="41" t="n">
        <f aca="false">ROUND(G83/5*$X$2+H83/5*$X$3+I83/5*$X$4+J83/5*$X$5+K83/5*$X$6+L83/5*$X$7+M83/5*$X$8-N83/5*$X$9,1)</f>
        <v>69</v>
      </c>
      <c r="P83" s="30" t="str">
        <f aca="false">IF(O83&gt;=$X$12,"Foundational deep pass",IF(O83&gt;=$X$13,"Major deep pass",IF(O83&gt;=$X$14,"Targeted innovation pass",IF(O83&gt;=$X$15,"Sampling pass","Reference / defer"))))</f>
        <v>Major deep pass</v>
      </c>
      <c r="Q83" s="31" t="s">
        <v>14197</v>
      </c>
      <c r="R83" s="31" t="s">
        <v>14198</v>
      </c>
      <c r="S83" s="31" t="s">
        <v>14184</v>
      </c>
      <c r="T83" s="31" t="s">
        <v>8361</v>
      </c>
      <c r="U83" s="42" t="n">
        <v>46236</v>
      </c>
    </row>
    <row r="84" customFormat="false" ht="45.75" hidden="false" customHeight="true" outlineLevel="0" collapsed="false">
      <c r="A84" s="30" t="n">
        <v>78</v>
      </c>
      <c r="B84" s="30" t="s">
        <v>8683</v>
      </c>
      <c r="C84" s="31" t="s">
        <v>8684</v>
      </c>
      <c r="D84" s="31" t="s">
        <v>8275</v>
      </c>
      <c r="E84" s="31" t="s">
        <v>8686</v>
      </c>
      <c r="F84" s="30" t="n">
        <f aca="false">COUNTIF('Seed Catalogue'!$C$2:$C$452,B84)</f>
        <v>0</v>
      </c>
      <c r="G84" s="40" t="n">
        <v>4</v>
      </c>
      <c r="H84" s="40" t="n">
        <v>4</v>
      </c>
      <c r="I84" s="40" t="n">
        <v>3</v>
      </c>
      <c r="J84" s="40" t="n">
        <v>4</v>
      </c>
      <c r="K84" s="40" t="n">
        <v>4</v>
      </c>
      <c r="L84" s="40" t="n">
        <v>4</v>
      </c>
      <c r="M84" s="40" t="n">
        <v>4</v>
      </c>
      <c r="N84" s="40" t="n">
        <v>2</v>
      </c>
      <c r="O84" s="41" t="n">
        <f aca="false">ROUND(G84/5*$X$2+H84/5*$X$3+I84/5*$X$4+J84/5*$X$5+K84/5*$X$6+L84/5*$X$7+M84/5*$X$8-N84/5*$X$9,1)</f>
        <v>69</v>
      </c>
      <c r="P84" s="30" t="str">
        <f aca="false">IF(O84&gt;=$X$12,"Foundational deep pass",IF(O84&gt;=$X$13,"Major deep pass",IF(O84&gt;=$X$14,"Targeted innovation pass",IF(O84&gt;=$X$15,"Sampling pass","Reference / defer"))))</f>
        <v>Major deep pass</v>
      </c>
      <c r="Q84" s="31" t="s">
        <v>14197</v>
      </c>
      <c r="R84" s="31" t="s">
        <v>14198</v>
      </c>
      <c r="S84" s="31" t="s">
        <v>14184</v>
      </c>
      <c r="T84" s="31" t="s">
        <v>8689</v>
      </c>
      <c r="U84" s="42" t="n">
        <v>46236</v>
      </c>
    </row>
    <row r="85" customFormat="false" ht="45.75" hidden="false" customHeight="true" outlineLevel="0" collapsed="false">
      <c r="A85" s="30" t="n">
        <v>79</v>
      </c>
      <c r="B85" s="30" t="s">
        <v>8521</v>
      </c>
      <c r="C85" s="31" t="s">
        <v>8522</v>
      </c>
      <c r="D85" s="31" t="s">
        <v>8275</v>
      </c>
      <c r="E85" s="31" t="s">
        <v>8524</v>
      </c>
      <c r="F85" s="30" t="n">
        <f aca="false">COUNTIF('Seed Catalogue'!$C$2:$C$452,B85)</f>
        <v>0</v>
      </c>
      <c r="G85" s="40" t="n">
        <v>4</v>
      </c>
      <c r="H85" s="40" t="n">
        <v>4</v>
      </c>
      <c r="I85" s="40" t="n">
        <v>3</v>
      </c>
      <c r="J85" s="40" t="n">
        <v>4</v>
      </c>
      <c r="K85" s="40" t="n">
        <v>4</v>
      </c>
      <c r="L85" s="40" t="n">
        <v>4</v>
      </c>
      <c r="M85" s="40" t="n">
        <v>4</v>
      </c>
      <c r="N85" s="40" t="n">
        <v>2</v>
      </c>
      <c r="O85" s="41" t="n">
        <f aca="false">ROUND(G85/5*$X$2+H85/5*$X$3+I85/5*$X$4+J85/5*$X$5+K85/5*$X$6+L85/5*$X$7+M85/5*$X$8-N85/5*$X$9,1)</f>
        <v>69</v>
      </c>
      <c r="P85" s="30" t="str">
        <f aca="false">IF(O85&gt;=$X$12,"Foundational deep pass",IF(O85&gt;=$X$13,"Major deep pass",IF(O85&gt;=$X$14,"Targeted innovation pass",IF(O85&gt;=$X$15,"Sampling pass","Reference / defer"))))</f>
        <v>Major deep pass</v>
      </c>
      <c r="Q85" s="31" t="s">
        <v>14197</v>
      </c>
      <c r="R85" s="31" t="s">
        <v>14198</v>
      </c>
      <c r="S85" s="31" t="s">
        <v>14184</v>
      </c>
      <c r="T85" s="31" t="s">
        <v>8526</v>
      </c>
      <c r="U85" s="42" t="n">
        <v>46236</v>
      </c>
    </row>
    <row r="86" customFormat="false" ht="45.75" hidden="false" customHeight="true" outlineLevel="0" collapsed="false">
      <c r="A86" s="30" t="n">
        <v>80</v>
      </c>
      <c r="B86" s="30" t="s">
        <v>8494</v>
      </c>
      <c r="C86" s="31" t="s">
        <v>8495</v>
      </c>
      <c r="D86" s="31" t="s">
        <v>8275</v>
      </c>
      <c r="E86" s="31" t="s">
        <v>8497</v>
      </c>
      <c r="F86" s="30" t="n">
        <f aca="false">COUNTIF('Seed Catalogue'!$C$2:$C$452,B86)</f>
        <v>0</v>
      </c>
      <c r="G86" s="40" t="n">
        <v>4</v>
      </c>
      <c r="H86" s="40" t="n">
        <v>4</v>
      </c>
      <c r="I86" s="40" t="n">
        <v>3</v>
      </c>
      <c r="J86" s="40" t="n">
        <v>4</v>
      </c>
      <c r="K86" s="40" t="n">
        <v>4</v>
      </c>
      <c r="L86" s="40" t="n">
        <v>4</v>
      </c>
      <c r="M86" s="40" t="n">
        <v>4</v>
      </c>
      <c r="N86" s="40" t="n">
        <v>2</v>
      </c>
      <c r="O86" s="41" t="n">
        <f aca="false">ROUND(G86/5*$X$2+H86/5*$X$3+I86/5*$X$4+J86/5*$X$5+K86/5*$X$6+L86/5*$X$7+M86/5*$X$8-N86/5*$X$9,1)</f>
        <v>69</v>
      </c>
      <c r="P86" s="30" t="str">
        <f aca="false">IF(O86&gt;=$X$12,"Foundational deep pass",IF(O86&gt;=$X$13,"Major deep pass",IF(O86&gt;=$X$14,"Targeted innovation pass",IF(O86&gt;=$X$15,"Sampling pass","Reference / defer"))))</f>
        <v>Major deep pass</v>
      </c>
      <c r="Q86" s="31" t="s">
        <v>14197</v>
      </c>
      <c r="R86" s="31" t="s">
        <v>14198</v>
      </c>
      <c r="S86" s="31" t="s">
        <v>14184</v>
      </c>
      <c r="T86" s="31" t="s">
        <v>8500</v>
      </c>
      <c r="U86" s="42" t="n">
        <v>46236</v>
      </c>
    </row>
    <row r="87" customFormat="false" ht="45.75" hidden="false" customHeight="true" outlineLevel="0" collapsed="false">
      <c r="A87" s="30" t="n">
        <v>81</v>
      </c>
      <c r="B87" s="30" t="s">
        <v>9736</v>
      </c>
      <c r="C87" s="31" t="s">
        <v>9737</v>
      </c>
      <c r="D87" s="31" t="s">
        <v>9739</v>
      </c>
      <c r="E87" s="31" t="s">
        <v>8343</v>
      </c>
      <c r="F87" s="30" t="n">
        <f aca="false">COUNTIF('Seed Catalogue'!$C$2:$C$452,B87)</f>
        <v>0</v>
      </c>
      <c r="G87" s="40" t="n">
        <v>4</v>
      </c>
      <c r="H87" s="40" t="n">
        <v>4</v>
      </c>
      <c r="I87" s="40" t="n">
        <v>3</v>
      </c>
      <c r="J87" s="40" t="n">
        <v>4</v>
      </c>
      <c r="K87" s="40" t="n">
        <v>4</v>
      </c>
      <c r="L87" s="40" t="n">
        <v>4</v>
      </c>
      <c r="M87" s="40" t="n">
        <v>4</v>
      </c>
      <c r="N87" s="40" t="n">
        <v>2</v>
      </c>
      <c r="O87" s="41" t="n">
        <f aca="false">ROUND(G87/5*$X$2+H87/5*$X$3+I87/5*$X$4+J87/5*$X$5+K87/5*$X$6+L87/5*$X$7+M87/5*$X$8-N87/5*$X$9,1)</f>
        <v>69</v>
      </c>
      <c r="P87" s="30" t="str">
        <f aca="false">IF(O87&gt;=$X$12,"Foundational deep pass",IF(O87&gt;=$X$13,"Major deep pass",IF(O87&gt;=$X$14,"Targeted innovation pass",IF(O87&gt;=$X$15,"Sampling pass","Reference / defer"))))</f>
        <v>Major deep pass</v>
      </c>
      <c r="Q87" s="31" t="s">
        <v>14197</v>
      </c>
      <c r="R87" s="31" t="s">
        <v>14198</v>
      </c>
      <c r="S87" s="31" t="s">
        <v>14184</v>
      </c>
      <c r="T87" s="31" t="s">
        <v>9743</v>
      </c>
      <c r="U87" s="42" t="n">
        <v>46236</v>
      </c>
    </row>
    <row r="88" customFormat="false" ht="45.75" hidden="false" customHeight="true" outlineLevel="0" collapsed="false">
      <c r="A88" s="30" t="n">
        <v>82</v>
      </c>
      <c r="B88" s="30" t="s">
        <v>8514</v>
      </c>
      <c r="C88" s="31" t="s">
        <v>8515</v>
      </c>
      <c r="D88" s="31" t="s">
        <v>8275</v>
      </c>
      <c r="E88" s="31" t="s">
        <v>8307</v>
      </c>
      <c r="F88" s="30" t="n">
        <f aca="false">COUNTIF('Seed Catalogue'!$C$2:$C$452,B88)</f>
        <v>0</v>
      </c>
      <c r="G88" s="40" t="n">
        <v>4</v>
      </c>
      <c r="H88" s="40" t="n">
        <v>4</v>
      </c>
      <c r="I88" s="40" t="n">
        <v>3</v>
      </c>
      <c r="J88" s="40" t="n">
        <v>4</v>
      </c>
      <c r="K88" s="40" t="n">
        <v>4</v>
      </c>
      <c r="L88" s="40" t="n">
        <v>4</v>
      </c>
      <c r="M88" s="40" t="n">
        <v>4</v>
      </c>
      <c r="N88" s="40" t="n">
        <v>2</v>
      </c>
      <c r="O88" s="41" t="n">
        <f aca="false">ROUND(G88/5*$X$2+H88/5*$X$3+I88/5*$X$4+J88/5*$X$5+K88/5*$X$6+L88/5*$X$7+M88/5*$X$8-N88/5*$X$9,1)</f>
        <v>69</v>
      </c>
      <c r="P88" s="30" t="str">
        <f aca="false">IF(O88&gt;=$X$12,"Foundational deep pass",IF(O88&gt;=$X$13,"Major deep pass",IF(O88&gt;=$X$14,"Targeted innovation pass",IF(O88&gt;=$X$15,"Sampling pass","Reference / defer"))))</f>
        <v>Major deep pass</v>
      </c>
      <c r="Q88" s="31" t="s">
        <v>14197</v>
      </c>
      <c r="R88" s="31" t="s">
        <v>14198</v>
      </c>
      <c r="S88" s="31" t="s">
        <v>14184</v>
      </c>
      <c r="T88" s="31" t="s">
        <v>8520</v>
      </c>
      <c r="U88" s="42" t="n">
        <v>46236</v>
      </c>
    </row>
    <row r="89" customFormat="false" ht="45.75" hidden="false" customHeight="true" outlineLevel="0" collapsed="false">
      <c r="A89" s="30" t="n">
        <v>83</v>
      </c>
      <c r="B89" s="30" t="s">
        <v>8696</v>
      </c>
      <c r="C89" s="31" t="s">
        <v>8697</v>
      </c>
      <c r="D89" s="31" t="s">
        <v>8275</v>
      </c>
      <c r="E89" s="31" t="s">
        <v>8699</v>
      </c>
      <c r="F89" s="30" t="n">
        <f aca="false">COUNTIF('Seed Catalogue'!$C$2:$C$452,B89)</f>
        <v>0</v>
      </c>
      <c r="G89" s="40" t="n">
        <v>4</v>
      </c>
      <c r="H89" s="40" t="n">
        <v>4</v>
      </c>
      <c r="I89" s="40" t="n">
        <v>3</v>
      </c>
      <c r="J89" s="40" t="n">
        <v>4</v>
      </c>
      <c r="K89" s="40" t="n">
        <v>4</v>
      </c>
      <c r="L89" s="40" t="n">
        <v>4</v>
      </c>
      <c r="M89" s="40" t="n">
        <v>4</v>
      </c>
      <c r="N89" s="40" t="n">
        <v>2</v>
      </c>
      <c r="O89" s="41" t="n">
        <f aca="false">ROUND(G89/5*$X$2+H89/5*$X$3+I89/5*$X$4+J89/5*$X$5+K89/5*$X$6+L89/5*$X$7+M89/5*$X$8-N89/5*$X$9,1)</f>
        <v>69</v>
      </c>
      <c r="P89" s="30" t="str">
        <f aca="false">IF(O89&gt;=$X$12,"Foundational deep pass",IF(O89&gt;=$X$13,"Major deep pass",IF(O89&gt;=$X$14,"Targeted innovation pass",IF(O89&gt;=$X$15,"Sampling pass","Reference / defer"))))</f>
        <v>Major deep pass</v>
      </c>
      <c r="Q89" s="31" t="s">
        <v>14197</v>
      </c>
      <c r="R89" s="31" t="s">
        <v>14198</v>
      </c>
      <c r="S89" s="31" t="s">
        <v>14184</v>
      </c>
      <c r="T89" s="31" t="s">
        <v>8702</v>
      </c>
      <c r="U89" s="42" t="n">
        <v>46236</v>
      </c>
    </row>
    <row r="90" customFormat="false" ht="45.75" hidden="false" customHeight="true" outlineLevel="0" collapsed="false">
      <c r="A90" s="30" t="n">
        <v>84</v>
      </c>
      <c r="B90" s="30" t="s">
        <v>8570</v>
      </c>
      <c r="C90" s="31" t="s">
        <v>8571</v>
      </c>
      <c r="D90" s="31" t="s">
        <v>8275</v>
      </c>
      <c r="E90" s="31" t="s">
        <v>8573</v>
      </c>
      <c r="F90" s="30" t="n">
        <f aca="false">COUNTIF('Seed Catalogue'!$C$2:$C$452,B90)</f>
        <v>0</v>
      </c>
      <c r="G90" s="40" t="n">
        <v>4</v>
      </c>
      <c r="H90" s="40" t="n">
        <v>4</v>
      </c>
      <c r="I90" s="40" t="n">
        <v>3</v>
      </c>
      <c r="J90" s="40" t="n">
        <v>4</v>
      </c>
      <c r="K90" s="40" t="n">
        <v>4</v>
      </c>
      <c r="L90" s="40" t="n">
        <v>4</v>
      </c>
      <c r="M90" s="40" t="n">
        <v>4</v>
      </c>
      <c r="N90" s="40" t="n">
        <v>2</v>
      </c>
      <c r="O90" s="41" t="n">
        <f aca="false">ROUND(G90/5*$X$2+H90/5*$X$3+I90/5*$X$4+J90/5*$X$5+K90/5*$X$6+L90/5*$X$7+M90/5*$X$8-N90/5*$X$9,1)</f>
        <v>69</v>
      </c>
      <c r="P90" s="30" t="str">
        <f aca="false">IF(O90&gt;=$X$12,"Foundational deep pass",IF(O90&gt;=$X$13,"Major deep pass",IF(O90&gt;=$X$14,"Targeted innovation pass",IF(O90&gt;=$X$15,"Sampling pass","Reference / defer"))))</f>
        <v>Major deep pass</v>
      </c>
      <c r="Q90" s="31" t="s">
        <v>14197</v>
      </c>
      <c r="R90" s="31" t="s">
        <v>14198</v>
      </c>
      <c r="S90" s="31" t="s">
        <v>14184</v>
      </c>
      <c r="T90" s="31" t="s">
        <v>8576</v>
      </c>
      <c r="U90" s="42" t="n">
        <v>46236</v>
      </c>
    </row>
    <row r="91" customFormat="false" ht="45.75" hidden="false" customHeight="true" outlineLevel="0" collapsed="false">
      <c r="A91" s="30" t="n">
        <v>85</v>
      </c>
      <c r="B91" s="30" t="s">
        <v>9407</v>
      </c>
      <c r="C91" s="31" t="s">
        <v>9408</v>
      </c>
      <c r="D91" s="31" t="s">
        <v>9410</v>
      </c>
      <c r="E91" s="31" t="s">
        <v>8226</v>
      </c>
      <c r="F91" s="30" t="n">
        <f aca="false">COUNTIF('Seed Catalogue'!$C$2:$C$452,B91)</f>
        <v>7</v>
      </c>
      <c r="G91" s="40" t="n">
        <v>4</v>
      </c>
      <c r="H91" s="40" t="n">
        <v>3</v>
      </c>
      <c r="I91" s="40" t="n">
        <v>3</v>
      </c>
      <c r="J91" s="40" t="n">
        <v>5</v>
      </c>
      <c r="K91" s="40" t="n">
        <v>4</v>
      </c>
      <c r="L91" s="40" t="n">
        <v>4</v>
      </c>
      <c r="M91" s="40" t="n">
        <v>3</v>
      </c>
      <c r="N91" s="40" t="n">
        <v>2</v>
      </c>
      <c r="O91" s="41" t="n">
        <f aca="false">ROUND(G91/5*$X$2+H91/5*$X$3+I91/5*$X$4+J91/5*$X$5+K91/5*$X$6+L91/5*$X$7+M91/5*$X$8-N91/5*$X$9,1)</f>
        <v>67</v>
      </c>
      <c r="P91" s="30" t="str">
        <f aca="false">IF(O91&gt;=$X$12,"Foundational deep pass",IF(O91&gt;=$X$13,"Major deep pass",IF(O91&gt;=$X$14,"Targeted innovation pass",IF(O91&gt;=$X$15,"Sampling pass","Reference / defer"))))</f>
        <v>Major deep pass</v>
      </c>
      <c r="Q91" s="31" t="s">
        <v>14201</v>
      </c>
      <c r="R91" s="31" t="s">
        <v>14202</v>
      </c>
      <c r="S91" s="31" t="s">
        <v>14184</v>
      </c>
      <c r="T91" s="31" t="s">
        <v>9413</v>
      </c>
      <c r="U91" s="42" t="n">
        <v>46236</v>
      </c>
    </row>
    <row r="92" customFormat="false" ht="45.75" hidden="false" customHeight="true" outlineLevel="0" collapsed="false">
      <c r="A92" s="30" t="n">
        <v>86</v>
      </c>
      <c r="B92" s="30" t="s">
        <v>9431</v>
      </c>
      <c r="C92" s="31" t="s">
        <v>9432</v>
      </c>
      <c r="D92" s="31" t="s">
        <v>9410</v>
      </c>
      <c r="E92" s="31" t="s">
        <v>8226</v>
      </c>
      <c r="F92" s="30" t="n">
        <f aca="false">COUNTIF('Seed Catalogue'!$C$2:$C$452,B92)</f>
        <v>0</v>
      </c>
      <c r="G92" s="40" t="n">
        <v>4</v>
      </c>
      <c r="H92" s="40" t="n">
        <v>3</v>
      </c>
      <c r="I92" s="40" t="n">
        <v>3</v>
      </c>
      <c r="J92" s="40" t="n">
        <v>5</v>
      </c>
      <c r="K92" s="40" t="n">
        <v>4</v>
      </c>
      <c r="L92" s="40" t="n">
        <v>4</v>
      </c>
      <c r="M92" s="40" t="n">
        <v>3</v>
      </c>
      <c r="N92" s="40" t="n">
        <v>2</v>
      </c>
      <c r="O92" s="41" t="n">
        <f aca="false">ROUND(G92/5*$X$2+H92/5*$X$3+I92/5*$X$4+J92/5*$X$5+K92/5*$X$6+L92/5*$X$7+M92/5*$X$8-N92/5*$X$9,1)</f>
        <v>67</v>
      </c>
      <c r="P92" s="30" t="str">
        <f aca="false">IF(O92&gt;=$X$12,"Foundational deep pass",IF(O92&gt;=$X$13,"Major deep pass",IF(O92&gt;=$X$14,"Targeted innovation pass",IF(O92&gt;=$X$15,"Sampling pass","Reference / defer"))))</f>
        <v>Major deep pass</v>
      </c>
      <c r="Q92" s="31" t="s">
        <v>14201</v>
      </c>
      <c r="R92" s="31" t="s">
        <v>14202</v>
      </c>
      <c r="S92" s="31" t="s">
        <v>14184</v>
      </c>
      <c r="T92" s="31" t="s">
        <v>9435</v>
      </c>
      <c r="U92" s="42" t="n">
        <v>46236</v>
      </c>
    </row>
    <row r="93" customFormat="false" ht="45.75" hidden="false" customHeight="true" outlineLevel="0" collapsed="false">
      <c r="A93" s="30" t="n">
        <v>87</v>
      </c>
      <c r="B93" s="30" t="s">
        <v>9483</v>
      </c>
      <c r="C93" s="31" t="s">
        <v>9484</v>
      </c>
      <c r="D93" s="31" t="s">
        <v>9486</v>
      </c>
      <c r="E93" s="31" t="s">
        <v>8226</v>
      </c>
      <c r="F93" s="30" t="n">
        <f aca="false">COUNTIF('Seed Catalogue'!$C$2:$C$452,B93)</f>
        <v>0</v>
      </c>
      <c r="G93" s="40" t="n">
        <v>4</v>
      </c>
      <c r="H93" s="40" t="n">
        <v>3</v>
      </c>
      <c r="I93" s="40" t="n">
        <v>3</v>
      </c>
      <c r="J93" s="40" t="n">
        <v>5</v>
      </c>
      <c r="K93" s="40" t="n">
        <v>4</v>
      </c>
      <c r="L93" s="40" t="n">
        <v>4</v>
      </c>
      <c r="M93" s="40" t="n">
        <v>3</v>
      </c>
      <c r="N93" s="40" t="n">
        <v>2</v>
      </c>
      <c r="O93" s="41" t="n">
        <f aca="false">ROUND(G93/5*$X$2+H93/5*$X$3+I93/5*$X$4+J93/5*$X$5+K93/5*$X$6+L93/5*$X$7+M93/5*$X$8-N93/5*$X$9,1)</f>
        <v>67</v>
      </c>
      <c r="P93" s="30" t="str">
        <f aca="false">IF(O93&gt;=$X$12,"Foundational deep pass",IF(O93&gt;=$X$13,"Major deep pass",IF(O93&gt;=$X$14,"Targeted innovation pass",IF(O93&gt;=$X$15,"Sampling pass","Reference / defer"))))</f>
        <v>Major deep pass</v>
      </c>
      <c r="Q93" s="31" t="s">
        <v>14201</v>
      </c>
      <c r="R93" s="31" t="s">
        <v>14202</v>
      </c>
      <c r="S93" s="31" t="s">
        <v>14184</v>
      </c>
      <c r="T93" s="31" t="s">
        <v>9488</v>
      </c>
      <c r="U93" s="42" t="n">
        <v>46236</v>
      </c>
    </row>
    <row r="94" customFormat="false" ht="45.75" hidden="false" customHeight="true" outlineLevel="0" collapsed="false">
      <c r="A94" s="30" t="n">
        <v>88</v>
      </c>
      <c r="B94" s="30" t="s">
        <v>9425</v>
      </c>
      <c r="C94" s="31" t="s">
        <v>9426</v>
      </c>
      <c r="D94" s="31" t="s">
        <v>9410</v>
      </c>
      <c r="E94" s="31" t="s">
        <v>8226</v>
      </c>
      <c r="F94" s="30" t="n">
        <f aca="false">COUNTIF('Seed Catalogue'!$C$2:$C$452,B94)</f>
        <v>7</v>
      </c>
      <c r="G94" s="40" t="n">
        <v>4</v>
      </c>
      <c r="H94" s="40" t="n">
        <v>3</v>
      </c>
      <c r="I94" s="40" t="n">
        <v>3</v>
      </c>
      <c r="J94" s="40" t="n">
        <v>5</v>
      </c>
      <c r="K94" s="40" t="n">
        <v>4</v>
      </c>
      <c r="L94" s="40" t="n">
        <v>4</v>
      </c>
      <c r="M94" s="40" t="n">
        <v>3</v>
      </c>
      <c r="N94" s="40" t="n">
        <v>2</v>
      </c>
      <c r="O94" s="41" t="n">
        <f aca="false">ROUND(G94/5*$X$2+H94/5*$X$3+I94/5*$X$4+J94/5*$X$5+K94/5*$X$6+L94/5*$X$7+M94/5*$X$8-N94/5*$X$9,1)</f>
        <v>67</v>
      </c>
      <c r="P94" s="30" t="str">
        <f aca="false">IF(O94&gt;=$X$12,"Foundational deep pass",IF(O94&gt;=$X$13,"Major deep pass",IF(O94&gt;=$X$14,"Targeted innovation pass",IF(O94&gt;=$X$15,"Sampling pass","Reference / defer"))))</f>
        <v>Major deep pass</v>
      </c>
      <c r="Q94" s="31" t="s">
        <v>14201</v>
      </c>
      <c r="R94" s="31" t="s">
        <v>14202</v>
      </c>
      <c r="S94" s="31" t="s">
        <v>14184</v>
      </c>
      <c r="T94" s="31" t="s">
        <v>9430</v>
      </c>
      <c r="U94" s="42" t="n">
        <v>46236</v>
      </c>
    </row>
    <row r="95" customFormat="false" ht="45.75" hidden="false" customHeight="true" outlineLevel="0" collapsed="false">
      <c r="A95" s="30" t="n">
        <v>89</v>
      </c>
      <c r="B95" s="30" t="s">
        <v>8642</v>
      </c>
      <c r="C95" s="31" t="s">
        <v>8643</v>
      </c>
      <c r="D95" s="31" t="s">
        <v>8645</v>
      </c>
      <c r="E95" s="31" t="s">
        <v>8205</v>
      </c>
      <c r="F95" s="30" t="n">
        <f aca="false">COUNTIF('Seed Catalogue'!$C$2:$C$452,B95)</f>
        <v>0</v>
      </c>
      <c r="G95" s="40" t="n">
        <v>4</v>
      </c>
      <c r="H95" s="40" t="n">
        <v>3</v>
      </c>
      <c r="I95" s="40" t="n">
        <v>3</v>
      </c>
      <c r="J95" s="40" t="n">
        <v>5</v>
      </c>
      <c r="K95" s="40" t="n">
        <v>4</v>
      </c>
      <c r="L95" s="40" t="n">
        <v>4</v>
      </c>
      <c r="M95" s="40" t="n">
        <v>3</v>
      </c>
      <c r="N95" s="40" t="n">
        <v>2</v>
      </c>
      <c r="O95" s="41" t="n">
        <f aca="false">ROUND(G95/5*$X$2+H95/5*$X$3+I95/5*$X$4+J95/5*$X$5+K95/5*$X$6+L95/5*$X$7+M95/5*$X$8-N95/5*$X$9,1)</f>
        <v>67</v>
      </c>
      <c r="P95" s="30" t="str">
        <f aca="false">IF(O95&gt;=$X$12,"Foundational deep pass",IF(O95&gt;=$X$13,"Major deep pass",IF(O95&gt;=$X$14,"Targeted innovation pass",IF(O95&gt;=$X$15,"Sampling pass","Reference / defer"))))</f>
        <v>Major deep pass</v>
      </c>
      <c r="Q95" s="31" t="s">
        <v>14201</v>
      </c>
      <c r="R95" s="31" t="s">
        <v>14202</v>
      </c>
      <c r="S95" s="31" t="s">
        <v>14184</v>
      </c>
      <c r="T95" s="31" t="s">
        <v>8647</v>
      </c>
      <c r="U95" s="42" t="n">
        <v>46236</v>
      </c>
    </row>
    <row r="96" customFormat="false" ht="45.75" hidden="false" customHeight="true" outlineLevel="0" collapsed="false">
      <c r="A96" s="30" t="n">
        <v>90</v>
      </c>
      <c r="B96" s="30" t="s">
        <v>9474</v>
      </c>
      <c r="C96" s="31" t="s">
        <v>9475</v>
      </c>
      <c r="D96" s="31" t="s">
        <v>9410</v>
      </c>
      <c r="E96" s="31" t="s">
        <v>8226</v>
      </c>
      <c r="F96" s="30" t="n">
        <f aca="false">COUNTIF('Seed Catalogue'!$C$2:$C$452,B96)</f>
        <v>0</v>
      </c>
      <c r="G96" s="40" t="n">
        <v>4</v>
      </c>
      <c r="H96" s="40" t="n">
        <v>3</v>
      </c>
      <c r="I96" s="40" t="n">
        <v>3</v>
      </c>
      <c r="J96" s="40" t="n">
        <v>5</v>
      </c>
      <c r="K96" s="40" t="n">
        <v>4</v>
      </c>
      <c r="L96" s="40" t="n">
        <v>4</v>
      </c>
      <c r="M96" s="40" t="n">
        <v>3</v>
      </c>
      <c r="N96" s="40" t="n">
        <v>2</v>
      </c>
      <c r="O96" s="41" t="n">
        <f aca="false">ROUND(G96/5*$X$2+H96/5*$X$3+I96/5*$X$4+J96/5*$X$5+K96/5*$X$6+L96/5*$X$7+M96/5*$X$8-N96/5*$X$9,1)</f>
        <v>67</v>
      </c>
      <c r="P96" s="30" t="str">
        <f aca="false">IF(O96&gt;=$X$12,"Foundational deep pass",IF(O96&gt;=$X$13,"Major deep pass",IF(O96&gt;=$X$14,"Targeted innovation pass",IF(O96&gt;=$X$15,"Sampling pass","Reference / defer"))))</f>
        <v>Major deep pass</v>
      </c>
      <c r="Q96" s="31" t="s">
        <v>14201</v>
      </c>
      <c r="R96" s="31" t="s">
        <v>14202</v>
      </c>
      <c r="S96" s="31" t="s">
        <v>14184</v>
      </c>
      <c r="T96" s="31" t="s">
        <v>9478</v>
      </c>
      <c r="U96" s="42" t="n">
        <v>46236</v>
      </c>
    </row>
    <row r="97" customFormat="false" ht="45.75" hidden="false" customHeight="true" outlineLevel="0" collapsed="false">
      <c r="A97" s="30" t="n">
        <v>91</v>
      </c>
      <c r="B97" s="30" t="s">
        <v>9519</v>
      </c>
      <c r="C97" s="31" t="s">
        <v>9520</v>
      </c>
      <c r="D97" s="31" t="s">
        <v>8629</v>
      </c>
      <c r="E97" s="31" t="s">
        <v>8226</v>
      </c>
      <c r="F97" s="30" t="n">
        <f aca="false">COUNTIF('Seed Catalogue'!$C$2:$C$452,B97)</f>
        <v>0</v>
      </c>
      <c r="G97" s="40" t="n">
        <v>4</v>
      </c>
      <c r="H97" s="40" t="n">
        <v>3</v>
      </c>
      <c r="I97" s="40" t="n">
        <v>3</v>
      </c>
      <c r="J97" s="40" t="n">
        <v>5</v>
      </c>
      <c r="K97" s="40" t="n">
        <v>4</v>
      </c>
      <c r="L97" s="40" t="n">
        <v>4</v>
      </c>
      <c r="M97" s="40" t="n">
        <v>3</v>
      </c>
      <c r="N97" s="40" t="n">
        <v>2</v>
      </c>
      <c r="O97" s="41" t="n">
        <f aca="false">ROUND(G97/5*$X$2+H97/5*$X$3+I97/5*$X$4+J97/5*$X$5+K97/5*$X$6+L97/5*$X$7+M97/5*$X$8-N97/5*$X$9,1)</f>
        <v>67</v>
      </c>
      <c r="P97" s="30" t="str">
        <f aca="false">IF(O97&gt;=$X$12,"Foundational deep pass",IF(O97&gt;=$X$13,"Major deep pass",IF(O97&gt;=$X$14,"Targeted innovation pass",IF(O97&gt;=$X$15,"Sampling pass","Reference / defer"))))</f>
        <v>Major deep pass</v>
      </c>
      <c r="Q97" s="31" t="s">
        <v>14201</v>
      </c>
      <c r="R97" s="31" t="s">
        <v>14202</v>
      </c>
      <c r="S97" s="31" t="s">
        <v>14184</v>
      </c>
      <c r="T97" s="31" t="s">
        <v>9524</v>
      </c>
      <c r="U97" s="42" t="n">
        <v>46236</v>
      </c>
    </row>
    <row r="98" customFormat="false" ht="45.75" hidden="false" customHeight="true" outlineLevel="0" collapsed="false">
      <c r="A98" s="30" t="n">
        <v>92</v>
      </c>
      <c r="B98" s="30" t="s">
        <v>9436</v>
      </c>
      <c r="C98" s="31" t="s">
        <v>9437</v>
      </c>
      <c r="D98" s="31" t="s">
        <v>9410</v>
      </c>
      <c r="E98" s="31" t="s">
        <v>8226</v>
      </c>
      <c r="F98" s="30" t="n">
        <f aca="false">COUNTIF('Seed Catalogue'!$C$2:$C$452,B98)</f>
        <v>0</v>
      </c>
      <c r="G98" s="40" t="n">
        <v>4</v>
      </c>
      <c r="H98" s="40" t="n">
        <v>3</v>
      </c>
      <c r="I98" s="40" t="n">
        <v>3</v>
      </c>
      <c r="J98" s="40" t="n">
        <v>5</v>
      </c>
      <c r="K98" s="40" t="n">
        <v>4</v>
      </c>
      <c r="L98" s="40" t="n">
        <v>4</v>
      </c>
      <c r="M98" s="40" t="n">
        <v>3</v>
      </c>
      <c r="N98" s="40" t="n">
        <v>2</v>
      </c>
      <c r="O98" s="41" t="n">
        <f aca="false">ROUND(G98/5*$X$2+H98/5*$X$3+I98/5*$X$4+J98/5*$X$5+K98/5*$X$6+L98/5*$X$7+M98/5*$X$8-N98/5*$X$9,1)</f>
        <v>67</v>
      </c>
      <c r="P98" s="30" t="str">
        <f aca="false">IF(O98&gt;=$X$12,"Foundational deep pass",IF(O98&gt;=$X$13,"Major deep pass",IF(O98&gt;=$X$14,"Targeted innovation pass",IF(O98&gt;=$X$15,"Sampling pass","Reference / defer"))))</f>
        <v>Major deep pass</v>
      </c>
      <c r="Q98" s="31" t="s">
        <v>14201</v>
      </c>
      <c r="R98" s="31" t="s">
        <v>14202</v>
      </c>
      <c r="S98" s="31" t="s">
        <v>14184</v>
      </c>
      <c r="T98" s="31" t="s">
        <v>9441</v>
      </c>
      <c r="U98" s="42" t="n">
        <v>46236</v>
      </c>
    </row>
    <row r="99" customFormat="false" ht="45.75" hidden="false" customHeight="true" outlineLevel="0" collapsed="false">
      <c r="A99" s="30" t="n">
        <v>93</v>
      </c>
      <c r="B99" s="30" t="s">
        <v>9603</v>
      </c>
      <c r="C99" s="31" t="s">
        <v>9604</v>
      </c>
      <c r="D99" s="31" t="s">
        <v>9606</v>
      </c>
      <c r="E99" s="31" t="s">
        <v>8226</v>
      </c>
      <c r="F99" s="30" t="n">
        <f aca="false">COUNTIF('Seed Catalogue'!$C$2:$C$452,B99)</f>
        <v>0</v>
      </c>
      <c r="G99" s="40" t="n">
        <v>4</v>
      </c>
      <c r="H99" s="40" t="n">
        <v>3</v>
      </c>
      <c r="I99" s="40" t="n">
        <v>3</v>
      </c>
      <c r="J99" s="40" t="n">
        <v>5</v>
      </c>
      <c r="K99" s="40" t="n">
        <v>4</v>
      </c>
      <c r="L99" s="40" t="n">
        <v>4</v>
      </c>
      <c r="M99" s="40" t="n">
        <v>3</v>
      </c>
      <c r="N99" s="40" t="n">
        <v>2</v>
      </c>
      <c r="O99" s="41" t="n">
        <f aca="false">ROUND(G99/5*$X$2+H99/5*$X$3+I99/5*$X$4+J99/5*$X$5+K99/5*$X$6+L99/5*$X$7+M99/5*$X$8-N99/5*$X$9,1)</f>
        <v>67</v>
      </c>
      <c r="P99" s="30" t="str">
        <f aca="false">IF(O99&gt;=$X$12,"Foundational deep pass",IF(O99&gt;=$X$13,"Major deep pass",IF(O99&gt;=$X$14,"Targeted innovation pass",IF(O99&gt;=$X$15,"Sampling pass","Reference / defer"))))</f>
        <v>Major deep pass</v>
      </c>
      <c r="Q99" s="31" t="s">
        <v>14201</v>
      </c>
      <c r="R99" s="31" t="s">
        <v>14202</v>
      </c>
      <c r="S99" s="31" t="s">
        <v>14184</v>
      </c>
      <c r="T99" s="31" t="s">
        <v>9610</v>
      </c>
      <c r="U99" s="42" t="n">
        <v>46236</v>
      </c>
    </row>
    <row r="100" customFormat="false" ht="45.75" hidden="false" customHeight="true" outlineLevel="0" collapsed="false">
      <c r="A100" s="30" t="n">
        <v>94</v>
      </c>
      <c r="B100" s="30" t="s">
        <v>9638</v>
      </c>
      <c r="C100" s="31" t="s">
        <v>9639</v>
      </c>
      <c r="D100" s="31" t="s">
        <v>9641</v>
      </c>
      <c r="E100" s="31" t="s">
        <v>8592</v>
      </c>
      <c r="F100" s="30" t="n">
        <f aca="false">COUNTIF('Seed Catalogue'!$C$2:$C$452,B100)</f>
        <v>0</v>
      </c>
      <c r="G100" s="40" t="n">
        <v>4</v>
      </c>
      <c r="H100" s="40" t="n">
        <v>3</v>
      </c>
      <c r="I100" s="40" t="n">
        <v>3</v>
      </c>
      <c r="J100" s="40" t="n">
        <v>5</v>
      </c>
      <c r="K100" s="40" t="n">
        <v>4</v>
      </c>
      <c r="L100" s="40" t="n">
        <v>4</v>
      </c>
      <c r="M100" s="40" t="n">
        <v>3</v>
      </c>
      <c r="N100" s="40" t="n">
        <v>2</v>
      </c>
      <c r="O100" s="41" t="n">
        <f aca="false">ROUND(G100/5*$X$2+H100/5*$X$3+I100/5*$X$4+J100/5*$X$5+K100/5*$X$6+L100/5*$X$7+M100/5*$X$8-N100/5*$X$9,1)</f>
        <v>67</v>
      </c>
      <c r="P100" s="30" t="str">
        <f aca="false">IF(O100&gt;=$X$12,"Foundational deep pass",IF(O100&gt;=$X$13,"Major deep pass",IF(O100&gt;=$X$14,"Targeted innovation pass",IF(O100&gt;=$X$15,"Sampling pass","Reference / defer"))))</f>
        <v>Major deep pass</v>
      </c>
      <c r="Q100" s="31" t="s">
        <v>14201</v>
      </c>
      <c r="R100" s="31" t="s">
        <v>14202</v>
      </c>
      <c r="S100" s="31" t="s">
        <v>14184</v>
      </c>
      <c r="T100" s="31" t="s">
        <v>9643</v>
      </c>
      <c r="U100" s="42" t="n">
        <v>46236</v>
      </c>
    </row>
    <row r="101" customFormat="false" ht="45.75" hidden="false" customHeight="true" outlineLevel="0" collapsed="false">
      <c r="A101" s="30" t="n">
        <v>95</v>
      </c>
      <c r="B101" s="30" t="s">
        <v>9489</v>
      </c>
      <c r="C101" s="31" t="s">
        <v>9490</v>
      </c>
      <c r="D101" s="31" t="s">
        <v>8629</v>
      </c>
      <c r="E101" s="31" t="s">
        <v>8226</v>
      </c>
      <c r="F101" s="30" t="n">
        <f aca="false">COUNTIF('Seed Catalogue'!$C$2:$C$452,B101)</f>
        <v>7</v>
      </c>
      <c r="G101" s="40" t="n">
        <v>4</v>
      </c>
      <c r="H101" s="40" t="n">
        <v>3</v>
      </c>
      <c r="I101" s="40" t="n">
        <v>3</v>
      </c>
      <c r="J101" s="40" t="n">
        <v>5</v>
      </c>
      <c r="K101" s="40" t="n">
        <v>4</v>
      </c>
      <c r="L101" s="40" t="n">
        <v>4</v>
      </c>
      <c r="M101" s="40" t="n">
        <v>3</v>
      </c>
      <c r="N101" s="40" t="n">
        <v>2</v>
      </c>
      <c r="O101" s="41" t="n">
        <f aca="false">ROUND(G101/5*$X$2+H101/5*$X$3+I101/5*$X$4+J101/5*$X$5+K101/5*$X$6+L101/5*$X$7+M101/5*$X$8-N101/5*$X$9,1)</f>
        <v>67</v>
      </c>
      <c r="P101" s="30" t="str">
        <f aca="false">IF(O101&gt;=$X$12,"Foundational deep pass",IF(O101&gt;=$X$13,"Major deep pass",IF(O101&gt;=$X$14,"Targeted innovation pass",IF(O101&gt;=$X$15,"Sampling pass","Reference / defer"))))</f>
        <v>Major deep pass</v>
      </c>
      <c r="Q101" s="31" t="s">
        <v>14201</v>
      </c>
      <c r="R101" s="31" t="s">
        <v>14202</v>
      </c>
      <c r="S101" s="31" t="s">
        <v>14184</v>
      </c>
      <c r="T101" s="31" t="s">
        <v>9494</v>
      </c>
      <c r="U101" s="42" t="n">
        <v>46236</v>
      </c>
    </row>
    <row r="102" customFormat="false" ht="45.75" hidden="false" customHeight="true" outlineLevel="0" collapsed="false">
      <c r="A102" s="30" t="n">
        <v>96</v>
      </c>
      <c r="B102" s="30" t="s">
        <v>9495</v>
      </c>
      <c r="C102" s="31" t="s">
        <v>9496</v>
      </c>
      <c r="D102" s="31" t="s">
        <v>9498</v>
      </c>
      <c r="E102" s="31" t="s">
        <v>8226</v>
      </c>
      <c r="F102" s="30" t="n">
        <f aca="false">COUNTIF('Seed Catalogue'!$C$2:$C$452,B102)</f>
        <v>0</v>
      </c>
      <c r="G102" s="40" t="n">
        <v>4</v>
      </c>
      <c r="H102" s="40" t="n">
        <v>3</v>
      </c>
      <c r="I102" s="40" t="n">
        <v>3</v>
      </c>
      <c r="J102" s="40" t="n">
        <v>5</v>
      </c>
      <c r="K102" s="40" t="n">
        <v>4</v>
      </c>
      <c r="L102" s="40" t="n">
        <v>4</v>
      </c>
      <c r="M102" s="40" t="n">
        <v>3</v>
      </c>
      <c r="N102" s="40" t="n">
        <v>2</v>
      </c>
      <c r="O102" s="41" t="n">
        <f aca="false">ROUND(G102/5*$X$2+H102/5*$X$3+I102/5*$X$4+J102/5*$X$5+K102/5*$X$6+L102/5*$X$7+M102/5*$X$8-N102/5*$X$9,1)</f>
        <v>67</v>
      </c>
      <c r="P102" s="30" t="str">
        <f aca="false">IF(O102&gt;=$X$12,"Foundational deep pass",IF(O102&gt;=$X$13,"Major deep pass",IF(O102&gt;=$X$14,"Targeted innovation pass",IF(O102&gt;=$X$15,"Sampling pass","Reference / defer"))))</f>
        <v>Major deep pass</v>
      </c>
      <c r="Q102" s="31" t="s">
        <v>14201</v>
      </c>
      <c r="R102" s="31" t="s">
        <v>14202</v>
      </c>
      <c r="S102" s="31" t="s">
        <v>14184</v>
      </c>
      <c r="T102" s="31" t="s">
        <v>9501</v>
      </c>
      <c r="U102" s="42" t="n">
        <v>46236</v>
      </c>
    </row>
    <row r="103" customFormat="false" ht="45.75" hidden="false" customHeight="true" outlineLevel="0" collapsed="false">
      <c r="A103" s="30" t="n">
        <v>97</v>
      </c>
      <c r="B103" s="30" t="s">
        <v>8618</v>
      </c>
      <c r="C103" s="31" t="s">
        <v>8619</v>
      </c>
      <c r="D103" s="31" t="s">
        <v>8621</v>
      </c>
      <c r="E103" s="31" t="s">
        <v>8226</v>
      </c>
      <c r="F103" s="30" t="n">
        <f aca="false">COUNTIF('Seed Catalogue'!$C$2:$C$452,B103)</f>
        <v>0</v>
      </c>
      <c r="G103" s="40" t="n">
        <v>4</v>
      </c>
      <c r="H103" s="40" t="n">
        <v>3</v>
      </c>
      <c r="I103" s="40" t="n">
        <v>3</v>
      </c>
      <c r="J103" s="40" t="n">
        <v>5</v>
      </c>
      <c r="K103" s="40" t="n">
        <v>4</v>
      </c>
      <c r="L103" s="40" t="n">
        <v>4</v>
      </c>
      <c r="M103" s="40" t="n">
        <v>3</v>
      </c>
      <c r="N103" s="40" t="n">
        <v>2</v>
      </c>
      <c r="O103" s="41" t="n">
        <f aca="false">ROUND(G103/5*$X$2+H103/5*$X$3+I103/5*$X$4+J103/5*$X$5+K103/5*$X$6+L103/5*$X$7+M103/5*$X$8-N103/5*$X$9,1)</f>
        <v>67</v>
      </c>
      <c r="P103" s="30" t="str">
        <f aca="false">IF(O103&gt;=$X$12,"Foundational deep pass",IF(O103&gt;=$X$13,"Major deep pass",IF(O103&gt;=$X$14,"Targeted innovation pass",IF(O103&gt;=$X$15,"Sampling pass","Reference / defer"))))</f>
        <v>Major deep pass</v>
      </c>
      <c r="Q103" s="31" t="s">
        <v>14201</v>
      </c>
      <c r="R103" s="31" t="s">
        <v>14202</v>
      </c>
      <c r="S103" s="31" t="s">
        <v>14184</v>
      </c>
      <c r="T103" s="31" t="s">
        <v>8625</v>
      </c>
      <c r="U103" s="42" t="n">
        <v>46236</v>
      </c>
    </row>
    <row r="104" customFormat="false" ht="45.75" hidden="false" customHeight="true" outlineLevel="0" collapsed="false">
      <c r="A104" s="30" t="n">
        <v>98</v>
      </c>
      <c r="B104" s="30" t="s">
        <v>9631</v>
      </c>
      <c r="C104" s="31" t="s">
        <v>9632</v>
      </c>
      <c r="D104" s="31" t="s">
        <v>9634</v>
      </c>
      <c r="E104" s="31" t="s">
        <v>8592</v>
      </c>
      <c r="F104" s="30" t="n">
        <f aca="false">COUNTIF('Seed Catalogue'!$C$2:$C$452,B104)</f>
        <v>7</v>
      </c>
      <c r="G104" s="40" t="n">
        <v>4</v>
      </c>
      <c r="H104" s="40" t="n">
        <v>3</v>
      </c>
      <c r="I104" s="40" t="n">
        <v>3</v>
      </c>
      <c r="J104" s="40" t="n">
        <v>5</v>
      </c>
      <c r="K104" s="40" t="n">
        <v>4</v>
      </c>
      <c r="L104" s="40" t="n">
        <v>4</v>
      </c>
      <c r="M104" s="40" t="n">
        <v>3</v>
      </c>
      <c r="N104" s="40" t="n">
        <v>2</v>
      </c>
      <c r="O104" s="41" t="n">
        <f aca="false">ROUND(G104/5*$X$2+H104/5*$X$3+I104/5*$X$4+J104/5*$X$5+K104/5*$X$6+L104/5*$X$7+M104/5*$X$8-N104/5*$X$9,1)</f>
        <v>67</v>
      </c>
      <c r="P104" s="30" t="str">
        <f aca="false">IF(O104&gt;=$X$12,"Foundational deep pass",IF(O104&gt;=$X$13,"Major deep pass",IF(O104&gt;=$X$14,"Targeted innovation pass",IF(O104&gt;=$X$15,"Sampling pass","Reference / defer"))))</f>
        <v>Major deep pass</v>
      </c>
      <c r="Q104" s="31" t="s">
        <v>14201</v>
      </c>
      <c r="R104" s="31" t="s">
        <v>14202</v>
      </c>
      <c r="S104" s="31" t="s">
        <v>14184</v>
      </c>
      <c r="T104" s="31" t="s">
        <v>9637</v>
      </c>
      <c r="U104" s="42" t="n">
        <v>46236</v>
      </c>
    </row>
    <row r="105" customFormat="false" ht="45.75" hidden="false" customHeight="true" outlineLevel="0" collapsed="false">
      <c r="A105" s="30" t="n">
        <v>99</v>
      </c>
      <c r="B105" s="30" t="s">
        <v>9662</v>
      </c>
      <c r="C105" s="31" t="s">
        <v>9663</v>
      </c>
      <c r="D105" s="31" t="s">
        <v>9665</v>
      </c>
      <c r="E105" s="31" t="s">
        <v>8205</v>
      </c>
      <c r="F105" s="30" t="n">
        <f aca="false">COUNTIF('Seed Catalogue'!$C$2:$C$452,B105)</f>
        <v>0</v>
      </c>
      <c r="G105" s="40" t="n">
        <v>4</v>
      </c>
      <c r="H105" s="40" t="n">
        <v>3</v>
      </c>
      <c r="I105" s="40" t="n">
        <v>3</v>
      </c>
      <c r="J105" s="40" t="n">
        <v>5</v>
      </c>
      <c r="K105" s="40" t="n">
        <v>4</v>
      </c>
      <c r="L105" s="40" t="n">
        <v>4</v>
      </c>
      <c r="M105" s="40" t="n">
        <v>3</v>
      </c>
      <c r="N105" s="40" t="n">
        <v>2</v>
      </c>
      <c r="O105" s="41" t="n">
        <f aca="false">ROUND(G105/5*$X$2+H105/5*$X$3+I105/5*$X$4+J105/5*$X$5+K105/5*$X$6+L105/5*$X$7+M105/5*$X$8-N105/5*$X$9,1)</f>
        <v>67</v>
      </c>
      <c r="P105" s="30" t="str">
        <f aca="false">IF(O105&gt;=$X$12,"Foundational deep pass",IF(O105&gt;=$X$13,"Major deep pass",IF(O105&gt;=$X$14,"Targeted innovation pass",IF(O105&gt;=$X$15,"Sampling pass","Reference / defer"))))</f>
        <v>Major deep pass</v>
      </c>
      <c r="Q105" s="31" t="s">
        <v>14201</v>
      </c>
      <c r="R105" s="31" t="s">
        <v>14202</v>
      </c>
      <c r="S105" s="31" t="s">
        <v>14184</v>
      </c>
      <c r="T105" s="31" t="s">
        <v>9667</v>
      </c>
      <c r="U105" s="42" t="n">
        <v>46236</v>
      </c>
    </row>
    <row r="106" customFormat="false" ht="45.75" hidden="false" customHeight="true" outlineLevel="0" collapsed="false">
      <c r="A106" s="30" t="n">
        <v>100</v>
      </c>
      <c r="B106" s="30" t="s">
        <v>9502</v>
      </c>
      <c r="C106" s="31" t="s">
        <v>9503</v>
      </c>
      <c r="D106" s="31" t="s">
        <v>9505</v>
      </c>
      <c r="E106" s="31" t="s">
        <v>8226</v>
      </c>
      <c r="F106" s="30" t="n">
        <f aca="false">COUNTIF('Seed Catalogue'!$C$2:$C$452,B106)</f>
        <v>0</v>
      </c>
      <c r="G106" s="40" t="n">
        <v>4</v>
      </c>
      <c r="H106" s="40" t="n">
        <v>3</v>
      </c>
      <c r="I106" s="40" t="n">
        <v>3</v>
      </c>
      <c r="J106" s="40" t="n">
        <v>5</v>
      </c>
      <c r="K106" s="40" t="n">
        <v>4</v>
      </c>
      <c r="L106" s="40" t="n">
        <v>4</v>
      </c>
      <c r="M106" s="40" t="n">
        <v>3</v>
      </c>
      <c r="N106" s="40" t="n">
        <v>2</v>
      </c>
      <c r="O106" s="41" t="n">
        <f aca="false">ROUND(G106/5*$X$2+H106/5*$X$3+I106/5*$X$4+J106/5*$X$5+K106/5*$X$6+L106/5*$X$7+M106/5*$X$8-N106/5*$X$9,1)</f>
        <v>67</v>
      </c>
      <c r="P106" s="30" t="str">
        <f aca="false">IF(O106&gt;=$X$12,"Foundational deep pass",IF(O106&gt;=$X$13,"Major deep pass",IF(O106&gt;=$X$14,"Targeted innovation pass",IF(O106&gt;=$X$15,"Sampling pass","Reference / defer"))))</f>
        <v>Major deep pass</v>
      </c>
      <c r="Q106" s="31" t="s">
        <v>14201</v>
      </c>
      <c r="R106" s="31" t="s">
        <v>14202</v>
      </c>
      <c r="S106" s="31" t="s">
        <v>14184</v>
      </c>
      <c r="T106" s="31" t="s">
        <v>9508</v>
      </c>
      <c r="U106" s="42" t="n">
        <v>46236</v>
      </c>
    </row>
    <row r="107" customFormat="false" ht="45.75" hidden="false" customHeight="true" outlineLevel="0" collapsed="false">
      <c r="A107" s="30" t="n">
        <v>101</v>
      </c>
      <c r="B107" s="30" t="s">
        <v>9543</v>
      </c>
      <c r="C107" s="31" t="s">
        <v>9544</v>
      </c>
      <c r="D107" s="31" t="s">
        <v>9410</v>
      </c>
      <c r="E107" s="31" t="s">
        <v>8226</v>
      </c>
      <c r="F107" s="30" t="n">
        <f aca="false">COUNTIF('Seed Catalogue'!$C$2:$C$452,B107)</f>
        <v>0</v>
      </c>
      <c r="G107" s="40" t="n">
        <v>4</v>
      </c>
      <c r="H107" s="40" t="n">
        <v>3</v>
      </c>
      <c r="I107" s="40" t="n">
        <v>3</v>
      </c>
      <c r="J107" s="40" t="n">
        <v>5</v>
      </c>
      <c r="K107" s="40" t="n">
        <v>4</v>
      </c>
      <c r="L107" s="40" t="n">
        <v>4</v>
      </c>
      <c r="M107" s="40" t="n">
        <v>3</v>
      </c>
      <c r="N107" s="40" t="n">
        <v>2</v>
      </c>
      <c r="O107" s="41" t="n">
        <f aca="false">ROUND(G107/5*$X$2+H107/5*$X$3+I107/5*$X$4+J107/5*$X$5+K107/5*$X$6+L107/5*$X$7+M107/5*$X$8-N107/5*$X$9,1)</f>
        <v>67</v>
      </c>
      <c r="P107" s="30" t="str">
        <f aca="false">IF(O107&gt;=$X$12,"Foundational deep pass",IF(O107&gt;=$X$13,"Major deep pass",IF(O107&gt;=$X$14,"Targeted innovation pass",IF(O107&gt;=$X$15,"Sampling pass","Reference / defer"))))</f>
        <v>Major deep pass</v>
      </c>
      <c r="Q107" s="31" t="s">
        <v>14201</v>
      </c>
      <c r="R107" s="31" t="s">
        <v>14202</v>
      </c>
      <c r="S107" s="31" t="s">
        <v>14184</v>
      </c>
      <c r="T107" s="31" t="s">
        <v>9547</v>
      </c>
      <c r="U107" s="42" t="n">
        <v>46236</v>
      </c>
    </row>
    <row r="108" customFormat="false" ht="45.75" hidden="false" customHeight="true" outlineLevel="0" collapsed="false">
      <c r="A108" s="30" t="n">
        <v>102</v>
      </c>
      <c r="B108" s="30" t="s">
        <v>8597</v>
      </c>
      <c r="C108" s="31" t="s">
        <v>8598</v>
      </c>
      <c r="D108" s="31" t="s">
        <v>8600</v>
      </c>
      <c r="E108" s="31" t="s">
        <v>8226</v>
      </c>
      <c r="F108" s="30" t="n">
        <f aca="false">COUNTIF('Seed Catalogue'!$C$2:$C$452,B108)</f>
        <v>0</v>
      </c>
      <c r="G108" s="40" t="n">
        <v>4</v>
      </c>
      <c r="H108" s="40" t="n">
        <v>3</v>
      </c>
      <c r="I108" s="40" t="n">
        <v>3</v>
      </c>
      <c r="J108" s="40" t="n">
        <v>5</v>
      </c>
      <c r="K108" s="40" t="n">
        <v>4</v>
      </c>
      <c r="L108" s="40" t="n">
        <v>4</v>
      </c>
      <c r="M108" s="40" t="n">
        <v>3</v>
      </c>
      <c r="N108" s="40" t="n">
        <v>2</v>
      </c>
      <c r="O108" s="41" t="n">
        <f aca="false">ROUND(G108/5*$X$2+H108/5*$X$3+I108/5*$X$4+J108/5*$X$5+K108/5*$X$6+L108/5*$X$7+M108/5*$X$8-N108/5*$X$9,1)</f>
        <v>67</v>
      </c>
      <c r="P108" s="30" t="str">
        <f aca="false">IF(O108&gt;=$X$12,"Foundational deep pass",IF(O108&gt;=$X$13,"Major deep pass",IF(O108&gt;=$X$14,"Targeted innovation pass",IF(O108&gt;=$X$15,"Sampling pass","Reference / defer"))))</f>
        <v>Major deep pass</v>
      </c>
      <c r="Q108" s="31" t="s">
        <v>14201</v>
      </c>
      <c r="R108" s="31" t="s">
        <v>14202</v>
      </c>
      <c r="S108" s="31" t="s">
        <v>14184</v>
      </c>
      <c r="T108" s="31" t="s">
        <v>8604</v>
      </c>
      <c r="U108" s="42" t="n">
        <v>46236</v>
      </c>
    </row>
    <row r="109" customFormat="false" ht="45.75" hidden="false" customHeight="true" outlineLevel="0" collapsed="false">
      <c r="A109" s="30" t="n">
        <v>103</v>
      </c>
      <c r="B109" s="30" t="s">
        <v>8427</v>
      </c>
      <c r="C109" s="31" t="s">
        <v>8428</v>
      </c>
      <c r="D109" s="31" t="s">
        <v>8275</v>
      </c>
      <c r="E109" s="31" t="s">
        <v>8430</v>
      </c>
      <c r="F109" s="30" t="n">
        <f aca="false">COUNTIF('Seed Catalogue'!$C$2:$C$452,B109)</f>
        <v>25</v>
      </c>
      <c r="G109" s="40" t="n">
        <v>4</v>
      </c>
      <c r="H109" s="40" t="n">
        <v>4</v>
      </c>
      <c r="I109" s="40" t="n">
        <v>2</v>
      </c>
      <c r="J109" s="40" t="n">
        <v>5</v>
      </c>
      <c r="K109" s="40" t="n">
        <v>5</v>
      </c>
      <c r="L109" s="40" t="n">
        <v>5</v>
      </c>
      <c r="M109" s="40" t="n">
        <v>5</v>
      </c>
      <c r="N109" s="40" t="n">
        <v>4</v>
      </c>
      <c r="O109" s="41" t="n">
        <f aca="false">ROUND(G109/5*$X$2+H109/5*$X$3+I109/5*$X$4+J109/5*$X$5+K109/5*$X$6+L109/5*$X$7+M109/5*$X$8-N109/5*$X$9,1)</f>
        <v>67</v>
      </c>
      <c r="P109" s="30" t="str">
        <f aca="false">IF(O109&gt;=$X$12,"Foundational deep pass",IF(O109&gt;=$X$13,"Major deep pass",IF(O109&gt;=$X$14,"Targeted innovation pass",IF(O109&gt;=$X$15,"Sampling pass","Reference / defer"))))</f>
        <v>Major deep pass</v>
      </c>
      <c r="Q109" s="31" t="s">
        <v>14203</v>
      </c>
      <c r="R109" s="31" t="s">
        <v>14204</v>
      </c>
      <c r="S109" s="31" t="s">
        <v>14141</v>
      </c>
      <c r="T109" s="31" t="s">
        <v>8434</v>
      </c>
      <c r="U109" s="42" t="n">
        <v>46236</v>
      </c>
    </row>
    <row r="110" customFormat="false" ht="45.75" hidden="false" customHeight="true" outlineLevel="0" collapsed="false">
      <c r="A110" s="30" t="n">
        <v>104</v>
      </c>
      <c r="B110" s="30" t="s">
        <v>9563</v>
      </c>
      <c r="C110" s="31" t="s">
        <v>9564</v>
      </c>
      <c r="D110" s="31" t="s">
        <v>9410</v>
      </c>
      <c r="E110" s="31" t="s">
        <v>8226</v>
      </c>
      <c r="F110" s="30" t="n">
        <f aca="false">COUNTIF('Seed Catalogue'!$C$2:$C$452,B110)</f>
        <v>0</v>
      </c>
      <c r="G110" s="40" t="n">
        <v>4</v>
      </c>
      <c r="H110" s="40" t="n">
        <v>3</v>
      </c>
      <c r="I110" s="40" t="n">
        <v>3</v>
      </c>
      <c r="J110" s="40" t="n">
        <v>5</v>
      </c>
      <c r="K110" s="40" t="n">
        <v>4</v>
      </c>
      <c r="L110" s="40" t="n">
        <v>4</v>
      </c>
      <c r="M110" s="40" t="n">
        <v>3</v>
      </c>
      <c r="N110" s="40" t="n">
        <v>2</v>
      </c>
      <c r="O110" s="41" t="n">
        <f aca="false">ROUND(G110/5*$X$2+H110/5*$X$3+I110/5*$X$4+J110/5*$X$5+K110/5*$X$6+L110/5*$X$7+M110/5*$X$8-N110/5*$X$9,1)</f>
        <v>67</v>
      </c>
      <c r="P110" s="30" t="str">
        <f aca="false">IF(O110&gt;=$X$12,"Foundational deep pass",IF(O110&gt;=$X$13,"Major deep pass",IF(O110&gt;=$X$14,"Targeted innovation pass",IF(O110&gt;=$X$15,"Sampling pass","Reference / defer"))))</f>
        <v>Major deep pass</v>
      </c>
      <c r="Q110" s="31" t="s">
        <v>14201</v>
      </c>
      <c r="R110" s="31" t="s">
        <v>14202</v>
      </c>
      <c r="S110" s="31" t="s">
        <v>14184</v>
      </c>
      <c r="T110" s="31" t="s">
        <v>9568</v>
      </c>
      <c r="U110" s="42" t="n">
        <v>46236</v>
      </c>
    </row>
    <row r="111" customFormat="false" ht="45.75" hidden="false" customHeight="true" outlineLevel="0" collapsed="false">
      <c r="A111" s="30" t="n">
        <v>105</v>
      </c>
      <c r="B111" s="30" t="s">
        <v>8534</v>
      </c>
      <c r="C111" s="31" t="s">
        <v>8535</v>
      </c>
      <c r="D111" s="31" t="s">
        <v>8275</v>
      </c>
      <c r="E111" s="31" t="s">
        <v>8537</v>
      </c>
      <c r="F111" s="30" t="n">
        <f aca="false">COUNTIF('Seed Catalogue'!$C$2:$C$452,B111)</f>
        <v>0</v>
      </c>
      <c r="G111" s="40" t="n">
        <v>4</v>
      </c>
      <c r="H111" s="40" t="n">
        <v>4</v>
      </c>
      <c r="I111" s="40" t="n">
        <v>3</v>
      </c>
      <c r="J111" s="40" t="n">
        <v>3</v>
      </c>
      <c r="K111" s="40" t="n">
        <v>4</v>
      </c>
      <c r="L111" s="40" t="n">
        <v>4</v>
      </c>
      <c r="M111" s="40" t="n">
        <v>4</v>
      </c>
      <c r="N111" s="40" t="n">
        <v>2</v>
      </c>
      <c r="O111" s="41" t="n">
        <f aca="false">ROUND(G111/5*$X$2+H111/5*$X$3+I111/5*$X$4+J111/5*$X$5+K111/5*$X$6+L111/5*$X$7+M111/5*$X$8-N111/5*$X$9,1)</f>
        <v>66</v>
      </c>
      <c r="P111" s="30" t="str">
        <f aca="false">IF(O111&gt;=$X$12,"Foundational deep pass",IF(O111&gt;=$X$13,"Major deep pass",IF(O111&gt;=$X$14,"Targeted innovation pass",IF(O111&gt;=$X$15,"Sampling pass","Reference / defer"))))</f>
        <v>Major deep pass</v>
      </c>
      <c r="Q111" s="31" t="s">
        <v>14197</v>
      </c>
      <c r="R111" s="31" t="s">
        <v>14198</v>
      </c>
      <c r="S111" s="31" t="s">
        <v>14184</v>
      </c>
      <c r="T111" s="31" t="s">
        <v>8541</v>
      </c>
      <c r="U111" s="42" t="n">
        <v>46236</v>
      </c>
    </row>
    <row r="112" customFormat="false" ht="45.75" hidden="false" customHeight="true" outlineLevel="0" collapsed="false">
      <c r="A112" s="30" t="n">
        <v>106</v>
      </c>
      <c r="B112" s="30" t="s">
        <v>8420</v>
      </c>
      <c r="C112" s="31" t="s">
        <v>8421</v>
      </c>
      <c r="D112" s="31" t="s">
        <v>8275</v>
      </c>
      <c r="E112" s="31" t="s">
        <v>8343</v>
      </c>
      <c r="F112" s="30" t="n">
        <f aca="false">COUNTIF('Seed Catalogue'!$C$2:$C$452,B112)</f>
        <v>22</v>
      </c>
      <c r="G112" s="40" t="n">
        <v>4</v>
      </c>
      <c r="H112" s="40" t="n">
        <v>4</v>
      </c>
      <c r="I112" s="40" t="n">
        <v>3</v>
      </c>
      <c r="J112" s="40" t="n">
        <v>5</v>
      </c>
      <c r="K112" s="40" t="n">
        <v>4</v>
      </c>
      <c r="L112" s="40" t="n">
        <v>4</v>
      </c>
      <c r="M112" s="40" t="n">
        <v>4</v>
      </c>
      <c r="N112" s="40" t="n">
        <v>4</v>
      </c>
      <c r="O112" s="41" t="n">
        <f aca="false">ROUND(G112/5*$X$2+H112/5*$X$3+I112/5*$X$4+J112/5*$X$5+K112/5*$X$6+L112/5*$X$7+M112/5*$X$8-N112/5*$X$9,1)</f>
        <v>64</v>
      </c>
      <c r="P112" s="30" t="str">
        <f aca="false">IF(O112&gt;=$X$12,"Foundational deep pass",IF(O112&gt;=$X$13,"Major deep pass",IF(O112&gt;=$X$14,"Targeted innovation pass",IF(O112&gt;=$X$15,"Sampling pass","Reference / defer"))))</f>
        <v>Major deep pass</v>
      </c>
      <c r="Q112" s="31" t="s">
        <v>14197</v>
      </c>
      <c r="R112" s="31" t="s">
        <v>14198</v>
      </c>
      <c r="S112" s="31" t="s">
        <v>14184</v>
      </c>
      <c r="T112" s="31" t="s">
        <v>8426</v>
      </c>
      <c r="U112" s="42" t="n">
        <v>46236</v>
      </c>
    </row>
    <row r="113" customFormat="false" ht="45.75" hidden="false" customHeight="true" outlineLevel="0" collapsed="false">
      <c r="A113" s="30" t="n">
        <v>107</v>
      </c>
      <c r="B113" s="30" t="s">
        <v>9686</v>
      </c>
      <c r="C113" s="31" t="s">
        <v>9687</v>
      </c>
      <c r="D113" s="31" t="s">
        <v>8629</v>
      </c>
      <c r="E113" s="31" t="s">
        <v>8226</v>
      </c>
      <c r="F113" s="30" t="n">
        <f aca="false">COUNTIF('Seed Catalogue'!$C$2:$C$452,B113)</f>
        <v>0</v>
      </c>
      <c r="G113" s="40" t="n">
        <v>4</v>
      </c>
      <c r="H113" s="40" t="n">
        <v>3</v>
      </c>
      <c r="I113" s="40" t="n">
        <v>3</v>
      </c>
      <c r="J113" s="40" t="n">
        <v>4</v>
      </c>
      <c r="K113" s="40" t="n">
        <v>4</v>
      </c>
      <c r="L113" s="40" t="n">
        <v>4</v>
      </c>
      <c r="M113" s="40" t="n">
        <v>3</v>
      </c>
      <c r="N113" s="40" t="n">
        <v>2</v>
      </c>
      <c r="O113" s="41" t="n">
        <f aca="false">ROUND(G113/5*$X$2+H113/5*$X$3+I113/5*$X$4+J113/5*$X$5+K113/5*$X$6+L113/5*$X$7+M113/5*$X$8-N113/5*$X$9,1)</f>
        <v>64</v>
      </c>
      <c r="P113" s="30" t="str">
        <f aca="false">IF(O113&gt;=$X$12,"Foundational deep pass",IF(O113&gt;=$X$13,"Major deep pass",IF(O113&gt;=$X$14,"Targeted innovation pass",IF(O113&gt;=$X$15,"Sampling pass","Reference / defer"))))</f>
        <v>Major deep pass</v>
      </c>
      <c r="Q113" s="31" t="s">
        <v>14201</v>
      </c>
      <c r="R113" s="31" t="s">
        <v>14202</v>
      </c>
      <c r="S113" s="31" t="s">
        <v>14184</v>
      </c>
      <c r="T113" s="31" t="s">
        <v>9690</v>
      </c>
      <c r="U113" s="42" t="n">
        <v>46236</v>
      </c>
    </row>
    <row r="114" customFormat="false" ht="45.75" hidden="false" customHeight="true" outlineLevel="0" collapsed="false">
      <c r="A114" s="30" t="n">
        <v>108</v>
      </c>
      <c r="B114" s="30" t="s">
        <v>9553</v>
      </c>
      <c r="C114" s="31" t="s">
        <v>9554</v>
      </c>
      <c r="D114" s="31" t="s">
        <v>9410</v>
      </c>
      <c r="E114" s="31" t="s">
        <v>8226</v>
      </c>
      <c r="F114" s="30" t="n">
        <f aca="false">COUNTIF('Seed Catalogue'!$C$2:$C$452,B114)</f>
        <v>0</v>
      </c>
      <c r="G114" s="40" t="n">
        <v>4</v>
      </c>
      <c r="H114" s="40" t="n">
        <v>3</v>
      </c>
      <c r="I114" s="40" t="n">
        <v>3</v>
      </c>
      <c r="J114" s="40" t="n">
        <v>4</v>
      </c>
      <c r="K114" s="40" t="n">
        <v>4</v>
      </c>
      <c r="L114" s="40" t="n">
        <v>4</v>
      </c>
      <c r="M114" s="40" t="n">
        <v>3</v>
      </c>
      <c r="N114" s="40" t="n">
        <v>2</v>
      </c>
      <c r="O114" s="41" t="n">
        <f aca="false">ROUND(G114/5*$X$2+H114/5*$X$3+I114/5*$X$4+J114/5*$X$5+K114/5*$X$6+L114/5*$X$7+M114/5*$X$8-N114/5*$X$9,1)</f>
        <v>64</v>
      </c>
      <c r="P114" s="30" t="str">
        <f aca="false">IF(O114&gt;=$X$12,"Foundational deep pass",IF(O114&gt;=$X$13,"Major deep pass",IF(O114&gt;=$X$14,"Targeted innovation pass",IF(O114&gt;=$X$15,"Sampling pass","Reference / defer"))))</f>
        <v>Major deep pass</v>
      </c>
      <c r="Q114" s="31" t="s">
        <v>14201</v>
      </c>
      <c r="R114" s="31" t="s">
        <v>14202</v>
      </c>
      <c r="S114" s="31" t="s">
        <v>14184</v>
      </c>
      <c r="T114" s="31" t="s">
        <v>9557</v>
      </c>
      <c r="U114" s="42" t="n">
        <v>46236</v>
      </c>
    </row>
    <row r="115" customFormat="false" ht="45.75" hidden="false" customHeight="true" outlineLevel="0" collapsed="false">
      <c r="A115" s="30" t="n">
        <v>109</v>
      </c>
      <c r="B115" s="30" t="s">
        <v>9579</v>
      </c>
      <c r="C115" s="31" t="s">
        <v>9580</v>
      </c>
      <c r="D115" s="31" t="s">
        <v>9410</v>
      </c>
      <c r="E115" s="31" t="s">
        <v>8226</v>
      </c>
      <c r="F115" s="30" t="n">
        <f aca="false">COUNTIF('Seed Catalogue'!$C$2:$C$452,B115)</f>
        <v>0</v>
      </c>
      <c r="G115" s="40" t="n">
        <v>4</v>
      </c>
      <c r="H115" s="40" t="n">
        <v>3</v>
      </c>
      <c r="I115" s="40" t="n">
        <v>3</v>
      </c>
      <c r="J115" s="40" t="n">
        <v>4</v>
      </c>
      <c r="K115" s="40" t="n">
        <v>4</v>
      </c>
      <c r="L115" s="40" t="n">
        <v>4</v>
      </c>
      <c r="M115" s="40" t="n">
        <v>3</v>
      </c>
      <c r="N115" s="40" t="n">
        <v>2</v>
      </c>
      <c r="O115" s="41" t="n">
        <f aca="false">ROUND(G115/5*$X$2+H115/5*$X$3+I115/5*$X$4+J115/5*$X$5+K115/5*$X$6+L115/5*$X$7+M115/5*$X$8-N115/5*$X$9,1)</f>
        <v>64</v>
      </c>
      <c r="P115" s="30" t="str">
        <f aca="false">IF(O115&gt;=$X$12,"Foundational deep pass",IF(O115&gt;=$X$13,"Major deep pass",IF(O115&gt;=$X$14,"Targeted innovation pass",IF(O115&gt;=$X$15,"Sampling pass","Reference / defer"))))</f>
        <v>Major deep pass</v>
      </c>
      <c r="Q115" s="31" t="s">
        <v>14201</v>
      </c>
      <c r="R115" s="31" t="s">
        <v>14202</v>
      </c>
      <c r="S115" s="31" t="s">
        <v>14184</v>
      </c>
      <c r="T115" s="31" t="s">
        <v>9583</v>
      </c>
      <c r="U115" s="42" t="n">
        <v>46236</v>
      </c>
    </row>
    <row r="116" customFormat="false" ht="45.75" hidden="false" customHeight="true" outlineLevel="0" collapsed="false">
      <c r="A116" s="30" t="n">
        <v>110</v>
      </c>
      <c r="B116" s="30" t="s">
        <v>9463</v>
      </c>
      <c r="C116" s="31" t="s">
        <v>9464</v>
      </c>
      <c r="D116" s="31" t="s">
        <v>9410</v>
      </c>
      <c r="E116" s="31" t="s">
        <v>8226</v>
      </c>
      <c r="F116" s="30" t="n">
        <f aca="false">COUNTIF('Seed Catalogue'!$C$2:$C$452,B116)</f>
        <v>0</v>
      </c>
      <c r="G116" s="40" t="n">
        <v>4</v>
      </c>
      <c r="H116" s="40" t="n">
        <v>3</v>
      </c>
      <c r="I116" s="40" t="n">
        <v>3</v>
      </c>
      <c r="J116" s="40" t="n">
        <v>4</v>
      </c>
      <c r="K116" s="40" t="n">
        <v>4</v>
      </c>
      <c r="L116" s="40" t="n">
        <v>4</v>
      </c>
      <c r="M116" s="40" t="n">
        <v>3</v>
      </c>
      <c r="N116" s="40" t="n">
        <v>2</v>
      </c>
      <c r="O116" s="41" t="n">
        <f aca="false">ROUND(G116/5*$X$2+H116/5*$X$3+I116/5*$X$4+J116/5*$X$5+K116/5*$X$6+L116/5*$X$7+M116/5*$X$8-N116/5*$X$9,1)</f>
        <v>64</v>
      </c>
      <c r="P116" s="30" t="str">
        <f aca="false">IF(O116&gt;=$X$12,"Foundational deep pass",IF(O116&gt;=$X$13,"Major deep pass",IF(O116&gt;=$X$14,"Targeted innovation pass",IF(O116&gt;=$X$15,"Sampling pass","Reference / defer"))))</f>
        <v>Major deep pass</v>
      </c>
      <c r="Q116" s="31" t="s">
        <v>14201</v>
      </c>
      <c r="R116" s="31" t="s">
        <v>14202</v>
      </c>
      <c r="S116" s="31" t="s">
        <v>14184</v>
      </c>
      <c r="T116" s="31" t="s">
        <v>9467</v>
      </c>
      <c r="U116" s="42" t="n">
        <v>46236</v>
      </c>
    </row>
    <row r="117" customFormat="false" ht="45.75" hidden="false" customHeight="true" outlineLevel="0" collapsed="false">
      <c r="A117" s="30" t="n">
        <v>111</v>
      </c>
      <c r="B117" s="30" t="s">
        <v>9626</v>
      </c>
      <c r="C117" s="31" t="s">
        <v>9627</v>
      </c>
      <c r="D117" s="31" t="s">
        <v>9410</v>
      </c>
      <c r="E117" s="31" t="s">
        <v>8226</v>
      </c>
      <c r="F117" s="30" t="n">
        <f aca="false">COUNTIF('Seed Catalogue'!$C$2:$C$452,B117)</f>
        <v>0</v>
      </c>
      <c r="G117" s="40" t="n">
        <v>4</v>
      </c>
      <c r="H117" s="40" t="n">
        <v>3</v>
      </c>
      <c r="I117" s="40" t="n">
        <v>3</v>
      </c>
      <c r="J117" s="40" t="n">
        <v>4</v>
      </c>
      <c r="K117" s="40" t="n">
        <v>4</v>
      </c>
      <c r="L117" s="40" t="n">
        <v>4</v>
      </c>
      <c r="M117" s="40" t="n">
        <v>3</v>
      </c>
      <c r="N117" s="40" t="n">
        <v>2</v>
      </c>
      <c r="O117" s="41" t="n">
        <f aca="false">ROUND(G117/5*$X$2+H117/5*$X$3+I117/5*$X$4+J117/5*$X$5+K117/5*$X$6+L117/5*$X$7+M117/5*$X$8-N117/5*$X$9,1)</f>
        <v>64</v>
      </c>
      <c r="P117" s="30" t="str">
        <f aca="false">IF(O117&gt;=$X$12,"Foundational deep pass",IF(O117&gt;=$X$13,"Major deep pass",IF(O117&gt;=$X$14,"Targeted innovation pass",IF(O117&gt;=$X$15,"Sampling pass","Reference / defer"))))</f>
        <v>Major deep pass</v>
      </c>
      <c r="Q117" s="31" t="s">
        <v>14201</v>
      </c>
      <c r="R117" s="31" t="s">
        <v>14202</v>
      </c>
      <c r="S117" s="31" t="s">
        <v>14184</v>
      </c>
      <c r="T117" s="31" t="s">
        <v>9630</v>
      </c>
      <c r="U117" s="42" t="n">
        <v>46236</v>
      </c>
    </row>
    <row r="118" customFormat="false" ht="45.75" hidden="false" customHeight="true" outlineLevel="0" collapsed="false">
      <c r="A118" s="30" t="n">
        <v>112</v>
      </c>
      <c r="B118" s="30" t="s">
        <v>9452</v>
      </c>
      <c r="C118" s="31" t="s">
        <v>9453</v>
      </c>
      <c r="D118" s="31" t="s">
        <v>9410</v>
      </c>
      <c r="E118" s="31" t="s">
        <v>8226</v>
      </c>
      <c r="F118" s="30" t="n">
        <f aca="false">COUNTIF('Seed Catalogue'!$C$2:$C$452,B118)</f>
        <v>0</v>
      </c>
      <c r="G118" s="40" t="n">
        <v>4</v>
      </c>
      <c r="H118" s="40" t="n">
        <v>3</v>
      </c>
      <c r="I118" s="40" t="n">
        <v>3</v>
      </c>
      <c r="J118" s="40" t="n">
        <v>4</v>
      </c>
      <c r="K118" s="40" t="n">
        <v>4</v>
      </c>
      <c r="L118" s="40" t="n">
        <v>4</v>
      </c>
      <c r="M118" s="40" t="n">
        <v>3</v>
      </c>
      <c r="N118" s="40" t="n">
        <v>2</v>
      </c>
      <c r="O118" s="41" t="n">
        <f aca="false">ROUND(G118/5*$X$2+H118/5*$X$3+I118/5*$X$4+J118/5*$X$5+K118/5*$X$6+L118/5*$X$7+M118/5*$X$8-N118/5*$X$9,1)</f>
        <v>64</v>
      </c>
      <c r="P118" s="30" t="str">
        <f aca="false">IF(O118&gt;=$X$12,"Foundational deep pass",IF(O118&gt;=$X$13,"Major deep pass",IF(O118&gt;=$X$14,"Targeted innovation pass",IF(O118&gt;=$X$15,"Sampling pass","Reference / defer"))))</f>
        <v>Major deep pass</v>
      </c>
      <c r="Q118" s="31" t="s">
        <v>14201</v>
      </c>
      <c r="R118" s="31" t="s">
        <v>14202</v>
      </c>
      <c r="S118" s="31" t="s">
        <v>14184</v>
      </c>
      <c r="T118" s="31" t="s">
        <v>9456</v>
      </c>
      <c r="U118" s="42" t="n">
        <v>46236</v>
      </c>
    </row>
    <row r="119" customFormat="false" ht="45.75" hidden="false" customHeight="true" outlineLevel="0" collapsed="false">
      <c r="A119" s="30" t="n">
        <v>113</v>
      </c>
      <c r="B119" s="30" t="s">
        <v>9558</v>
      </c>
      <c r="C119" s="31" t="s">
        <v>9559</v>
      </c>
      <c r="D119" s="31" t="s">
        <v>9410</v>
      </c>
      <c r="E119" s="31" t="s">
        <v>8226</v>
      </c>
      <c r="F119" s="30" t="n">
        <f aca="false">COUNTIF('Seed Catalogue'!$C$2:$C$452,B119)</f>
        <v>0</v>
      </c>
      <c r="G119" s="40" t="n">
        <v>4</v>
      </c>
      <c r="H119" s="40" t="n">
        <v>3</v>
      </c>
      <c r="I119" s="40" t="n">
        <v>3</v>
      </c>
      <c r="J119" s="40" t="n">
        <v>4</v>
      </c>
      <c r="K119" s="40" t="n">
        <v>4</v>
      </c>
      <c r="L119" s="40" t="n">
        <v>4</v>
      </c>
      <c r="M119" s="40" t="n">
        <v>3</v>
      </c>
      <c r="N119" s="40" t="n">
        <v>2</v>
      </c>
      <c r="O119" s="41" t="n">
        <f aca="false">ROUND(G119/5*$X$2+H119/5*$X$3+I119/5*$X$4+J119/5*$X$5+K119/5*$X$6+L119/5*$X$7+M119/5*$X$8-N119/5*$X$9,1)</f>
        <v>64</v>
      </c>
      <c r="P119" s="30" t="str">
        <f aca="false">IF(O119&gt;=$X$12,"Foundational deep pass",IF(O119&gt;=$X$13,"Major deep pass",IF(O119&gt;=$X$14,"Targeted innovation pass",IF(O119&gt;=$X$15,"Sampling pass","Reference / defer"))))</f>
        <v>Major deep pass</v>
      </c>
      <c r="Q119" s="31" t="s">
        <v>14201</v>
      </c>
      <c r="R119" s="31" t="s">
        <v>14202</v>
      </c>
      <c r="S119" s="31" t="s">
        <v>14184</v>
      </c>
      <c r="T119" s="31" t="s">
        <v>9562</v>
      </c>
      <c r="U119" s="42" t="n">
        <v>46236</v>
      </c>
    </row>
    <row r="120" customFormat="false" ht="45.75" hidden="false" customHeight="true" outlineLevel="0" collapsed="false">
      <c r="A120" s="30" t="n">
        <v>114</v>
      </c>
      <c r="B120" s="30" t="s">
        <v>9615</v>
      </c>
      <c r="C120" s="31" t="s">
        <v>9616</v>
      </c>
      <c r="D120" s="31" t="s">
        <v>9410</v>
      </c>
      <c r="E120" s="31" t="s">
        <v>8226</v>
      </c>
      <c r="F120" s="30" t="n">
        <f aca="false">COUNTIF('Seed Catalogue'!$C$2:$C$452,B120)</f>
        <v>0</v>
      </c>
      <c r="G120" s="40" t="n">
        <v>4</v>
      </c>
      <c r="H120" s="40" t="n">
        <v>3</v>
      </c>
      <c r="I120" s="40" t="n">
        <v>3</v>
      </c>
      <c r="J120" s="40" t="n">
        <v>4</v>
      </c>
      <c r="K120" s="40" t="n">
        <v>4</v>
      </c>
      <c r="L120" s="40" t="n">
        <v>4</v>
      </c>
      <c r="M120" s="40" t="n">
        <v>3</v>
      </c>
      <c r="N120" s="40" t="n">
        <v>2</v>
      </c>
      <c r="O120" s="41" t="n">
        <f aca="false">ROUND(G120/5*$X$2+H120/5*$X$3+I120/5*$X$4+J120/5*$X$5+K120/5*$X$6+L120/5*$X$7+M120/5*$X$8-N120/5*$X$9,1)</f>
        <v>64</v>
      </c>
      <c r="P120" s="30" t="str">
        <f aca="false">IF(O120&gt;=$X$12,"Foundational deep pass",IF(O120&gt;=$X$13,"Major deep pass",IF(O120&gt;=$X$14,"Targeted innovation pass",IF(O120&gt;=$X$15,"Sampling pass","Reference / defer"))))</f>
        <v>Major deep pass</v>
      </c>
      <c r="Q120" s="31" t="s">
        <v>14201</v>
      </c>
      <c r="R120" s="31" t="s">
        <v>14202</v>
      </c>
      <c r="S120" s="31" t="s">
        <v>14184</v>
      </c>
      <c r="T120" s="31" t="s">
        <v>9620</v>
      </c>
      <c r="U120" s="42" t="n">
        <v>46236</v>
      </c>
    </row>
    <row r="121" customFormat="false" ht="45.75" hidden="false" customHeight="true" outlineLevel="0" collapsed="false">
      <c r="A121" s="30" t="n">
        <v>115</v>
      </c>
      <c r="B121" s="30" t="s">
        <v>9584</v>
      </c>
      <c r="C121" s="31" t="s">
        <v>9585</v>
      </c>
      <c r="D121" s="31" t="s">
        <v>9410</v>
      </c>
      <c r="E121" s="31" t="s">
        <v>8226</v>
      </c>
      <c r="F121" s="30" t="n">
        <f aca="false">COUNTIF('Seed Catalogue'!$C$2:$C$452,B121)</f>
        <v>0</v>
      </c>
      <c r="G121" s="40" t="n">
        <v>4</v>
      </c>
      <c r="H121" s="40" t="n">
        <v>3</v>
      </c>
      <c r="I121" s="40" t="n">
        <v>3</v>
      </c>
      <c r="J121" s="40" t="n">
        <v>4</v>
      </c>
      <c r="K121" s="40" t="n">
        <v>4</v>
      </c>
      <c r="L121" s="40" t="n">
        <v>4</v>
      </c>
      <c r="M121" s="40" t="n">
        <v>3</v>
      </c>
      <c r="N121" s="40" t="n">
        <v>2</v>
      </c>
      <c r="O121" s="41" t="n">
        <f aca="false">ROUND(G121/5*$X$2+H121/5*$X$3+I121/5*$X$4+J121/5*$X$5+K121/5*$X$6+L121/5*$X$7+M121/5*$X$8-N121/5*$X$9,1)</f>
        <v>64</v>
      </c>
      <c r="P121" s="30" t="str">
        <f aca="false">IF(O121&gt;=$X$12,"Foundational deep pass",IF(O121&gt;=$X$13,"Major deep pass",IF(O121&gt;=$X$14,"Targeted innovation pass",IF(O121&gt;=$X$15,"Sampling pass","Reference / defer"))))</f>
        <v>Major deep pass</v>
      </c>
      <c r="Q121" s="31" t="s">
        <v>14201</v>
      </c>
      <c r="R121" s="31" t="s">
        <v>14202</v>
      </c>
      <c r="S121" s="31" t="s">
        <v>14184</v>
      </c>
      <c r="T121" s="31" t="s">
        <v>9588</v>
      </c>
      <c r="U121" s="42" t="n">
        <v>46236</v>
      </c>
    </row>
    <row r="122" customFormat="false" ht="45.75" hidden="false" customHeight="true" outlineLevel="0" collapsed="false">
      <c r="A122" s="30" t="n">
        <v>116</v>
      </c>
      <c r="B122" s="30" t="s">
        <v>9537</v>
      </c>
      <c r="C122" s="31" t="s">
        <v>9538</v>
      </c>
      <c r="D122" s="31" t="s">
        <v>9540</v>
      </c>
      <c r="E122" s="31" t="s">
        <v>8226</v>
      </c>
      <c r="F122" s="30" t="n">
        <f aca="false">COUNTIF('Seed Catalogue'!$C$2:$C$452,B122)</f>
        <v>0</v>
      </c>
      <c r="G122" s="40" t="n">
        <v>4</v>
      </c>
      <c r="H122" s="40" t="n">
        <v>3</v>
      </c>
      <c r="I122" s="40" t="n">
        <v>3</v>
      </c>
      <c r="J122" s="40" t="n">
        <v>4</v>
      </c>
      <c r="K122" s="40" t="n">
        <v>4</v>
      </c>
      <c r="L122" s="40" t="n">
        <v>4</v>
      </c>
      <c r="M122" s="40" t="n">
        <v>3</v>
      </c>
      <c r="N122" s="40" t="n">
        <v>2</v>
      </c>
      <c r="O122" s="41" t="n">
        <f aca="false">ROUND(G122/5*$X$2+H122/5*$X$3+I122/5*$X$4+J122/5*$X$5+K122/5*$X$6+L122/5*$X$7+M122/5*$X$8-N122/5*$X$9,1)</f>
        <v>64</v>
      </c>
      <c r="P122" s="30" t="str">
        <f aca="false">IF(O122&gt;=$X$12,"Foundational deep pass",IF(O122&gt;=$X$13,"Major deep pass",IF(O122&gt;=$X$14,"Targeted innovation pass",IF(O122&gt;=$X$15,"Sampling pass","Reference / defer"))))</f>
        <v>Major deep pass</v>
      </c>
      <c r="Q122" s="31" t="s">
        <v>14201</v>
      </c>
      <c r="R122" s="31" t="s">
        <v>14202</v>
      </c>
      <c r="S122" s="31" t="s">
        <v>14184</v>
      </c>
      <c r="T122" s="31" t="s">
        <v>9542</v>
      </c>
      <c r="U122" s="42" t="n">
        <v>46236</v>
      </c>
    </row>
    <row r="123" customFormat="false" ht="45.75" hidden="false" customHeight="true" outlineLevel="0" collapsed="false">
      <c r="A123" s="30" t="n">
        <v>117</v>
      </c>
      <c r="B123" s="30" t="s">
        <v>9532</v>
      </c>
      <c r="C123" s="31" t="s">
        <v>9533</v>
      </c>
      <c r="D123" s="31" t="s">
        <v>8629</v>
      </c>
      <c r="E123" s="31" t="s">
        <v>8226</v>
      </c>
      <c r="F123" s="30" t="n">
        <f aca="false">COUNTIF('Seed Catalogue'!$C$2:$C$452,B123)</f>
        <v>0</v>
      </c>
      <c r="G123" s="40" t="n">
        <v>4</v>
      </c>
      <c r="H123" s="40" t="n">
        <v>3</v>
      </c>
      <c r="I123" s="40" t="n">
        <v>3</v>
      </c>
      <c r="J123" s="40" t="n">
        <v>4</v>
      </c>
      <c r="K123" s="40" t="n">
        <v>4</v>
      </c>
      <c r="L123" s="40" t="n">
        <v>4</v>
      </c>
      <c r="M123" s="40" t="n">
        <v>3</v>
      </c>
      <c r="N123" s="40" t="n">
        <v>2</v>
      </c>
      <c r="O123" s="41" t="n">
        <f aca="false">ROUND(G123/5*$X$2+H123/5*$X$3+I123/5*$X$4+J123/5*$X$5+K123/5*$X$6+L123/5*$X$7+M123/5*$X$8-N123/5*$X$9,1)</f>
        <v>64</v>
      </c>
      <c r="P123" s="30" t="str">
        <f aca="false">IF(O123&gt;=$X$12,"Foundational deep pass",IF(O123&gt;=$X$13,"Major deep pass",IF(O123&gt;=$X$14,"Targeted innovation pass",IF(O123&gt;=$X$15,"Sampling pass","Reference / defer"))))</f>
        <v>Major deep pass</v>
      </c>
      <c r="Q123" s="31" t="s">
        <v>14201</v>
      </c>
      <c r="R123" s="31" t="s">
        <v>14202</v>
      </c>
      <c r="S123" s="31" t="s">
        <v>14184</v>
      </c>
      <c r="T123" s="31" t="s">
        <v>9536</v>
      </c>
      <c r="U123" s="42" t="n">
        <v>46236</v>
      </c>
    </row>
    <row r="124" customFormat="false" ht="45.75" hidden="false" customHeight="true" outlineLevel="0" collapsed="false">
      <c r="A124" s="30" t="n">
        <v>118</v>
      </c>
      <c r="B124" s="30" t="s">
        <v>8605</v>
      </c>
      <c r="C124" s="31" t="s">
        <v>8606</v>
      </c>
      <c r="D124" s="31" t="s">
        <v>8608</v>
      </c>
      <c r="E124" s="31" t="s">
        <v>8226</v>
      </c>
      <c r="F124" s="30" t="n">
        <f aca="false">COUNTIF('Seed Catalogue'!$C$2:$C$452,B124)</f>
        <v>0</v>
      </c>
      <c r="G124" s="40" t="n">
        <v>4</v>
      </c>
      <c r="H124" s="40" t="n">
        <v>3</v>
      </c>
      <c r="I124" s="40" t="n">
        <v>3</v>
      </c>
      <c r="J124" s="40" t="n">
        <v>4</v>
      </c>
      <c r="K124" s="40" t="n">
        <v>4</v>
      </c>
      <c r="L124" s="40" t="n">
        <v>4</v>
      </c>
      <c r="M124" s="40" t="n">
        <v>3</v>
      </c>
      <c r="N124" s="40" t="n">
        <v>2</v>
      </c>
      <c r="O124" s="41" t="n">
        <f aca="false">ROUND(G124/5*$X$2+H124/5*$X$3+I124/5*$X$4+J124/5*$X$5+K124/5*$X$6+L124/5*$X$7+M124/5*$X$8-N124/5*$X$9,1)</f>
        <v>64</v>
      </c>
      <c r="P124" s="30" t="str">
        <f aca="false">IF(O124&gt;=$X$12,"Foundational deep pass",IF(O124&gt;=$X$13,"Major deep pass",IF(O124&gt;=$X$14,"Targeted innovation pass",IF(O124&gt;=$X$15,"Sampling pass","Reference / defer"))))</f>
        <v>Major deep pass</v>
      </c>
      <c r="Q124" s="31" t="s">
        <v>14201</v>
      </c>
      <c r="R124" s="31" t="s">
        <v>14202</v>
      </c>
      <c r="S124" s="31" t="s">
        <v>14184</v>
      </c>
      <c r="T124" s="31" t="s">
        <v>8612</v>
      </c>
      <c r="U124" s="42" t="n">
        <v>46236</v>
      </c>
    </row>
    <row r="125" customFormat="false" ht="45.75" hidden="false" customHeight="true" outlineLevel="0" collapsed="false">
      <c r="A125" s="30" t="n">
        <v>119</v>
      </c>
      <c r="B125" s="30" t="s">
        <v>9668</v>
      </c>
      <c r="C125" s="31" t="s">
        <v>9669</v>
      </c>
      <c r="D125" s="31" t="s">
        <v>9670</v>
      </c>
      <c r="E125" s="31" t="s">
        <v>8205</v>
      </c>
      <c r="F125" s="30" t="n">
        <f aca="false">COUNTIF('Seed Catalogue'!$C$2:$C$452,B125)</f>
        <v>0</v>
      </c>
      <c r="G125" s="40" t="n">
        <v>4</v>
      </c>
      <c r="H125" s="40" t="n">
        <v>3</v>
      </c>
      <c r="I125" s="40" t="n">
        <v>3</v>
      </c>
      <c r="J125" s="40" t="n">
        <v>4</v>
      </c>
      <c r="K125" s="40" t="n">
        <v>4</v>
      </c>
      <c r="L125" s="40" t="n">
        <v>4</v>
      </c>
      <c r="M125" s="40" t="n">
        <v>3</v>
      </c>
      <c r="N125" s="40" t="n">
        <v>2</v>
      </c>
      <c r="O125" s="41" t="n">
        <f aca="false">ROUND(G125/5*$X$2+H125/5*$X$3+I125/5*$X$4+J125/5*$X$5+K125/5*$X$6+L125/5*$X$7+M125/5*$X$8-N125/5*$X$9,1)</f>
        <v>64</v>
      </c>
      <c r="P125" s="30" t="str">
        <f aca="false">IF(O125&gt;=$X$12,"Foundational deep pass",IF(O125&gt;=$X$13,"Major deep pass",IF(O125&gt;=$X$14,"Targeted innovation pass",IF(O125&gt;=$X$15,"Sampling pass","Reference / defer"))))</f>
        <v>Major deep pass</v>
      </c>
      <c r="Q125" s="31" t="s">
        <v>14201</v>
      </c>
      <c r="R125" s="31" t="s">
        <v>14202</v>
      </c>
      <c r="S125" s="31" t="s">
        <v>14184</v>
      </c>
      <c r="T125" s="31" t="s">
        <v>9672</v>
      </c>
      <c r="U125" s="42" t="n">
        <v>46236</v>
      </c>
    </row>
    <row r="126" customFormat="false" ht="45.75" hidden="false" customHeight="true" outlineLevel="0" collapsed="false">
      <c r="A126" s="30" t="n">
        <v>120</v>
      </c>
      <c r="B126" s="30" t="s">
        <v>9447</v>
      </c>
      <c r="C126" s="31" t="s">
        <v>9448</v>
      </c>
      <c r="D126" s="31" t="s">
        <v>9410</v>
      </c>
      <c r="E126" s="31" t="s">
        <v>8226</v>
      </c>
      <c r="F126" s="30" t="n">
        <f aca="false">COUNTIF('Seed Catalogue'!$C$2:$C$452,B126)</f>
        <v>0</v>
      </c>
      <c r="G126" s="40" t="n">
        <v>4</v>
      </c>
      <c r="H126" s="40" t="n">
        <v>3</v>
      </c>
      <c r="I126" s="40" t="n">
        <v>3</v>
      </c>
      <c r="J126" s="40" t="n">
        <v>4</v>
      </c>
      <c r="K126" s="40" t="n">
        <v>4</v>
      </c>
      <c r="L126" s="40" t="n">
        <v>4</v>
      </c>
      <c r="M126" s="40" t="n">
        <v>3</v>
      </c>
      <c r="N126" s="40" t="n">
        <v>2</v>
      </c>
      <c r="O126" s="41" t="n">
        <f aca="false">ROUND(G126/5*$X$2+H126/5*$X$3+I126/5*$X$4+J126/5*$X$5+K126/5*$X$6+L126/5*$X$7+M126/5*$X$8-N126/5*$X$9,1)</f>
        <v>64</v>
      </c>
      <c r="P126" s="30" t="str">
        <f aca="false">IF(O126&gt;=$X$12,"Foundational deep pass",IF(O126&gt;=$X$13,"Major deep pass",IF(O126&gt;=$X$14,"Targeted innovation pass",IF(O126&gt;=$X$15,"Sampling pass","Reference / defer"))))</f>
        <v>Major deep pass</v>
      </c>
      <c r="Q126" s="31" t="s">
        <v>14201</v>
      </c>
      <c r="R126" s="31" t="s">
        <v>14202</v>
      </c>
      <c r="S126" s="31" t="s">
        <v>14184</v>
      </c>
      <c r="T126" s="31" t="s">
        <v>9451</v>
      </c>
      <c r="U126" s="42" t="n">
        <v>46236</v>
      </c>
    </row>
    <row r="127" customFormat="false" ht="45.75" hidden="false" customHeight="true" outlineLevel="0" collapsed="false">
      <c r="A127" s="30" t="n">
        <v>121</v>
      </c>
      <c r="B127" s="30" t="s">
        <v>9621</v>
      </c>
      <c r="C127" s="31" t="s">
        <v>9622</v>
      </c>
      <c r="D127" s="31" t="s">
        <v>9410</v>
      </c>
      <c r="E127" s="31" t="s">
        <v>8226</v>
      </c>
      <c r="F127" s="30" t="n">
        <f aca="false">COUNTIF('Seed Catalogue'!$C$2:$C$452,B127)</f>
        <v>0</v>
      </c>
      <c r="G127" s="40" t="n">
        <v>4</v>
      </c>
      <c r="H127" s="40" t="n">
        <v>3</v>
      </c>
      <c r="I127" s="40" t="n">
        <v>3</v>
      </c>
      <c r="J127" s="40" t="n">
        <v>4</v>
      </c>
      <c r="K127" s="40" t="n">
        <v>4</v>
      </c>
      <c r="L127" s="40" t="n">
        <v>4</v>
      </c>
      <c r="M127" s="40" t="n">
        <v>3</v>
      </c>
      <c r="N127" s="40" t="n">
        <v>2</v>
      </c>
      <c r="O127" s="41" t="n">
        <f aca="false">ROUND(G127/5*$X$2+H127/5*$X$3+I127/5*$X$4+J127/5*$X$5+K127/5*$X$6+L127/5*$X$7+M127/5*$X$8-N127/5*$X$9,1)</f>
        <v>64</v>
      </c>
      <c r="P127" s="30" t="str">
        <f aca="false">IF(O127&gt;=$X$12,"Foundational deep pass",IF(O127&gt;=$X$13,"Major deep pass",IF(O127&gt;=$X$14,"Targeted innovation pass",IF(O127&gt;=$X$15,"Sampling pass","Reference / defer"))))</f>
        <v>Major deep pass</v>
      </c>
      <c r="Q127" s="31" t="s">
        <v>14201</v>
      </c>
      <c r="R127" s="31" t="s">
        <v>14202</v>
      </c>
      <c r="S127" s="31" t="s">
        <v>14184</v>
      </c>
      <c r="T127" s="31" t="s">
        <v>9625</v>
      </c>
      <c r="U127" s="42" t="n">
        <v>46236</v>
      </c>
    </row>
    <row r="128" customFormat="false" ht="45.75" hidden="false" customHeight="true" outlineLevel="0" collapsed="false">
      <c r="A128" s="30" t="n">
        <v>122</v>
      </c>
      <c r="B128" s="30" t="s">
        <v>9442</v>
      </c>
      <c r="C128" s="31" t="s">
        <v>9443</v>
      </c>
      <c r="D128" s="31" t="s">
        <v>9410</v>
      </c>
      <c r="E128" s="31" t="s">
        <v>8226</v>
      </c>
      <c r="F128" s="30" t="n">
        <f aca="false">COUNTIF('Seed Catalogue'!$C$2:$C$452,B128)</f>
        <v>0</v>
      </c>
      <c r="G128" s="40" t="n">
        <v>4</v>
      </c>
      <c r="H128" s="40" t="n">
        <v>3</v>
      </c>
      <c r="I128" s="40" t="n">
        <v>3</v>
      </c>
      <c r="J128" s="40" t="n">
        <v>4</v>
      </c>
      <c r="K128" s="40" t="n">
        <v>4</v>
      </c>
      <c r="L128" s="40" t="n">
        <v>4</v>
      </c>
      <c r="M128" s="40" t="n">
        <v>3</v>
      </c>
      <c r="N128" s="40" t="n">
        <v>2</v>
      </c>
      <c r="O128" s="41" t="n">
        <f aca="false">ROUND(G128/5*$X$2+H128/5*$X$3+I128/5*$X$4+J128/5*$X$5+K128/5*$X$6+L128/5*$X$7+M128/5*$X$8-N128/5*$X$9,1)</f>
        <v>64</v>
      </c>
      <c r="P128" s="30" t="str">
        <f aca="false">IF(O128&gt;=$X$12,"Foundational deep pass",IF(O128&gt;=$X$13,"Major deep pass",IF(O128&gt;=$X$14,"Targeted innovation pass",IF(O128&gt;=$X$15,"Sampling pass","Reference / defer"))))</f>
        <v>Major deep pass</v>
      </c>
      <c r="Q128" s="31" t="s">
        <v>14201</v>
      </c>
      <c r="R128" s="31" t="s">
        <v>14202</v>
      </c>
      <c r="S128" s="31" t="s">
        <v>14184</v>
      </c>
      <c r="T128" s="31" t="s">
        <v>9446</v>
      </c>
      <c r="U128" s="42" t="n">
        <v>46236</v>
      </c>
    </row>
    <row r="129" customFormat="false" ht="45.75" hidden="false" customHeight="true" outlineLevel="0" collapsed="false">
      <c r="A129" s="30" t="n">
        <v>123</v>
      </c>
      <c r="B129" s="30" t="s">
        <v>9514</v>
      </c>
      <c r="C129" s="31" t="s">
        <v>9515</v>
      </c>
      <c r="D129" s="31" t="s">
        <v>9498</v>
      </c>
      <c r="E129" s="31" t="s">
        <v>8226</v>
      </c>
      <c r="F129" s="30" t="n">
        <f aca="false">COUNTIF('Seed Catalogue'!$C$2:$C$452,B129)</f>
        <v>0</v>
      </c>
      <c r="G129" s="40" t="n">
        <v>4</v>
      </c>
      <c r="H129" s="40" t="n">
        <v>3</v>
      </c>
      <c r="I129" s="40" t="n">
        <v>3</v>
      </c>
      <c r="J129" s="40" t="n">
        <v>4</v>
      </c>
      <c r="K129" s="40" t="n">
        <v>4</v>
      </c>
      <c r="L129" s="40" t="n">
        <v>4</v>
      </c>
      <c r="M129" s="40" t="n">
        <v>3</v>
      </c>
      <c r="N129" s="40" t="n">
        <v>2</v>
      </c>
      <c r="O129" s="41" t="n">
        <f aca="false">ROUND(G129/5*$X$2+H129/5*$X$3+I129/5*$X$4+J129/5*$X$5+K129/5*$X$6+L129/5*$X$7+M129/5*$X$8-N129/5*$X$9,1)</f>
        <v>64</v>
      </c>
      <c r="P129" s="30" t="str">
        <f aca="false">IF(O129&gt;=$X$12,"Foundational deep pass",IF(O129&gt;=$X$13,"Major deep pass",IF(O129&gt;=$X$14,"Targeted innovation pass",IF(O129&gt;=$X$15,"Sampling pass","Reference / defer"))))</f>
        <v>Major deep pass</v>
      </c>
      <c r="Q129" s="31" t="s">
        <v>14201</v>
      </c>
      <c r="R129" s="31" t="s">
        <v>14202</v>
      </c>
      <c r="S129" s="31" t="s">
        <v>14184</v>
      </c>
      <c r="T129" s="31" t="s">
        <v>9518</v>
      </c>
      <c r="U129" s="42" t="n">
        <v>46236</v>
      </c>
    </row>
    <row r="130" customFormat="false" ht="45.75" hidden="false" customHeight="true" outlineLevel="0" collapsed="false">
      <c r="A130" s="30" t="n">
        <v>124</v>
      </c>
      <c r="B130" s="30" t="s">
        <v>9457</v>
      </c>
      <c r="C130" s="31" t="s">
        <v>9458</v>
      </c>
      <c r="D130" s="31" t="s">
        <v>9410</v>
      </c>
      <c r="E130" s="31" t="s">
        <v>8226</v>
      </c>
      <c r="F130" s="30" t="n">
        <f aca="false">COUNTIF('Seed Catalogue'!$C$2:$C$452,B130)</f>
        <v>0</v>
      </c>
      <c r="G130" s="40" t="n">
        <v>4</v>
      </c>
      <c r="H130" s="40" t="n">
        <v>3</v>
      </c>
      <c r="I130" s="40" t="n">
        <v>3</v>
      </c>
      <c r="J130" s="40" t="n">
        <v>4</v>
      </c>
      <c r="K130" s="40" t="n">
        <v>4</v>
      </c>
      <c r="L130" s="40" t="n">
        <v>4</v>
      </c>
      <c r="M130" s="40" t="n">
        <v>3</v>
      </c>
      <c r="N130" s="40" t="n">
        <v>2</v>
      </c>
      <c r="O130" s="41" t="n">
        <f aca="false">ROUND(G130/5*$X$2+H130/5*$X$3+I130/5*$X$4+J130/5*$X$5+K130/5*$X$6+L130/5*$X$7+M130/5*$X$8-N130/5*$X$9,1)</f>
        <v>64</v>
      </c>
      <c r="P130" s="30" t="str">
        <f aca="false">IF(O130&gt;=$X$12,"Foundational deep pass",IF(O130&gt;=$X$13,"Major deep pass",IF(O130&gt;=$X$14,"Targeted innovation pass",IF(O130&gt;=$X$15,"Sampling pass","Reference / defer"))))</f>
        <v>Major deep pass</v>
      </c>
      <c r="Q130" s="31" t="s">
        <v>14201</v>
      </c>
      <c r="R130" s="31" t="s">
        <v>14202</v>
      </c>
      <c r="S130" s="31" t="s">
        <v>14184</v>
      </c>
      <c r="T130" s="31" t="s">
        <v>9462</v>
      </c>
      <c r="U130" s="42" t="n">
        <v>46236</v>
      </c>
    </row>
    <row r="131" customFormat="false" ht="45.75" hidden="false" customHeight="true" outlineLevel="0" collapsed="false">
      <c r="A131" s="30" t="n">
        <v>125</v>
      </c>
      <c r="B131" s="30" t="s">
        <v>9468</v>
      </c>
      <c r="C131" s="31" t="s">
        <v>9469</v>
      </c>
      <c r="D131" s="31" t="s">
        <v>9410</v>
      </c>
      <c r="E131" s="31" t="s">
        <v>8226</v>
      </c>
      <c r="F131" s="30" t="n">
        <f aca="false">COUNTIF('Seed Catalogue'!$C$2:$C$452,B131)</f>
        <v>0</v>
      </c>
      <c r="G131" s="40" t="n">
        <v>4</v>
      </c>
      <c r="H131" s="40" t="n">
        <v>3</v>
      </c>
      <c r="I131" s="40" t="n">
        <v>3</v>
      </c>
      <c r="J131" s="40" t="n">
        <v>4</v>
      </c>
      <c r="K131" s="40" t="n">
        <v>4</v>
      </c>
      <c r="L131" s="40" t="n">
        <v>4</v>
      </c>
      <c r="M131" s="40" t="n">
        <v>3</v>
      </c>
      <c r="N131" s="40" t="n">
        <v>2</v>
      </c>
      <c r="O131" s="41" t="n">
        <f aca="false">ROUND(G131/5*$X$2+H131/5*$X$3+I131/5*$X$4+J131/5*$X$5+K131/5*$X$6+L131/5*$X$7+M131/5*$X$8-N131/5*$X$9,1)</f>
        <v>64</v>
      </c>
      <c r="P131" s="30" t="str">
        <f aca="false">IF(O131&gt;=$X$12,"Foundational deep pass",IF(O131&gt;=$X$13,"Major deep pass",IF(O131&gt;=$X$14,"Targeted innovation pass",IF(O131&gt;=$X$15,"Sampling pass","Reference / defer"))))</f>
        <v>Major deep pass</v>
      </c>
      <c r="Q131" s="31" t="s">
        <v>14201</v>
      </c>
      <c r="R131" s="31" t="s">
        <v>14202</v>
      </c>
      <c r="S131" s="31" t="s">
        <v>14184</v>
      </c>
      <c r="T131" s="31" t="s">
        <v>9473</v>
      </c>
      <c r="U131" s="42" t="n">
        <v>46236</v>
      </c>
    </row>
    <row r="132" customFormat="false" ht="45.75" hidden="false" customHeight="true" outlineLevel="0" collapsed="false">
      <c r="A132" s="30" t="n">
        <v>126</v>
      </c>
      <c r="B132" s="30" t="s">
        <v>9548</v>
      </c>
      <c r="C132" s="31" t="s">
        <v>9549</v>
      </c>
      <c r="D132" s="31" t="s">
        <v>9410</v>
      </c>
      <c r="E132" s="31" t="s">
        <v>8226</v>
      </c>
      <c r="F132" s="30" t="n">
        <f aca="false">COUNTIF('Seed Catalogue'!$C$2:$C$452,B132)</f>
        <v>0</v>
      </c>
      <c r="G132" s="40" t="n">
        <v>4</v>
      </c>
      <c r="H132" s="40" t="n">
        <v>3</v>
      </c>
      <c r="I132" s="40" t="n">
        <v>3</v>
      </c>
      <c r="J132" s="40" t="n">
        <v>4</v>
      </c>
      <c r="K132" s="40" t="n">
        <v>4</v>
      </c>
      <c r="L132" s="40" t="n">
        <v>4</v>
      </c>
      <c r="M132" s="40" t="n">
        <v>3</v>
      </c>
      <c r="N132" s="40" t="n">
        <v>2</v>
      </c>
      <c r="O132" s="41" t="n">
        <f aca="false">ROUND(G132/5*$X$2+H132/5*$X$3+I132/5*$X$4+J132/5*$X$5+K132/5*$X$6+L132/5*$X$7+M132/5*$X$8-N132/5*$X$9,1)</f>
        <v>64</v>
      </c>
      <c r="P132" s="30" t="str">
        <f aca="false">IF(O132&gt;=$X$12,"Foundational deep pass",IF(O132&gt;=$X$13,"Major deep pass",IF(O132&gt;=$X$14,"Targeted innovation pass",IF(O132&gt;=$X$15,"Sampling pass","Reference / defer"))))</f>
        <v>Major deep pass</v>
      </c>
      <c r="Q132" s="31" t="s">
        <v>14201</v>
      </c>
      <c r="R132" s="31" t="s">
        <v>14202</v>
      </c>
      <c r="S132" s="31" t="s">
        <v>14184</v>
      </c>
      <c r="T132" s="31" t="s">
        <v>9552</v>
      </c>
      <c r="U132" s="42" t="n">
        <v>46236</v>
      </c>
    </row>
    <row r="133" customFormat="false" ht="45.75" hidden="false" customHeight="true" outlineLevel="0" collapsed="false">
      <c r="A133" s="30" t="n">
        <v>127</v>
      </c>
      <c r="B133" s="30" t="s">
        <v>8626</v>
      </c>
      <c r="C133" s="31" t="s">
        <v>8627</v>
      </c>
      <c r="D133" s="31" t="s">
        <v>8629</v>
      </c>
      <c r="E133" s="31" t="s">
        <v>8226</v>
      </c>
      <c r="F133" s="30" t="n">
        <f aca="false">COUNTIF('Seed Catalogue'!$C$2:$C$452,B133)</f>
        <v>0</v>
      </c>
      <c r="G133" s="40" t="n">
        <v>4</v>
      </c>
      <c r="H133" s="40" t="n">
        <v>3</v>
      </c>
      <c r="I133" s="40" t="n">
        <v>3</v>
      </c>
      <c r="J133" s="40" t="n">
        <v>4</v>
      </c>
      <c r="K133" s="40" t="n">
        <v>4</v>
      </c>
      <c r="L133" s="40" t="n">
        <v>4</v>
      </c>
      <c r="M133" s="40" t="n">
        <v>3</v>
      </c>
      <c r="N133" s="40" t="n">
        <v>2</v>
      </c>
      <c r="O133" s="41" t="n">
        <f aca="false">ROUND(G133/5*$X$2+H133/5*$X$3+I133/5*$X$4+J133/5*$X$5+K133/5*$X$6+L133/5*$X$7+M133/5*$X$8-N133/5*$X$9,1)</f>
        <v>64</v>
      </c>
      <c r="P133" s="30" t="str">
        <f aca="false">IF(O133&gt;=$X$12,"Foundational deep pass",IF(O133&gt;=$X$13,"Major deep pass",IF(O133&gt;=$X$14,"Targeted innovation pass",IF(O133&gt;=$X$15,"Sampling pass","Reference / defer"))))</f>
        <v>Major deep pass</v>
      </c>
      <c r="Q133" s="31" t="s">
        <v>14201</v>
      </c>
      <c r="R133" s="31" t="s">
        <v>14202</v>
      </c>
      <c r="S133" s="31" t="s">
        <v>14184</v>
      </c>
      <c r="T133" s="31" t="s">
        <v>8633</v>
      </c>
      <c r="U133" s="42" t="n">
        <v>46236</v>
      </c>
    </row>
    <row r="134" customFormat="false" ht="45.75" hidden="false" customHeight="true" outlineLevel="0" collapsed="false">
      <c r="A134" s="30" t="n">
        <v>128</v>
      </c>
      <c r="B134" s="30" t="s">
        <v>9691</v>
      </c>
      <c r="C134" s="31" t="s">
        <v>9692</v>
      </c>
      <c r="D134" s="31" t="s">
        <v>8629</v>
      </c>
      <c r="E134" s="31" t="s">
        <v>8226</v>
      </c>
      <c r="F134" s="30" t="n">
        <f aca="false">COUNTIF('Seed Catalogue'!$C$2:$C$452,B134)</f>
        <v>0</v>
      </c>
      <c r="G134" s="40" t="n">
        <v>4</v>
      </c>
      <c r="H134" s="40" t="n">
        <v>3</v>
      </c>
      <c r="I134" s="40" t="n">
        <v>3</v>
      </c>
      <c r="J134" s="40" t="n">
        <v>4</v>
      </c>
      <c r="K134" s="40" t="n">
        <v>4</v>
      </c>
      <c r="L134" s="40" t="n">
        <v>4</v>
      </c>
      <c r="M134" s="40" t="n">
        <v>3</v>
      </c>
      <c r="N134" s="40" t="n">
        <v>2</v>
      </c>
      <c r="O134" s="41" t="n">
        <f aca="false">ROUND(G134/5*$X$2+H134/5*$X$3+I134/5*$X$4+J134/5*$X$5+K134/5*$X$6+L134/5*$X$7+M134/5*$X$8-N134/5*$X$9,1)</f>
        <v>64</v>
      </c>
      <c r="P134" s="30" t="str">
        <f aca="false">IF(O134&gt;=$X$12,"Foundational deep pass",IF(O134&gt;=$X$13,"Major deep pass",IF(O134&gt;=$X$14,"Targeted innovation pass",IF(O134&gt;=$X$15,"Sampling pass","Reference / defer"))))</f>
        <v>Major deep pass</v>
      </c>
      <c r="Q134" s="31" t="s">
        <v>14201</v>
      </c>
      <c r="R134" s="31" t="s">
        <v>14202</v>
      </c>
      <c r="S134" s="31" t="s">
        <v>14184</v>
      </c>
      <c r="T134" s="31" t="s">
        <v>9696</v>
      </c>
      <c r="U134" s="42" t="n">
        <v>46236</v>
      </c>
    </row>
    <row r="135" customFormat="false" ht="45.75" hidden="false" customHeight="true" outlineLevel="0" collapsed="false">
      <c r="A135" s="30" t="n">
        <v>129</v>
      </c>
      <c r="B135" s="30" t="s">
        <v>9525</v>
      </c>
      <c r="C135" s="31" t="s">
        <v>9526</v>
      </c>
      <c r="D135" s="31" t="s">
        <v>8629</v>
      </c>
      <c r="E135" s="31" t="s">
        <v>8226</v>
      </c>
      <c r="F135" s="30" t="n">
        <f aca="false">COUNTIF('Seed Catalogue'!$C$2:$C$452,B135)</f>
        <v>0</v>
      </c>
      <c r="G135" s="40" t="n">
        <v>4</v>
      </c>
      <c r="H135" s="40" t="n">
        <v>3</v>
      </c>
      <c r="I135" s="40" t="n">
        <v>3</v>
      </c>
      <c r="J135" s="40" t="n">
        <v>4</v>
      </c>
      <c r="K135" s="40" t="n">
        <v>4</v>
      </c>
      <c r="L135" s="40" t="n">
        <v>4</v>
      </c>
      <c r="M135" s="40" t="n">
        <v>3</v>
      </c>
      <c r="N135" s="40" t="n">
        <v>2</v>
      </c>
      <c r="O135" s="41" t="n">
        <f aca="false">ROUND(G135/5*$X$2+H135/5*$X$3+I135/5*$X$4+J135/5*$X$5+K135/5*$X$6+L135/5*$X$7+M135/5*$X$8-N135/5*$X$9,1)</f>
        <v>64</v>
      </c>
      <c r="P135" s="30" t="str">
        <f aca="false">IF(O135&gt;=$X$12,"Foundational deep pass",IF(O135&gt;=$X$13,"Major deep pass",IF(O135&gt;=$X$14,"Targeted innovation pass",IF(O135&gt;=$X$15,"Sampling pass","Reference / defer"))))</f>
        <v>Major deep pass</v>
      </c>
      <c r="Q135" s="31" t="s">
        <v>14201</v>
      </c>
      <c r="R135" s="31" t="s">
        <v>14202</v>
      </c>
      <c r="S135" s="31" t="s">
        <v>14184</v>
      </c>
      <c r="T135" s="31" t="s">
        <v>9531</v>
      </c>
      <c r="U135" s="42" t="n">
        <v>46236</v>
      </c>
    </row>
    <row r="136" customFormat="false" ht="45.75" hidden="false" customHeight="true" outlineLevel="0" collapsed="false">
      <c r="A136" s="30" t="n">
        <v>130</v>
      </c>
      <c r="B136" s="30" t="s">
        <v>9569</v>
      </c>
      <c r="C136" s="31" t="s">
        <v>9570</v>
      </c>
      <c r="D136" s="31" t="s">
        <v>8629</v>
      </c>
      <c r="E136" s="31" t="s">
        <v>8226</v>
      </c>
      <c r="F136" s="30" t="n">
        <f aca="false">COUNTIF('Seed Catalogue'!$C$2:$C$452,B136)</f>
        <v>0</v>
      </c>
      <c r="G136" s="40" t="n">
        <v>4</v>
      </c>
      <c r="H136" s="40" t="n">
        <v>3</v>
      </c>
      <c r="I136" s="40" t="n">
        <v>3</v>
      </c>
      <c r="J136" s="40" t="n">
        <v>4</v>
      </c>
      <c r="K136" s="40" t="n">
        <v>4</v>
      </c>
      <c r="L136" s="40" t="n">
        <v>4</v>
      </c>
      <c r="M136" s="40" t="n">
        <v>3</v>
      </c>
      <c r="N136" s="40" t="n">
        <v>2</v>
      </c>
      <c r="O136" s="41" t="n">
        <f aca="false">ROUND(G136/5*$X$2+H136/5*$X$3+I136/5*$X$4+J136/5*$X$5+K136/5*$X$6+L136/5*$X$7+M136/5*$X$8-N136/5*$X$9,1)</f>
        <v>64</v>
      </c>
      <c r="P136" s="30" t="str">
        <f aca="false">IF(O136&gt;=$X$12,"Foundational deep pass",IF(O136&gt;=$X$13,"Major deep pass",IF(O136&gt;=$X$14,"Targeted innovation pass",IF(O136&gt;=$X$15,"Sampling pass","Reference / defer"))))</f>
        <v>Major deep pass</v>
      </c>
      <c r="Q136" s="31" t="s">
        <v>14201</v>
      </c>
      <c r="R136" s="31" t="s">
        <v>14202</v>
      </c>
      <c r="S136" s="31" t="s">
        <v>14184</v>
      </c>
      <c r="T136" s="31" t="s">
        <v>9573</v>
      </c>
      <c r="U136" s="42" t="n">
        <v>46236</v>
      </c>
    </row>
    <row r="137" customFormat="false" ht="45.75" hidden="false" customHeight="true" outlineLevel="0" collapsed="false">
      <c r="A137" s="30" t="n">
        <v>131</v>
      </c>
      <c r="B137" s="30" t="s">
        <v>9656</v>
      </c>
      <c r="C137" s="31" t="s">
        <v>9657</v>
      </c>
      <c r="D137" s="31" t="s">
        <v>9659</v>
      </c>
      <c r="E137" s="31" t="s">
        <v>8205</v>
      </c>
      <c r="F137" s="30" t="n">
        <f aca="false">COUNTIF('Seed Catalogue'!$C$2:$C$452,B137)</f>
        <v>0</v>
      </c>
      <c r="G137" s="40" t="n">
        <v>4</v>
      </c>
      <c r="H137" s="40" t="n">
        <v>3</v>
      </c>
      <c r="I137" s="40" t="n">
        <v>3</v>
      </c>
      <c r="J137" s="40" t="n">
        <v>4</v>
      </c>
      <c r="K137" s="40" t="n">
        <v>4</v>
      </c>
      <c r="L137" s="40" t="n">
        <v>4</v>
      </c>
      <c r="M137" s="40" t="n">
        <v>3</v>
      </c>
      <c r="N137" s="40" t="n">
        <v>2</v>
      </c>
      <c r="O137" s="41" t="n">
        <f aca="false">ROUND(G137/5*$X$2+H137/5*$X$3+I137/5*$X$4+J137/5*$X$5+K137/5*$X$6+L137/5*$X$7+M137/5*$X$8-N137/5*$X$9,1)</f>
        <v>64</v>
      </c>
      <c r="P137" s="30" t="str">
        <f aca="false">IF(O137&gt;=$X$12,"Foundational deep pass",IF(O137&gt;=$X$13,"Major deep pass",IF(O137&gt;=$X$14,"Targeted innovation pass",IF(O137&gt;=$X$15,"Sampling pass","Reference / defer"))))</f>
        <v>Major deep pass</v>
      </c>
      <c r="Q137" s="31" t="s">
        <v>14201</v>
      </c>
      <c r="R137" s="31" t="s">
        <v>14202</v>
      </c>
      <c r="S137" s="31" t="s">
        <v>14184</v>
      </c>
      <c r="T137" s="31" t="s">
        <v>9661</v>
      </c>
      <c r="U137" s="42" t="n">
        <v>46236</v>
      </c>
    </row>
    <row r="138" customFormat="false" ht="45.75" hidden="false" customHeight="true" outlineLevel="0" collapsed="false">
      <c r="A138" s="30" t="n">
        <v>132</v>
      </c>
      <c r="B138" s="30" t="s">
        <v>9509</v>
      </c>
      <c r="C138" s="31" t="s">
        <v>9510</v>
      </c>
      <c r="D138" s="31" t="s">
        <v>9498</v>
      </c>
      <c r="E138" s="31" t="s">
        <v>8226</v>
      </c>
      <c r="F138" s="30" t="n">
        <f aca="false">COUNTIF('Seed Catalogue'!$C$2:$C$452,B138)</f>
        <v>0</v>
      </c>
      <c r="G138" s="40" t="n">
        <v>4</v>
      </c>
      <c r="H138" s="40" t="n">
        <v>3</v>
      </c>
      <c r="I138" s="40" t="n">
        <v>3</v>
      </c>
      <c r="J138" s="40" t="n">
        <v>4</v>
      </c>
      <c r="K138" s="40" t="n">
        <v>4</v>
      </c>
      <c r="L138" s="40" t="n">
        <v>4</v>
      </c>
      <c r="M138" s="40" t="n">
        <v>3</v>
      </c>
      <c r="N138" s="40" t="n">
        <v>2</v>
      </c>
      <c r="O138" s="41" t="n">
        <f aca="false">ROUND(G138/5*$X$2+H138/5*$X$3+I138/5*$X$4+J138/5*$X$5+K138/5*$X$6+L138/5*$X$7+M138/5*$X$8-N138/5*$X$9,1)</f>
        <v>64</v>
      </c>
      <c r="P138" s="30" t="str">
        <f aca="false">IF(O138&gt;=$X$12,"Foundational deep pass",IF(O138&gt;=$X$13,"Major deep pass",IF(O138&gt;=$X$14,"Targeted innovation pass",IF(O138&gt;=$X$15,"Sampling pass","Reference / defer"))))</f>
        <v>Major deep pass</v>
      </c>
      <c r="Q138" s="31" t="s">
        <v>14201</v>
      </c>
      <c r="R138" s="31" t="s">
        <v>14202</v>
      </c>
      <c r="S138" s="31" t="s">
        <v>14184</v>
      </c>
      <c r="T138" s="31" t="s">
        <v>9513</v>
      </c>
      <c r="U138" s="42" t="n">
        <v>46236</v>
      </c>
    </row>
    <row r="139" customFormat="false" ht="45.75" hidden="false" customHeight="true" outlineLevel="0" collapsed="false">
      <c r="A139" s="30" t="n">
        <v>133</v>
      </c>
      <c r="B139" s="30" t="s">
        <v>9574</v>
      </c>
      <c r="C139" s="31" t="s">
        <v>9575</v>
      </c>
      <c r="D139" s="31" t="s">
        <v>9410</v>
      </c>
      <c r="E139" s="31" t="s">
        <v>8226</v>
      </c>
      <c r="F139" s="30" t="n">
        <f aca="false">COUNTIF('Seed Catalogue'!$C$2:$C$452,B139)</f>
        <v>0</v>
      </c>
      <c r="G139" s="40" t="n">
        <v>4</v>
      </c>
      <c r="H139" s="40" t="n">
        <v>3</v>
      </c>
      <c r="I139" s="40" t="n">
        <v>3</v>
      </c>
      <c r="J139" s="40" t="n">
        <v>4</v>
      </c>
      <c r="K139" s="40" t="n">
        <v>4</v>
      </c>
      <c r="L139" s="40" t="n">
        <v>4</v>
      </c>
      <c r="M139" s="40" t="n">
        <v>3</v>
      </c>
      <c r="N139" s="40" t="n">
        <v>2</v>
      </c>
      <c r="O139" s="41" t="n">
        <f aca="false">ROUND(G139/5*$X$2+H139/5*$X$3+I139/5*$X$4+J139/5*$X$5+K139/5*$X$6+L139/5*$X$7+M139/5*$X$8-N139/5*$X$9,1)</f>
        <v>64</v>
      </c>
      <c r="P139" s="30" t="str">
        <f aca="false">IF(O139&gt;=$X$12,"Foundational deep pass",IF(O139&gt;=$X$13,"Major deep pass",IF(O139&gt;=$X$14,"Targeted innovation pass",IF(O139&gt;=$X$15,"Sampling pass","Reference / defer"))))</f>
        <v>Major deep pass</v>
      </c>
      <c r="Q139" s="31" t="s">
        <v>14201</v>
      </c>
      <c r="R139" s="31" t="s">
        <v>14202</v>
      </c>
      <c r="S139" s="31" t="s">
        <v>14184</v>
      </c>
      <c r="T139" s="31" t="s">
        <v>9578</v>
      </c>
      <c r="U139" s="42" t="n">
        <v>46236</v>
      </c>
    </row>
    <row r="140" customFormat="false" ht="45.75" hidden="false" customHeight="true" outlineLevel="0" collapsed="false">
      <c r="A140" s="30" t="n">
        <v>134</v>
      </c>
      <c r="B140" s="30" t="s">
        <v>9589</v>
      </c>
      <c r="C140" s="31" t="s">
        <v>9590</v>
      </c>
      <c r="D140" s="31" t="s">
        <v>9592</v>
      </c>
      <c r="E140" s="31" t="s">
        <v>8226</v>
      </c>
      <c r="F140" s="30" t="n">
        <f aca="false">COUNTIF('Seed Catalogue'!$C$2:$C$452,B140)</f>
        <v>0</v>
      </c>
      <c r="G140" s="40" t="n">
        <v>4</v>
      </c>
      <c r="H140" s="40" t="n">
        <v>3</v>
      </c>
      <c r="I140" s="40" t="n">
        <v>3</v>
      </c>
      <c r="J140" s="40" t="n">
        <v>4</v>
      </c>
      <c r="K140" s="40" t="n">
        <v>4</v>
      </c>
      <c r="L140" s="40" t="n">
        <v>4</v>
      </c>
      <c r="M140" s="40" t="n">
        <v>3</v>
      </c>
      <c r="N140" s="40" t="n">
        <v>2</v>
      </c>
      <c r="O140" s="41" t="n">
        <f aca="false">ROUND(G140/5*$X$2+H140/5*$X$3+I140/5*$X$4+J140/5*$X$5+K140/5*$X$6+L140/5*$X$7+M140/5*$X$8-N140/5*$X$9,1)</f>
        <v>64</v>
      </c>
      <c r="P140" s="30" t="str">
        <f aca="false">IF(O140&gt;=$X$12,"Foundational deep pass",IF(O140&gt;=$X$13,"Major deep pass",IF(O140&gt;=$X$14,"Targeted innovation pass",IF(O140&gt;=$X$15,"Sampling pass","Reference / defer"))))</f>
        <v>Major deep pass</v>
      </c>
      <c r="Q140" s="31" t="s">
        <v>14201</v>
      </c>
      <c r="R140" s="31" t="s">
        <v>14202</v>
      </c>
      <c r="S140" s="31" t="s">
        <v>14184</v>
      </c>
      <c r="T140" s="31" t="s">
        <v>9595</v>
      </c>
      <c r="U140" s="42" t="n">
        <v>46236</v>
      </c>
    </row>
    <row r="141" customFormat="false" ht="45.75" hidden="false" customHeight="true" outlineLevel="0" collapsed="false">
      <c r="A141" s="30" t="n">
        <v>135</v>
      </c>
      <c r="B141" s="30" t="s">
        <v>9644</v>
      </c>
      <c r="C141" s="31" t="s">
        <v>9645</v>
      </c>
      <c r="D141" s="31" t="s">
        <v>9647</v>
      </c>
      <c r="E141" s="31" t="s">
        <v>8592</v>
      </c>
      <c r="F141" s="30" t="n">
        <f aca="false">COUNTIF('Seed Catalogue'!$C$2:$C$452,B141)</f>
        <v>0</v>
      </c>
      <c r="G141" s="40" t="n">
        <v>4</v>
      </c>
      <c r="H141" s="40" t="n">
        <v>3</v>
      </c>
      <c r="I141" s="40" t="n">
        <v>3</v>
      </c>
      <c r="J141" s="40" t="n">
        <v>4</v>
      </c>
      <c r="K141" s="40" t="n">
        <v>4</v>
      </c>
      <c r="L141" s="40" t="n">
        <v>4</v>
      </c>
      <c r="M141" s="40" t="n">
        <v>3</v>
      </c>
      <c r="N141" s="40" t="n">
        <v>2</v>
      </c>
      <c r="O141" s="41" t="n">
        <f aca="false">ROUND(G141/5*$X$2+H141/5*$X$3+I141/5*$X$4+J141/5*$X$5+K141/5*$X$6+L141/5*$X$7+M141/5*$X$8-N141/5*$X$9,1)</f>
        <v>64</v>
      </c>
      <c r="P141" s="30" t="str">
        <f aca="false">IF(O141&gt;=$X$12,"Foundational deep pass",IF(O141&gt;=$X$13,"Major deep pass",IF(O141&gt;=$X$14,"Targeted innovation pass",IF(O141&gt;=$X$15,"Sampling pass","Reference / defer"))))</f>
        <v>Major deep pass</v>
      </c>
      <c r="Q141" s="31" t="s">
        <v>14201</v>
      </c>
      <c r="R141" s="31" t="s">
        <v>14202</v>
      </c>
      <c r="S141" s="31" t="s">
        <v>14184</v>
      </c>
      <c r="T141" s="31" t="s">
        <v>9650</v>
      </c>
      <c r="U141" s="42" t="n">
        <v>46236</v>
      </c>
    </row>
    <row r="142" customFormat="false" ht="45.75" hidden="false" customHeight="true" outlineLevel="0" collapsed="false">
      <c r="A142" s="30" t="n">
        <v>136</v>
      </c>
      <c r="B142" s="30" t="s">
        <v>9479</v>
      </c>
      <c r="C142" s="31" t="s">
        <v>9480</v>
      </c>
      <c r="D142" s="31" t="s">
        <v>9410</v>
      </c>
      <c r="E142" s="31" t="s">
        <v>8226</v>
      </c>
      <c r="F142" s="30" t="n">
        <f aca="false">COUNTIF('Seed Catalogue'!$C$2:$C$452,B142)</f>
        <v>0</v>
      </c>
      <c r="G142" s="40" t="n">
        <v>4</v>
      </c>
      <c r="H142" s="40" t="n">
        <v>3</v>
      </c>
      <c r="I142" s="40" t="n">
        <v>3</v>
      </c>
      <c r="J142" s="40" t="n">
        <v>4</v>
      </c>
      <c r="K142" s="40" t="n">
        <v>4</v>
      </c>
      <c r="L142" s="40" t="n">
        <v>4</v>
      </c>
      <c r="M142" s="40" t="n">
        <v>3</v>
      </c>
      <c r="N142" s="40" t="n">
        <v>2</v>
      </c>
      <c r="O142" s="41" t="n">
        <f aca="false">ROUND(G142/5*$X$2+H142/5*$X$3+I142/5*$X$4+J142/5*$X$5+K142/5*$X$6+L142/5*$X$7+M142/5*$X$8-N142/5*$X$9,1)</f>
        <v>64</v>
      </c>
      <c r="P142" s="30" t="str">
        <f aca="false">IF(O142&gt;=$X$12,"Foundational deep pass",IF(O142&gt;=$X$13,"Major deep pass",IF(O142&gt;=$X$14,"Targeted innovation pass",IF(O142&gt;=$X$15,"Sampling pass","Reference / defer"))))</f>
        <v>Major deep pass</v>
      </c>
      <c r="Q142" s="31" t="s">
        <v>14201</v>
      </c>
      <c r="R142" s="31" t="s">
        <v>14202</v>
      </c>
      <c r="S142" s="31" t="s">
        <v>14184</v>
      </c>
      <c r="T142" s="31" t="s">
        <v>9482</v>
      </c>
      <c r="U142" s="42" t="n">
        <v>46236</v>
      </c>
    </row>
    <row r="143" customFormat="false" ht="45.75" hidden="false" customHeight="true" outlineLevel="0" collapsed="false">
      <c r="A143" s="30" t="n">
        <v>137</v>
      </c>
      <c r="B143" s="30" t="s">
        <v>8634</v>
      </c>
      <c r="C143" s="31" t="s">
        <v>8635</v>
      </c>
      <c r="D143" s="31" t="s">
        <v>8637</v>
      </c>
      <c r="E143" s="31" t="s">
        <v>8638</v>
      </c>
      <c r="F143" s="30" t="n">
        <f aca="false">COUNTIF('Seed Catalogue'!$C$2:$C$452,B143)</f>
        <v>9</v>
      </c>
      <c r="G143" s="40" t="n">
        <v>4</v>
      </c>
      <c r="H143" s="40" t="n">
        <v>3</v>
      </c>
      <c r="I143" s="40" t="n">
        <v>3</v>
      </c>
      <c r="J143" s="40" t="n">
        <v>5</v>
      </c>
      <c r="K143" s="40" t="n">
        <v>4</v>
      </c>
      <c r="L143" s="40" t="n">
        <v>4</v>
      </c>
      <c r="M143" s="40" t="n">
        <v>3</v>
      </c>
      <c r="N143" s="40" t="n">
        <v>3</v>
      </c>
      <c r="O143" s="41" t="n">
        <f aca="false">ROUND(G143/5*$X$2+H143/5*$X$3+I143/5*$X$4+J143/5*$X$5+K143/5*$X$6+L143/5*$X$7+M143/5*$X$8-N143/5*$X$9,1)</f>
        <v>63</v>
      </c>
      <c r="P143" s="30" t="str">
        <f aca="false">IF(O143&gt;=$X$12,"Foundational deep pass",IF(O143&gt;=$X$13,"Major deep pass",IF(O143&gt;=$X$14,"Targeted innovation pass",IF(O143&gt;=$X$15,"Sampling pass","Reference / defer"))))</f>
        <v>Major deep pass</v>
      </c>
      <c r="Q143" s="31" t="s">
        <v>14201</v>
      </c>
      <c r="R143" s="31" t="s">
        <v>14202</v>
      </c>
      <c r="S143" s="31" t="s">
        <v>14184</v>
      </c>
      <c r="T143" s="31" t="s">
        <v>8641</v>
      </c>
      <c r="U143" s="42" t="n">
        <v>46236</v>
      </c>
    </row>
    <row r="144" customFormat="false" ht="45.75" hidden="false" customHeight="true" outlineLevel="0" collapsed="false">
      <c r="A144" s="30" t="n">
        <v>138</v>
      </c>
      <c r="B144" s="30" t="s">
        <v>9420</v>
      </c>
      <c r="C144" s="31" t="s">
        <v>9421</v>
      </c>
      <c r="D144" s="31" t="s">
        <v>9410</v>
      </c>
      <c r="E144" s="31" t="s">
        <v>8226</v>
      </c>
      <c r="F144" s="30" t="n">
        <f aca="false">COUNTIF('Seed Catalogue'!$C$2:$C$452,B144)</f>
        <v>10</v>
      </c>
      <c r="G144" s="40" t="n">
        <v>4</v>
      </c>
      <c r="H144" s="40" t="n">
        <v>3</v>
      </c>
      <c r="I144" s="40" t="n">
        <v>3</v>
      </c>
      <c r="J144" s="40" t="n">
        <v>5</v>
      </c>
      <c r="K144" s="40" t="n">
        <v>4</v>
      </c>
      <c r="L144" s="40" t="n">
        <v>4</v>
      </c>
      <c r="M144" s="40" t="n">
        <v>3</v>
      </c>
      <c r="N144" s="40" t="n">
        <v>3</v>
      </c>
      <c r="O144" s="41" t="n">
        <f aca="false">ROUND(G144/5*$X$2+H144/5*$X$3+I144/5*$X$4+J144/5*$X$5+K144/5*$X$6+L144/5*$X$7+M144/5*$X$8-N144/5*$X$9,1)</f>
        <v>63</v>
      </c>
      <c r="P144" s="30" t="str">
        <f aca="false">IF(O144&gt;=$X$12,"Foundational deep pass",IF(O144&gt;=$X$13,"Major deep pass",IF(O144&gt;=$X$14,"Targeted innovation pass",IF(O144&gt;=$X$15,"Sampling pass","Reference / defer"))))</f>
        <v>Major deep pass</v>
      </c>
      <c r="Q144" s="31" t="s">
        <v>14201</v>
      </c>
      <c r="R144" s="31" t="s">
        <v>14202</v>
      </c>
      <c r="S144" s="31" t="s">
        <v>14184</v>
      </c>
      <c r="T144" s="31" t="s">
        <v>9424</v>
      </c>
      <c r="U144" s="42" t="n">
        <v>46236</v>
      </c>
    </row>
    <row r="145" customFormat="false" ht="45.75" hidden="false" customHeight="true" outlineLevel="0" collapsed="false">
      <c r="A145" s="30" t="n">
        <v>139</v>
      </c>
      <c r="B145" s="30" t="s">
        <v>9414</v>
      </c>
      <c r="C145" s="31" t="s">
        <v>9415</v>
      </c>
      <c r="D145" s="31" t="s">
        <v>9410</v>
      </c>
      <c r="E145" s="31" t="s">
        <v>8226</v>
      </c>
      <c r="F145" s="30" t="n">
        <f aca="false">COUNTIF('Seed Catalogue'!$C$2:$C$452,B145)</f>
        <v>9</v>
      </c>
      <c r="G145" s="40" t="n">
        <v>4</v>
      </c>
      <c r="H145" s="40" t="n">
        <v>3</v>
      </c>
      <c r="I145" s="40" t="n">
        <v>3</v>
      </c>
      <c r="J145" s="40" t="n">
        <v>5</v>
      </c>
      <c r="K145" s="40" t="n">
        <v>4</v>
      </c>
      <c r="L145" s="40" t="n">
        <v>4</v>
      </c>
      <c r="M145" s="40" t="n">
        <v>3</v>
      </c>
      <c r="N145" s="40" t="n">
        <v>3</v>
      </c>
      <c r="O145" s="41" t="n">
        <f aca="false">ROUND(G145/5*$X$2+H145/5*$X$3+I145/5*$X$4+J145/5*$X$5+K145/5*$X$6+L145/5*$X$7+M145/5*$X$8-N145/5*$X$9,1)</f>
        <v>63</v>
      </c>
      <c r="P145" s="30" t="str">
        <f aca="false">IF(O145&gt;=$X$12,"Foundational deep pass",IF(O145&gt;=$X$13,"Major deep pass",IF(O145&gt;=$X$14,"Targeted innovation pass",IF(O145&gt;=$X$15,"Sampling pass","Reference / defer"))))</f>
        <v>Major deep pass</v>
      </c>
      <c r="Q145" s="31" t="s">
        <v>14201</v>
      </c>
      <c r="R145" s="31" t="s">
        <v>14202</v>
      </c>
      <c r="S145" s="31" t="s">
        <v>14184</v>
      </c>
      <c r="T145" s="31" t="s">
        <v>9419</v>
      </c>
      <c r="U145" s="42" t="n">
        <v>46236</v>
      </c>
    </row>
    <row r="146" customFormat="false" ht="45.75" hidden="false" customHeight="true" outlineLevel="0" collapsed="false">
      <c r="A146" s="30" t="n">
        <v>140</v>
      </c>
      <c r="B146" s="30" t="s">
        <v>8997</v>
      </c>
      <c r="C146" s="31" t="s">
        <v>8998</v>
      </c>
      <c r="D146" s="31" t="s">
        <v>9000</v>
      </c>
      <c r="E146" s="31" t="s">
        <v>8226</v>
      </c>
      <c r="F146" s="30" t="n">
        <f aca="false">COUNTIF('Seed Catalogue'!$C$2:$C$452,B146)</f>
        <v>29</v>
      </c>
      <c r="G146" s="40" t="n">
        <v>4</v>
      </c>
      <c r="H146" s="40" t="n">
        <v>5</v>
      </c>
      <c r="I146" s="40" t="n">
        <v>2</v>
      </c>
      <c r="J146" s="40" t="n">
        <v>5</v>
      </c>
      <c r="K146" s="40" t="n">
        <v>4</v>
      </c>
      <c r="L146" s="40" t="n">
        <v>5</v>
      </c>
      <c r="M146" s="40" t="n">
        <v>4</v>
      </c>
      <c r="N146" s="40" t="n">
        <v>5</v>
      </c>
      <c r="O146" s="41" t="n">
        <f aca="false">ROUND(G146/5*$X$2+H146/5*$X$3+I146/5*$X$4+J146/5*$X$5+K146/5*$X$6+L146/5*$X$7+M146/5*$X$8-N146/5*$X$9,1)</f>
        <v>62</v>
      </c>
      <c r="P146" s="30" t="str">
        <f aca="false">IF(O146&gt;=$X$12,"Foundational deep pass",IF(O146&gt;=$X$13,"Major deep pass",IF(O146&gt;=$X$14,"Targeted innovation pass",IF(O146&gt;=$X$15,"Sampling pass","Reference / defer"))))</f>
        <v>Major deep pass</v>
      </c>
      <c r="Q146" s="31" t="s">
        <v>14205</v>
      </c>
      <c r="R146" s="31" t="s">
        <v>14206</v>
      </c>
      <c r="S146" s="31" t="s">
        <v>14141</v>
      </c>
      <c r="T146" s="31" t="s">
        <v>9003</v>
      </c>
      <c r="U146" s="42" t="n">
        <v>46236</v>
      </c>
    </row>
    <row r="147" customFormat="false" ht="45.75" hidden="false" customHeight="true" outlineLevel="0" collapsed="false">
      <c r="A147" s="30" t="n">
        <v>141</v>
      </c>
      <c r="B147" s="30" t="s">
        <v>8822</v>
      </c>
      <c r="C147" s="31" t="s">
        <v>8823</v>
      </c>
      <c r="D147" s="31" t="s">
        <v>8721</v>
      </c>
      <c r="E147" s="31" t="s">
        <v>8343</v>
      </c>
      <c r="F147" s="30" t="n">
        <f aca="false">COUNTIF('Seed Catalogue'!$C$2:$C$452,B147)</f>
        <v>0</v>
      </c>
      <c r="G147" s="40" t="n">
        <v>3</v>
      </c>
      <c r="H147" s="40" t="n">
        <v>5</v>
      </c>
      <c r="I147" s="40" t="n">
        <v>2</v>
      </c>
      <c r="J147" s="40" t="n">
        <v>5</v>
      </c>
      <c r="K147" s="40" t="n">
        <v>4</v>
      </c>
      <c r="L147" s="40" t="n">
        <v>4</v>
      </c>
      <c r="M147" s="40" t="n">
        <v>5</v>
      </c>
      <c r="N147" s="40" t="n">
        <v>4</v>
      </c>
      <c r="O147" s="41" t="n">
        <f aca="false">ROUND(G147/5*$X$2+H147/5*$X$3+I147/5*$X$4+J147/5*$X$5+K147/5*$X$6+L147/5*$X$7+M147/5*$X$8-N147/5*$X$9,1)</f>
        <v>61</v>
      </c>
      <c r="P147" s="30" t="str">
        <f aca="false">IF(O147&gt;=$X$12,"Foundational deep pass",IF(O147&gt;=$X$13,"Major deep pass",IF(O147&gt;=$X$14,"Targeted innovation pass",IF(O147&gt;=$X$15,"Sampling pass","Reference / defer"))))</f>
        <v>Major deep pass</v>
      </c>
      <c r="Q147" s="31" t="s">
        <v>14207</v>
      </c>
      <c r="R147" s="31" t="s">
        <v>14208</v>
      </c>
      <c r="S147" s="31" t="s">
        <v>14184</v>
      </c>
      <c r="T147" s="31" t="s">
        <v>8828</v>
      </c>
      <c r="U147" s="42" t="n">
        <v>46236</v>
      </c>
    </row>
    <row r="148" customFormat="false" ht="45.75" hidden="false" customHeight="true" outlineLevel="0" collapsed="false">
      <c r="A148" s="30" t="n">
        <v>142</v>
      </c>
      <c r="B148" s="30" t="s">
        <v>8754</v>
      </c>
      <c r="C148" s="31" t="s">
        <v>8755</v>
      </c>
      <c r="D148" s="31" t="s">
        <v>8730</v>
      </c>
      <c r="E148" s="31" t="s">
        <v>8343</v>
      </c>
      <c r="F148" s="30" t="n">
        <f aca="false">COUNTIF('Seed Catalogue'!$C$2:$C$452,B148)</f>
        <v>0</v>
      </c>
      <c r="G148" s="40" t="n">
        <v>3</v>
      </c>
      <c r="H148" s="40" t="n">
        <v>5</v>
      </c>
      <c r="I148" s="40" t="n">
        <v>2</v>
      </c>
      <c r="J148" s="40" t="n">
        <v>5</v>
      </c>
      <c r="K148" s="40" t="n">
        <v>4</v>
      </c>
      <c r="L148" s="40" t="n">
        <v>4</v>
      </c>
      <c r="M148" s="40" t="n">
        <v>5</v>
      </c>
      <c r="N148" s="40" t="n">
        <v>4</v>
      </c>
      <c r="O148" s="41" t="n">
        <f aca="false">ROUND(G148/5*$X$2+H148/5*$X$3+I148/5*$X$4+J148/5*$X$5+K148/5*$X$6+L148/5*$X$7+M148/5*$X$8-N148/5*$X$9,1)</f>
        <v>61</v>
      </c>
      <c r="P148" s="30" t="str">
        <f aca="false">IF(O148&gt;=$X$12,"Foundational deep pass",IF(O148&gt;=$X$13,"Major deep pass",IF(O148&gt;=$X$14,"Targeted innovation pass",IF(O148&gt;=$X$15,"Sampling pass","Reference / defer"))))</f>
        <v>Major deep pass</v>
      </c>
      <c r="Q148" s="31" t="s">
        <v>14207</v>
      </c>
      <c r="R148" s="31" t="s">
        <v>14208</v>
      </c>
      <c r="S148" s="31" t="s">
        <v>14184</v>
      </c>
      <c r="T148" s="31" t="s">
        <v>8759</v>
      </c>
      <c r="U148" s="42" t="n">
        <v>46236</v>
      </c>
    </row>
    <row r="149" customFormat="false" ht="45.75" hidden="false" customHeight="true" outlineLevel="0" collapsed="false">
      <c r="A149" s="30" t="n">
        <v>143</v>
      </c>
      <c r="B149" s="30" t="s">
        <v>8742</v>
      </c>
      <c r="C149" s="31" t="s">
        <v>8743</v>
      </c>
      <c r="D149" s="31" t="s">
        <v>8745</v>
      </c>
      <c r="E149" s="31" t="s">
        <v>8343</v>
      </c>
      <c r="F149" s="30" t="n">
        <f aca="false">COUNTIF('Seed Catalogue'!$C$2:$C$452,B149)</f>
        <v>0</v>
      </c>
      <c r="G149" s="40" t="n">
        <v>3</v>
      </c>
      <c r="H149" s="40" t="n">
        <v>5</v>
      </c>
      <c r="I149" s="40" t="n">
        <v>2</v>
      </c>
      <c r="J149" s="40" t="n">
        <v>5</v>
      </c>
      <c r="K149" s="40" t="n">
        <v>4</v>
      </c>
      <c r="L149" s="40" t="n">
        <v>4</v>
      </c>
      <c r="M149" s="40" t="n">
        <v>5</v>
      </c>
      <c r="N149" s="40" t="n">
        <v>4</v>
      </c>
      <c r="O149" s="41" t="n">
        <f aca="false">ROUND(G149/5*$X$2+H149/5*$X$3+I149/5*$X$4+J149/5*$X$5+K149/5*$X$6+L149/5*$X$7+M149/5*$X$8-N149/5*$X$9,1)</f>
        <v>61</v>
      </c>
      <c r="P149" s="30" t="str">
        <f aca="false">IF(O149&gt;=$X$12,"Foundational deep pass",IF(O149&gt;=$X$13,"Major deep pass",IF(O149&gt;=$X$14,"Targeted innovation pass",IF(O149&gt;=$X$15,"Sampling pass","Reference / defer"))))</f>
        <v>Major deep pass</v>
      </c>
      <c r="Q149" s="31" t="s">
        <v>14207</v>
      </c>
      <c r="R149" s="31" t="s">
        <v>14208</v>
      </c>
      <c r="S149" s="31" t="s">
        <v>14184</v>
      </c>
      <c r="T149" s="31" t="s">
        <v>8748</v>
      </c>
      <c r="U149" s="42" t="n">
        <v>46236</v>
      </c>
    </row>
    <row r="150" customFormat="false" ht="45.75" hidden="false" customHeight="true" outlineLevel="0" collapsed="false">
      <c r="A150" s="30" t="n">
        <v>144</v>
      </c>
      <c r="B150" s="30" t="s">
        <v>8718</v>
      </c>
      <c r="C150" s="31" t="s">
        <v>8719</v>
      </c>
      <c r="D150" s="31" t="s">
        <v>8721</v>
      </c>
      <c r="E150" s="31" t="s">
        <v>8343</v>
      </c>
      <c r="F150" s="30" t="n">
        <f aca="false">COUNTIF('Seed Catalogue'!$C$2:$C$452,B150)</f>
        <v>25</v>
      </c>
      <c r="G150" s="40" t="n">
        <v>3</v>
      </c>
      <c r="H150" s="40" t="n">
        <v>5</v>
      </c>
      <c r="I150" s="40" t="n">
        <v>2</v>
      </c>
      <c r="J150" s="40" t="n">
        <v>5</v>
      </c>
      <c r="K150" s="40" t="n">
        <v>5</v>
      </c>
      <c r="L150" s="40" t="n">
        <v>5</v>
      </c>
      <c r="M150" s="40" t="n">
        <v>5</v>
      </c>
      <c r="N150" s="40" t="n">
        <v>5</v>
      </c>
      <c r="O150" s="41" t="n">
        <f aca="false">ROUND(G150/5*$X$2+H150/5*$X$3+I150/5*$X$4+J150/5*$X$5+K150/5*$X$6+L150/5*$X$7+M150/5*$X$8-N150/5*$X$9,1)</f>
        <v>61</v>
      </c>
      <c r="P150" s="30" t="str">
        <f aca="false">IF(O150&gt;=$X$12,"Foundational deep pass",IF(O150&gt;=$X$13,"Major deep pass",IF(O150&gt;=$X$14,"Targeted innovation pass",IF(O150&gt;=$X$15,"Sampling pass","Reference / defer"))))</f>
        <v>Major deep pass</v>
      </c>
      <c r="Q150" s="31" t="s">
        <v>14209</v>
      </c>
      <c r="R150" s="31" t="s">
        <v>14210</v>
      </c>
      <c r="S150" s="31" t="s">
        <v>14141</v>
      </c>
      <c r="T150" s="31" t="s">
        <v>8726</v>
      </c>
      <c r="U150" s="42" t="n">
        <v>46236</v>
      </c>
    </row>
    <row r="151" customFormat="false" ht="45.75" hidden="false" customHeight="true" outlineLevel="0" collapsed="false">
      <c r="A151" s="30" t="n">
        <v>145</v>
      </c>
      <c r="B151" s="30" t="s">
        <v>8749</v>
      </c>
      <c r="C151" s="31" t="s">
        <v>8750</v>
      </c>
      <c r="D151" s="31" t="s">
        <v>8730</v>
      </c>
      <c r="E151" s="31" t="s">
        <v>8343</v>
      </c>
      <c r="F151" s="30" t="n">
        <f aca="false">COUNTIF('Seed Catalogue'!$C$2:$C$452,B151)</f>
        <v>0</v>
      </c>
      <c r="G151" s="40" t="n">
        <v>3</v>
      </c>
      <c r="H151" s="40" t="n">
        <v>5</v>
      </c>
      <c r="I151" s="40" t="n">
        <v>2</v>
      </c>
      <c r="J151" s="40" t="n">
        <v>5</v>
      </c>
      <c r="K151" s="40" t="n">
        <v>4</v>
      </c>
      <c r="L151" s="40" t="n">
        <v>4</v>
      </c>
      <c r="M151" s="40" t="n">
        <v>5</v>
      </c>
      <c r="N151" s="40" t="n">
        <v>4</v>
      </c>
      <c r="O151" s="41" t="n">
        <f aca="false">ROUND(G151/5*$X$2+H151/5*$X$3+I151/5*$X$4+J151/5*$X$5+K151/5*$X$6+L151/5*$X$7+M151/5*$X$8-N151/5*$X$9,1)</f>
        <v>61</v>
      </c>
      <c r="P151" s="30" t="str">
        <f aca="false">IF(O151&gt;=$X$12,"Foundational deep pass",IF(O151&gt;=$X$13,"Major deep pass",IF(O151&gt;=$X$14,"Targeted innovation pass",IF(O151&gt;=$X$15,"Sampling pass","Reference / defer"))))</f>
        <v>Major deep pass</v>
      </c>
      <c r="Q151" s="31" t="s">
        <v>14207</v>
      </c>
      <c r="R151" s="31" t="s">
        <v>14208</v>
      </c>
      <c r="S151" s="31" t="s">
        <v>14184</v>
      </c>
      <c r="T151" s="31" t="s">
        <v>8753</v>
      </c>
      <c r="U151" s="42" t="n">
        <v>46236</v>
      </c>
    </row>
    <row r="152" customFormat="false" ht="45.75" hidden="false" customHeight="true" outlineLevel="0" collapsed="false">
      <c r="A152" s="30" t="n">
        <v>146</v>
      </c>
      <c r="B152" s="30" t="s">
        <v>8829</v>
      </c>
      <c r="C152" s="31" t="s">
        <v>8830</v>
      </c>
      <c r="D152" s="31" t="s">
        <v>8721</v>
      </c>
      <c r="E152" s="31" t="s">
        <v>8343</v>
      </c>
      <c r="F152" s="30" t="n">
        <f aca="false">COUNTIF('Seed Catalogue'!$C$2:$C$452,B152)</f>
        <v>0</v>
      </c>
      <c r="G152" s="40" t="n">
        <v>3</v>
      </c>
      <c r="H152" s="40" t="n">
        <v>5</v>
      </c>
      <c r="I152" s="40" t="n">
        <v>2</v>
      </c>
      <c r="J152" s="40" t="n">
        <v>5</v>
      </c>
      <c r="K152" s="40" t="n">
        <v>4</v>
      </c>
      <c r="L152" s="40" t="n">
        <v>4</v>
      </c>
      <c r="M152" s="40" t="n">
        <v>5</v>
      </c>
      <c r="N152" s="40" t="n">
        <v>4</v>
      </c>
      <c r="O152" s="41" t="n">
        <f aca="false">ROUND(G152/5*$X$2+H152/5*$X$3+I152/5*$X$4+J152/5*$X$5+K152/5*$X$6+L152/5*$X$7+M152/5*$X$8-N152/5*$X$9,1)</f>
        <v>61</v>
      </c>
      <c r="P152" s="30" t="str">
        <f aca="false">IF(O152&gt;=$X$12,"Foundational deep pass",IF(O152&gt;=$X$13,"Major deep pass",IF(O152&gt;=$X$14,"Targeted innovation pass",IF(O152&gt;=$X$15,"Sampling pass","Reference / defer"))))</f>
        <v>Major deep pass</v>
      </c>
      <c r="Q152" s="31" t="s">
        <v>14207</v>
      </c>
      <c r="R152" s="31" t="s">
        <v>14208</v>
      </c>
      <c r="S152" s="31" t="s">
        <v>14184</v>
      </c>
      <c r="T152" s="31" t="s">
        <v>8834</v>
      </c>
      <c r="U152" s="42" t="n">
        <v>46236</v>
      </c>
    </row>
    <row r="153" customFormat="false" ht="45.75" hidden="false" customHeight="true" outlineLevel="0" collapsed="false">
      <c r="A153" s="30" t="n">
        <v>147</v>
      </c>
      <c r="B153" s="30" t="s">
        <v>8727</v>
      </c>
      <c r="C153" s="31" t="s">
        <v>8728</v>
      </c>
      <c r="D153" s="31" t="s">
        <v>8730</v>
      </c>
      <c r="E153" s="31" t="s">
        <v>8343</v>
      </c>
      <c r="F153" s="30" t="n">
        <f aca="false">COUNTIF('Seed Catalogue'!$C$2:$C$452,B153)</f>
        <v>0</v>
      </c>
      <c r="G153" s="40" t="n">
        <v>3</v>
      </c>
      <c r="H153" s="40" t="n">
        <v>5</v>
      </c>
      <c r="I153" s="40" t="n">
        <v>2</v>
      </c>
      <c r="J153" s="40" t="n">
        <v>5</v>
      </c>
      <c r="K153" s="40" t="n">
        <v>4</v>
      </c>
      <c r="L153" s="40" t="n">
        <v>4</v>
      </c>
      <c r="M153" s="40" t="n">
        <v>5</v>
      </c>
      <c r="N153" s="40" t="n">
        <v>4</v>
      </c>
      <c r="O153" s="41" t="n">
        <f aca="false">ROUND(G153/5*$X$2+H153/5*$X$3+I153/5*$X$4+J153/5*$X$5+K153/5*$X$6+L153/5*$X$7+M153/5*$X$8-N153/5*$X$9,1)</f>
        <v>61</v>
      </c>
      <c r="P153" s="30" t="str">
        <f aca="false">IF(O153&gt;=$X$12,"Foundational deep pass",IF(O153&gt;=$X$13,"Major deep pass",IF(O153&gt;=$X$14,"Targeted innovation pass",IF(O153&gt;=$X$15,"Sampling pass","Reference / defer"))))</f>
        <v>Major deep pass</v>
      </c>
      <c r="Q153" s="31" t="s">
        <v>14207</v>
      </c>
      <c r="R153" s="31" t="s">
        <v>14208</v>
      </c>
      <c r="S153" s="31" t="s">
        <v>14184</v>
      </c>
      <c r="T153" s="31" t="s">
        <v>8734</v>
      </c>
      <c r="U153" s="42" t="n">
        <v>46236</v>
      </c>
    </row>
    <row r="154" customFormat="false" ht="45.75" hidden="false" customHeight="true" outlineLevel="0" collapsed="false">
      <c r="A154" s="30" t="n">
        <v>148</v>
      </c>
      <c r="B154" s="30" t="s">
        <v>8864</v>
      </c>
      <c r="C154" s="31" t="s">
        <v>8865</v>
      </c>
      <c r="D154" s="31" t="s">
        <v>8867</v>
      </c>
      <c r="E154" s="31" t="s">
        <v>8868</v>
      </c>
      <c r="F154" s="30" t="n">
        <f aca="false">COUNTIF('Seed Catalogue'!$C$2:$C$452,B154)</f>
        <v>0</v>
      </c>
      <c r="G154" s="40" t="n">
        <v>3</v>
      </c>
      <c r="H154" s="40" t="n">
        <v>5</v>
      </c>
      <c r="I154" s="40" t="n">
        <v>2</v>
      </c>
      <c r="J154" s="40" t="n">
        <v>5</v>
      </c>
      <c r="K154" s="40" t="n">
        <v>4</v>
      </c>
      <c r="L154" s="40" t="n">
        <v>4</v>
      </c>
      <c r="M154" s="40" t="n">
        <v>5</v>
      </c>
      <c r="N154" s="40" t="n">
        <v>4</v>
      </c>
      <c r="O154" s="41" t="n">
        <f aca="false">ROUND(G154/5*$X$2+H154/5*$X$3+I154/5*$X$4+J154/5*$X$5+K154/5*$X$6+L154/5*$X$7+M154/5*$X$8-N154/5*$X$9,1)</f>
        <v>61</v>
      </c>
      <c r="P154" s="30" t="str">
        <f aca="false">IF(O154&gt;=$X$12,"Foundational deep pass",IF(O154&gt;=$X$13,"Major deep pass",IF(O154&gt;=$X$14,"Targeted innovation pass",IF(O154&gt;=$X$15,"Sampling pass","Reference / defer"))))</f>
        <v>Major deep pass</v>
      </c>
      <c r="Q154" s="31" t="s">
        <v>14207</v>
      </c>
      <c r="R154" s="31" t="s">
        <v>14208</v>
      </c>
      <c r="S154" s="31" t="s">
        <v>14184</v>
      </c>
      <c r="T154" s="31" t="s">
        <v>8871</v>
      </c>
      <c r="U154" s="42" t="n">
        <v>46236</v>
      </c>
    </row>
    <row r="155" customFormat="false" ht="45.75" hidden="false" customHeight="true" outlineLevel="0" collapsed="false">
      <c r="A155" s="30" t="n">
        <v>149</v>
      </c>
      <c r="B155" s="30" t="s">
        <v>8918</v>
      </c>
      <c r="C155" s="31" t="s">
        <v>8919</v>
      </c>
      <c r="D155" s="31" t="s">
        <v>8921</v>
      </c>
      <c r="E155" s="31" t="s">
        <v>8343</v>
      </c>
      <c r="F155" s="30" t="n">
        <f aca="false">COUNTIF('Seed Catalogue'!$C$2:$C$452,B155)</f>
        <v>0</v>
      </c>
      <c r="G155" s="40" t="n">
        <v>3</v>
      </c>
      <c r="H155" s="40" t="n">
        <v>5</v>
      </c>
      <c r="I155" s="40" t="n">
        <v>2</v>
      </c>
      <c r="J155" s="40" t="n">
        <v>5</v>
      </c>
      <c r="K155" s="40" t="n">
        <v>4</v>
      </c>
      <c r="L155" s="40" t="n">
        <v>4</v>
      </c>
      <c r="M155" s="40" t="n">
        <v>5</v>
      </c>
      <c r="N155" s="40" t="n">
        <v>4</v>
      </c>
      <c r="O155" s="41" t="n">
        <f aca="false">ROUND(G155/5*$X$2+H155/5*$X$3+I155/5*$X$4+J155/5*$X$5+K155/5*$X$6+L155/5*$X$7+M155/5*$X$8-N155/5*$X$9,1)</f>
        <v>61</v>
      </c>
      <c r="P155" s="30" t="str">
        <f aca="false">IF(O155&gt;=$X$12,"Foundational deep pass",IF(O155&gt;=$X$13,"Major deep pass",IF(O155&gt;=$X$14,"Targeted innovation pass",IF(O155&gt;=$X$15,"Sampling pass","Reference / defer"))))</f>
        <v>Major deep pass</v>
      </c>
      <c r="Q155" s="31" t="s">
        <v>14207</v>
      </c>
      <c r="R155" s="31" t="s">
        <v>14208</v>
      </c>
      <c r="S155" s="31" t="s">
        <v>14184</v>
      </c>
      <c r="T155" s="31" t="s">
        <v>8924</v>
      </c>
      <c r="U155" s="42" t="n">
        <v>46236</v>
      </c>
    </row>
    <row r="156" customFormat="false" ht="45.75" hidden="false" customHeight="true" outlineLevel="0" collapsed="false">
      <c r="A156" s="30" t="n">
        <v>150</v>
      </c>
      <c r="B156" s="30" t="s">
        <v>8779</v>
      </c>
      <c r="C156" s="31" t="s">
        <v>8780</v>
      </c>
      <c r="D156" s="31" t="s">
        <v>8782</v>
      </c>
      <c r="E156" s="31" t="s">
        <v>8343</v>
      </c>
      <c r="F156" s="30" t="n">
        <f aca="false">COUNTIF('Seed Catalogue'!$C$2:$C$452,B156)</f>
        <v>0</v>
      </c>
      <c r="G156" s="40" t="n">
        <v>3</v>
      </c>
      <c r="H156" s="40" t="n">
        <v>5</v>
      </c>
      <c r="I156" s="40" t="n">
        <v>2</v>
      </c>
      <c r="J156" s="40" t="n">
        <v>5</v>
      </c>
      <c r="K156" s="40" t="n">
        <v>4</v>
      </c>
      <c r="L156" s="40" t="n">
        <v>4</v>
      </c>
      <c r="M156" s="40" t="n">
        <v>5</v>
      </c>
      <c r="N156" s="40" t="n">
        <v>4</v>
      </c>
      <c r="O156" s="41" t="n">
        <f aca="false">ROUND(G156/5*$X$2+H156/5*$X$3+I156/5*$X$4+J156/5*$X$5+K156/5*$X$6+L156/5*$X$7+M156/5*$X$8-N156/5*$X$9,1)</f>
        <v>61</v>
      </c>
      <c r="P156" s="30" t="str">
        <f aca="false">IF(O156&gt;=$X$12,"Foundational deep pass",IF(O156&gt;=$X$13,"Major deep pass",IF(O156&gt;=$X$14,"Targeted innovation pass",IF(O156&gt;=$X$15,"Sampling pass","Reference / defer"))))</f>
        <v>Major deep pass</v>
      </c>
      <c r="Q156" s="31" t="s">
        <v>14207</v>
      </c>
      <c r="R156" s="31" t="s">
        <v>14208</v>
      </c>
      <c r="S156" s="31" t="s">
        <v>14184</v>
      </c>
      <c r="T156" s="31" t="s">
        <v>8786</v>
      </c>
      <c r="U156" s="42" t="n">
        <v>46236</v>
      </c>
    </row>
    <row r="157" customFormat="false" ht="45.75" hidden="false" customHeight="true" outlineLevel="0" collapsed="false">
      <c r="A157" s="30" t="n">
        <v>151</v>
      </c>
      <c r="B157" s="30" t="s">
        <v>8760</v>
      </c>
      <c r="C157" s="31" t="s">
        <v>8761</v>
      </c>
      <c r="D157" s="31" t="s">
        <v>8730</v>
      </c>
      <c r="E157" s="31" t="s">
        <v>8343</v>
      </c>
      <c r="F157" s="30" t="n">
        <f aca="false">COUNTIF('Seed Catalogue'!$C$2:$C$452,B157)</f>
        <v>0</v>
      </c>
      <c r="G157" s="40" t="n">
        <v>3</v>
      </c>
      <c r="H157" s="40" t="n">
        <v>5</v>
      </c>
      <c r="I157" s="40" t="n">
        <v>2</v>
      </c>
      <c r="J157" s="40" t="n">
        <v>5</v>
      </c>
      <c r="K157" s="40" t="n">
        <v>4</v>
      </c>
      <c r="L157" s="40" t="n">
        <v>4</v>
      </c>
      <c r="M157" s="40" t="n">
        <v>5</v>
      </c>
      <c r="N157" s="40" t="n">
        <v>4</v>
      </c>
      <c r="O157" s="41" t="n">
        <f aca="false">ROUND(G157/5*$X$2+H157/5*$X$3+I157/5*$X$4+J157/5*$X$5+K157/5*$X$6+L157/5*$X$7+M157/5*$X$8-N157/5*$X$9,1)</f>
        <v>61</v>
      </c>
      <c r="P157" s="30" t="str">
        <f aca="false">IF(O157&gt;=$X$12,"Foundational deep pass",IF(O157&gt;=$X$13,"Major deep pass",IF(O157&gt;=$X$14,"Targeted innovation pass",IF(O157&gt;=$X$15,"Sampling pass","Reference / defer"))))</f>
        <v>Major deep pass</v>
      </c>
      <c r="Q157" s="31" t="s">
        <v>14207</v>
      </c>
      <c r="R157" s="31" t="s">
        <v>14208</v>
      </c>
      <c r="S157" s="31" t="s">
        <v>14184</v>
      </c>
      <c r="T157" s="31" t="s">
        <v>8766</v>
      </c>
      <c r="U157" s="42" t="n">
        <v>46236</v>
      </c>
    </row>
    <row r="158" customFormat="false" ht="45.75" hidden="false" customHeight="true" outlineLevel="0" collapsed="false">
      <c r="A158" s="30" t="n">
        <v>152</v>
      </c>
      <c r="B158" s="30" t="s">
        <v>8767</v>
      </c>
      <c r="C158" s="31" t="s">
        <v>8768</v>
      </c>
      <c r="D158" s="31" t="s">
        <v>8730</v>
      </c>
      <c r="E158" s="31" t="s">
        <v>8343</v>
      </c>
      <c r="F158" s="30" t="n">
        <f aca="false">COUNTIF('Seed Catalogue'!$C$2:$C$452,B158)</f>
        <v>0</v>
      </c>
      <c r="G158" s="40" t="n">
        <v>3</v>
      </c>
      <c r="H158" s="40" t="n">
        <v>5</v>
      </c>
      <c r="I158" s="40" t="n">
        <v>2</v>
      </c>
      <c r="J158" s="40" t="n">
        <v>5</v>
      </c>
      <c r="K158" s="40" t="n">
        <v>4</v>
      </c>
      <c r="L158" s="40" t="n">
        <v>4</v>
      </c>
      <c r="M158" s="40" t="n">
        <v>5</v>
      </c>
      <c r="N158" s="40" t="n">
        <v>4</v>
      </c>
      <c r="O158" s="41" t="n">
        <f aca="false">ROUND(G158/5*$X$2+H158/5*$X$3+I158/5*$X$4+J158/5*$X$5+K158/5*$X$6+L158/5*$X$7+M158/5*$X$8-N158/5*$X$9,1)</f>
        <v>61</v>
      </c>
      <c r="P158" s="30" t="str">
        <f aca="false">IF(O158&gt;=$X$12,"Foundational deep pass",IF(O158&gt;=$X$13,"Major deep pass",IF(O158&gt;=$X$14,"Targeted innovation pass",IF(O158&gt;=$X$15,"Sampling pass","Reference / defer"))))</f>
        <v>Major deep pass</v>
      </c>
      <c r="Q158" s="31" t="s">
        <v>14207</v>
      </c>
      <c r="R158" s="31" t="s">
        <v>14208</v>
      </c>
      <c r="S158" s="31" t="s">
        <v>14184</v>
      </c>
      <c r="T158" s="31" t="s">
        <v>8772</v>
      </c>
      <c r="U158" s="42" t="n">
        <v>46236</v>
      </c>
    </row>
    <row r="159" customFormat="false" ht="45.75" hidden="false" customHeight="true" outlineLevel="0" collapsed="false">
      <c r="A159" s="30" t="n">
        <v>153</v>
      </c>
      <c r="B159" s="30" t="s">
        <v>8787</v>
      </c>
      <c r="C159" s="31" t="s">
        <v>8788</v>
      </c>
      <c r="D159" s="31" t="s">
        <v>8782</v>
      </c>
      <c r="E159" s="31" t="s">
        <v>8343</v>
      </c>
      <c r="F159" s="30" t="n">
        <f aca="false">COUNTIF('Seed Catalogue'!$C$2:$C$452,B159)</f>
        <v>0</v>
      </c>
      <c r="G159" s="40" t="n">
        <v>3</v>
      </c>
      <c r="H159" s="40" t="n">
        <v>5</v>
      </c>
      <c r="I159" s="40" t="n">
        <v>2</v>
      </c>
      <c r="J159" s="40" t="n">
        <v>5</v>
      </c>
      <c r="K159" s="40" t="n">
        <v>4</v>
      </c>
      <c r="L159" s="40" t="n">
        <v>4</v>
      </c>
      <c r="M159" s="40" t="n">
        <v>5</v>
      </c>
      <c r="N159" s="40" t="n">
        <v>4</v>
      </c>
      <c r="O159" s="41" t="n">
        <f aca="false">ROUND(G159/5*$X$2+H159/5*$X$3+I159/5*$X$4+J159/5*$X$5+K159/5*$X$6+L159/5*$X$7+M159/5*$X$8-N159/5*$X$9,1)</f>
        <v>61</v>
      </c>
      <c r="P159" s="30" t="str">
        <f aca="false">IF(O159&gt;=$X$12,"Foundational deep pass",IF(O159&gt;=$X$13,"Major deep pass",IF(O159&gt;=$X$14,"Targeted innovation pass",IF(O159&gt;=$X$15,"Sampling pass","Reference / defer"))))</f>
        <v>Major deep pass</v>
      </c>
      <c r="Q159" s="31" t="s">
        <v>14207</v>
      </c>
      <c r="R159" s="31" t="s">
        <v>14208</v>
      </c>
      <c r="S159" s="31" t="s">
        <v>14184</v>
      </c>
      <c r="T159" s="31" t="s">
        <v>8793</v>
      </c>
      <c r="U159" s="42" t="n">
        <v>46236</v>
      </c>
    </row>
    <row r="160" customFormat="false" ht="45.75" hidden="false" customHeight="true" outlineLevel="0" collapsed="false">
      <c r="A160" s="30" t="n">
        <v>154</v>
      </c>
      <c r="B160" s="30" t="s">
        <v>9681</v>
      </c>
      <c r="C160" s="31" t="s">
        <v>9682</v>
      </c>
      <c r="D160" s="31" t="s">
        <v>9540</v>
      </c>
      <c r="E160" s="31" t="s">
        <v>8226</v>
      </c>
      <c r="F160" s="30" t="n">
        <f aca="false">COUNTIF('Seed Catalogue'!$C$2:$C$452,B160)</f>
        <v>0</v>
      </c>
      <c r="G160" s="40" t="n">
        <v>4</v>
      </c>
      <c r="H160" s="40" t="n">
        <v>3</v>
      </c>
      <c r="I160" s="40" t="n">
        <v>3</v>
      </c>
      <c r="J160" s="40" t="n">
        <v>3</v>
      </c>
      <c r="K160" s="40" t="n">
        <v>4</v>
      </c>
      <c r="L160" s="40" t="n">
        <v>4</v>
      </c>
      <c r="M160" s="40" t="n">
        <v>3</v>
      </c>
      <c r="N160" s="40" t="n">
        <v>2</v>
      </c>
      <c r="O160" s="41" t="n">
        <f aca="false">ROUND(G160/5*$X$2+H160/5*$X$3+I160/5*$X$4+J160/5*$X$5+K160/5*$X$6+L160/5*$X$7+M160/5*$X$8-N160/5*$X$9,1)</f>
        <v>61</v>
      </c>
      <c r="P160" s="30" t="str">
        <f aca="false">IF(O160&gt;=$X$12,"Foundational deep pass",IF(O160&gt;=$X$13,"Major deep pass",IF(O160&gt;=$X$14,"Targeted innovation pass",IF(O160&gt;=$X$15,"Sampling pass","Reference / defer"))))</f>
        <v>Major deep pass</v>
      </c>
      <c r="Q160" s="31" t="s">
        <v>14201</v>
      </c>
      <c r="R160" s="31" t="s">
        <v>14202</v>
      </c>
      <c r="S160" s="31" t="s">
        <v>14184</v>
      </c>
      <c r="T160" s="31" t="s">
        <v>9685</v>
      </c>
      <c r="U160" s="42" t="n">
        <v>46236</v>
      </c>
    </row>
    <row r="161" customFormat="false" ht="45.75" hidden="false" customHeight="true" outlineLevel="0" collapsed="false">
      <c r="A161" s="30" t="n">
        <v>155</v>
      </c>
      <c r="B161" s="30" t="s">
        <v>9697</v>
      </c>
      <c r="C161" s="31" t="s">
        <v>9698</v>
      </c>
      <c r="D161" s="31" t="s">
        <v>8629</v>
      </c>
      <c r="E161" s="31" t="s">
        <v>8226</v>
      </c>
      <c r="F161" s="30" t="n">
        <f aca="false">COUNTIF('Seed Catalogue'!$C$2:$C$452,B161)</f>
        <v>0</v>
      </c>
      <c r="G161" s="40" t="n">
        <v>4</v>
      </c>
      <c r="H161" s="40" t="n">
        <v>3</v>
      </c>
      <c r="I161" s="40" t="n">
        <v>3</v>
      </c>
      <c r="J161" s="40" t="n">
        <v>3</v>
      </c>
      <c r="K161" s="40" t="n">
        <v>4</v>
      </c>
      <c r="L161" s="40" t="n">
        <v>4</v>
      </c>
      <c r="M161" s="40" t="n">
        <v>3</v>
      </c>
      <c r="N161" s="40" t="n">
        <v>2</v>
      </c>
      <c r="O161" s="41" t="n">
        <f aca="false">ROUND(G161/5*$X$2+H161/5*$X$3+I161/5*$X$4+J161/5*$X$5+K161/5*$X$6+L161/5*$X$7+M161/5*$X$8-N161/5*$X$9,1)</f>
        <v>61</v>
      </c>
      <c r="P161" s="30" t="str">
        <f aca="false">IF(O161&gt;=$X$12,"Foundational deep pass",IF(O161&gt;=$X$13,"Major deep pass",IF(O161&gt;=$X$14,"Targeted innovation pass",IF(O161&gt;=$X$15,"Sampling pass","Reference / defer"))))</f>
        <v>Major deep pass</v>
      </c>
      <c r="Q161" s="31" t="s">
        <v>14201</v>
      </c>
      <c r="R161" s="31" t="s">
        <v>14202</v>
      </c>
      <c r="S161" s="31" t="s">
        <v>14184</v>
      </c>
      <c r="T161" s="31" t="s">
        <v>9701</v>
      </c>
      <c r="U161" s="42" t="n">
        <v>46236</v>
      </c>
    </row>
    <row r="162" customFormat="false" ht="45.75" hidden="false" customHeight="true" outlineLevel="0" collapsed="false">
      <c r="A162" s="30" t="n">
        <v>156</v>
      </c>
      <c r="B162" s="30" t="s">
        <v>9651</v>
      </c>
      <c r="C162" s="31" t="s">
        <v>9652</v>
      </c>
      <c r="D162" s="31" t="s">
        <v>9647</v>
      </c>
      <c r="E162" s="31" t="s">
        <v>8592</v>
      </c>
      <c r="F162" s="30" t="n">
        <f aca="false">COUNTIF('Seed Catalogue'!$C$2:$C$452,B162)</f>
        <v>0</v>
      </c>
      <c r="G162" s="40" t="n">
        <v>4</v>
      </c>
      <c r="H162" s="40" t="n">
        <v>3</v>
      </c>
      <c r="I162" s="40" t="n">
        <v>3</v>
      </c>
      <c r="J162" s="40" t="n">
        <v>3</v>
      </c>
      <c r="K162" s="40" t="n">
        <v>4</v>
      </c>
      <c r="L162" s="40" t="n">
        <v>4</v>
      </c>
      <c r="M162" s="40" t="n">
        <v>3</v>
      </c>
      <c r="N162" s="40" t="n">
        <v>2</v>
      </c>
      <c r="O162" s="41" t="n">
        <f aca="false">ROUND(G162/5*$X$2+H162/5*$X$3+I162/5*$X$4+J162/5*$X$5+K162/5*$X$6+L162/5*$X$7+M162/5*$X$8-N162/5*$X$9,1)</f>
        <v>61</v>
      </c>
      <c r="P162" s="30" t="str">
        <f aca="false">IF(O162&gt;=$X$12,"Foundational deep pass",IF(O162&gt;=$X$13,"Major deep pass",IF(O162&gt;=$X$14,"Targeted innovation pass",IF(O162&gt;=$X$15,"Sampling pass","Reference / defer"))))</f>
        <v>Major deep pass</v>
      </c>
      <c r="Q162" s="31" t="s">
        <v>14201</v>
      </c>
      <c r="R162" s="31" t="s">
        <v>14202</v>
      </c>
      <c r="S162" s="31" t="s">
        <v>14184</v>
      </c>
      <c r="T162" s="31" t="s">
        <v>9655</v>
      </c>
      <c r="U162" s="42" t="n">
        <v>46236</v>
      </c>
    </row>
    <row r="163" customFormat="false" ht="45.75" hidden="false" customHeight="true" outlineLevel="0" collapsed="false">
      <c r="A163" s="30" t="n">
        <v>157</v>
      </c>
      <c r="B163" s="30" t="s">
        <v>8809</v>
      </c>
      <c r="C163" s="31" t="s">
        <v>8810</v>
      </c>
      <c r="D163" s="31" t="s">
        <v>8803</v>
      </c>
      <c r="E163" s="31" t="s">
        <v>8307</v>
      </c>
      <c r="F163" s="30" t="n">
        <f aca="false">COUNTIF('Seed Catalogue'!$C$2:$C$452,B163)</f>
        <v>0</v>
      </c>
      <c r="G163" s="40" t="n">
        <v>3</v>
      </c>
      <c r="H163" s="40" t="n">
        <v>5</v>
      </c>
      <c r="I163" s="40" t="n">
        <v>2</v>
      </c>
      <c r="J163" s="40" t="n">
        <v>5</v>
      </c>
      <c r="K163" s="40" t="n">
        <v>4</v>
      </c>
      <c r="L163" s="40" t="n">
        <v>4</v>
      </c>
      <c r="M163" s="40" t="n">
        <v>5</v>
      </c>
      <c r="N163" s="40" t="n">
        <v>4</v>
      </c>
      <c r="O163" s="41" t="n">
        <f aca="false">ROUND(G163/5*$X$2+H163/5*$X$3+I163/5*$X$4+J163/5*$X$5+K163/5*$X$6+L163/5*$X$7+M163/5*$X$8-N163/5*$X$9,1)</f>
        <v>61</v>
      </c>
      <c r="P163" s="30" t="str">
        <f aca="false">IF(O163&gt;=$X$12,"Foundational deep pass",IF(O163&gt;=$X$13,"Major deep pass",IF(O163&gt;=$X$14,"Targeted innovation pass",IF(O163&gt;=$X$15,"Sampling pass","Reference / defer"))))</f>
        <v>Major deep pass</v>
      </c>
      <c r="Q163" s="31" t="s">
        <v>14207</v>
      </c>
      <c r="R163" s="31" t="s">
        <v>14208</v>
      </c>
      <c r="S163" s="31" t="s">
        <v>14184</v>
      </c>
      <c r="T163" s="31" t="s">
        <v>8814</v>
      </c>
      <c r="U163" s="42" t="n">
        <v>46236</v>
      </c>
    </row>
    <row r="164" customFormat="false" ht="45.75" hidden="false" customHeight="true" outlineLevel="0" collapsed="false">
      <c r="A164" s="30" t="n">
        <v>158</v>
      </c>
      <c r="B164" s="30" t="s">
        <v>8794</v>
      </c>
      <c r="C164" s="31" t="s">
        <v>8795</v>
      </c>
      <c r="D164" s="31" t="s">
        <v>8721</v>
      </c>
      <c r="E164" s="31" t="s">
        <v>8307</v>
      </c>
      <c r="F164" s="30" t="n">
        <f aca="false">COUNTIF('Seed Catalogue'!$C$2:$C$452,B164)</f>
        <v>0</v>
      </c>
      <c r="G164" s="40" t="n">
        <v>3</v>
      </c>
      <c r="H164" s="40" t="n">
        <v>5</v>
      </c>
      <c r="I164" s="40" t="n">
        <v>2</v>
      </c>
      <c r="J164" s="40" t="n">
        <v>5</v>
      </c>
      <c r="K164" s="40" t="n">
        <v>4</v>
      </c>
      <c r="L164" s="40" t="n">
        <v>4</v>
      </c>
      <c r="M164" s="40" t="n">
        <v>5</v>
      </c>
      <c r="N164" s="40" t="n">
        <v>4</v>
      </c>
      <c r="O164" s="41" t="n">
        <f aca="false">ROUND(G164/5*$X$2+H164/5*$X$3+I164/5*$X$4+J164/5*$X$5+K164/5*$X$6+L164/5*$X$7+M164/5*$X$8-N164/5*$X$9,1)</f>
        <v>61</v>
      </c>
      <c r="P164" s="30" t="str">
        <f aca="false">IF(O164&gt;=$X$12,"Foundational deep pass",IF(O164&gt;=$X$13,"Major deep pass",IF(O164&gt;=$X$14,"Targeted innovation pass",IF(O164&gt;=$X$15,"Sampling pass","Reference / defer"))))</f>
        <v>Major deep pass</v>
      </c>
      <c r="Q164" s="31" t="s">
        <v>14207</v>
      </c>
      <c r="R164" s="31" t="s">
        <v>14208</v>
      </c>
      <c r="S164" s="31" t="s">
        <v>14184</v>
      </c>
      <c r="T164" s="31" t="s">
        <v>8799</v>
      </c>
      <c r="U164" s="42" t="n">
        <v>46236</v>
      </c>
    </row>
    <row r="165" customFormat="false" ht="45.75" hidden="false" customHeight="true" outlineLevel="0" collapsed="false">
      <c r="A165" s="30" t="n">
        <v>159</v>
      </c>
      <c r="B165" s="30" t="s">
        <v>8990</v>
      </c>
      <c r="C165" s="31" t="s">
        <v>8991</v>
      </c>
      <c r="D165" s="31" t="s">
        <v>8984</v>
      </c>
      <c r="E165" s="31" t="s">
        <v>8226</v>
      </c>
      <c r="F165" s="30" t="n">
        <f aca="false">COUNTIF('Seed Catalogue'!$C$2:$C$452,B165)</f>
        <v>45</v>
      </c>
      <c r="G165" s="40" t="n">
        <v>4</v>
      </c>
      <c r="H165" s="40" t="n">
        <v>4</v>
      </c>
      <c r="I165" s="40" t="n">
        <v>2</v>
      </c>
      <c r="J165" s="40" t="n">
        <v>4</v>
      </c>
      <c r="K165" s="40" t="n">
        <v>4</v>
      </c>
      <c r="L165" s="40" t="n">
        <v>4</v>
      </c>
      <c r="M165" s="40" t="n">
        <v>5</v>
      </c>
      <c r="N165" s="40" t="n">
        <v>4</v>
      </c>
      <c r="O165" s="41" t="n">
        <f aca="false">ROUND(G165/5*$X$2+H165/5*$X$3+I165/5*$X$4+J165/5*$X$5+K165/5*$X$6+L165/5*$X$7+M165/5*$X$8-N165/5*$X$9,1)</f>
        <v>60</v>
      </c>
      <c r="P165" s="30" t="str">
        <f aca="false">IF(O165&gt;=$X$12,"Foundational deep pass",IF(O165&gt;=$X$13,"Major deep pass",IF(O165&gt;=$X$14,"Targeted innovation pass",IF(O165&gt;=$X$15,"Sampling pass","Reference / defer"))))</f>
        <v>Major deep pass</v>
      </c>
      <c r="Q165" s="31" t="s">
        <v>14211</v>
      </c>
      <c r="R165" s="31" t="s">
        <v>14212</v>
      </c>
      <c r="S165" s="31" t="s">
        <v>14141</v>
      </c>
      <c r="T165" s="31" t="s">
        <v>8996</v>
      </c>
      <c r="U165" s="42" t="n">
        <v>46236</v>
      </c>
    </row>
    <row r="166" customFormat="false" ht="45.75" hidden="false" customHeight="true" outlineLevel="0" collapsed="false">
      <c r="A166" s="30" t="n">
        <v>160</v>
      </c>
      <c r="B166" s="30" t="s">
        <v>8872</v>
      </c>
      <c r="C166" s="31" t="s">
        <v>8873</v>
      </c>
      <c r="D166" s="31" t="s">
        <v>8721</v>
      </c>
      <c r="E166" s="31" t="s">
        <v>8343</v>
      </c>
      <c r="F166" s="30" t="n">
        <f aca="false">COUNTIF('Seed Catalogue'!$C$2:$C$452,B166)</f>
        <v>0</v>
      </c>
      <c r="G166" s="40" t="n">
        <v>3</v>
      </c>
      <c r="H166" s="40" t="n">
        <v>5</v>
      </c>
      <c r="I166" s="40" t="n">
        <v>2</v>
      </c>
      <c r="J166" s="40" t="n">
        <v>4</v>
      </c>
      <c r="K166" s="40" t="n">
        <v>4</v>
      </c>
      <c r="L166" s="40" t="n">
        <v>4</v>
      </c>
      <c r="M166" s="40" t="n">
        <v>5</v>
      </c>
      <c r="N166" s="40" t="n">
        <v>4</v>
      </c>
      <c r="O166" s="41" t="n">
        <f aca="false">ROUND(G166/5*$X$2+H166/5*$X$3+I166/5*$X$4+J166/5*$X$5+K166/5*$X$6+L166/5*$X$7+M166/5*$X$8-N166/5*$X$9,1)</f>
        <v>58</v>
      </c>
      <c r="P166" s="30" t="str">
        <f aca="false">IF(O166&gt;=$X$12,"Foundational deep pass",IF(O166&gt;=$X$13,"Major deep pass",IF(O166&gt;=$X$14,"Targeted innovation pass",IF(O166&gt;=$X$15,"Sampling pass","Reference / defer"))))</f>
        <v>Targeted innovation pass</v>
      </c>
      <c r="Q166" s="31" t="s">
        <v>14207</v>
      </c>
      <c r="R166" s="31" t="s">
        <v>14208</v>
      </c>
      <c r="S166" s="31" t="s">
        <v>14184</v>
      </c>
      <c r="T166" s="31" t="s">
        <v>8877</v>
      </c>
      <c r="U166" s="42" t="n">
        <v>46236</v>
      </c>
    </row>
    <row r="167" customFormat="false" ht="45.75" hidden="false" customHeight="true" outlineLevel="0" collapsed="false">
      <c r="A167" s="30" t="n">
        <v>161</v>
      </c>
      <c r="B167" s="30" t="s">
        <v>8885</v>
      </c>
      <c r="C167" s="31" t="s">
        <v>8886</v>
      </c>
      <c r="D167" s="31" t="s">
        <v>8721</v>
      </c>
      <c r="E167" s="31" t="s">
        <v>8343</v>
      </c>
      <c r="F167" s="30" t="n">
        <f aca="false">COUNTIF('Seed Catalogue'!$C$2:$C$452,B167)</f>
        <v>0</v>
      </c>
      <c r="G167" s="40" t="n">
        <v>3</v>
      </c>
      <c r="H167" s="40" t="n">
        <v>5</v>
      </c>
      <c r="I167" s="40" t="n">
        <v>2</v>
      </c>
      <c r="J167" s="40" t="n">
        <v>4</v>
      </c>
      <c r="K167" s="40" t="n">
        <v>4</v>
      </c>
      <c r="L167" s="40" t="n">
        <v>4</v>
      </c>
      <c r="M167" s="40" t="n">
        <v>5</v>
      </c>
      <c r="N167" s="40" t="n">
        <v>4</v>
      </c>
      <c r="O167" s="41" t="n">
        <f aca="false">ROUND(G167/5*$X$2+H167/5*$X$3+I167/5*$X$4+J167/5*$X$5+K167/5*$X$6+L167/5*$X$7+M167/5*$X$8-N167/5*$X$9,1)</f>
        <v>58</v>
      </c>
      <c r="P167" s="30" t="str">
        <f aca="false">IF(O167&gt;=$X$12,"Foundational deep pass",IF(O167&gt;=$X$13,"Major deep pass",IF(O167&gt;=$X$14,"Targeted innovation pass",IF(O167&gt;=$X$15,"Sampling pass","Reference / defer"))))</f>
        <v>Targeted innovation pass</v>
      </c>
      <c r="Q167" s="31" t="s">
        <v>14207</v>
      </c>
      <c r="R167" s="31" t="s">
        <v>14208</v>
      </c>
      <c r="S167" s="31" t="s">
        <v>14184</v>
      </c>
      <c r="T167" s="31" t="s">
        <v>8890</v>
      </c>
      <c r="U167" s="42" t="n">
        <v>46236</v>
      </c>
    </row>
    <row r="168" customFormat="false" ht="45.75" hidden="false" customHeight="true" outlineLevel="0" collapsed="false">
      <c r="A168" s="30" t="n">
        <v>162</v>
      </c>
      <c r="B168" s="30" t="s">
        <v>8891</v>
      </c>
      <c r="C168" s="31" t="s">
        <v>8892</v>
      </c>
      <c r="D168" s="31" t="s">
        <v>8721</v>
      </c>
      <c r="E168" s="31" t="s">
        <v>8343</v>
      </c>
      <c r="F168" s="30" t="n">
        <f aca="false">COUNTIF('Seed Catalogue'!$C$2:$C$452,B168)</f>
        <v>0</v>
      </c>
      <c r="G168" s="40" t="n">
        <v>3</v>
      </c>
      <c r="H168" s="40" t="n">
        <v>5</v>
      </c>
      <c r="I168" s="40" t="n">
        <v>2</v>
      </c>
      <c r="J168" s="40" t="n">
        <v>4</v>
      </c>
      <c r="K168" s="40" t="n">
        <v>4</v>
      </c>
      <c r="L168" s="40" t="n">
        <v>4</v>
      </c>
      <c r="M168" s="40" t="n">
        <v>5</v>
      </c>
      <c r="N168" s="40" t="n">
        <v>4</v>
      </c>
      <c r="O168" s="41" t="n">
        <f aca="false">ROUND(G168/5*$X$2+H168/5*$X$3+I168/5*$X$4+J168/5*$X$5+K168/5*$X$6+L168/5*$X$7+M168/5*$X$8-N168/5*$X$9,1)</f>
        <v>58</v>
      </c>
      <c r="P168" s="30" t="str">
        <f aca="false">IF(O168&gt;=$X$12,"Foundational deep pass",IF(O168&gt;=$X$13,"Major deep pass",IF(O168&gt;=$X$14,"Targeted innovation pass",IF(O168&gt;=$X$15,"Sampling pass","Reference / defer"))))</f>
        <v>Targeted innovation pass</v>
      </c>
      <c r="Q168" s="31" t="s">
        <v>14207</v>
      </c>
      <c r="R168" s="31" t="s">
        <v>14208</v>
      </c>
      <c r="S168" s="31" t="s">
        <v>14184</v>
      </c>
      <c r="T168" s="31" t="s">
        <v>8896</v>
      </c>
      <c r="U168" s="42" t="n">
        <v>46236</v>
      </c>
    </row>
    <row r="169" customFormat="false" ht="45.75" hidden="false" customHeight="true" outlineLevel="0" collapsed="false">
      <c r="A169" s="30" t="n">
        <v>163</v>
      </c>
      <c r="B169" s="30" t="s">
        <v>8878</v>
      </c>
      <c r="C169" s="31" t="s">
        <v>8879</v>
      </c>
      <c r="D169" s="31" t="s">
        <v>8721</v>
      </c>
      <c r="E169" s="31" t="s">
        <v>8343</v>
      </c>
      <c r="F169" s="30" t="n">
        <f aca="false">COUNTIF('Seed Catalogue'!$C$2:$C$452,B169)</f>
        <v>0</v>
      </c>
      <c r="G169" s="40" t="n">
        <v>3</v>
      </c>
      <c r="H169" s="40" t="n">
        <v>5</v>
      </c>
      <c r="I169" s="40" t="n">
        <v>2</v>
      </c>
      <c r="J169" s="40" t="n">
        <v>4</v>
      </c>
      <c r="K169" s="40" t="n">
        <v>4</v>
      </c>
      <c r="L169" s="40" t="n">
        <v>4</v>
      </c>
      <c r="M169" s="40" t="n">
        <v>5</v>
      </c>
      <c r="N169" s="40" t="n">
        <v>4</v>
      </c>
      <c r="O169" s="41" t="n">
        <f aca="false">ROUND(G169/5*$X$2+H169/5*$X$3+I169/5*$X$4+J169/5*$X$5+K169/5*$X$6+L169/5*$X$7+M169/5*$X$8-N169/5*$X$9,1)</f>
        <v>58</v>
      </c>
      <c r="P169" s="30" t="str">
        <f aca="false">IF(O169&gt;=$X$12,"Foundational deep pass",IF(O169&gt;=$X$13,"Major deep pass",IF(O169&gt;=$X$14,"Targeted innovation pass",IF(O169&gt;=$X$15,"Sampling pass","Reference / defer"))))</f>
        <v>Targeted innovation pass</v>
      </c>
      <c r="Q169" s="31" t="s">
        <v>14207</v>
      </c>
      <c r="R169" s="31" t="s">
        <v>14208</v>
      </c>
      <c r="S169" s="31" t="s">
        <v>14184</v>
      </c>
      <c r="T169" s="31" t="s">
        <v>8884</v>
      </c>
      <c r="U169" s="42" t="n">
        <v>46236</v>
      </c>
    </row>
    <row r="170" customFormat="false" ht="45.75" hidden="false" customHeight="true" outlineLevel="0" collapsed="false">
      <c r="A170" s="30" t="n">
        <v>164</v>
      </c>
      <c r="B170" s="30" t="s">
        <v>8835</v>
      </c>
      <c r="C170" s="31" t="s">
        <v>8836</v>
      </c>
      <c r="D170" s="31" t="s">
        <v>8721</v>
      </c>
      <c r="E170" s="31" t="s">
        <v>8343</v>
      </c>
      <c r="F170" s="30" t="n">
        <f aca="false">COUNTIF('Seed Catalogue'!$C$2:$C$452,B170)</f>
        <v>0</v>
      </c>
      <c r="G170" s="40" t="n">
        <v>3</v>
      </c>
      <c r="H170" s="40" t="n">
        <v>5</v>
      </c>
      <c r="I170" s="40" t="n">
        <v>2</v>
      </c>
      <c r="J170" s="40" t="n">
        <v>4</v>
      </c>
      <c r="K170" s="40" t="n">
        <v>4</v>
      </c>
      <c r="L170" s="40" t="n">
        <v>4</v>
      </c>
      <c r="M170" s="40" t="n">
        <v>5</v>
      </c>
      <c r="N170" s="40" t="n">
        <v>4</v>
      </c>
      <c r="O170" s="41" t="n">
        <f aca="false">ROUND(G170/5*$X$2+H170/5*$X$3+I170/5*$X$4+J170/5*$X$5+K170/5*$X$6+L170/5*$X$7+M170/5*$X$8-N170/5*$X$9,1)</f>
        <v>58</v>
      </c>
      <c r="P170" s="30" t="str">
        <f aca="false">IF(O170&gt;=$X$12,"Foundational deep pass",IF(O170&gt;=$X$13,"Major deep pass",IF(O170&gt;=$X$14,"Targeted innovation pass",IF(O170&gt;=$X$15,"Sampling pass","Reference / defer"))))</f>
        <v>Targeted innovation pass</v>
      </c>
      <c r="Q170" s="31" t="s">
        <v>14207</v>
      </c>
      <c r="R170" s="31" t="s">
        <v>14208</v>
      </c>
      <c r="S170" s="31" t="s">
        <v>14184</v>
      </c>
      <c r="T170" s="31" t="s">
        <v>8841</v>
      </c>
      <c r="U170" s="42" t="n">
        <v>46236</v>
      </c>
    </row>
    <row r="171" customFormat="false" ht="45.75" hidden="false" customHeight="true" outlineLevel="0" collapsed="false">
      <c r="A171" s="30" t="n">
        <v>165</v>
      </c>
      <c r="B171" s="30" t="s">
        <v>8911</v>
      </c>
      <c r="C171" s="31" t="s">
        <v>8912</v>
      </c>
      <c r="D171" s="31" t="s">
        <v>8721</v>
      </c>
      <c r="E171" s="31" t="s">
        <v>8914</v>
      </c>
      <c r="F171" s="30" t="n">
        <f aca="false">COUNTIF('Seed Catalogue'!$C$2:$C$452,B171)</f>
        <v>0</v>
      </c>
      <c r="G171" s="40" t="n">
        <v>3</v>
      </c>
      <c r="H171" s="40" t="n">
        <v>5</v>
      </c>
      <c r="I171" s="40" t="n">
        <v>2</v>
      </c>
      <c r="J171" s="40" t="n">
        <v>4</v>
      </c>
      <c r="K171" s="40" t="n">
        <v>4</v>
      </c>
      <c r="L171" s="40" t="n">
        <v>4</v>
      </c>
      <c r="M171" s="40" t="n">
        <v>5</v>
      </c>
      <c r="N171" s="40" t="n">
        <v>4</v>
      </c>
      <c r="O171" s="41" t="n">
        <f aca="false">ROUND(G171/5*$X$2+H171/5*$X$3+I171/5*$X$4+J171/5*$X$5+K171/5*$X$6+L171/5*$X$7+M171/5*$X$8-N171/5*$X$9,1)</f>
        <v>58</v>
      </c>
      <c r="P171" s="30" t="str">
        <f aca="false">IF(O171&gt;=$X$12,"Foundational deep pass",IF(O171&gt;=$X$13,"Major deep pass",IF(O171&gt;=$X$14,"Targeted innovation pass",IF(O171&gt;=$X$15,"Sampling pass","Reference / defer"))))</f>
        <v>Targeted innovation pass</v>
      </c>
      <c r="Q171" s="31" t="s">
        <v>14207</v>
      </c>
      <c r="R171" s="31" t="s">
        <v>14208</v>
      </c>
      <c r="S171" s="31" t="s">
        <v>14184</v>
      </c>
      <c r="T171" s="31" t="s">
        <v>8917</v>
      </c>
      <c r="U171" s="42" t="n">
        <v>46236</v>
      </c>
    </row>
    <row r="172" customFormat="false" ht="45.75" hidden="false" customHeight="true" outlineLevel="0" collapsed="false">
      <c r="A172" s="30" t="n">
        <v>166</v>
      </c>
      <c r="B172" s="30" t="s">
        <v>8905</v>
      </c>
      <c r="C172" s="31" t="s">
        <v>8906</v>
      </c>
      <c r="D172" s="31" t="s">
        <v>8721</v>
      </c>
      <c r="E172" s="31" t="s">
        <v>8900</v>
      </c>
      <c r="F172" s="30" t="n">
        <f aca="false">COUNTIF('Seed Catalogue'!$C$2:$C$452,B172)</f>
        <v>0</v>
      </c>
      <c r="G172" s="40" t="n">
        <v>3</v>
      </c>
      <c r="H172" s="40" t="n">
        <v>5</v>
      </c>
      <c r="I172" s="40" t="n">
        <v>2</v>
      </c>
      <c r="J172" s="40" t="n">
        <v>4</v>
      </c>
      <c r="K172" s="40" t="n">
        <v>4</v>
      </c>
      <c r="L172" s="40" t="n">
        <v>4</v>
      </c>
      <c r="M172" s="40" t="n">
        <v>5</v>
      </c>
      <c r="N172" s="40" t="n">
        <v>4</v>
      </c>
      <c r="O172" s="41" t="n">
        <f aca="false">ROUND(G172/5*$X$2+H172/5*$X$3+I172/5*$X$4+J172/5*$X$5+K172/5*$X$6+L172/5*$X$7+M172/5*$X$8-N172/5*$X$9,1)</f>
        <v>58</v>
      </c>
      <c r="P172" s="30" t="str">
        <f aca="false">IF(O172&gt;=$X$12,"Foundational deep pass",IF(O172&gt;=$X$13,"Major deep pass",IF(O172&gt;=$X$14,"Targeted innovation pass",IF(O172&gt;=$X$15,"Sampling pass","Reference / defer"))))</f>
        <v>Targeted innovation pass</v>
      </c>
      <c r="Q172" s="31" t="s">
        <v>14207</v>
      </c>
      <c r="R172" s="31" t="s">
        <v>14208</v>
      </c>
      <c r="S172" s="31" t="s">
        <v>14184</v>
      </c>
      <c r="T172" s="31" t="s">
        <v>8910</v>
      </c>
      <c r="U172" s="42" t="n">
        <v>46236</v>
      </c>
    </row>
    <row r="173" customFormat="false" ht="45.75" hidden="false" customHeight="true" outlineLevel="0" collapsed="false">
      <c r="A173" s="30" t="n">
        <v>167</v>
      </c>
      <c r="B173" s="30" t="s">
        <v>8735</v>
      </c>
      <c r="C173" s="31" t="s">
        <v>8736</v>
      </c>
      <c r="D173" s="31" t="s">
        <v>8730</v>
      </c>
      <c r="E173" s="31" t="s">
        <v>8343</v>
      </c>
      <c r="F173" s="30" t="n">
        <f aca="false">COUNTIF('Seed Catalogue'!$C$2:$C$452,B173)</f>
        <v>0</v>
      </c>
      <c r="G173" s="40" t="n">
        <v>3</v>
      </c>
      <c r="H173" s="40" t="n">
        <v>5</v>
      </c>
      <c r="I173" s="40" t="n">
        <v>2</v>
      </c>
      <c r="J173" s="40" t="n">
        <v>4</v>
      </c>
      <c r="K173" s="40" t="n">
        <v>4</v>
      </c>
      <c r="L173" s="40" t="n">
        <v>4</v>
      </c>
      <c r="M173" s="40" t="n">
        <v>5</v>
      </c>
      <c r="N173" s="40" t="n">
        <v>4</v>
      </c>
      <c r="O173" s="41" t="n">
        <f aca="false">ROUND(G173/5*$X$2+H173/5*$X$3+I173/5*$X$4+J173/5*$X$5+K173/5*$X$6+L173/5*$X$7+M173/5*$X$8-N173/5*$X$9,1)</f>
        <v>58</v>
      </c>
      <c r="P173" s="30" t="str">
        <f aca="false">IF(O173&gt;=$X$12,"Foundational deep pass",IF(O173&gt;=$X$13,"Major deep pass",IF(O173&gt;=$X$14,"Targeted innovation pass",IF(O173&gt;=$X$15,"Sampling pass","Reference / defer"))))</f>
        <v>Targeted innovation pass</v>
      </c>
      <c r="Q173" s="31" t="s">
        <v>14207</v>
      </c>
      <c r="R173" s="31" t="s">
        <v>14208</v>
      </c>
      <c r="S173" s="31" t="s">
        <v>14184</v>
      </c>
      <c r="T173" s="31" t="s">
        <v>8741</v>
      </c>
      <c r="U173" s="42" t="n">
        <v>46236</v>
      </c>
    </row>
    <row r="174" customFormat="false" ht="45.75" hidden="false" customHeight="true" outlineLevel="0" collapsed="false">
      <c r="A174" s="30" t="n">
        <v>168</v>
      </c>
      <c r="B174" s="30" t="s">
        <v>8842</v>
      </c>
      <c r="C174" s="31" t="s">
        <v>8843</v>
      </c>
      <c r="D174" s="31" t="s">
        <v>8845</v>
      </c>
      <c r="E174" s="31" t="s">
        <v>8343</v>
      </c>
      <c r="F174" s="30" t="n">
        <f aca="false">COUNTIF('Seed Catalogue'!$C$2:$C$452,B174)</f>
        <v>0</v>
      </c>
      <c r="G174" s="40" t="n">
        <v>3</v>
      </c>
      <c r="H174" s="40" t="n">
        <v>5</v>
      </c>
      <c r="I174" s="40" t="n">
        <v>2</v>
      </c>
      <c r="J174" s="40" t="n">
        <v>4</v>
      </c>
      <c r="K174" s="40" t="n">
        <v>4</v>
      </c>
      <c r="L174" s="40" t="n">
        <v>4</v>
      </c>
      <c r="M174" s="40" t="n">
        <v>5</v>
      </c>
      <c r="N174" s="40" t="n">
        <v>4</v>
      </c>
      <c r="O174" s="41" t="n">
        <f aca="false">ROUND(G174/5*$X$2+H174/5*$X$3+I174/5*$X$4+J174/5*$X$5+K174/5*$X$6+L174/5*$X$7+M174/5*$X$8-N174/5*$X$9,1)</f>
        <v>58</v>
      </c>
      <c r="P174" s="30" t="str">
        <f aca="false">IF(O174&gt;=$X$12,"Foundational deep pass",IF(O174&gt;=$X$13,"Major deep pass",IF(O174&gt;=$X$14,"Targeted innovation pass",IF(O174&gt;=$X$15,"Sampling pass","Reference / defer"))))</f>
        <v>Targeted innovation pass</v>
      </c>
      <c r="Q174" s="31" t="s">
        <v>14207</v>
      </c>
      <c r="R174" s="31" t="s">
        <v>14208</v>
      </c>
      <c r="S174" s="31" t="s">
        <v>14184</v>
      </c>
      <c r="T174" s="31" t="s">
        <v>8848</v>
      </c>
      <c r="U174" s="42" t="n">
        <v>46236</v>
      </c>
    </row>
    <row r="175" customFormat="false" ht="45.75" hidden="false" customHeight="true" outlineLevel="0" collapsed="false">
      <c r="A175" s="30" t="n">
        <v>169</v>
      </c>
      <c r="B175" s="30" t="s">
        <v>8773</v>
      </c>
      <c r="C175" s="31" t="s">
        <v>8774</v>
      </c>
      <c r="D175" s="31" t="s">
        <v>8730</v>
      </c>
      <c r="E175" s="31" t="s">
        <v>8343</v>
      </c>
      <c r="F175" s="30" t="n">
        <f aca="false">COUNTIF('Seed Catalogue'!$C$2:$C$452,B175)</f>
        <v>0</v>
      </c>
      <c r="G175" s="40" t="n">
        <v>3</v>
      </c>
      <c r="H175" s="40" t="n">
        <v>5</v>
      </c>
      <c r="I175" s="40" t="n">
        <v>2</v>
      </c>
      <c r="J175" s="40" t="n">
        <v>4</v>
      </c>
      <c r="K175" s="40" t="n">
        <v>4</v>
      </c>
      <c r="L175" s="40" t="n">
        <v>4</v>
      </c>
      <c r="M175" s="40" t="n">
        <v>5</v>
      </c>
      <c r="N175" s="40" t="n">
        <v>4</v>
      </c>
      <c r="O175" s="41" t="n">
        <f aca="false">ROUND(G175/5*$X$2+H175/5*$X$3+I175/5*$X$4+J175/5*$X$5+K175/5*$X$6+L175/5*$X$7+M175/5*$X$8-N175/5*$X$9,1)</f>
        <v>58</v>
      </c>
      <c r="P175" s="30" t="str">
        <f aca="false">IF(O175&gt;=$X$12,"Foundational deep pass",IF(O175&gt;=$X$13,"Major deep pass",IF(O175&gt;=$X$14,"Targeted innovation pass",IF(O175&gt;=$X$15,"Sampling pass","Reference / defer"))))</f>
        <v>Targeted innovation pass</v>
      </c>
      <c r="Q175" s="31" t="s">
        <v>14207</v>
      </c>
      <c r="R175" s="31" t="s">
        <v>14208</v>
      </c>
      <c r="S175" s="31" t="s">
        <v>14184</v>
      </c>
      <c r="T175" s="31" t="s">
        <v>8778</v>
      </c>
      <c r="U175" s="42" t="n">
        <v>46236</v>
      </c>
    </row>
    <row r="176" customFormat="false" ht="45.75" hidden="false" customHeight="true" outlineLevel="0" collapsed="false">
      <c r="A176" s="30" t="n">
        <v>170</v>
      </c>
      <c r="B176" s="30" t="s">
        <v>8897</v>
      </c>
      <c r="C176" s="31" t="s">
        <v>8898</v>
      </c>
      <c r="D176" s="31" t="s">
        <v>8721</v>
      </c>
      <c r="E176" s="31" t="s">
        <v>8900</v>
      </c>
      <c r="F176" s="30" t="n">
        <f aca="false">COUNTIF('Seed Catalogue'!$C$2:$C$452,B176)</f>
        <v>0</v>
      </c>
      <c r="G176" s="40" t="n">
        <v>3</v>
      </c>
      <c r="H176" s="40" t="n">
        <v>5</v>
      </c>
      <c r="I176" s="40" t="n">
        <v>2</v>
      </c>
      <c r="J176" s="40" t="n">
        <v>4</v>
      </c>
      <c r="K176" s="40" t="n">
        <v>4</v>
      </c>
      <c r="L176" s="40" t="n">
        <v>4</v>
      </c>
      <c r="M176" s="40" t="n">
        <v>5</v>
      </c>
      <c r="N176" s="40" t="n">
        <v>4</v>
      </c>
      <c r="O176" s="41" t="n">
        <f aca="false">ROUND(G176/5*$X$2+H176/5*$X$3+I176/5*$X$4+J176/5*$X$5+K176/5*$X$6+L176/5*$X$7+M176/5*$X$8-N176/5*$X$9,1)</f>
        <v>58</v>
      </c>
      <c r="P176" s="30" t="str">
        <f aca="false">IF(O176&gt;=$X$12,"Foundational deep pass",IF(O176&gt;=$X$13,"Major deep pass",IF(O176&gt;=$X$14,"Targeted innovation pass",IF(O176&gt;=$X$15,"Sampling pass","Reference / defer"))))</f>
        <v>Targeted innovation pass</v>
      </c>
      <c r="Q176" s="31" t="s">
        <v>14207</v>
      </c>
      <c r="R176" s="31" t="s">
        <v>14208</v>
      </c>
      <c r="S176" s="31" t="s">
        <v>14184</v>
      </c>
      <c r="T176" s="31" t="s">
        <v>8904</v>
      </c>
      <c r="U176" s="42" t="n">
        <v>46236</v>
      </c>
    </row>
    <row r="177" customFormat="false" ht="45.75" hidden="false" customHeight="true" outlineLevel="0" collapsed="false">
      <c r="A177" s="30" t="n">
        <v>171</v>
      </c>
      <c r="B177" s="30" t="s">
        <v>8981</v>
      </c>
      <c r="C177" s="31" t="s">
        <v>8982</v>
      </c>
      <c r="D177" s="31" t="s">
        <v>8984</v>
      </c>
      <c r="E177" s="31" t="s">
        <v>8226</v>
      </c>
      <c r="F177" s="30" t="n">
        <f aca="false">COUNTIF('Seed Catalogue'!$C$2:$C$452,B177)</f>
        <v>0</v>
      </c>
      <c r="G177" s="40" t="n">
        <v>4</v>
      </c>
      <c r="H177" s="40" t="n">
        <v>4</v>
      </c>
      <c r="I177" s="40" t="n">
        <v>2</v>
      </c>
      <c r="J177" s="40" t="n">
        <v>4</v>
      </c>
      <c r="K177" s="40" t="n">
        <v>4</v>
      </c>
      <c r="L177" s="40" t="n">
        <v>4</v>
      </c>
      <c r="M177" s="40" t="n">
        <v>4</v>
      </c>
      <c r="N177" s="40" t="n">
        <v>4</v>
      </c>
      <c r="O177" s="41" t="n">
        <f aca="false">ROUND(G177/5*$X$2+H177/5*$X$3+I177/5*$X$4+J177/5*$X$5+K177/5*$X$6+L177/5*$X$7+M177/5*$X$8-N177/5*$X$9,1)</f>
        <v>58</v>
      </c>
      <c r="P177" s="30" t="str">
        <f aca="false">IF(O177&gt;=$X$12,"Foundational deep pass",IF(O177&gt;=$X$13,"Major deep pass",IF(O177&gt;=$X$14,"Targeted innovation pass",IF(O177&gt;=$X$15,"Sampling pass","Reference / defer"))))</f>
        <v>Targeted innovation pass</v>
      </c>
      <c r="Q177" s="31" t="s">
        <v>14213</v>
      </c>
      <c r="R177" s="31" t="s">
        <v>14214</v>
      </c>
      <c r="S177" s="31" t="s">
        <v>14141</v>
      </c>
      <c r="T177" s="31" t="s">
        <v>8989</v>
      </c>
      <c r="U177" s="42" t="n">
        <v>46236</v>
      </c>
    </row>
    <row r="178" customFormat="false" ht="45.75" hidden="false" customHeight="true" outlineLevel="0" collapsed="false">
      <c r="A178" s="30" t="n">
        <v>172</v>
      </c>
      <c r="B178" s="30" t="s">
        <v>8857</v>
      </c>
      <c r="C178" s="31" t="s">
        <v>8858</v>
      </c>
      <c r="D178" s="31" t="s">
        <v>8721</v>
      </c>
      <c r="E178" s="31" t="s">
        <v>8860</v>
      </c>
      <c r="F178" s="30" t="n">
        <f aca="false">COUNTIF('Seed Catalogue'!$C$2:$C$452,B178)</f>
        <v>0</v>
      </c>
      <c r="G178" s="40" t="n">
        <v>3</v>
      </c>
      <c r="H178" s="40" t="n">
        <v>5</v>
      </c>
      <c r="I178" s="40" t="n">
        <v>2</v>
      </c>
      <c r="J178" s="40" t="n">
        <v>4</v>
      </c>
      <c r="K178" s="40" t="n">
        <v>4</v>
      </c>
      <c r="L178" s="40" t="n">
        <v>4</v>
      </c>
      <c r="M178" s="40" t="n">
        <v>5</v>
      </c>
      <c r="N178" s="40" t="n">
        <v>4</v>
      </c>
      <c r="O178" s="41" t="n">
        <f aca="false">ROUND(G178/5*$X$2+H178/5*$X$3+I178/5*$X$4+J178/5*$X$5+K178/5*$X$6+L178/5*$X$7+M178/5*$X$8-N178/5*$X$9,1)</f>
        <v>58</v>
      </c>
      <c r="P178" s="30" t="str">
        <f aca="false">IF(O178&gt;=$X$12,"Foundational deep pass",IF(O178&gt;=$X$13,"Major deep pass",IF(O178&gt;=$X$14,"Targeted innovation pass",IF(O178&gt;=$X$15,"Sampling pass","Reference / defer"))))</f>
        <v>Targeted innovation pass</v>
      </c>
      <c r="Q178" s="31" t="s">
        <v>14207</v>
      </c>
      <c r="R178" s="31" t="s">
        <v>14208</v>
      </c>
      <c r="S178" s="31" t="s">
        <v>14184</v>
      </c>
      <c r="T178" s="31" t="s">
        <v>8863</v>
      </c>
      <c r="U178" s="42" t="n">
        <v>46236</v>
      </c>
    </row>
    <row r="179" customFormat="false" ht="45.75" hidden="false" customHeight="true" outlineLevel="0" collapsed="false">
      <c r="A179" s="30" t="n">
        <v>173</v>
      </c>
      <c r="B179" s="30" t="s">
        <v>8815</v>
      </c>
      <c r="C179" s="31" t="s">
        <v>8816</v>
      </c>
      <c r="D179" s="31" t="s">
        <v>8721</v>
      </c>
      <c r="E179" s="31" t="s">
        <v>8818</v>
      </c>
      <c r="F179" s="30" t="n">
        <f aca="false">COUNTIF('Seed Catalogue'!$C$2:$C$452,B179)</f>
        <v>0</v>
      </c>
      <c r="G179" s="40" t="n">
        <v>3</v>
      </c>
      <c r="H179" s="40" t="n">
        <v>5</v>
      </c>
      <c r="I179" s="40" t="n">
        <v>2</v>
      </c>
      <c r="J179" s="40" t="n">
        <v>4</v>
      </c>
      <c r="K179" s="40" t="n">
        <v>4</v>
      </c>
      <c r="L179" s="40" t="n">
        <v>4</v>
      </c>
      <c r="M179" s="40" t="n">
        <v>5</v>
      </c>
      <c r="N179" s="40" t="n">
        <v>4</v>
      </c>
      <c r="O179" s="41" t="n">
        <f aca="false">ROUND(G179/5*$X$2+H179/5*$X$3+I179/5*$X$4+J179/5*$X$5+K179/5*$X$6+L179/5*$X$7+M179/5*$X$8-N179/5*$X$9,1)</f>
        <v>58</v>
      </c>
      <c r="P179" s="30" t="str">
        <f aca="false">IF(O179&gt;=$X$12,"Foundational deep pass",IF(O179&gt;=$X$13,"Major deep pass",IF(O179&gt;=$X$14,"Targeted innovation pass",IF(O179&gt;=$X$15,"Sampling pass","Reference / defer"))))</f>
        <v>Targeted innovation pass</v>
      </c>
      <c r="Q179" s="31" t="s">
        <v>14207</v>
      </c>
      <c r="R179" s="31" t="s">
        <v>14208</v>
      </c>
      <c r="S179" s="31" t="s">
        <v>14184</v>
      </c>
      <c r="T179" s="31" t="s">
        <v>8821</v>
      </c>
      <c r="U179" s="42" t="n">
        <v>46236</v>
      </c>
    </row>
    <row r="180" customFormat="false" ht="45.75" hidden="false" customHeight="true" outlineLevel="0" collapsed="false">
      <c r="A180" s="30" t="n">
        <v>174</v>
      </c>
      <c r="B180" s="30" t="s">
        <v>8849</v>
      </c>
      <c r="C180" s="31" t="s">
        <v>8850</v>
      </c>
      <c r="D180" s="31" t="s">
        <v>8852</v>
      </c>
      <c r="E180" s="31" t="s">
        <v>8343</v>
      </c>
      <c r="F180" s="30" t="n">
        <f aca="false">COUNTIF('Seed Catalogue'!$C$2:$C$452,B180)</f>
        <v>0</v>
      </c>
      <c r="G180" s="40" t="n">
        <v>3</v>
      </c>
      <c r="H180" s="40" t="n">
        <v>5</v>
      </c>
      <c r="I180" s="40" t="n">
        <v>2</v>
      </c>
      <c r="J180" s="40" t="n">
        <v>4</v>
      </c>
      <c r="K180" s="40" t="n">
        <v>4</v>
      </c>
      <c r="L180" s="40" t="n">
        <v>4</v>
      </c>
      <c r="M180" s="40" t="n">
        <v>5</v>
      </c>
      <c r="N180" s="40" t="n">
        <v>4</v>
      </c>
      <c r="O180" s="41" t="n">
        <f aca="false">ROUND(G180/5*$X$2+H180/5*$X$3+I180/5*$X$4+J180/5*$X$5+K180/5*$X$6+L180/5*$X$7+M180/5*$X$8-N180/5*$X$9,1)</f>
        <v>58</v>
      </c>
      <c r="P180" s="30" t="str">
        <f aca="false">IF(O180&gt;=$X$12,"Foundational deep pass",IF(O180&gt;=$X$13,"Major deep pass",IF(O180&gt;=$X$14,"Targeted innovation pass",IF(O180&gt;=$X$15,"Sampling pass","Reference / defer"))))</f>
        <v>Targeted innovation pass</v>
      </c>
      <c r="Q180" s="31" t="s">
        <v>14207</v>
      </c>
      <c r="R180" s="31" t="s">
        <v>14208</v>
      </c>
      <c r="S180" s="31" t="s">
        <v>14184</v>
      </c>
      <c r="T180" s="31" t="s">
        <v>8856</v>
      </c>
      <c r="U180" s="42" t="n">
        <v>46236</v>
      </c>
    </row>
    <row r="181" customFormat="false" ht="45.75" hidden="false" customHeight="true" outlineLevel="0" collapsed="false">
      <c r="A181" s="30" t="n">
        <v>175</v>
      </c>
      <c r="B181" s="30" t="s">
        <v>9808</v>
      </c>
      <c r="C181" s="31" t="s">
        <v>9809</v>
      </c>
      <c r="D181" s="31" t="s">
        <v>9773</v>
      </c>
      <c r="E181" s="31" t="s">
        <v>9811</v>
      </c>
      <c r="F181" s="30" t="n">
        <f aca="false">COUNTIF('Seed Catalogue'!$C$2:$C$452,B181)</f>
        <v>0</v>
      </c>
      <c r="G181" s="40" t="n">
        <v>3</v>
      </c>
      <c r="H181" s="40" t="n">
        <v>3</v>
      </c>
      <c r="I181" s="40" t="n">
        <v>2</v>
      </c>
      <c r="J181" s="40" t="n">
        <v>5</v>
      </c>
      <c r="K181" s="40" t="n">
        <v>3</v>
      </c>
      <c r="L181" s="40" t="n">
        <v>5</v>
      </c>
      <c r="M181" s="40" t="n">
        <v>4</v>
      </c>
      <c r="N181" s="40" t="n">
        <v>3</v>
      </c>
      <c r="O181" s="41" t="n">
        <f aca="false">ROUND(G181/5*$X$2+H181/5*$X$3+I181/5*$X$4+J181/5*$X$5+K181/5*$X$6+L181/5*$X$7+M181/5*$X$8-N181/5*$X$9,1)</f>
        <v>57</v>
      </c>
      <c r="P181" s="30" t="str">
        <f aca="false">IF(O181&gt;=$X$12,"Foundational deep pass",IF(O181&gt;=$X$13,"Major deep pass",IF(O181&gt;=$X$14,"Targeted innovation pass",IF(O181&gt;=$X$15,"Sampling pass","Reference / defer"))))</f>
        <v>Targeted innovation pass</v>
      </c>
      <c r="Q181" s="31" t="s">
        <v>14215</v>
      </c>
      <c r="R181" s="31" t="s">
        <v>14216</v>
      </c>
      <c r="S181" s="31" t="s">
        <v>14184</v>
      </c>
      <c r="T181" s="31" t="s">
        <v>9814</v>
      </c>
      <c r="U181" s="42" t="n">
        <v>46236</v>
      </c>
    </row>
    <row r="182" customFormat="false" ht="45.75" hidden="false" customHeight="true" outlineLevel="0" collapsed="false">
      <c r="A182" s="30" t="n">
        <v>176</v>
      </c>
      <c r="B182" s="30" t="s">
        <v>9770</v>
      </c>
      <c r="C182" s="31" t="s">
        <v>9771</v>
      </c>
      <c r="D182" s="31" t="s">
        <v>9773</v>
      </c>
      <c r="E182" s="31" t="s">
        <v>8343</v>
      </c>
      <c r="F182" s="30" t="n">
        <f aca="false">COUNTIF('Seed Catalogue'!$C$2:$C$452,B182)</f>
        <v>0</v>
      </c>
      <c r="G182" s="40" t="n">
        <v>3</v>
      </c>
      <c r="H182" s="40" t="n">
        <v>3</v>
      </c>
      <c r="I182" s="40" t="n">
        <v>2</v>
      </c>
      <c r="J182" s="40" t="n">
        <v>5</v>
      </c>
      <c r="K182" s="40" t="n">
        <v>3</v>
      </c>
      <c r="L182" s="40" t="n">
        <v>5</v>
      </c>
      <c r="M182" s="40" t="n">
        <v>4</v>
      </c>
      <c r="N182" s="40" t="n">
        <v>3</v>
      </c>
      <c r="O182" s="41" t="n">
        <f aca="false">ROUND(G182/5*$X$2+H182/5*$X$3+I182/5*$X$4+J182/5*$X$5+K182/5*$X$6+L182/5*$X$7+M182/5*$X$8-N182/5*$X$9,1)</f>
        <v>57</v>
      </c>
      <c r="P182" s="30" t="str">
        <f aca="false">IF(O182&gt;=$X$12,"Foundational deep pass",IF(O182&gt;=$X$13,"Major deep pass",IF(O182&gt;=$X$14,"Targeted innovation pass",IF(O182&gt;=$X$15,"Sampling pass","Reference / defer"))))</f>
        <v>Targeted innovation pass</v>
      </c>
      <c r="Q182" s="31" t="s">
        <v>14215</v>
      </c>
      <c r="R182" s="31" t="s">
        <v>14216</v>
      </c>
      <c r="S182" s="31" t="s">
        <v>14184</v>
      </c>
      <c r="T182" s="31" t="s">
        <v>9776</v>
      </c>
      <c r="U182" s="42" t="n">
        <v>46236</v>
      </c>
    </row>
    <row r="183" customFormat="false" ht="45.75" hidden="false" customHeight="true" outlineLevel="0" collapsed="false">
      <c r="A183" s="30" t="n">
        <v>177</v>
      </c>
      <c r="B183" s="30" t="s">
        <v>9815</v>
      </c>
      <c r="C183" s="31" t="s">
        <v>9816</v>
      </c>
      <c r="D183" s="31" t="s">
        <v>9818</v>
      </c>
      <c r="E183" s="31" t="s">
        <v>8343</v>
      </c>
      <c r="F183" s="30" t="n">
        <f aca="false">COUNTIF('Seed Catalogue'!$C$2:$C$452,B183)</f>
        <v>0</v>
      </c>
      <c r="G183" s="40" t="n">
        <v>3</v>
      </c>
      <c r="H183" s="40" t="n">
        <v>3</v>
      </c>
      <c r="I183" s="40" t="n">
        <v>2</v>
      </c>
      <c r="J183" s="40" t="n">
        <v>5</v>
      </c>
      <c r="K183" s="40" t="n">
        <v>3</v>
      </c>
      <c r="L183" s="40" t="n">
        <v>5</v>
      </c>
      <c r="M183" s="40" t="n">
        <v>4</v>
      </c>
      <c r="N183" s="40" t="n">
        <v>3</v>
      </c>
      <c r="O183" s="41" t="n">
        <f aca="false">ROUND(G183/5*$X$2+H183/5*$X$3+I183/5*$X$4+J183/5*$X$5+K183/5*$X$6+L183/5*$X$7+M183/5*$X$8-N183/5*$X$9,1)</f>
        <v>57</v>
      </c>
      <c r="P183" s="30" t="str">
        <f aca="false">IF(O183&gt;=$X$12,"Foundational deep pass",IF(O183&gt;=$X$13,"Major deep pass",IF(O183&gt;=$X$14,"Targeted innovation pass",IF(O183&gt;=$X$15,"Sampling pass","Reference / defer"))))</f>
        <v>Targeted innovation pass</v>
      </c>
      <c r="Q183" s="31" t="s">
        <v>14215</v>
      </c>
      <c r="R183" s="31" t="s">
        <v>14216</v>
      </c>
      <c r="S183" s="31" t="s">
        <v>14184</v>
      </c>
      <c r="T183" s="31" t="s">
        <v>9821</v>
      </c>
      <c r="U183" s="42" t="n">
        <v>46236</v>
      </c>
    </row>
    <row r="184" customFormat="false" ht="45.75" hidden="false" customHeight="true" outlineLevel="0" collapsed="false">
      <c r="A184" s="30" t="n">
        <v>178</v>
      </c>
      <c r="B184" s="30" t="s">
        <v>9764</v>
      </c>
      <c r="C184" s="31" t="s">
        <v>9765</v>
      </c>
      <c r="D184" s="31" t="s">
        <v>9713</v>
      </c>
      <c r="E184" s="31" t="s">
        <v>9767</v>
      </c>
      <c r="F184" s="30" t="n">
        <f aca="false">COUNTIF('Seed Catalogue'!$C$2:$C$452,B184)</f>
        <v>0</v>
      </c>
      <c r="G184" s="40" t="n">
        <v>3</v>
      </c>
      <c r="H184" s="40" t="n">
        <v>3</v>
      </c>
      <c r="I184" s="40" t="n">
        <v>2</v>
      </c>
      <c r="J184" s="40" t="n">
        <v>5</v>
      </c>
      <c r="K184" s="40" t="n">
        <v>3</v>
      </c>
      <c r="L184" s="40" t="n">
        <v>5</v>
      </c>
      <c r="M184" s="40" t="n">
        <v>4</v>
      </c>
      <c r="N184" s="40" t="n">
        <v>3</v>
      </c>
      <c r="O184" s="41" t="n">
        <f aca="false">ROUND(G184/5*$X$2+H184/5*$X$3+I184/5*$X$4+J184/5*$X$5+K184/5*$X$6+L184/5*$X$7+M184/5*$X$8-N184/5*$X$9,1)</f>
        <v>57</v>
      </c>
      <c r="P184" s="30" t="str">
        <f aca="false">IF(O184&gt;=$X$12,"Foundational deep pass",IF(O184&gt;=$X$13,"Major deep pass",IF(O184&gt;=$X$14,"Targeted innovation pass",IF(O184&gt;=$X$15,"Sampling pass","Reference / defer"))))</f>
        <v>Targeted innovation pass</v>
      </c>
      <c r="Q184" s="31" t="s">
        <v>14215</v>
      </c>
      <c r="R184" s="31" t="s">
        <v>14216</v>
      </c>
      <c r="S184" s="31" t="s">
        <v>14184</v>
      </c>
      <c r="T184" s="31" t="s">
        <v>9769</v>
      </c>
      <c r="U184" s="42" t="n">
        <v>46236</v>
      </c>
    </row>
    <row r="185" customFormat="false" ht="45.75" hidden="false" customHeight="true" outlineLevel="0" collapsed="false">
      <c r="A185" s="30" t="n">
        <v>179</v>
      </c>
      <c r="B185" s="30" t="s">
        <v>9596</v>
      </c>
      <c r="C185" s="31" t="s">
        <v>9597</v>
      </c>
      <c r="D185" s="31" t="s">
        <v>9599</v>
      </c>
      <c r="E185" s="31" t="s">
        <v>8226</v>
      </c>
      <c r="F185" s="30" t="n">
        <f aca="false">COUNTIF('Seed Catalogue'!$C$2:$C$452,B185)</f>
        <v>0</v>
      </c>
      <c r="G185" s="40" t="n">
        <v>3</v>
      </c>
      <c r="H185" s="40" t="n">
        <v>3</v>
      </c>
      <c r="I185" s="40" t="n">
        <v>2</v>
      </c>
      <c r="J185" s="40" t="n">
        <v>5</v>
      </c>
      <c r="K185" s="40" t="n">
        <v>3</v>
      </c>
      <c r="L185" s="40" t="n">
        <v>5</v>
      </c>
      <c r="M185" s="40" t="n">
        <v>4</v>
      </c>
      <c r="N185" s="40" t="n">
        <v>3</v>
      </c>
      <c r="O185" s="41" t="n">
        <f aca="false">ROUND(G185/5*$X$2+H185/5*$X$3+I185/5*$X$4+J185/5*$X$5+K185/5*$X$6+L185/5*$X$7+M185/5*$X$8-N185/5*$X$9,1)</f>
        <v>57</v>
      </c>
      <c r="P185" s="30" t="str">
        <f aca="false">IF(O185&gt;=$X$12,"Foundational deep pass",IF(O185&gt;=$X$13,"Major deep pass",IF(O185&gt;=$X$14,"Targeted innovation pass",IF(O185&gt;=$X$15,"Sampling pass","Reference / defer"))))</f>
        <v>Targeted innovation pass</v>
      </c>
      <c r="Q185" s="31" t="s">
        <v>14215</v>
      </c>
      <c r="R185" s="31" t="s">
        <v>14216</v>
      </c>
      <c r="S185" s="31" t="s">
        <v>14184</v>
      </c>
      <c r="T185" s="31" t="s">
        <v>9602</v>
      </c>
      <c r="U185" s="42" t="n">
        <v>46236</v>
      </c>
    </row>
    <row r="186" customFormat="false" ht="45.75" hidden="false" customHeight="true" outlineLevel="0" collapsed="false">
      <c r="A186" s="30" t="n">
        <v>180</v>
      </c>
      <c r="B186" s="30" t="s">
        <v>9611</v>
      </c>
      <c r="C186" s="31" t="s">
        <v>9612</v>
      </c>
      <c r="D186" s="31" t="s">
        <v>9599</v>
      </c>
      <c r="E186" s="31" t="s">
        <v>8226</v>
      </c>
      <c r="F186" s="30" t="n">
        <f aca="false">COUNTIF('Seed Catalogue'!$C$2:$C$452,B186)</f>
        <v>0</v>
      </c>
      <c r="G186" s="40" t="n">
        <v>3</v>
      </c>
      <c r="H186" s="40" t="n">
        <v>3</v>
      </c>
      <c r="I186" s="40" t="n">
        <v>2</v>
      </c>
      <c r="J186" s="40" t="n">
        <v>5</v>
      </c>
      <c r="K186" s="40" t="n">
        <v>3</v>
      </c>
      <c r="L186" s="40" t="n">
        <v>5</v>
      </c>
      <c r="M186" s="40" t="n">
        <v>4</v>
      </c>
      <c r="N186" s="40" t="n">
        <v>3</v>
      </c>
      <c r="O186" s="41" t="n">
        <f aca="false">ROUND(G186/5*$X$2+H186/5*$X$3+I186/5*$X$4+J186/5*$X$5+K186/5*$X$6+L186/5*$X$7+M186/5*$X$8-N186/5*$X$9,1)</f>
        <v>57</v>
      </c>
      <c r="P186" s="30" t="str">
        <f aca="false">IF(O186&gt;=$X$12,"Foundational deep pass",IF(O186&gt;=$X$13,"Major deep pass",IF(O186&gt;=$X$14,"Targeted innovation pass",IF(O186&gt;=$X$15,"Sampling pass","Reference / defer"))))</f>
        <v>Targeted innovation pass</v>
      </c>
      <c r="Q186" s="31" t="s">
        <v>14215</v>
      </c>
      <c r="R186" s="31" t="s">
        <v>14216</v>
      </c>
      <c r="S186" s="31" t="s">
        <v>14184</v>
      </c>
      <c r="T186" s="31" t="s">
        <v>9614</v>
      </c>
      <c r="U186" s="42" t="n">
        <v>46236</v>
      </c>
    </row>
    <row r="187" customFormat="false" ht="45.75" hidden="false" customHeight="true" outlineLevel="0" collapsed="false">
      <c r="A187" s="30" t="n">
        <v>181</v>
      </c>
      <c r="B187" s="30" t="s">
        <v>9702</v>
      </c>
      <c r="C187" s="31" t="s">
        <v>9703</v>
      </c>
      <c r="D187" s="31" t="s">
        <v>9705</v>
      </c>
      <c r="E187" s="31" t="s">
        <v>9706</v>
      </c>
      <c r="F187" s="30" t="n">
        <f aca="false">COUNTIF('Seed Catalogue'!$C$2:$C$452,B187)</f>
        <v>0</v>
      </c>
      <c r="G187" s="40" t="n">
        <v>3</v>
      </c>
      <c r="H187" s="40" t="n">
        <v>3</v>
      </c>
      <c r="I187" s="40" t="n">
        <v>2</v>
      </c>
      <c r="J187" s="40" t="n">
        <v>5</v>
      </c>
      <c r="K187" s="40" t="n">
        <v>3</v>
      </c>
      <c r="L187" s="40" t="n">
        <v>5</v>
      </c>
      <c r="M187" s="40" t="n">
        <v>4</v>
      </c>
      <c r="N187" s="40" t="n">
        <v>3</v>
      </c>
      <c r="O187" s="41" t="n">
        <f aca="false">ROUND(G187/5*$X$2+H187/5*$X$3+I187/5*$X$4+J187/5*$X$5+K187/5*$X$6+L187/5*$X$7+M187/5*$X$8-N187/5*$X$9,1)</f>
        <v>57</v>
      </c>
      <c r="P187" s="30" t="str">
        <f aca="false">IF(O187&gt;=$X$12,"Foundational deep pass",IF(O187&gt;=$X$13,"Major deep pass",IF(O187&gt;=$X$14,"Targeted innovation pass",IF(O187&gt;=$X$15,"Sampling pass","Reference / defer"))))</f>
        <v>Targeted innovation pass</v>
      </c>
      <c r="Q187" s="31" t="s">
        <v>14215</v>
      </c>
      <c r="R187" s="31" t="s">
        <v>14216</v>
      </c>
      <c r="S187" s="31" t="s">
        <v>14184</v>
      </c>
      <c r="T187" s="31" t="s">
        <v>9709</v>
      </c>
      <c r="U187" s="42" t="n">
        <v>46236</v>
      </c>
    </row>
    <row r="188" customFormat="false" ht="45.75" hidden="false" customHeight="true" outlineLevel="0" collapsed="false">
      <c r="A188" s="30" t="n">
        <v>182</v>
      </c>
      <c r="B188" s="30" t="s">
        <v>9883</v>
      </c>
      <c r="C188" s="31" t="s">
        <v>9884</v>
      </c>
      <c r="D188" s="31" t="s">
        <v>9818</v>
      </c>
      <c r="E188" s="31" t="s">
        <v>9706</v>
      </c>
      <c r="F188" s="30" t="n">
        <f aca="false">COUNTIF('Seed Catalogue'!$C$2:$C$452,B188)</f>
        <v>0</v>
      </c>
      <c r="G188" s="40" t="n">
        <v>3</v>
      </c>
      <c r="H188" s="40" t="n">
        <v>3</v>
      </c>
      <c r="I188" s="40" t="n">
        <v>2</v>
      </c>
      <c r="J188" s="40" t="n">
        <v>5</v>
      </c>
      <c r="K188" s="40" t="n">
        <v>3</v>
      </c>
      <c r="L188" s="40" t="n">
        <v>5</v>
      </c>
      <c r="M188" s="40" t="n">
        <v>4</v>
      </c>
      <c r="N188" s="40" t="n">
        <v>3</v>
      </c>
      <c r="O188" s="41" t="n">
        <f aca="false">ROUND(G188/5*$X$2+H188/5*$X$3+I188/5*$X$4+J188/5*$X$5+K188/5*$X$6+L188/5*$X$7+M188/5*$X$8-N188/5*$X$9,1)</f>
        <v>57</v>
      </c>
      <c r="P188" s="30" t="str">
        <f aca="false">IF(O188&gt;=$X$12,"Foundational deep pass",IF(O188&gt;=$X$13,"Major deep pass",IF(O188&gt;=$X$14,"Targeted innovation pass",IF(O188&gt;=$X$15,"Sampling pass","Reference / defer"))))</f>
        <v>Targeted innovation pass</v>
      </c>
      <c r="Q188" s="31" t="s">
        <v>14215</v>
      </c>
      <c r="R188" s="31" t="s">
        <v>14216</v>
      </c>
      <c r="S188" s="31" t="s">
        <v>14184</v>
      </c>
      <c r="T188" s="31" t="s">
        <v>9888</v>
      </c>
      <c r="U188" s="42" t="n">
        <v>46236</v>
      </c>
    </row>
    <row r="189" customFormat="false" ht="45.75" hidden="false" customHeight="true" outlineLevel="0" collapsed="false">
      <c r="A189" s="30" t="n">
        <v>183</v>
      </c>
      <c r="B189" s="30" t="s">
        <v>9777</v>
      </c>
      <c r="C189" s="31" t="s">
        <v>9778</v>
      </c>
      <c r="D189" s="31" t="s">
        <v>9773</v>
      </c>
      <c r="E189" s="31" t="s">
        <v>9780</v>
      </c>
      <c r="F189" s="30" t="n">
        <f aca="false">COUNTIF('Seed Catalogue'!$C$2:$C$452,B189)</f>
        <v>0</v>
      </c>
      <c r="G189" s="40" t="n">
        <v>3</v>
      </c>
      <c r="H189" s="40" t="n">
        <v>3</v>
      </c>
      <c r="I189" s="40" t="n">
        <v>2</v>
      </c>
      <c r="J189" s="40" t="n">
        <v>5</v>
      </c>
      <c r="K189" s="40" t="n">
        <v>3</v>
      </c>
      <c r="L189" s="40" t="n">
        <v>5</v>
      </c>
      <c r="M189" s="40" t="n">
        <v>4</v>
      </c>
      <c r="N189" s="40" t="n">
        <v>3</v>
      </c>
      <c r="O189" s="41" t="n">
        <f aca="false">ROUND(G189/5*$X$2+H189/5*$X$3+I189/5*$X$4+J189/5*$X$5+K189/5*$X$6+L189/5*$X$7+M189/5*$X$8-N189/5*$X$9,1)</f>
        <v>57</v>
      </c>
      <c r="P189" s="30" t="str">
        <f aca="false">IF(O189&gt;=$X$12,"Foundational deep pass",IF(O189&gt;=$X$13,"Major deep pass",IF(O189&gt;=$X$14,"Targeted innovation pass",IF(O189&gt;=$X$15,"Sampling pass","Reference / defer"))))</f>
        <v>Targeted innovation pass</v>
      </c>
      <c r="Q189" s="31" t="s">
        <v>14215</v>
      </c>
      <c r="R189" s="31" t="s">
        <v>14216</v>
      </c>
      <c r="S189" s="31" t="s">
        <v>14184</v>
      </c>
      <c r="T189" s="31" t="s">
        <v>9783</v>
      </c>
      <c r="U189" s="42" t="n">
        <v>46236</v>
      </c>
    </row>
    <row r="190" customFormat="false" ht="45.75" hidden="false" customHeight="true" outlineLevel="0" collapsed="false">
      <c r="A190" s="30" t="n">
        <v>184</v>
      </c>
      <c r="B190" s="30" t="s">
        <v>9826</v>
      </c>
      <c r="C190" s="31" t="s">
        <v>9827</v>
      </c>
      <c r="D190" s="31" t="s">
        <v>9713</v>
      </c>
      <c r="E190" s="31" t="s">
        <v>9829</v>
      </c>
      <c r="F190" s="30" t="n">
        <f aca="false">COUNTIF('Seed Catalogue'!$C$2:$C$452,B190)</f>
        <v>0</v>
      </c>
      <c r="G190" s="40" t="n">
        <v>3</v>
      </c>
      <c r="H190" s="40" t="n">
        <v>3</v>
      </c>
      <c r="I190" s="40" t="n">
        <v>2</v>
      </c>
      <c r="J190" s="40" t="n">
        <v>5</v>
      </c>
      <c r="K190" s="40" t="n">
        <v>3</v>
      </c>
      <c r="L190" s="40" t="n">
        <v>5</v>
      </c>
      <c r="M190" s="40" t="n">
        <v>4</v>
      </c>
      <c r="N190" s="40" t="n">
        <v>3</v>
      </c>
      <c r="O190" s="41" t="n">
        <f aca="false">ROUND(G190/5*$X$2+H190/5*$X$3+I190/5*$X$4+J190/5*$X$5+K190/5*$X$6+L190/5*$X$7+M190/5*$X$8-N190/5*$X$9,1)</f>
        <v>57</v>
      </c>
      <c r="P190" s="30" t="str">
        <f aca="false">IF(O190&gt;=$X$12,"Foundational deep pass",IF(O190&gt;=$X$13,"Major deep pass",IF(O190&gt;=$X$14,"Targeted innovation pass",IF(O190&gt;=$X$15,"Sampling pass","Reference / defer"))))</f>
        <v>Targeted innovation pass</v>
      </c>
      <c r="Q190" s="31" t="s">
        <v>14215</v>
      </c>
      <c r="R190" s="31" t="s">
        <v>14216</v>
      </c>
      <c r="S190" s="31" t="s">
        <v>14184</v>
      </c>
      <c r="T190" s="31" t="s">
        <v>9832</v>
      </c>
      <c r="U190" s="42" t="n">
        <v>46236</v>
      </c>
    </row>
    <row r="191" customFormat="false" ht="45.75" hidden="false" customHeight="true" outlineLevel="0" collapsed="false">
      <c r="A191" s="30" t="n">
        <v>185</v>
      </c>
      <c r="B191" s="30" t="s">
        <v>8800</v>
      </c>
      <c r="C191" s="31" t="s">
        <v>8801</v>
      </c>
      <c r="D191" s="31" t="s">
        <v>8803</v>
      </c>
      <c r="E191" s="31" t="s">
        <v>8307</v>
      </c>
      <c r="F191" s="30" t="n">
        <f aca="false">COUNTIF('Seed Catalogue'!$C$2:$C$452,B191)</f>
        <v>21</v>
      </c>
      <c r="G191" s="40" t="n">
        <v>3</v>
      </c>
      <c r="H191" s="40" t="n">
        <v>5</v>
      </c>
      <c r="I191" s="40" t="n">
        <v>2</v>
      </c>
      <c r="J191" s="40" t="n">
        <v>5</v>
      </c>
      <c r="K191" s="40" t="n">
        <v>4</v>
      </c>
      <c r="L191" s="40" t="n">
        <v>4</v>
      </c>
      <c r="M191" s="40" t="n">
        <v>5</v>
      </c>
      <c r="N191" s="40" t="n">
        <v>5</v>
      </c>
      <c r="O191" s="41" t="n">
        <f aca="false">ROUND(G191/5*$X$2+H191/5*$X$3+I191/5*$X$4+J191/5*$X$5+K191/5*$X$6+L191/5*$X$7+M191/5*$X$8-N191/5*$X$9,1)</f>
        <v>57</v>
      </c>
      <c r="P191" s="30" t="str">
        <f aca="false">IF(O191&gt;=$X$12,"Foundational deep pass",IF(O191&gt;=$X$13,"Major deep pass",IF(O191&gt;=$X$14,"Targeted innovation pass",IF(O191&gt;=$X$15,"Sampling pass","Reference / defer"))))</f>
        <v>Targeted innovation pass</v>
      </c>
      <c r="Q191" s="31" t="s">
        <v>14207</v>
      </c>
      <c r="R191" s="31" t="s">
        <v>14208</v>
      </c>
      <c r="S191" s="31" t="s">
        <v>14184</v>
      </c>
      <c r="T191" s="31" t="s">
        <v>8808</v>
      </c>
      <c r="U191" s="42" t="n">
        <v>46236</v>
      </c>
    </row>
    <row r="192" customFormat="false" ht="45.75" hidden="false" customHeight="true" outlineLevel="0" collapsed="false">
      <c r="A192" s="30" t="n">
        <v>186</v>
      </c>
      <c r="B192" s="30" t="s">
        <v>9364</v>
      </c>
      <c r="C192" s="31" t="s">
        <v>146</v>
      </c>
      <c r="D192" s="31" t="s">
        <v>9366</v>
      </c>
      <c r="E192" s="31" t="s">
        <v>9367</v>
      </c>
      <c r="F192" s="30" t="n">
        <f aca="false">COUNTIF('Seed Catalogue'!$C$2:$C$452,B192)</f>
        <v>19</v>
      </c>
      <c r="G192" s="40" t="n">
        <v>4</v>
      </c>
      <c r="H192" s="40" t="n">
        <v>3</v>
      </c>
      <c r="I192" s="40" t="n">
        <v>2</v>
      </c>
      <c r="J192" s="40" t="n">
        <v>3</v>
      </c>
      <c r="K192" s="40" t="n">
        <v>4</v>
      </c>
      <c r="L192" s="40" t="n">
        <v>3</v>
      </c>
      <c r="M192" s="40" t="n">
        <v>5</v>
      </c>
      <c r="N192" s="40" t="n">
        <v>3</v>
      </c>
      <c r="O192" s="41" t="n">
        <f aca="false">ROUND(G192/5*$X$2+H192/5*$X$3+I192/5*$X$4+J192/5*$X$5+K192/5*$X$6+L192/5*$X$7+M192/5*$X$8-N192/5*$X$9,1)</f>
        <v>56</v>
      </c>
      <c r="P192" s="30" t="str">
        <f aca="false">IF(O192&gt;=$X$12,"Foundational deep pass",IF(O192&gt;=$X$13,"Major deep pass",IF(O192&gt;=$X$14,"Targeted innovation pass",IF(O192&gt;=$X$15,"Sampling pass","Reference / defer"))))</f>
        <v>Targeted innovation pass</v>
      </c>
      <c r="Q192" s="31" t="s">
        <v>14217</v>
      </c>
      <c r="R192" s="31" t="s">
        <v>14218</v>
      </c>
      <c r="S192" s="31" t="s">
        <v>14141</v>
      </c>
      <c r="T192" s="31" t="s">
        <v>9371</v>
      </c>
      <c r="U192" s="42" t="n">
        <v>46236</v>
      </c>
    </row>
    <row r="193" customFormat="false" ht="45.75" hidden="false" customHeight="true" outlineLevel="0" collapsed="false">
      <c r="A193" s="30" t="n">
        <v>187</v>
      </c>
      <c r="B193" s="30" t="s">
        <v>9378</v>
      </c>
      <c r="C193" s="31" t="s">
        <v>9379</v>
      </c>
      <c r="D193" s="31" t="s">
        <v>9077</v>
      </c>
      <c r="E193" s="31" t="s">
        <v>8343</v>
      </c>
      <c r="F193" s="30" t="n">
        <f aca="false">COUNTIF('Seed Catalogue'!$C$2:$C$452,B193)</f>
        <v>0</v>
      </c>
      <c r="G193" s="40" t="n">
        <v>3</v>
      </c>
      <c r="H193" s="40" t="n">
        <v>3</v>
      </c>
      <c r="I193" s="40" t="n">
        <v>2</v>
      </c>
      <c r="J193" s="40" t="n">
        <v>5</v>
      </c>
      <c r="K193" s="40" t="n">
        <v>3</v>
      </c>
      <c r="L193" s="40" t="n">
        <v>4</v>
      </c>
      <c r="M193" s="40" t="n">
        <v>4</v>
      </c>
      <c r="N193" s="40" t="n">
        <v>3</v>
      </c>
      <c r="O193" s="41" t="n">
        <f aca="false">ROUND(G193/5*$X$2+H193/5*$X$3+I193/5*$X$4+J193/5*$X$5+K193/5*$X$6+L193/5*$X$7+M193/5*$X$8-N193/5*$X$9,1)</f>
        <v>55</v>
      </c>
      <c r="P193" s="30" t="str">
        <f aca="false">IF(O193&gt;=$X$12,"Foundational deep pass",IF(O193&gt;=$X$13,"Major deep pass",IF(O193&gt;=$X$14,"Targeted innovation pass",IF(O193&gt;=$X$15,"Sampling pass","Reference / defer"))))</f>
        <v>Targeted innovation pass</v>
      </c>
      <c r="Q193" s="31" t="s">
        <v>14219</v>
      </c>
      <c r="R193" s="31" t="s">
        <v>14220</v>
      </c>
      <c r="S193" s="31" t="s">
        <v>14184</v>
      </c>
      <c r="T193" s="31" t="s">
        <v>9383</v>
      </c>
      <c r="U193" s="42" t="n">
        <v>46236</v>
      </c>
    </row>
    <row r="194" customFormat="false" ht="45.75" hidden="false" customHeight="true" outlineLevel="0" collapsed="false">
      <c r="A194" s="30" t="n">
        <v>188</v>
      </c>
      <c r="B194" s="30" t="s">
        <v>9065</v>
      </c>
      <c r="C194" s="31" t="s">
        <v>9066</v>
      </c>
      <c r="D194" s="31" t="s">
        <v>9068</v>
      </c>
      <c r="E194" s="31" t="s">
        <v>9069</v>
      </c>
      <c r="F194" s="30" t="n">
        <f aca="false">COUNTIF('Seed Catalogue'!$C$2:$C$452,B194)</f>
        <v>0</v>
      </c>
      <c r="G194" s="40" t="n">
        <v>3</v>
      </c>
      <c r="H194" s="40" t="n">
        <v>3</v>
      </c>
      <c r="I194" s="40" t="n">
        <v>2</v>
      </c>
      <c r="J194" s="40" t="n">
        <v>5</v>
      </c>
      <c r="K194" s="40" t="n">
        <v>3</v>
      </c>
      <c r="L194" s="40" t="n">
        <v>4</v>
      </c>
      <c r="M194" s="40" t="n">
        <v>4</v>
      </c>
      <c r="N194" s="40" t="n">
        <v>3</v>
      </c>
      <c r="O194" s="41" t="n">
        <f aca="false">ROUND(G194/5*$X$2+H194/5*$X$3+I194/5*$X$4+J194/5*$X$5+K194/5*$X$6+L194/5*$X$7+M194/5*$X$8-N194/5*$X$9,1)</f>
        <v>55</v>
      </c>
      <c r="P194" s="30" t="str">
        <f aca="false">IF(O194&gt;=$X$12,"Foundational deep pass",IF(O194&gt;=$X$13,"Major deep pass",IF(O194&gt;=$X$14,"Targeted innovation pass",IF(O194&gt;=$X$15,"Sampling pass","Reference / defer"))))</f>
        <v>Targeted innovation pass</v>
      </c>
      <c r="Q194" s="31" t="s">
        <v>14219</v>
      </c>
      <c r="R194" s="31" t="s">
        <v>14220</v>
      </c>
      <c r="S194" s="31" t="s">
        <v>14184</v>
      </c>
      <c r="T194" s="31" t="s">
        <v>9073</v>
      </c>
      <c r="U194" s="42" t="n">
        <v>46236</v>
      </c>
    </row>
    <row r="195" customFormat="false" ht="45.75" hidden="false" customHeight="true" outlineLevel="0" collapsed="false">
      <c r="A195" s="30" t="n">
        <v>189</v>
      </c>
      <c r="B195" s="30" t="s">
        <v>9304</v>
      </c>
      <c r="C195" s="31" t="s">
        <v>9305</v>
      </c>
      <c r="D195" s="31" t="s">
        <v>9000</v>
      </c>
      <c r="E195" s="31" t="s">
        <v>8226</v>
      </c>
      <c r="F195" s="30" t="n">
        <f aca="false">COUNTIF('Seed Catalogue'!$C$2:$C$452,B195)</f>
        <v>0</v>
      </c>
      <c r="G195" s="40" t="n">
        <v>3</v>
      </c>
      <c r="H195" s="40" t="n">
        <v>3</v>
      </c>
      <c r="I195" s="40" t="n">
        <v>2</v>
      </c>
      <c r="J195" s="40" t="n">
        <v>5</v>
      </c>
      <c r="K195" s="40" t="n">
        <v>3</v>
      </c>
      <c r="L195" s="40" t="n">
        <v>4</v>
      </c>
      <c r="M195" s="40" t="n">
        <v>4</v>
      </c>
      <c r="N195" s="40" t="n">
        <v>3</v>
      </c>
      <c r="O195" s="41" t="n">
        <f aca="false">ROUND(G195/5*$X$2+H195/5*$X$3+I195/5*$X$4+J195/5*$X$5+K195/5*$X$6+L195/5*$X$7+M195/5*$X$8-N195/5*$X$9,1)</f>
        <v>55</v>
      </c>
      <c r="P195" s="30" t="str">
        <f aca="false">IF(O195&gt;=$X$12,"Foundational deep pass",IF(O195&gt;=$X$13,"Major deep pass",IF(O195&gt;=$X$14,"Targeted innovation pass",IF(O195&gt;=$X$15,"Sampling pass","Reference / defer"))))</f>
        <v>Targeted innovation pass</v>
      </c>
      <c r="Q195" s="31" t="s">
        <v>14219</v>
      </c>
      <c r="R195" s="31" t="s">
        <v>14220</v>
      </c>
      <c r="S195" s="31" t="s">
        <v>14184</v>
      </c>
      <c r="T195" s="31" t="s">
        <v>9308</v>
      </c>
      <c r="U195" s="42" t="n">
        <v>46236</v>
      </c>
    </row>
    <row r="196" customFormat="false" ht="45.75" hidden="false" customHeight="true" outlineLevel="0" collapsed="false">
      <c r="A196" s="30" t="n">
        <v>190</v>
      </c>
      <c r="B196" s="30" t="s">
        <v>9258</v>
      </c>
      <c r="C196" s="31" t="s">
        <v>9259</v>
      </c>
      <c r="D196" s="31" t="s">
        <v>9260</v>
      </c>
      <c r="E196" s="31" t="s">
        <v>8226</v>
      </c>
      <c r="F196" s="30" t="n">
        <f aca="false">COUNTIF('Seed Catalogue'!$C$2:$C$452,B196)</f>
        <v>0</v>
      </c>
      <c r="G196" s="40" t="n">
        <v>3</v>
      </c>
      <c r="H196" s="40" t="n">
        <v>3</v>
      </c>
      <c r="I196" s="40" t="n">
        <v>2</v>
      </c>
      <c r="J196" s="40" t="n">
        <v>5</v>
      </c>
      <c r="K196" s="40" t="n">
        <v>3</v>
      </c>
      <c r="L196" s="40" t="n">
        <v>4</v>
      </c>
      <c r="M196" s="40" t="n">
        <v>4</v>
      </c>
      <c r="N196" s="40" t="n">
        <v>3</v>
      </c>
      <c r="O196" s="41" t="n">
        <f aca="false">ROUND(G196/5*$X$2+H196/5*$X$3+I196/5*$X$4+J196/5*$X$5+K196/5*$X$6+L196/5*$X$7+M196/5*$X$8-N196/5*$X$9,1)</f>
        <v>55</v>
      </c>
      <c r="P196" s="30" t="str">
        <f aca="false">IF(O196&gt;=$X$12,"Foundational deep pass",IF(O196&gt;=$X$13,"Major deep pass",IF(O196&gt;=$X$14,"Targeted innovation pass",IF(O196&gt;=$X$15,"Sampling pass","Reference / defer"))))</f>
        <v>Targeted innovation pass</v>
      </c>
      <c r="Q196" s="31" t="s">
        <v>14219</v>
      </c>
      <c r="R196" s="31" t="s">
        <v>14220</v>
      </c>
      <c r="S196" s="31" t="s">
        <v>14184</v>
      </c>
      <c r="T196" s="31" t="s">
        <v>9263</v>
      </c>
      <c r="U196" s="42" t="n">
        <v>46236</v>
      </c>
    </row>
    <row r="197" customFormat="false" ht="45.75" hidden="false" customHeight="true" outlineLevel="0" collapsed="false">
      <c r="A197" s="30" t="n">
        <v>191</v>
      </c>
      <c r="B197" s="30" t="s">
        <v>9122</v>
      </c>
      <c r="C197" s="31" t="s">
        <v>9123</v>
      </c>
      <c r="D197" s="31" t="s">
        <v>9055</v>
      </c>
      <c r="E197" s="31" t="s">
        <v>8226</v>
      </c>
      <c r="F197" s="30" t="n">
        <f aca="false">COUNTIF('Seed Catalogue'!$C$2:$C$452,B197)</f>
        <v>0</v>
      </c>
      <c r="G197" s="40" t="n">
        <v>3</v>
      </c>
      <c r="H197" s="40" t="n">
        <v>3</v>
      </c>
      <c r="I197" s="40" t="n">
        <v>2</v>
      </c>
      <c r="J197" s="40" t="n">
        <v>5</v>
      </c>
      <c r="K197" s="40" t="n">
        <v>3</v>
      </c>
      <c r="L197" s="40" t="n">
        <v>4</v>
      </c>
      <c r="M197" s="40" t="n">
        <v>4</v>
      </c>
      <c r="N197" s="40" t="n">
        <v>3</v>
      </c>
      <c r="O197" s="41" t="n">
        <f aca="false">ROUND(G197/5*$X$2+H197/5*$X$3+I197/5*$X$4+J197/5*$X$5+K197/5*$X$6+L197/5*$X$7+M197/5*$X$8-N197/5*$X$9,1)</f>
        <v>55</v>
      </c>
      <c r="P197" s="30" t="str">
        <f aca="false">IF(O197&gt;=$X$12,"Foundational deep pass",IF(O197&gt;=$X$13,"Major deep pass",IF(O197&gt;=$X$14,"Targeted innovation pass",IF(O197&gt;=$X$15,"Sampling pass","Reference / defer"))))</f>
        <v>Targeted innovation pass</v>
      </c>
      <c r="Q197" s="31" t="s">
        <v>14219</v>
      </c>
      <c r="R197" s="31" t="s">
        <v>14220</v>
      </c>
      <c r="S197" s="31" t="s">
        <v>14184</v>
      </c>
      <c r="T197" s="31" t="s">
        <v>9127</v>
      </c>
      <c r="U197" s="42" t="n">
        <v>46236</v>
      </c>
    </row>
    <row r="198" customFormat="false" ht="45.75" hidden="false" customHeight="true" outlineLevel="0" collapsed="false">
      <c r="A198" s="30" t="n">
        <v>192</v>
      </c>
      <c r="B198" s="30" t="s">
        <v>9053</v>
      </c>
      <c r="C198" s="31" t="s">
        <v>9054</v>
      </c>
      <c r="D198" s="31" t="s">
        <v>9055</v>
      </c>
      <c r="E198" s="31" t="s">
        <v>8343</v>
      </c>
      <c r="F198" s="30" t="n">
        <f aca="false">COUNTIF('Seed Catalogue'!$C$2:$C$452,B198)</f>
        <v>0</v>
      </c>
      <c r="G198" s="40" t="n">
        <v>3</v>
      </c>
      <c r="H198" s="40" t="n">
        <v>3</v>
      </c>
      <c r="I198" s="40" t="n">
        <v>2</v>
      </c>
      <c r="J198" s="40" t="n">
        <v>5</v>
      </c>
      <c r="K198" s="40" t="n">
        <v>3</v>
      </c>
      <c r="L198" s="40" t="n">
        <v>4</v>
      </c>
      <c r="M198" s="40" t="n">
        <v>4</v>
      </c>
      <c r="N198" s="40" t="n">
        <v>3</v>
      </c>
      <c r="O198" s="41" t="n">
        <f aca="false">ROUND(G198/5*$X$2+H198/5*$X$3+I198/5*$X$4+J198/5*$X$5+K198/5*$X$6+L198/5*$X$7+M198/5*$X$8-N198/5*$X$9,1)</f>
        <v>55</v>
      </c>
      <c r="P198" s="30" t="str">
        <f aca="false">IF(O198&gt;=$X$12,"Foundational deep pass",IF(O198&gt;=$X$13,"Major deep pass",IF(O198&gt;=$X$14,"Targeted innovation pass",IF(O198&gt;=$X$15,"Sampling pass","Reference / defer"))))</f>
        <v>Targeted innovation pass</v>
      </c>
      <c r="Q198" s="31" t="s">
        <v>14219</v>
      </c>
      <c r="R198" s="31" t="s">
        <v>14220</v>
      </c>
      <c r="S198" s="31" t="s">
        <v>14184</v>
      </c>
      <c r="T198" s="31" t="s">
        <v>9058</v>
      </c>
      <c r="U198" s="42" t="n">
        <v>46236</v>
      </c>
    </row>
    <row r="199" customFormat="false" ht="45.75" hidden="false" customHeight="true" outlineLevel="0" collapsed="false">
      <c r="A199" s="30" t="n">
        <v>193</v>
      </c>
      <c r="B199" s="30" t="s">
        <v>9092</v>
      </c>
      <c r="C199" s="31" t="s">
        <v>9093</v>
      </c>
      <c r="D199" s="31" t="s">
        <v>9035</v>
      </c>
      <c r="E199" s="31" t="s">
        <v>9095</v>
      </c>
      <c r="F199" s="30" t="n">
        <f aca="false">COUNTIF('Seed Catalogue'!$C$2:$C$452,B199)</f>
        <v>0</v>
      </c>
      <c r="G199" s="40" t="n">
        <v>3</v>
      </c>
      <c r="H199" s="40" t="n">
        <v>3</v>
      </c>
      <c r="I199" s="40" t="n">
        <v>2</v>
      </c>
      <c r="J199" s="40" t="n">
        <v>5</v>
      </c>
      <c r="K199" s="40" t="n">
        <v>3</v>
      </c>
      <c r="L199" s="40" t="n">
        <v>4</v>
      </c>
      <c r="M199" s="40" t="n">
        <v>4</v>
      </c>
      <c r="N199" s="40" t="n">
        <v>3</v>
      </c>
      <c r="O199" s="41" t="n">
        <f aca="false">ROUND(G199/5*$X$2+H199/5*$X$3+I199/5*$X$4+J199/5*$X$5+K199/5*$X$6+L199/5*$X$7+M199/5*$X$8-N199/5*$X$9,1)</f>
        <v>55</v>
      </c>
      <c r="P199" s="30" t="str">
        <f aca="false">IF(O199&gt;=$X$12,"Foundational deep pass",IF(O199&gt;=$X$13,"Major deep pass",IF(O199&gt;=$X$14,"Targeted innovation pass",IF(O199&gt;=$X$15,"Sampling pass","Reference / defer"))))</f>
        <v>Targeted innovation pass</v>
      </c>
      <c r="Q199" s="31" t="s">
        <v>14219</v>
      </c>
      <c r="R199" s="31" t="s">
        <v>14220</v>
      </c>
      <c r="S199" s="31" t="s">
        <v>14184</v>
      </c>
      <c r="T199" s="31" t="s">
        <v>9098</v>
      </c>
      <c r="U199" s="42" t="n">
        <v>46236</v>
      </c>
    </row>
    <row r="200" customFormat="false" ht="45.75" hidden="false" customHeight="true" outlineLevel="0" collapsed="false">
      <c r="A200" s="30" t="n">
        <v>194</v>
      </c>
      <c r="B200" s="30" t="s">
        <v>9059</v>
      </c>
      <c r="C200" s="31" t="s">
        <v>9060</v>
      </c>
      <c r="D200" s="31" t="s">
        <v>9035</v>
      </c>
      <c r="E200" s="31" t="s">
        <v>8438</v>
      </c>
      <c r="F200" s="30" t="n">
        <f aca="false">COUNTIF('Seed Catalogue'!$C$2:$C$452,B200)</f>
        <v>0</v>
      </c>
      <c r="G200" s="40" t="n">
        <v>3</v>
      </c>
      <c r="H200" s="40" t="n">
        <v>3</v>
      </c>
      <c r="I200" s="40" t="n">
        <v>2</v>
      </c>
      <c r="J200" s="40" t="n">
        <v>5</v>
      </c>
      <c r="K200" s="40" t="n">
        <v>3</v>
      </c>
      <c r="L200" s="40" t="n">
        <v>4</v>
      </c>
      <c r="M200" s="40" t="n">
        <v>4</v>
      </c>
      <c r="N200" s="40" t="n">
        <v>3</v>
      </c>
      <c r="O200" s="41" t="n">
        <f aca="false">ROUND(G200/5*$X$2+H200/5*$X$3+I200/5*$X$4+J200/5*$X$5+K200/5*$X$6+L200/5*$X$7+M200/5*$X$8-N200/5*$X$9,1)</f>
        <v>55</v>
      </c>
      <c r="P200" s="30" t="str">
        <f aca="false">IF(O200&gt;=$X$12,"Foundational deep pass",IF(O200&gt;=$X$13,"Major deep pass",IF(O200&gt;=$X$14,"Targeted innovation pass",IF(O200&gt;=$X$15,"Sampling pass","Reference / defer"))))</f>
        <v>Targeted innovation pass</v>
      </c>
      <c r="Q200" s="31" t="s">
        <v>14219</v>
      </c>
      <c r="R200" s="31" t="s">
        <v>14220</v>
      </c>
      <c r="S200" s="31" t="s">
        <v>14184</v>
      </c>
      <c r="T200" s="31" t="s">
        <v>9064</v>
      </c>
      <c r="U200" s="42" t="n">
        <v>46236</v>
      </c>
    </row>
    <row r="201" customFormat="false" ht="45.75" hidden="false" customHeight="true" outlineLevel="0" collapsed="false">
      <c r="A201" s="30" t="n">
        <v>195</v>
      </c>
      <c r="B201" s="30" t="s">
        <v>9019</v>
      </c>
      <c r="C201" s="31" t="s">
        <v>9020</v>
      </c>
      <c r="D201" s="31" t="s">
        <v>9000</v>
      </c>
      <c r="E201" s="31" t="s">
        <v>8226</v>
      </c>
      <c r="F201" s="30" t="n">
        <f aca="false">COUNTIF('Seed Catalogue'!$C$2:$C$452,B201)</f>
        <v>0</v>
      </c>
      <c r="G201" s="40" t="n">
        <v>3</v>
      </c>
      <c r="H201" s="40" t="n">
        <v>3</v>
      </c>
      <c r="I201" s="40" t="n">
        <v>2</v>
      </c>
      <c r="J201" s="40" t="n">
        <v>5</v>
      </c>
      <c r="K201" s="40" t="n">
        <v>3</v>
      </c>
      <c r="L201" s="40" t="n">
        <v>4</v>
      </c>
      <c r="M201" s="40" t="n">
        <v>4</v>
      </c>
      <c r="N201" s="40" t="n">
        <v>3</v>
      </c>
      <c r="O201" s="41" t="n">
        <f aca="false">ROUND(G201/5*$X$2+H201/5*$X$3+I201/5*$X$4+J201/5*$X$5+K201/5*$X$6+L201/5*$X$7+M201/5*$X$8-N201/5*$X$9,1)</f>
        <v>55</v>
      </c>
      <c r="P201" s="30" t="str">
        <f aca="false">IF(O201&gt;=$X$12,"Foundational deep pass",IF(O201&gt;=$X$13,"Major deep pass",IF(O201&gt;=$X$14,"Targeted innovation pass",IF(O201&gt;=$X$15,"Sampling pass","Reference / defer"))))</f>
        <v>Targeted innovation pass</v>
      </c>
      <c r="Q201" s="31" t="s">
        <v>14219</v>
      </c>
      <c r="R201" s="31" t="s">
        <v>14220</v>
      </c>
      <c r="S201" s="31" t="s">
        <v>14184</v>
      </c>
      <c r="T201" s="31" t="s">
        <v>9024</v>
      </c>
      <c r="U201" s="42" t="n">
        <v>46236</v>
      </c>
    </row>
    <row r="202" customFormat="false" ht="45.75" hidden="false" customHeight="true" outlineLevel="0" collapsed="false">
      <c r="A202" s="30" t="n">
        <v>196</v>
      </c>
      <c r="B202" s="30" t="s">
        <v>9177</v>
      </c>
      <c r="C202" s="31" t="s">
        <v>9178</v>
      </c>
      <c r="D202" s="31" t="s">
        <v>9055</v>
      </c>
      <c r="E202" s="31" t="s">
        <v>8226</v>
      </c>
      <c r="F202" s="30" t="n">
        <f aca="false">COUNTIF('Seed Catalogue'!$C$2:$C$452,B202)</f>
        <v>0</v>
      </c>
      <c r="G202" s="40" t="n">
        <v>3</v>
      </c>
      <c r="H202" s="40" t="n">
        <v>3</v>
      </c>
      <c r="I202" s="40" t="n">
        <v>2</v>
      </c>
      <c r="J202" s="40" t="n">
        <v>5</v>
      </c>
      <c r="K202" s="40" t="n">
        <v>3</v>
      </c>
      <c r="L202" s="40" t="n">
        <v>4</v>
      </c>
      <c r="M202" s="40" t="n">
        <v>4</v>
      </c>
      <c r="N202" s="40" t="n">
        <v>3</v>
      </c>
      <c r="O202" s="41" t="n">
        <f aca="false">ROUND(G202/5*$X$2+H202/5*$X$3+I202/5*$X$4+J202/5*$X$5+K202/5*$X$6+L202/5*$X$7+M202/5*$X$8-N202/5*$X$9,1)</f>
        <v>55</v>
      </c>
      <c r="P202" s="30" t="str">
        <f aca="false">IF(O202&gt;=$X$12,"Foundational deep pass",IF(O202&gt;=$X$13,"Major deep pass",IF(O202&gt;=$X$14,"Targeted innovation pass",IF(O202&gt;=$X$15,"Sampling pass","Reference / defer"))))</f>
        <v>Targeted innovation pass</v>
      </c>
      <c r="Q202" s="31" t="s">
        <v>14219</v>
      </c>
      <c r="R202" s="31" t="s">
        <v>14220</v>
      </c>
      <c r="S202" s="31" t="s">
        <v>14184</v>
      </c>
      <c r="T202" s="31" t="s">
        <v>9182</v>
      </c>
      <c r="U202" s="42" t="n">
        <v>46236</v>
      </c>
    </row>
    <row r="203" customFormat="false" ht="45.75" hidden="false" customHeight="true" outlineLevel="0" collapsed="false">
      <c r="A203" s="30" t="n">
        <v>197</v>
      </c>
      <c r="B203" s="30" t="s">
        <v>9139</v>
      </c>
      <c r="C203" s="31" t="s">
        <v>9140</v>
      </c>
      <c r="D203" s="31" t="s">
        <v>9130</v>
      </c>
      <c r="E203" s="31" t="s">
        <v>8226</v>
      </c>
      <c r="F203" s="30" t="n">
        <f aca="false">COUNTIF('Seed Catalogue'!$C$2:$C$452,B203)</f>
        <v>0</v>
      </c>
      <c r="G203" s="40" t="n">
        <v>3</v>
      </c>
      <c r="H203" s="40" t="n">
        <v>3</v>
      </c>
      <c r="I203" s="40" t="n">
        <v>2</v>
      </c>
      <c r="J203" s="40" t="n">
        <v>5</v>
      </c>
      <c r="K203" s="40" t="n">
        <v>3</v>
      </c>
      <c r="L203" s="40" t="n">
        <v>4</v>
      </c>
      <c r="M203" s="40" t="n">
        <v>4</v>
      </c>
      <c r="N203" s="40" t="n">
        <v>3</v>
      </c>
      <c r="O203" s="41" t="n">
        <f aca="false">ROUND(G203/5*$X$2+H203/5*$X$3+I203/5*$X$4+J203/5*$X$5+K203/5*$X$6+L203/5*$X$7+M203/5*$X$8-N203/5*$X$9,1)</f>
        <v>55</v>
      </c>
      <c r="P203" s="30" t="str">
        <f aca="false">IF(O203&gt;=$X$12,"Foundational deep pass",IF(O203&gt;=$X$13,"Major deep pass",IF(O203&gt;=$X$14,"Targeted innovation pass",IF(O203&gt;=$X$15,"Sampling pass","Reference / defer"))))</f>
        <v>Targeted innovation pass</v>
      </c>
      <c r="Q203" s="31" t="s">
        <v>14219</v>
      </c>
      <c r="R203" s="31" t="s">
        <v>14220</v>
      </c>
      <c r="S203" s="31" t="s">
        <v>14184</v>
      </c>
      <c r="T203" s="31" t="s">
        <v>9144</v>
      </c>
      <c r="U203" s="42" t="n">
        <v>46236</v>
      </c>
    </row>
    <row r="204" customFormat="false" ht="45.75" hidden="false" customHeight="true" outlineLevel="0" collapsed="false">
      <c r="A204" s="30" t="n">
        <v>198</v>
      </c>
      <c r="B204" s="30" t="s">
        <v>9004</v>
      </c>
      <c r="C204" s="31" t="s">
        <v>9005</v>
      </c>
      <c r="D204" s="31" t="s">
        <v>8984</v>
      </c>
      <c r="E204" s="31" t="s">
        <v>8226</v>
      </c>
      <c r="F204" s="30" t="n">
        <f aca="false">COUNTIF('Seed Catalogue'!$C$2:$C$452,B204)</f>
        <v>0</v>
      </c>
      <c r="G204" s="40" t="n">
        <v>3</v>
      </c>
      <c r="H204" s="40" t="n">
        <v>3</v>
      </c>
      <c r="I204" s="40" t="n">
        <v>2</v>
      </c>
      <c r="J204" s="40" t="n">
        <v>5</v>
      </c>
      <c r="K204" s="40" t="n">
        <v>3</v>
      </c>
      <c r="L204" s="40" t="n">
        <v>4</v>
      </c>
      <c r="M204" s="40" t="n">
        <v>4</v>
      </c>
      <c r="N204" s="40" t="n">
        <v>3</v>
      </c>
      <c r="O204" s="41" t="n">
        <f aca="false">ROUND(G204/5*$X$2+H204/5*$X$3+I204/5*$X$4+J204/5*$X$5+K204/5*$X$6+L204/5*$X$7+M204/5*$X$8-N204/5*$X$9,1)</f>
        <v>55</v>
      </c>
      <c r="P204" s="30" t="str">
        <f aca="false">IF(O204&gt;=$X$12,"Foundational deep pass",IF(O204&gt;=$X$13,"Major deep pass",IF(O204&gt;=$X$14,"Targeted innovation pass",IF(O204&gt;=$X$15,"Sampling pass","Reference / defer"))))</f>
        <v>Targeted innovation pass</v>
      </c>
      <c r="Q204" s="31" t="s">
        <v>14219</v>
      </c>
      <c r="R204" s="31" t="s">
        <v>14220</v>
      </c>
      <c r="S204" s="31" t="s">
        <v>14184</v>
      </c>
      <c r="T204" s="31" t="s">
        <v>9010</v>
      </c>
      <c r="U204" s="42" t="n">
        <v>46236</v>
      </c>
    </row>
    <row r="205" customFormat="false" ht="45.75" hidden="false" customHeight="true" outlineLevel="0" collapsed="false">
      <c r="A205" s="30" t="n">
        <v>199</v>
      </c>
      <c r="B205" s="30" t="s">
        <v>9025</v>
      </c>
      <c r="C205" s="31" t="s">
        <v>9026</v>
      </c>
      <c r="D205" s="31" t="s">
        <v>9028</v>
      </c>
      <c r="E205" s="31" t="s">
        <v>8226</v>
      </c>
      <c r="F205" s="30" t="n">
        <f aca="false">COUNTIF('Seed Catalogue'!$C$2:$C$452,B205)</f>
        <v>0</v>
      </c>
      <c r="G205" s="40" t="n">
        <v>3</v>
      </c>
      <c r="H205" s="40" t="n">
        <v>3</v>
      </c>
      <c r="I205" s="40" t="n">
        <v>2</v>
      </c>
      <c r="J205" s="40" t="n">
        <v>5</v>
      </c>
      <c r="K205" s="40" t="n">
        <v>3</v>
      </c>
      <c r="L205" s="40" t="n">
        <v>4</v>
      </c>
      <c r="M205" s="40" t="n">
        <v>4</v>
      </c>
      <c r="N205" s="40" t="n">
        <v>3</v>
      </c>
      <c r="O205" s="41" t="n">
        <f aca="false">ROUND(G205/5*$X$2+H205/5*$X$3+I205/5*$X$4+J205/5*$X$5+K205/5*$X$6+L205/5*$X$7+M205/5*$X$8-N205/5*$X$9,1)</f>
        <v>55</v>
      </c>
      <c r="P205" s="30" t="str">
        <f aca="false">IF(O205&gt;=$X$12,"Foundational deep pass",IF(O205&gt;=$X$13,"Major deep pass",IF(O205&gt;=$X$14,"Targeted innovation pass",IF(O205&gt;=$X$15,"Sampling pass","Reference / defer"))))</f>
        <v>Targeted innovation pass</v>
      </c>
      <c r="Q205" s="31" t="s">
        <v>14219</v>
      </c>
      <c r="R205" s="31" t="s">
        <v>14220</v>
      </c>
      <c r="S205" s="31" t="s">
        <v>14184</v>
      </c>
      <c r="T205" s="31" t="s">
        <v>9031</v>
      </c>
      <c r="U205" s="42" t="n">
        <v>46236</v>
      </c>
    </row>
    <row r="206" customFormat="false" ht="45.75" hidden="false" customHeight="true" outlineLevel="0" collapsed="false">
      <c r="A206" s="30" t="n">
        <v>200</v>
      </c>
      <c r="B206" s="30" t="s">
        <v>8925</v>
      </c>
      <c r="C206" s="31" t="s">
        <v>8926</v>
      </c>
      <c r="D206" s="31" t="s">
        <v>8928</v>
      </c>
      <c r="E206" s="31" t="s">
        <v>8343</v>
      </c>
      <c r="F206" s="30" t="n">
        <f aca="false">COUNTIF('Seed Catalogue'!$C$2:$C$452,B206)</f>
        <v>0</v>
      </c>
      <c r="G206" s="40" t="n">
        <v>3</v>
      </c>
      <c r="H206" s="40" t="n">
        <v>3</v>
      </c>
      <c r="I206" s="40" t="n">
        <v>2</v>
      </c>
      <c r="J206" s="40" t="n">
        <v>5</v>
      </c>
      <c r="K206" s="40" t="n">
        <v>3</v>
      </c>
      <c r="L206" s="40" t="n">
        <v>4</v>
      </c>
      <c r="M206" s="40" t="n">
        <v>4</v>
      </c>
      <c r="N206" s="40" t="n">
        <v>3</v>
      </c>
      <c r="O206" s="41" t="n">
        <f aca="false">ROUND(G206/5*$X$2+H206/5*$X$3+I206/5*$X$4+J206/5*$X$5+K206/5*$X$6+L206/5*$X$7+M206/5*$X$8-N206/5*$X$9,1)</f>
        <v>55</v>
      </c>
      <c r="P206" s="30" t="str">
        <f aca="false">IF(O206&gt;=$X$12,"Foundational deep pass",IF(O206&gt;=$X$13,"Major deep pass",IF(O206&gt;=$X$14,"Targeted innovation pass",IF(O206&gt;=$X$15,"Sampling pass","Reference / defer"))))</f>
        <v>Targeted innovation pass</v>
      </c>
      <c r="Q206" s="31" t="s">
        <v>14221</v>
      </c>
      <c r="R206" s="31" t="s">
        <v>14222</v>
      </c>
      <c r="S206" s="31" t="s">
        <v>14184</v>
      </c>
      <c r="T206" s="31" t="s">
        <v>8931</v>
      </c>
      <c r="U206" s="42" t="n">
        <v>46236</v>
      </c>
    </row>
    <row r="207" customFormat="false" ht="45.75" hidden="false" customHeight="true" outlineLevel="0" collapsed="false">
      <c r="A207" s="30" t="n">
        <v>201</v>
      </c>
      <c r="B207" s="30" t="s">
        <v>9208</v>
      </c>
      <c r="C207" s="31" t="s">
        <v>9209</v>
      </c>
      <c r="D207" s="31" t="s">
        <v>9211</v>
      </c>
      <c r="E207" s="31" t="s">
        <v>8343</v>
      </c>
      <c r="F207" s="30" t="n">
        <f aca="false">COUNTIF('Seed Catalogue'!$C$2:$C$452,B207)</f>
        <v>0</v>
      </c>
      <c r="G207" s="40" t="n">
        <v>3</v>
      </c>
      <c r="H207" s="40" t="n">
        <v>3</v>
      </c>
      <c r="I207" s="40" t="n">
        <v>2</v>
      </c>
      <c r="J207" s="40" t="n">
        <v>5</v>
      </c>
      <c r="K207" s="40" t="n">
        <v>3</v>
      </c>
      <c r="L207" s="40" t="n">
        <v>4</v>
      </c>
      <c r="M207" s="40" t="n">
        <v>4</v>
      </c>
      <c r="N207" s="40" t="n">
        <v>3</v>
      </c>
      <c r="O207" s="41" t="n">
        <f aca="false">ROUND(G207/5*$X$2+H207/5*$X$3+I207/5*$X$4+J207/5*$X$5+K207/5*$X$6+L207/5*$X$7+M207/5*$X$8-N207/5*$X$9,1)</f>
        <v>55</v>
      </c>
      <c r="P207" s="30" t="str">
        <f aca="false">IF(O207&gt;=$X$12,"Foundational deep pass",IF(O207&gt;=$X$13,"Major deep pass",IF(O207&gt;=$X$14,"Targeted innovation pass",IF(O207&gt;=$X$15,"Sampling pass","Reference / defer"))))</f>
        <v>Targeted innovation pass</v>
      </c>
      <c r="Q207" s="31" t="s">
        <v>14219</v>
      </c>
      <c r="R207" s="31" t="s">
        <v>14220</v>
      </c>
      <c r="S207" s="31" t="s">
        <v>14184</v>
      </c>
      <c r="T207" s="31" t="s">
        <v>9214</v>
      </c>
      <c r="U207" s="42" t="n">
        <v>46236</v>
      </c>
    </row>
    <row r="208" customFormat="false" ht="45.75" hidden="false" customHeight="true" outlineLevel="0" collapsed="false">
      <c r="A208" s="30" t="n">
        <v>202</v>
      </c>
      <c r="B208" s="30" t="s">
        <v>9172</v>
      </c>
      <c r="C208" s="31" t="s">
        <v>9173</v>
      </c>
      <c r="D208" s="31" t="s">
        <v>9174</v>
      </c>
      <c r="E208" s="31" t="s">
        <v>8343</v>
      </c>
      <c r="F208" s="30" t="n">
        <f aca="false">COUNTIF('Seed Catalogue'!$C$2:$C$452,B208)</f>
        <v>0</v>
      </c>
      <c r="G208" s="40" t="n">
        <v>3</v>
      </c>
      <c r="H208" s="40" t="n">
        <v>3</v>
      </c>
      <c r="I208" s="40" t="n">
        <v>2</v>
      </c>
      <c r="J208" s="40" t="n">
        <v>5</v>
      </c>
      <c r="K208" s="40" t="n">
        <v>3</v>
      </c>
      <c r="L208" s="40" t="n">
        <v>4</v>
      </c>
      <c r="M208" s="40" t="n">
        <v>4</v>
      </c>
      <c r="N208" s="40" t="n">
        <v>3</v>
      </c>
      <c r="O208" s="41" t="n">
        <f aca="false">ROUND(G208/5*$X$2+H208/5*$X$3+I208/5*$X$4+J208/5*$X$5+K208/5*$X$6+L208/5*$X$7+M208/5*$X$8-N208/5*$X$9,1)</f>
        <v>55</v>
      </c>
      <c r="P208" s="30" t="str">
        <f aca="false">IF(O208&gt;=$X$12,"Foundational deep pass",IF(O208&gt;=$X$13,"Major deep pass",IF(O208&gt;=$X$14,"Targeted innovation pass",IF(O208&gt;=$X$15,"Sampling pass","Reference / defer"))))</f>
        <v>Targeted innovation pass</v>
      </c>
      <c r="Q208" s="31" t="s">
        <v>14219</v>
      </c>
      <c r="R208" s="31" t="s">
        <v>14220</v>
      </c>
      <c r="S208" s="31" t="s">
        <v>14184</v>
      </c>
      <c r="T208" s="31" t="s">
        <v>9176</v>
      </c>
      <c r="U208" s="42" t="n">
        <v>46236</v>
      </c>
    </row>
    <row r="209" customFormat="false" ht="45.75" hidden="false" customHeight="true" outlineLevel="0" collapsed="false">
      <c r="A209" s="30" t="n">
        <v>203</v>
      </c>
      <c r="B209" s="30" t="s">
        <v>9166</v>
      </c>
      <c r="C209" s="31" t="s">
        <v>9167</v>
      </c>
      <c r="D209" s="31" t="s">
        <v>9035</v>
      </c>
      <c r="E209" s="31" t="s">
        <v>8343</v>
      </c>
      <c r="F209" s="30" t="n">
        <f aca="false">COUNTIF('Seed Catalogue'!$C$2:$C$452,B209)</f>
        <v>0</v>
      </c>
      <c r="G209" s="40" t="n">
        <v>3</v>
      </c>
      <c r="H209" s="40" t="n">
        <v>3</v>
      </c>
      <c r="I209" s="40" t="n">
        <v>2</v>
      </c>
      <c r="J209" s="40" t="n">
        <v>5</v>
      </c>
      <c r="K209" s="40" t="n">
        <v>3</v>
      </c>
      <c r="L209" s="40" t="n">
        <v>4</v>
      </c>
      <c r="M209" s="40" t="n">
        <v>4</v>
      </c>
      <c r="N209" s="40" t="n">
        <v>3</v>
      </c>
      <c r="O209" s="41" t="n">
        <f aca="false">ROUND(G209/5*$X$2+H209/5*$X$3+I209/5*$X$4+J209/5*$X$5+K209/5*$X$6+L209/5*$X$7+M209/5*$X$8-N209/5*$X$9,1)</f>
        <v>55</v>
      </c>
      <c r="P209" s="30" t="str">
        <f aca="false">IF(O209&gt;=$X$12,"Foundational deep pass",IF(O209&gt;=$X$13,"Major deep pass",IF(O209&gt;=$X$14,"Targeted innovation pass",IF(O209&gt;=$X$15,"Sampling pass","Reference / defer"))))</f>
        <v>Targeted innovation pass</v>
      </c>
      <c r="Q209" s="31" t="s">
        <v>14219</v>
      </c>
      <c r="R209" s="31" t="s">
        <v>14220</v>
      </c>
      <c r="S209" s="31" t="s">
        <v>14184</v>
      </c>
      <c r="T209" s="31" t="s">
        <v>9171</v>
      </c>
      <c r="U209" s="42" t="n">
        <v>46236</v>
      </c>
    </row>
    <row r="210" customFormat="false" ht="45.75" hidden="false" customHeight="true" outlineLevel="0" collapsed="false">
      <c r="A210" s="30" t="n">
        <v>204</v>
      </c>
      <c r="B210" s="30" t="s">
        <v>9348</v>
      </c>
      <c r="C210" s="31" t="s">
        <v>1112</v>
      </c>
      <c r="D210" s="31" t="s">
        <v>9055</v>
      </c>
      <c r="E210" s="31" t="s">
        <v>8226</v>
      </c>
      <c r="F210" s="30" t="n">
        <f aca="false">COUNTIF('Seed Catalogue'!$C$2:$C$452,B210)</f>
        <v>0</v>
      </c>
      <c r="G210" s="40" t="n">
        <v>3</v>
      </c>
      <c r="H210" s="40" t="n">
        <v>3</v>
      </c>
      <c r="I210" s="40" t="n">
        <v>2</v>
      </c>
      <c r="J210" s="40" t="n">
        <v>5</v>
      </c>
      <c r="K210" s="40" t="n">
        <v>3</v>
      </c>
      <c r="L210" s="40" t="n">
        <v>4</v>
      </c>
      <c r="M210" s="40" t="n">
        <v>4</v>
      </c>
      <c r="N210" s="40" t="n">
        <v>3</v>
      </c>
      <c r="O210" s="41" t="n">
        <f aca="false">ROUND(G210/5*$X$2+H210/5*$X$3+I210/5*$X$4+J210/5*$X$5+K210/5*$X$6+L210/5*$X$7+M210/5*$X$8-N210/5*$X$9,1)</f>
        <v>55</v>
      </c>
      <c r="P210" s="30" t="str">
        <f aca="false">IF(O210&gt;=$X$12,"Foundational deep pass",IF(O210&gt;=$X$13,"Major deep pass",IF(O210&gt;=$X$14,"Targeted innovation pass",IF(O210&gt;=$X$15,"Sampling pass","Reference / defer"))))</f>
        <v>Targeted innovation pass</v>
      </c>
      <c r="Q210" s="31" t="s">
        <v>14219</v>
      </c>
      <c r="R210" s="31" t="s">
        <v>14220</v>
      </c>
      <c r="S210" s="31" t="s">
        <v>14184</v>
      </c>
      <c r="T210" s="31" t="s">
        <v>9351</v>
      </c>
      <c r="U210" s="42" t="n">
        <v>46236</v>
      </c>
    </row>
    <row r="211" customFormat="false" ht="45.75" hidden="false" customHeight="true" outlineLevel="0" collapsed="false">
      <c r="A211" s="30" t="n">
        <v>205</v>
      </c>
      <c r="B211" s="30" t="s">
        <v>9118</v>
      </c>
      <c r="C211" s="31" t="s">
        <v>9119</v>
      </c>
      <c r="D211" s="31" t="s">
        <v>9077</v>
      </c>
      <c r="E211" s="31" t="s">
        <v>9114</v>
      </c>
      <c r="F211" s="30" t="n">
        <f aca="false">COUNTIF('Seed Catalogue'!$C$2:$C$452,B211)</f>
        <v>0</v>
      </c>
      <c r="G211" s="40" t="n">
        <v>3</v>
      </c>
      <c r="H211" s="40" t="n">
        <v>3</v>
      </c>
      <c r="I211" s="40" t="n">
        <v>2</v>
      </c>
      <c r="J211" s="40" t="n">
        <v>5</v>
      </c>
      <c r="K211" s="40" t="n">
        <v>3</v>
      </c>
      <c r="L211" s="40" t="n">
        <v>4</v>
      </c>
      <c r="M211" s="40" t="n">
        <v>4</v>
      </c>
      <c r="N211" s="40" t="n">
        <v>3</v>
      </c>
      <c r="O211" s="41" t="n">
        <f aca="false">ROUND(G211/5*$X$2+H211/5*$X$3+I211/5*$X$4+J211/5*$X$5+K211/5*$X$6+L211/5*$X$7+M211/5*$X$8-N211/5*$X$9,1)</f>
        <v>55</v>
      </c>
      <c r="P211" s="30" t="str">
        <f aca="false">IF(O211&gt;=$X$12,"Foundational deep pass",IF(O211&gt;=$X$13,"Major deep pass",IF(O211&gt;=$X$14,"Targeted innovation pass",IF(O211&gt;=$X$15,"Sampling pass","Reference / defer"))))</f>
        <v>Targeted innovation pass</v>
      </c>
      <c r="Q211" s="31" t="s">
        <v>14219</v>
      </c>
      <c r="R211" s="31" t="s">
        <v>14220</v>
      </c>
      <c r="S211" s="31" t="s">
        <v>14184</v>
      </c>
      <c r="T211" s="31" t="s">
        <v>9121</v>
      </c>
      <c r="U211" s="42" t="n">
        <v>46236</v>
      </c>
    </row>
    <row r="212" customFormat="false" ht="45.75" hidden="false" customHeight="true" outlineLevel="0" collapsed="false">
      <c r="A212" s="30" t="n">
        <v>206</v>
      </c>
      <c r="B212" s="30" t="s">
        <v>9099</v>
      </c>
      <c r="C212" s="31" t="s">
        <v>9100</v>
      </c>
      <c r="D212" s="31" t="s">
        <v>9077</v>
      </c>
      <c r="E212" s="31" t="s">
        <v>8343</v>
      </c>
      <c r="F212" s="30" t="n">
        <f aca="false">COUNTIF('Seed Catalogue'!$C$2:$C$452,B212)</f>
        <v>0</v>
      </c>
      <c r="G212" s="40" t="n">
        <v>3</v>
      </c>
      <c r="H212" s="40" t="n">
        <v>3</v>
      </c>
      <c r="I212" s="40" t="n">
        <v>2</v>
      </c>
      <c r="J212" s="40" t="n">
        <v>5</v>
      </c>
      <c r="K212" s="40" t="n">
        <v>3</v>
      </c>
      <c r="L212" s="40" t="n">
        <v>4</v>
      </c>
      <c r="M212" s="40" t="n">
        <v>4</v>
      </c>
      <c r="N212" s="40" t="n">
        <v>3</v>
      </c>
      <c r="O212" s="41" t="n">
        <f aca="false">ROUND(G212/5*$X$2+H212/5*$X$3+I212/5*$X$4+J212/5*$X$5+K212/5*$X$6+L212/5*$X$7+M212/5*$X$8-N212/5*$X$9,1)</f>
        <v>55</v>
      </c>
      <c r="P212" s="30" t="str">
        <f aca="false">IF(O212&gt;=$X$12,"Foundational deep pass",IF(O212&gt;=$X$13,"Major deep pass",IF(O212&gt;=$X$14,"Targeted innovation pass",IF(O212&gt;=$X$15,"Sampling pass","Reference / defer"))))</f>
        <v>Targeted innovation pass</v>
      </c>
      <c r="Q212" s="31" t="s">
        <v>14219</v>
      </c>
      <c r="R212" s="31" t="s">
        <v>14220</v>
      </c>
      <c r="S212" s="31" t="s">
        <v>14184</v>
      </c>
      <c r="T212" s="31" t="s">
        <v>9104</v>
      </c>
      <c r="U212" s="42" t="n">
        <v>46236</v>
      </c>
    </row>
    <row r="213" customFormat="false" ht="45.75" hidden="false" customHeight="true" outlineLevel="0" collapsed="false">
      <c r="A213" s="30" t="n">
        <v>207</v>
      </c>
      <c r="B213" s="30" t="s">
        <v>9081</v>
      </c>
      <c r="C213" s="31" t="s">
        <v>9082</v>
      </c>
      <c r="D213" s="31" t="s">
        <v>9077</v>
      </c>
      <c r="E213" s="31" t="s">
        <v>8343</v>
      </c>
      <c r="F213" s="30" t="n">
        <f aca="false">COUNTIF('Seed Catalogue'!$C$2:$C$452,B213)</f>
        <v>0</v>
      </c>
      <c r="G213" s="40" t="n">
        <v>3</v>
      </c>
      <c r="H213" s="40" t="n">
        <v>3</v>
      </c>
      <c r="I213" s="40" t="n">
        <v>2</v>
      </c>
      <c r="J213" s="40" t="n">
        <v>5</v>
      </c>
      <c r="K213" s="40" t="n">
        <v>3</v>
      </c>
      <c r="L213" s="40" t="n">
        <v>4</v>
      </c>
      <c r="M213" s="40" t="n">
        <v>4</v>
      </c>
      <c r="N213" s="40" t="n">
        <v>3</v>
      </c>
      <c r="O213" s="41" t="n">
        <f aca="false">ROUND(G213/5*$X$2+H213/5*$X$3+I213/5*$X$4+J213/5*$X$5+K213/5*$X$6+L213/5*$X$7+M213/5*$X$8-N213/5*$X$9,1)</f>
        <v>55</v>
      </c>
      <c r="P213" s="30" t="str">
        <f aca="false">IF(O213&gt;=$X$12,"Foundational deep pass",IF(O213&gt;=$X$13,"Major deep pass",IF(O213&gt;=$X$14,"Targeted innovation pass",IF(O213&gt;=$X$15,"Sampling pass","Reference / defer"))))</f>
        <v>Targeted innovation pass</v>
      </c>
      <c r="Q213" s="31" t="s">
        <v>14219</v>
      </c>
      <c r="R213" s="31" t="s">
        <v>14220</v>
      </c>
      <c r="S213" s="31" t="s">
        <v>14184</v>
      </c>
      <c r="T213" s="31" t="s">
        <v>9085</v>
      </c>
      <c r="U213" s="42" t="n">
        <v>46236</v>
      </c>
    </row>
    <row r="214" customFormat="false" ht="45.75" hidden="false" customHeight="true" outlineLevel="0" collapsed="false">
      <c r="A214" s="30" t="n">
        <v>208</v>
      </c>
      <c r="B214" s="30" t="s">
        <v>9293</v>
      </c>
      <c r="C214" s="31" t="s">
        <v>9294</v>
      </c>
      <c r="D214" s="31" t="s">
        <v>9035</v>
      </c>
      <c r="E214" s="31" t="s">
        <v>8226</v>
      </c>
      <c r="F214" s="30" t="n">
        <f aca="false">COUNTIF('Seed Catalogue'!$C$2:$C$452,B214)</f>
        <v>0</v>
      </c>
      <c r="G214" s="40" t="n">
        <v>3</v>
      </c>
      <c r="H214" s="40" t="n">
        <v>3</v>
      </c>
      <c r="I214" s="40" t="n">
        <v>2</v>
      </c>
      <c r="J214" s="40" t="n">
        <v>5</v>
      </c>
      <c r="K214" s="40" t="n">
        <v>3</v>
      </c>
      <c r="L214" s="40" t="n">
        <v>4</v>
      </c>
      <c r="M214" s="40" t="n">
        <v>4</v>
      </c>
      <c r="N214" s="40" t="n">
        <v>3</v>
      </c>
      <c r="O214" s="41" t="n">
        <f aca="false">ROUND(G214/5*$X$2+H214/5*$X$3+I214/5*$X$4+J214/5*$X$5+K214/5*$X$6+L214/5*$X$7+M214/5*$X$8-N214/5*$X$9,1)</f>
        <v>55</v>
      </c>
      <c r="P214" s="30" t="str">
        <f aca="false">IF(O214&gt;=$X$12,"Foundational deep pass",IF(O214&gt;=$X$13,"Major deep pass",IF(O214&gt;=$X$14,"Targeted innovation pass",IF(O214&gt;=$X$15,"Sampling pass","Reference / defer"))))</f>
        <v>Targeted innovation pass</v>
      </c>
      <c r="Q214" s="31" t="s">
        <v>14219</v>
      </c>
      <c r="R214" s="31" t="s">
        <v>14220</v>
      </c>
      <c r="S214" s="31" t="s">
        <v>14184</v>
      </c>
      <c r="T214" s="31" t="s">
        <v>9297</v>
      </c>
      <c r="U214" s="42" t="n">
        <v>46236</v>
      </c>
    </row>
    <row r="215" customFormat="false" ht="45.75" hidden="false" customHeight="true" outlineLevel="0" collapsed="false">
      <c r="A215" s="30" t="n">
        <v>209</v>
      </c>
      <c r="B215" s="30" t="s">
        <v>8962</v>
      </c>
      <c r="C215" s="31" t="s">
        <v>8963</v>
      </c>
      <c r="D215" s="31" t="s">
        <v>8950</v>
      </c>
      <c r="E215" s="31" t="s">
        <v>8343</v>
      </c>
      <c r="F215" s="30" t="n">
        <f aca="false">COUNTIF('Seed Catalogue'!$C$2:$C$452,B215)</f>
        <v>0</v>
      </c>
      <c r="G215" s="40" t="n">
        <v>3</v>
      </c>
      <c r="H215" s="40" t="n">
        <v>3</v>
      </c>
      <c r="I215" s="40" t="n">
        <v>2</v>
      </c>
      <c r="J215" s="40" t="n">
        <v>5</v>
      </c>
      <c r="K215" s="40" t="n">
        <v>3</v>
      </c>
      <c r="L215" s="40" t="n">
        <v>4</v>
      </c>
      <c r="M215" s="40" t="n">
        <v>4</v>
      </c>
      <c r="N215" s="40" t="n">
        <v>3</v>
      </c>
      <c r="O215" s="41" t="n">
        <f aca="false">ROUND(G215/5*$X$2+H215/5*$X$3+I215/5*$X$4+J215/5*$X$5+K215/5*$X$6+L215/5*$X$7+M215/5*$X$8-N215/5*$X$9,1)</f>
        <v>55</v>
      </c>
      <c r="P215" s="30" t="str">
        <f aca="false">IF(O215&gt;=$X$12,"Foundational deep pass",IF(O215&gt;=$X$13,"Major deep pass",IF(O215&gt;=$X$14,"Targeted innovation pass",IF(O215&gt;=$X$15,"Sampling pass","Reference / defer"))))</f>
        <v>Targeted innovation pass</v>
      </c>
      <c r="Q215" s="31" t="s">
        <v>14221</v>
      </c>
      <c r="R215" s="31" t="s">
        <v>14222</v>
      </c>
      <c r="S215" s="31" t="s">
        <v>14184</v>
      </c>
      <c r="T215" s="31" t="s">
        <v>8967</v>
      </c>
      <c r="U215" s="42" t="n">
        <v>46236</v>
      </c>
    </row>
    <row r="216" customFormat="false" ht="45.75" hidden="false" customHeight="true" outlineLevel="0" collapsed="false">
      <c r="A216" s="30" t="n">
        <v>210</v>
      </c>
      <c r="B216" s="30" t="s">
        <v>9246</v>
      </c>
      <c r="C216" s="31" t="s">
        <v>9247</v>
      </c>
      <c r="D216" s="31" t="s">
        <v>9000</v>
      </c>
      <c r="E216" s="31" t="s">
        <v>8226</v>
      </c>
      <c r="F216" s="30" t="n">
        <f aca="false">COUNTIF('Seed Catalogue'!$C$2:$C$452,B216)</f>
        <v>0</v>
      </c>
      <c r="G216" s="40" t="n">
        <v>3</v>
      </c>
      <c r="H216" s="40" t="n">
        <v>3</v>
      </c>
      <c r="I216" s="40" t="n">
        <v>2</v>
      </c>
      <c r="J216" s="40" t="n">
        <v>5</v>
      </c>
      <c r="K216" s="40" t="n">
        <v>3</v>
      </c>
      <c r="L216" s="40" t="n">
        <v>4</v>
      </c>
      <c r="M216" s="40" t="n">
        <v>4</v>
      </c>
      <c r="N216" s="40" t="n">
        <v>3</v>
      </c>
      <c r="O216" s="41" t="n">
        <f aca="false">ROUND(G216/5*$X$2+H216/5*$X$3+I216/5*$X$4+J216/5*$X$5+K216/5*$X$6+L216/5*$X$7+M216/5*$X$8-N216/5*$X$9,1)</f>
        <v>55</v>
      </c>
      <c r="P216" s="30" t="str">
        <f aca="false">IF(O216&gt;=$X$12,"Foundational deep pass",IF(O216&gt;=$X$13,"Major deep pass",IF(O216&gt;=$X$14,"Targeted innovation pass",IF(O216&gt;=$X$15,"Sampling pass","Reference / defer"))))</f>
        <v>Targeted innovation pass</v>
      </c>
      <c r="Q216" s="31" t="s">
        <v>14219</v>
      </c>
      <c r="R216" s="31" t="s">
        <v>14220</v>
      </c>
      <c r="S216" s="31" t="s">
        <v>14184</v>
      </c>
      <c r="T216" s="31" t="s">
        <v>9251</v>
      </c>
      <c r="U216" s="42" t="n">
        <v>46236</v>
      </c>
    </row>
    <row r="217" customFormat="false" ht="45.75" hidden="false" customHeight="true" outlineLevel="0" collapsed="false">
      <c r="A217" s="30" t="n">
        <v>211</v>
      </c>
      <c r="B217" s="30" t="s">
        <v>9359</v>
      </c>
      <c r="C217" s="31" t="s">
        <v>9360</v>
      </c>
      <c r="D217" s="31" t="s">
        <v>8984</v>
      </c>
      <c r="E217" s="31" t="s">
        <v>8343</v>
      </c>
      <c r="F217" s="30" t="n">
        <f aca="false">COUNTIF('Seed Catalogue'!$C$2:$C$452,B217)</f>
        <v>0</v>
      </c>
      <c r="G217" s="40" t="n">
        <v>3</v>
      </c>
      <c r="H217" s="40" t="n">
        <v>3</v>
      </c>
      <c r="I217" s="40" t="n">
        <v>2</v>
      </c>
      <c r="J217" s="40" t="n">
        <v>5</v>
      </c>
      <c r="K217" s="40" t="n">
        <v>3</v>
      </c>
      <c r="L217" s="40" t="n">
        <v>4</v>
      </c>
      <c r="M217" s="40" t="n">
        <v>4</v>
      </c>
      <c r="N217" s="40" t="n">
        <v>3</v>
      </c>
      <c r="O217" s="41" t="n">
        <f aca="false">ROUND(G217/5*$X$2+H217/5*$X$3+I217/5*$X$4+J217/5*$X$5+K217/5*$X$6+L217/5*$X$7+M217/5*$X$8-N217/5*$X$9,1)</f>
        <v>55</v>
      </c>
      <c r="P217" s="30" t="str">
        <f aca="false">IF(O217&gt;=$X$12,"Foundational deep pass",IF(O217&gt;=$X$13,"Major deep pass",IF(O217&gt;=$X$14,"Targeted innovation pass",IF(O217&gt;=$X$15,"Sampling pass","Reference / defer"))))</f>
        <v>Targeted innovation pass</v>
      </c>
      <c r="Q217" s="31" t="s">
        <v>14219</v>
      </c>
      <c r="R217" s="31" t="s">
        <v>14220</v>
      </c>
      <c r="S217" s="31" t="s">
        <v>14184</v>
      </c>
      <c r="T217" s="31" t="s">
        <v>9363</v>
      </c>
      <c r="U217" s="42" t="n">
        <v>46236</v>
      </c>
    </row>
    <row r="218" customFormat="false" ht="45.75" hidden="false" customHeight="true" outlineLevel="0" collapsed="false">
      <c r="A218" s="30" t="n">
        <v>212</v>
      </c>
      <c r="B218" s="30" t="s">
        <v>9145</v>
      </c>
      <c r="C218" s="31" t="s">
        <v>9146</v>
      </c>
      <c r="D218" s="31" t="s">
        <v>9148</v>
      </c>
      <c r="E218" s="31" t="s">
        <v>8226</v>
      </c>
      <c r="F218" s="30" t="n">
        <f aca="false">COUNTIF('Seed Catalogue'!$C$2:$C$452,B218)</f>
        <v>0</v>
      </c>
      <c r="G218" s="40" t="n">
        <v>3</v>
      </c>
      <c r="H218" s="40" t="n">
        <v>3</v>
      </c>
      <c r="I218" s="40" t="n">
        <v>2</v>
      </c>
      <c r="J218" s="40" t="n">
        <v>5</v>
      </c>
      <c r="K218" s="40" t="n">
        <v>3</v>
      </c>
      <c r="L218" s="40" t="n">
        <v>4</v>
      </c>
      <c r="M218" s="40" t="n">
        <v>4</v>
      </c>
      <c r="N218" s="40" t="n">
        <v>3</v>
      </c>
      <c r="O218" s="41" t="n">
        <f aca="false">ROUND(G218/5*$X$2+H218/5*$X$3+I218/5*$X$4+J218/5*$X$5+K218/5*$X$6+L218/5*$X$7+M218/5*$X$8-N218/5*$X$9,1)</f>
        <v>55</v>
      </c>
      <c r="P218" s="30" t="str">
        <f aca="false">IF(O218&gt;=$X$12,"Foundational deep pass",IF(O218&gt;=$X$13,"Major deep pass",IF(O218&gt;=$X$14,"Targeted innovation pass",IF(O218&gt;=$X$15,"Sampling pass","Reference / defer"))))</f>
        <v>Targeted innovation pass</v>
      </c>
      <c r="Q218" s="31" t="s">
        <v>14219</v>
      </c>
      <c r="R218" s="31" t="s">
        <v>14220</v>
      </c>
      <c r="S218" s="31" t="s">
        <v>14184</v>
      </c>
      <c r="T218" s="31" t="s">
        <v>9151</v>
      </c>
      <c r="U218" s="42" t="n">
        <v>46236</v>
      </c>
    </row>
    <row r="219" customFormat="false" ht="45.75" hidden="false" customHeight="true" outlineLevel="0" collapsed="false">
      <c r="A219" s="30" t="n">
        <v>213</v>
      </c>
      <c r="B219" s="30" t="s">
        <v>9200</v>
      </c>
      <c r="C219" s="31" t="s">
        <v>9201</v>
      </c>
      <c r="D219" s="31" t="s">
        <v>9055</v>
      </c>
      <c r="E219" s="31" t="s">
        <v>9203</v>
      </c>
      <c r="F219" s="30" t="n">
        <f aca="false">COUNTIF('Seed Catalogue'!$C$2:$C$452,B219)</f>
        <v>0</v>
      </c>
      <c r="G219" s="40" t="n">
        <v>3</v>
      </c>
      <c r="H219" s="40" t="n">
        <v>3</v>
      </c>
      <c r="I219" s="40" t="n">
        <v>2</v>
      </c>
      <c r="J219" s="40" t="n">
        <v>5</v>
      </c>
      <c r="K219" s="40" t="n">
        <v>3</v>
      </c>
      <c r="L219" s="40" t="n">
        <v>4</v>
      </c>
      <c r="M219" s="40" t="n">
        <v>4</v>
      </c>
      <c r="N219" s="40" t="n">
        <v>3</v>
      </c>
      <c r="O219" s="41" t="n">
        <f aca="false">ROUND(G219/5*$X$2+H219/5*$X$3+I219/5*$X$4+J219/5*$X$5+K219/5*$X$6+L219/5*$X$7+M219/5*$X$8-N219/5*$X$9,1)</f>
        <v>55</v>
      </c>
      <c r="P219" s="30" t="str">
        <f aca="false">IF(O219&gt;=$X$12,"Foundational deep pass",IF(O219&gt;=$X$13,"Major deep pass",IF(O219&gt;=$X$14,"Targeted innovation pass",IF(O219&gt;=$X$15,"Sampling pass","Reference / defer"))))</f>
        <v>Targeted innovation pass</v>
      </c>
      <c r="Q219" s="31" t="s">
        <v>14219</v>
      </c>
      <c r="R219" s="31" t="s">
        <v>14220</v>
      </c>
      <c r="S219" s="31" t="s">
        <v>14184</v>
      </c>
      <c r="T219" s="31" t="s">
        <v>9207</v>
      </c>
      <c r="U219" s="42" t="n">
        <v>46236</v>
      </c>
    </row>
    <row r="220" customFormat="false" ht="45.75" hidden="false" customHeight="true" outlineLevel="0" collapsed="false">
      <c r="A220" s="30" t="n">
        <v>214</v>
      </c>
      <c r="B220" s="30" t="s">
        <v>9152</v>
      </c>
      <c r="C220" s="31" t="s">
        <v>9153</v>
      </c>
      <c r="D220" s="31" t="s">
        <v>9035</v>
      </c>
      <c r="E220" s="31" t="s">
        <v>8343</v>
      </c>
      <c r="F220" s="30" t="n">
        <f aca="false">COUNTIF('Seed Catalogue'!$C$2:$C$452,B220)</f>
        <v>0</v>
      </c>
      <c r="G220" s="40" t="n">
        <v>3</v>
      </c>
      <c r="H220" s="40" t="n">
        <v>3</v>
      </c>
      <c r="I220" s="40" t="n">
        <v>2</v>
      </c>
      <c r="J220" s="40" t="n">
        <v>5</v>
      </c>
      <c r="K220" s="40" t="n">
        <v>3</v>
      </c>
      <c r="L220" s="40" t="n">
        <v>4</v>
      </c>
      <c r="M220" s="40" t="n">
        <v>4</v>
      </c>
      <c r="N220" s="40" t="n">
        <v>3</v>
      </c>
      <c r="O220" s="41" t="n">
        <f aca="false">ROUND(G220/5*$X$2+H220/5*$X$3+I220/5*$X$4+J220/5*$X$5+K220/5*$X$6+L220/5*$X$7+M220/5*$X$8-N220/5*$X$9,1)</f>
        <v>55</v>
      </c>
      <c r="P220" s="30" t="str">
        <f aca="false">IF(O220&gt;=$X$12,"Foundational deep pass",IF(O220&gt;=$X$13,"Major deep pass",IF(O220&gt;=$X$14,"Targeted innovation pass",IF(O220&gt;=$X$15,"Sampling pass","Reference / defer"))))</f>
        <v>Targeted innovation pass</v>
      </c>
      <c r="Q220" s="31" t="s">
        <v>14219</v>
      </c>
      <c r="R220" s="31" t="s">
        <v>14220</v>
      </c>
      <c r="S220" s="31" t="s">
        <v>14184</v>
      </c>
      <c r="T220" s="31" t="s">
        <v>9158</v>
      </c>
      <c r="U220" s="42" t="n">
        <v>46236</v>
      </c>
    </row>
    <row r="221" customFormat="false" ht="45.75" hidden="false" customHeight="true" outlineLevel="0" collapsed="false">
      <c r="A221" s="30" t="n">
        <v>215</v>
      </c>
      <c r="B221" s="30" t="s">
        <v>9159</v>
      </c>
      <c r="C221" s="31" t="s">
        <v>9160</v>
      </c>
      <c r="D221" s="31" t="s">
        <v>9068</v>
      </c>
      <c r="E221" s="31" t="s">
        <v>9162</v>
      </c>
      <c r="F221" s="30" t="n">
        <f aca="false">COUNTIF('Seed Catalogue'!$C$2:$C$452,B221)</f>
        <v>0</v>
      </c>
      <c r="G221" s="40" t="n">
        <v>3</v>
      </c>
      <c r="H221" s="40" t="n">
        <v>3</v>
      </c>
      <c r="I221" s="40" t="n">
        <v>2</v>
      </c>
      <c r="J221" s="40" t="n">
        <v>5</v>
      </c>
      <c r="K221" s="40" t="n">
        <v>3</v>
      </c>
      <c r="L221" s="40" t="n">
        <v>4</v>
      </c>
      <c r="M221" s="40" t="n">
        <v>4</v>
      </c>
      <c r="N221" s="40" t="n">
        <v>3</v>
      </c>
      <c r="O221" s="41" t="n">
        <f aca="false">ROUND(G221/5*$X$2+H221/5*$X$3+I221/5*$X$4+J221/5*$X$5+K221/5*$X$6+L221/5*$X$7+M221/5*$X$8-N221/5*$X$9,1)</f>
        <v>55</v>
      </c>
      <c r="P221" s="30" t="str">
        <f aca="false">IF(O221&gt;=$X$12,"Foundational deep pass",IF(O221&gt;=$X$13,"Major deep pass",IF(O221&gt;=$X$14,"Targeted innovation pass",IF(O221&gt;=$X$15,"Sampling pass","Reference / defer"))))</f>
        <v>Targeted innovation pass</v>
      </c>
      <c r="Q221" s="31" t="s">
        <v>14219</v>
      </c>
      <c r="R221" s="31" t="s">
        <v>14220</v>
      </c>
      <c r="S221" s="31" t="s">
        <v>14184</v>
      </c>
      <c r="T221" s="31" t="s">
        <v>9165</v>
      </c>
      <c r="U221" s="42" t="n">
        <v>46236</v>
      </c>
    </row>
    <row r="222" customFormat="false" ht="45.75" hidden="false" customHeight="true" outlineLevel="0" collapsed="false">
      <c r="A222" s="30" t="n">
        <v>216</v>
      </c>
      <c r="B222" s="30" t="s">
        <v>9047</v>
      </c>
      <c r="C222" s="31" t="s">
        <v>9048</v>
      </c>
      <c r="D222" s="31" t="s">
        <v>9013</v>
      </c>
      <c r="E222" s="31" t="s">
        <v>8343</v>
      </c>
      <c r="F222" s="30" t="n">
        <f aca="false">COUNTIF('Seed Catalogue'!$C$2:$C$452,B222)</f>
        <v>0</v>
      </c>
      <c r="G222" s="40" t="n">
        <v>3</v>
      </c>
      <c r="H222" s="40" t="n">
        <v>3</v>
      </c>
      <c r="I222" s="40" t="n">
        <v>2</v>
      </c>
      <c r="J222" s="40" t="n">
        <v>5</v>
      </c>
      <c r="K222" s="40" t="n">
        <v>3</v>
      </c>
      <c r="L222" s="40" t="n">
        <v>4</v>
      </c>
      <c r="M222" s="40" t="n">
        <v>4</v>
      </c>
      <c r="N222" s="40" t="n">
        <v>3</v>
      </c>
      <c r="O222" s="41" t="n">
        <f aca="false">ROUND(G222/5*$X$2+H222/5*$X$3+I222/5*$X$4+J222/5*$X$5+K222/5*$X$6+L222/5*$X$7+M222/5*$X$8-N222/5*$X$9,1)</f>
        <v>55</v>
      </c>
      <c r="P222" s="30" t="str">
        <f aca="false">IF(O222&gt;=$X$12,"Foundational deep pass",IF(O222&gt;=$X$13,"Major deep pass",IF(O222&gt;=$X$14,"Targeted innovation pass",IF(O222&gt;=$X$15,"Sampling pass","Reference / defer"))))</f>
        <v>Targeted innovation pass</v>
      </c>
      <c r="Q222" s="31" t="s">
        <v>14219</v>
      </c>
      <c r="R222" s="31" t="s">
        <v>14220</v>
      </c>
      <c r="S222" s="31" t="s">
        <v>14184</v>
      </c>
      <c r="T222" s="31" t="s">
        <v>9052</v>
      </c>
      <c r="U222" s="42" t="n">
        <v>46236</v>
      </c>
    </row>
    <row r="223" customFormat="false" ht="45.75" hidden="false" customHeight="true" outlineLevel="0" collapsed="false">
      <c r="A223" s="30" t="n">
        <v>217</v>
      </c>
      <c r="B223" s="30" t="s">
        <v>9784</v>
      </c>
      <c r="C223" s="31" t="s">
        <v>9785</v>
      </c>
      <c r="D223" s="31" t="s">
        <v>9773</v>
      </c>
      <c r="E223" s="31" t="s">
        <v>8343</v>
      </c>
      <c r="F223" s="30" t="n">
        <f aca="false">COUNTIF('Seed Catalogue'!$C$2:$C$452,B223)</f>
        <v>0</v>
      </c>
      <c r="G223" s="40" t="n">
        <v>3</v>
      </c>
      <c r="H223" s="40" t="n">
        <v>3</v>
      </c>
      <c r="I223" s="40" t="n">
        <v>2</v>
      </c>
      <c r="J223" s="40" t="n">
        <v>4</v>
      </c>
      <c r="K223" s="40" t="n">
        <v>3</v>
      </c>
      <c r="L223" s="40" t="n">
        <v>5</v>
      </c>
      <c r="M223" s="40" t="n">
        <v>4</v>
      </c>
      <c r="N223" s="40" t="n">
        <v>3</v>
      </c>
      <c r="O223" s="41" t="n">
        <f aca="false">ROUND(G223/5*$X$2+H223/5*$X$3+I223/5*$X$4+J223/5*$X$5+K223/5*$X$6+L223/5*$X$7+M223/5*$X$8-N223/5*$X$9,1)</f>
        <v>54</v>
      </c>
      <c r="P223" s="30" t="str">
        <f aca="false">IF(O223&gt;=$X$12,"Foundational deep pass",IF(O223&gt;=$X$13,"Major deep pass",IF(O223&gt;=$X$14,"Targeted innovation pass",IF(O223&gt;=$X$15,"Sampling pass","Reference / defer"))))</f>
        <v>Targeted innovation pass</v>
      </c>
      <c r="Q223" s="31" t="s">
        <v>14215</v>
      </c>
      <c r="R223" s="31" t="s">
        <v>14216</v>
      </c>
      <c r="S223" s="31" t="s">
        <v>14184</v>
      </c>
      <c r="T223" s="31" t="s">
        <v>9789</v>
      </c>
      <c r="U223" s="42" t="n">
        <v>46236</v>
      </c>
    </row>
    <row r="224" customFormat="false" ht="45.75" hidden="false" customHeight="true" outlineLevel="0" collapsed="false">
      <c r="A224" s="30" t="n">
        <v>218</v>
      </c>
      <c r="B224" s="30" t="s">
        <v>9851</v>
      </c>
      <c r="C224" s="31" t="s">
        <v>9852</v>
      </c>
      <c r="D224" s="31" t="s">
        <v>9818</v>
      </c>
      <c r="E224" s="31" t="s">
        <v>8343</v>
      </c>
      <c r="F224" s="30" t="n">
        <f aca="false">COUNTIF('Seed Catalogue'!$C$2:$C$452,B224)</f>
        <v>0</v>
      </c>
      <c r="G224" s="40" t="n">
        <v>3</v>
      </c>
      <c r="H224" s="40" t="n">
        <v>3</v>
      </c>
      <c r="I224" s="40" t="n">
        <v>2</v>
      </c>
      <c r="J224" s="40" t="n">
        <v>4</v>
      </c>
      <c r="K224" s="40" t="n">
        <v>3</v>
      </c>
      <c r="L224" s="40" t="n">
        <v>5</v>
      </c>
      <c r="M224" s="40" t="n">
        <v>4</v>
      </c>
      <c r="N224" s="40" t="n">
        <v>3</v>
      </c>
      <c r="O224" s="41" t="n">
        <f aca="false">ROUND(G224/5*$X$2+H224/5*$X$3+I224/5*$X$4+J224/5*$X$5+K224/5*$X$6+L224/5*$X$7+M224/5*$X$8-N224/5*$X$9,1)</f>
        <v>54</v>
      </c>
      <c r="P224" s="30" t="str">
        <f aca="false">IF(O224&gt;=$X$12,"Foundational deep pass",IF(O224&gt;=$X$13,"Major deep pass",IF(O224&gt;=$X$14,"Targeted innovation pass",IF(O224&gt;=$X$15,"Sampling pass","Reference / defer"))))</f>
        <v>Targeted innovation pass</v>
      </c>
      <c r="Q224" s="31" t="s">
        <v>14215</v>
      </c>
      <c r="R224" s="31" t="s">
        <v>14216</v>
      </c>
      <c r="S224" s="31" t="s">
        <v>14184</v>
      </c>
      <c r="T224" s="31" t="s">
        <v>9855</v>
      </c>
      <c r="U224" s="42" t="n">
        <v>46236</v>
      </c>
    </row>
    <row r="225" customFormat="false" ht="45.75" hidden="false" customHeight="true" outlineLevel="0" collapsed="false">
      <c r="A225" s="30" t="n">
        <v>219</v>
      </c>
      <c r="B225" s="30" t="s">
        <v>9801</v>
      </c>
      <c r="C225" s="31" t="s">
        <v>9802</v>
      </c>
      <c r="D225" s="31" t="s">
        <v>9773</v>
      </c>
      <c r="E225" s="31" t="s">
        <v>9804</v>
      </c>
      <c r="F225" s="30" t="n">
        <f aca="false">COUNTIF('Seed Catalogue'!$C$2:$C$452,B225)</f>
        <v>0</v>
      </c>
      <c r="G225" s="40" t="n">
        <v>3</v>
      </c>
      <c r="H225" s="40" t="n">
        <v>3</v>
      </c>
      <c r="I225" s="40" t="n">
        <v>2</v>
      </c>
      <c r="J225" s="40" t="n">
        <v>4</v>
      </c>
      <c r="K225" s="40" t="n">
        <v>3</v>
      </c>
      <c r="L225" s="40" t="n">
        <v>5</v>
      </c>
      <c r="M225" s="40" t="n">
        <v>4</v>
      </c>
      <c r="N225" s="40" t="n">
        <v>3</v>
      </c>
      <c r="O225" s="41" t="n">
        <f aca="false">ROUND(G225/5*$X$2+H225/5*$X$3+I225/5*$X$4+J225/5*$X$5+K225/5*$X$6+L225/5*$X$7+M225/5*$X$8-N225/5*$X$9,1)</f>
        <v>54</v>
      </c>
      <c r="P225" s="30" t="str">
        <f aca="false">IF(O225&gt;=$X$12,"Foundational deep pass",IF(O225&gt;=$X$13,"Major deep pass",IF(O225&gt;=$X$14,"Targeted innovation pass",IF(O225&gt;=$X$15,"Sampling pass","Reference / defer"))))</f>
        <v>Targeted innovation pass</v>
      </c>
      <c r="Q225" s="31" t="s">
        <v>14215</v>
      </c>
      <c r="R225" s="31" t="s">
        <v>14216</v>
      </c>
      <c r="S225" s="31" t="s">
        <v>14184</v>
      </c>
      <c r="T225" s="31" t="s">
        <v>9807</v>
      </c>
      <c r="U225" s="42" t="n">
        <v>46236</v>
      </c>
    </row>
    <row r="226" customFormat="false" ht="45.75" hidden="false" customHeight="true" outlineLevel="0" collapsed="false">
      <c r="A226" s="30" t="n">
        <v>220</v>
      </c>
      <c r="B226" s="30" t="s">
        <v>8215</v>
      </c>
      <c r="C226" s="31" t="s">
        <v>8216</v>
      </c>
      <c r="D226" s="31" t="s">
        <v>8218</v>
      </c>
      <c r="E226" s="31" t="s">
        <v>8205</v>
      </c>
      <c r="F226" s="30" t="n">
        <f aca="false">COUNTIF('Seed Catalogue'!$C$2:$C$452,B226)</f>
        <v>0</v>
      </c>
      <c r="G226" s="40" t="n">
        <v>3</v>
      </c>
      <c r="H226" s="40" t="n">
        <v>3</v>
      </c>
      <c r="I226" s="40" t="n">
        <v>3</v>
      </c>
      <c r="J226" s="40" t="n">
        <v>5</v>
      </c>
      <c r="K226" s="40" t="n">
        <v>3</v>
      </c>
      <c r="L226" s="40" t="n">
        <v>3</v>
      </c>
      <c r="M226" s="40" t="n">
        <v>3</v>
      </c>
      <c r="N226" s="40" t="n">
        <v>3</v>
      </c>
      <c r="O226" s="41" t="n">
        <f aca="false">ROUND(G226/5*$X$2+H226/5*$X$3+I226/5*$X$4+J226/5*$X$5+K226/5*$X$6+L226/5*$X$7+M226/5*$X$8-N226/5*$X$9,1)</f>
        <v>54</v>
      </c>
      <c r="P226" s="30" t="str">
        <f aca="false">IF(O226&gt;=$X$12,"Foundational deep pass",IF(O226&gt;=$X$13,"Major deep pass",IF(O226&gt;=$X$14,"Targeted innovation pass",IF(O226&gt;=$X$15,"Sampling pass","Reference / defer"))))</f>
        <v>Targeted innovation pass</v>
      </c>
      <c r="Q226" s="31" t="s">
        <v>14223</v>
      </c>
      <c r="R226" s="31" t="s">
        <v>14224</v>
      </c>
      <c r="S226" s="31" t="s">
        <v>14184</v>
      </c>
      <c r="T226" s="31" t="s">
        <v>8222</v>
      </c>
      <c r="U226" s="42" t="n">
        <v>46236</v>
      </c>
    </row>
    <row r="227" customFormat="false" ht="45.75" hidden="false" customHeight="true" outlineLevel="0" collapsed="false">
      <c r="A227" s="30" t="n">
        <v>221</v>
      </c>
      <c r="B227" s="30" t="s">
        <v>9744</v>
      </c>
      <c r="C227" s="31" t="s">
        <v>9745</v>
      </c>
      <c r="D227" s="31" t="s">
        <v>9713</v>
      </c>
      <c r="E227" s="31" t="s">
        <v>8343</v>
      </c>
      <c r="F227" s="30" t="n">
        <f aca="false">COUNTIF('Seed Catalogue'!$C$2:$C$452,B227)</f>
        <v>0</v>
      </c>
      <c r="G227" s="40" t="n">
        <v>3</v>
      </c>
      <c r="H227" s="40" t="n">
        <v>3</v>
      </c>
      <c r="I227" s="40" t="n">
        <v>2</v>
      </c>
      <c r="J227" s="40" t="n">
        <v>4</v>
      </c>
      <c r="K227" s="40" t="n">
        <v>3</v>
      </c>
      <c r="L227" s="40" t="n">
        <v>5</v>
      </c>
      <c r="M227" s="40" t="n">
        <v>4</v>
      </c>
      <c r="N227" s="40" t="n">
        <v>3</v>
      </c>
      <c r="O227" s="41" t="n">
        <f aca="false">ROUND(G227/5*$X$2+H227/5*$X$3+I227/5*$X$4+J227/5*$X$5+K227/5*$X$6+L227/5*$X$7+M227/5*$X$8-N227/5*$X$9,1)</f>
        <v>54</v>
      </c>
      <c r="P227" s="30" t="str">
        <f aca="false">IF(O227&gt;=$X$12,"Foundational deep pass",IF(O227&gt;=$X$13,"Major deep pass",IF(O227&gt;=$X$14,"Targeted innovation pass",IF(O227&gt;=$X$15,"Sampling pass","Reference / defer"))))</f>
        <v>Targeted innovation pass</v>
      </c>
      <c r="Q227" s="31" t="s">
        <v>14215</v>
      </c>
      <c r="R227" s="31" t="s">
        <v>14216</v>
      </c>
      <c r="S227" s="31" t="s">
        <v>14184</v>
      </c>
      <c r="T227" s="31" t="s">
        <v>9750</v>
      </c>
      <c r="U227" s="42" t="n">
        <v>46236</v>
      </c>
    </row>
    <row r="228" customFormat="false" ht="45.75" hidden="false" customHeight="true" outlineLevel="0" collapsed="false">
      <c r="A228" s="30" t="n">
        <v>222</v>
      </c>
      <c r="B228" s="30" t="s">
        <v>9757</v>
      </c>
      <c r="C228" s="31" t="s">
        <v>9758</v>
      </c>
      <c r="D228" s="31" t="s">
        <v>9760</v>
      </c>
      <c r="E228" s="31" t="s">
        <v>8343</v>
      </c>
      <c r="F228" s="30" t="n">
        <f aca="false">COUNTIF('Seed Catalogue'!$C$2:$C$452,B228)</f>
        <v>0</v>
      </c>
      <c r="G228" s="40" t="n">
        <v>3</v>
      </c>
      <c r="H228" s="40" t="n">
        <v>3</v>
      </c>
      <c r="I228" s="40" t="n">
        <v>2</v>
      </c>
      <c r="J228" s="40" t="n">
        <v>4</v>
      </c>
      <c r="K228" s="40" t="n">
        <v>3</v>
      </c>
      <c r="L228" s="40" t="n">
        <v>5</v>
      </c>
      <c r="M228" s="40" t="n">
        <v>4</v>
      </c>
      <c r="N228" s="40" t="n">
        <v>3</v>
      </c>
      <c r="O228" s="41" t="n">
        <f aca="false">ROUND(G228/5*$X$2+H228/5*$X$3+I228/5*$X$4+J228/5*$X$5+K228/5*$X$6+L228/5*$X$7+M228/5*$X$8-N228/5*$X$9,1)</f>
        <v>54</v>
      </c>
      <c r="P228" s="30" t="str">
        <f aca="false">IF(O228&gt;=$X$12,"Foundational deep pass",IF(O228&gt;=$X$13,"Major deep pass",IF(O228&gt;=$X$14,"Targeted innovation pass",IF(O228&gt;=$X$15,"Sampling pass","Reference / defer"))))</f>
        <v>Targeted innovation pass</v>
      </c>
      <c r="Q228" s="31" t="s">
        <v>14215</v>
      </c>
      <c r="R228" s="31" t="s">
        <v>14216</v>
      </c>
      <c r="S228" s="31" t="s">
        <v>14184</v>
      </c>
      <c r="T228" s="31" t="s">
        <v>9763</v>
      </c>
      <c r="U228" s="42" t="n">
        <v>46236</v>
      </c>
    </row>
    <row r="229" customFormat="false" ht="45.75" hidden="false" customHeight="true" outlineLevel="0" collapsed="false">
      <c r="A229" s="30" t="n">
        <v>223</v>
      </c>
      <c r="B229" s="30" t="s">
        <v>9862</v>
      </c>
      <c r="C229" s="31" t="s">
        <v>9863</v>
      </c>
      <c r="D229" s="31" t="s">
        <v>9713</v>
      </c>
      <c r="E229" s="31" t="s">
        <v>8343</v>
      </c>
      <c r="F229" s="30" t="n">
        <f aca="false">COUNTIF('Seed Catalogue'!$C$2:$C$452,B229)</f>
        <v>0</v>
      </c>
      <c r="G229" s="40" t="n">
        <v>3</v>
      </c>
      <c r="H229" s="40" t="n">
        <v>3</v>
      </c>
      <c r="I229" s="40" t="n">
        <v>2</v>
      </c>
      <c r="J229" s="40" t="n">
        <v>4</v>
      </c>
      <c r="K229" s="40" t="n">
        <v>3</v>
      </c>
      <c r="L229" s="40" t="n">
        <v>5</v>
      </c>
      <c r="M229" s="40" t="n">
        <v>4</v>
      </c>
      <c r="N229" s="40" t="n">
        <v>3</v>
      </c>
      <c r="O229" s="41" t="n">
        <f aca="false">ROUND(G229/5*$X$2+H229/5*$X$3+I229/5*$X$4+J229/5*$X$5+K229/5*$X$6+L229/5*$X$7+M229/5*$X$8-N229/5*$X$9,1)</f>
        <v>54</v>
      </c>
      <c r="P229" s="30" t="str">
        <f aca="false">IF(O229&gt;=$X$12,"Foundational deep pass",IF(O229&gt;=$X$13,"Major deep pass",IF(O229&gt;=$X$14,"Targeted innovation pass",IF(O229&gt;=$X$15,"Sampling pass","Reference / defer"))))</f>
        <v>Targeted innovation pass</v>
      </c>
      <c r="Q229" s="31" t="s">
        <v>14215</v>
      </c>
      <c r="R229" s="31" t="s">
        <v>14216</v>
      </c>
      <c r="S229" s="31" t="s">
        <v>14184</v>
      </c>
      <c r="T229" s="31" t="s">
        <v>9867</v>
      </c>
      <c r="U229" s="42" t="n">
        <v>46236</v>
      </c>
    </row>
    <row r="230" customFormat="false" ht="45.75" hidden="false" customHeight="true" outlineLevel="0" collapsed="false">
      <c r="A230" s="30" t="n">
        <v>224</v>
      </c>
      <c r="B230" s="30" t="s">
        <v>9751</v>
      </c>
      <c r="C230" s="31" t="s">
        <v>9752</v>
      </c>
      <c r="D230" s="31" t="s">
        <v>9713</v>
      </c>
      <c r="E230" s="31" t="s">
        <v>8943</v>
      </c>
      <c r="F230" s="30" t="n">
        <f aca="false">COUNTIF('Seed Catalogue'!$C$2:$C$452,B230)</f>
        <v>0</v>
      </c>
      <c r="G230" s="40" t="n">
        <v>3</v>
      </c>
      <c r="H230" s="40" t="n">
        <v>3</v>
      </c>
      <c r="I230" s="40" t="n">
        <v>2</v>
      </c>
      <c r="J230" s="40" t="n">
        <v>4</v>
      </c>
      <c r="K230" s="40" t="n">
        <v>3</v>
      </c>
      <c r="L230" s="40" t="n">
        <v>5</v>
      </c>
      <c r="M230" s="40" t="n">
        <v>4</v>
      </c>
      <c r="N230" s="40" t="n">
        <v>3</v>
      </c>
      <c r="O230" s="41" t="n">
        <f aca="false">ROUND(G230/5*$X$2+H230/5*$X$3+I230/5*$X$4+J230/5*$X$5+K230/5*$X$6+L230/5*$X$7+M230/5*$X$8-N230/5*$X$9,1)</f>
        <v>54</v>
      </c>
      <c r="P230" s="30" t="str">
        <f aca="false">IF(O230&gt;=$X$12,"Foundational deep pass",IF(O230&gt;=$X$13,"Major deep pass",IF(O230&gt;=$X$14,"Targeted innovation pass",IF(O230&gt;=$X$15,"Sampling pass","Reference / defer"))))</f>
        <v>Targeted innovation pass</v>
      </c>
      <c r="Q230" s="31" t="s">
        <v>14215</v>
      </c>
      <c r="R230" s="31" t="s">
        <v>14216</v>
      </c>
      <c r="S230" s="31" t="s">
        <v>14184</v>
      </c>
      <c r="T230" s="31" t="s">
        <v>9756</v>
      </c>
      <c r="U230" s="42" t="n">
        <v>46236</v>
      </c>
    </row>
    <row r="231" customFormat="false" ht="45.75" hidden="false" customHeight="true" outlineLevel="0" collapsed="false">
      <c r="A231" s="30" t="n">
        <v>225</v>
      </c>
      <c r="B231" s="30" t="s">
        <v>9822</v>
      </c>
      <c r="C231" s="31" t="s">
        <v>9823</v>
      </c>
      <c r="D231" s="31" t="s">
        <v>9818</v>
      </c>
      <c r="E231" s="31" t="s">
        <v>8343</v>
      </c>
      <c r="F231" s="30" t="n">
        <f aca="false">COUNTIF('Seed Catalogue'!$C$2:$C$452,B231)</f>
        <v>0</v>
      </c>
      <c r="G231" s="40" t="n">
        <v>3</v>
      </c>
      <c r="H231" s="40" t="n">
        <v>3</v>
      </c>
      <c r="I231" s="40" t="n">
        <v>2</v>
      </c>
      <c r="J231" s="40" t="n">
        <v>4</v>
      </c>
      <c r="K231" s="40" t="n">
        <v>3</v>
      </c>
      <c r="L231" s="40" t="n">
        <v>5</v>
      </c>
      <c r="M231" s="40" t="n">
        <v>4</v>
      </c>
      <c r="N231" s="40" t="n">
        <v>3</v>
      </c>
      <c r="O231" s="41" t="n">
        <f aca="false">ROUND(G231/5*$X$2+H231/5*$X$3+I231/5*$X$4+J231/5*$X$5+K231/5*$X$6+L231/5*$X$7+M231/5*$X$8-N231/5*$X$9,1)</f>
        <v>54</v>
      </c>
      <c r="P231" s="30" t="str">
        <f aca="false">IF(O231&gt;=$X$12,"Foundational deep pass",IF(O231&gt;=$X$13,"Major deep pass",IF(O231&gt;=$X$14,"Targeted innovation pass",IF(O231&gt;=$X$15,"Sampling pass","Reference / defer"))))</f>
        <v>Targeted innovation pass</v>
      </c>
      <c r="Q231" s="31" t="s">
        <v>14215</v>
      </c>
      <c r="R231" s="31" t="s">
        <v>14216</v>
      </c>
      <c r="S231" s="31" t="s">
        <v>14184</v>
      </c>
      <c r="T231" s="31" t="s">
        <v>9825</v>
      </c>
      <c r="U231" s="42" t="n">
        <v>46236</v>
      </c>
    </row>
    <row r="232" customFormat="false" ht="45.75" hidden="false" customHeight="true" outlineLevel="0" collapsed="false">
      <c r="A232" s="30" t="n">
        <v>226</v>
      </c>
      <c r="B232" s="30" t="s">
        <v>9710</v>
      </c>
      <c r="C232" s="31" t="s">
        <v>9711</v>
      </c>
      <c r="D232" s="31" t="s">
        <v>9713</v>
      </c>
      <c r="E232" s="31" t="s">
        <v>8943</v>
      </c>
      <c r="F232" s="30" t="n">
        <f aca="false">COUNTIF('Seed Catalogue'!$C$2:$C$452,B232)</f>
        <v>0</v>
      </c>
      <c r="G232" s="40" t="n">
        <v>3</v>
      </c>
      <c r="H232" s="40" t="n">
        <v>3</v>
      </c>
      <c r="I232" s="40" t="n">
        <v>2</v>
      </c>
      <c r="J232" s="40" t="n">
        <v>4</v>
      </c>
      <c r="K232" s="40" t="n">
        <v>3</v>
      </c>
      <c r="L232" s="40" t="n">
        <v>5</v>
      </c>
      <c r="M232" s="40" t="n">
        <v>4</v>
      </c>
      <c r="N232" s="40" t="n">
        <v>3</v>
      </c>
      <c r="O232" s="41" t="n">
        <f aca="false">ROUND(G232/5*$X$2+H232/5*$X$3+I232/5*$X$4+J232/5*$X$5+K232/5*$X$6+L232/5*$X$7+M232/5*$X$8-N232/5*$X$9,1)</f>
        <v>54</v>
      </c>
      <c r="P232" s="30" t="str">
        <f aca="false">IF(O232&gt;=$X$12,"Foundational deep pass",IF(O232&gt;=$X$13,"Major deep pass",IF(O232&gt;=$X$14,"Targeted innovation pass",IF(O232&gt;=$X$15,"Sampling pass","Reference / defer"))))</f>
        <v>Targeted innovation pass</v>
      </c>
      <c r="Q232" s="31" t="s">
        <v>14215</v>
      </c>
      <c r="R232" s="31" t="s">
        <v>14216</v>
      </c>
      <c r="S232" s="31" t="s">
        <v>14184</v>
      </c>
      <c r="T232" s="31" t="s">
        <v>9715</v>
      </c>
      <c r="U232" s="42" t="n">
        <v>46236</v>
      </c>
    </row>
    <row r="233" customFormat="false" ht="45.75" hidden="false" customHeight="true" outlineLevel="0" collapsed="false">
      <c r="A233" s="30" t="n">
        <v>227</v>
      </c>
      <c r="B233" s="30" t="s">
        <v>9722</v>
      </c>
      <c r="C233" s="31" t="s">
        <v>9723</v>
      </c>
      <c r="D233" s="31" t="s">
        <v>9713</v>
      </c>
      <c r="E233" s="31" t="s">
        <v>8943</v>
      </c>
      <c r="F233" s="30" t="n">
        <f aca="false">COUNTIF('Seed Catalogue'!$C$2:$C$452,B233)</f>
        <v>0</v>
      </c>
      <c r="G233" s="40" t="n">
        <v>3</v>
      </c>
      <c r="H233" s="40" t="n">
        <v>3</v>
      </c>
      <c r="I233" s="40" t="n">
        <v>2</v>
      </c>
      <c r="J233" s="40" t="n">
        <v>4</v>
      </c>
      <c r="K233" s="40" t="n">
        <v>3</v>
      </c>
      <c r="L233" s="40" t="n">
        <v>5</v>
      </c>
      <c r="M233" s="40" t="n">
        <v>4</v>
      </c>
      <c r="N233" s="40" t="n">
        <v>3</v>
      </c>
      <c r="O233" s="41" t="n">
        <f aca="false">ROUND(G233/5*$X$2+H233/5*$X$3+I233/5*$X$4+J233/5*$X$5+K233/5*$X$6+L233/5*$X$7+M233/5*$X$8-N233/5*$X$9,1)</f>
        <v>54</v>
      </c>
      <c r="P233" s="30" t="str">
        <f aca="false">IF(O233&gt;=$X$12,"Foundational deep pass",IF(O233&gt;=$X$13,"Major deep pass",IF(O233&gt;=$X$14,"Targeted innovation pass",IF(O233&gt;=$X$15,"Sampling pass","Reference / defer"))))</f>
        <v>Targeted innovation pass</v>
      </c>
      <c r="Q233" s="31" t="s">
        <v>14215</v>
      </c>
      <c r="R233" s="31" t="s">
        <v>14216</v>
      </c>
      <c r="S233" s="31" t="s">
        <v>14184</v>
      </c>
      <c r="T233" s="31" t="s">
        <v>9728</v>
      </c>
      <c r="U233" s="42" t="n">
        <v>46236</v>
      </c>
    </row>
    <row r="234" customFormat="false" ht="45.75" hidden="false" customHeight="true" outlineLevel="0" collapsed="false">
      <c r="A234" s="30" t="n">
        <v>228</v>
      </c>
      <c r="B234" s="30" t="s">
        <v>9795</v>
      </c>
      <c r="C234" s="31" t="s">
        <v>9796</v>
      </c>
      <c r="D234" s="31" t="s">
        <v>9773</v>
      </c>
      <c r="E234" s="31" t="s">
        <v>8343</v>
      </c>
      <c r="F234" s="30" t="n">
        <f aca="false">COUNTIF('Seed Catalogue'!$C$2:$C$452,B234)</f>
        <v>0</v>
      </c>
      <c r="G234" s="40" t="n">
        <v>3</v>
      </c>
      <c r="H234" s="40" t="n">
        <v>3</v>
      </c>
      <c r="I234" s="40" t="n">
        <v>2</v>
      </c>
      <c r="J234" s="40" t="n">
        <v>4</v>
      </c>
      <c r="K234" s="40" t="n">
        <v>3</v>
      </c>
      <c r="L234" s="40" t="n">
        <v>5</v>
      </c>
      <c r="M234" s="40" t="n">
        <v>4</v>
      </c>
      <c r="N234" s="40" t="n">
        <v>3</v>
      </c>
      <c r="O234" s="41" t="n">
        <f aca="false">ROUND(G234/5*$X$2+H234/5*$X$3+I234/5*$X$4+J234/5*$X$5+K234/5*$X$6+L234/5*$X$7+M234/5*$X$8-N234/5*$X$9,1)</f>
        <v>54</v>
      </c>
      <c r="P234" s="30" t="str">
        <f aca="false">IF(O234&gt;=$X$12,"Foundational deep pass",IF(O234&gt;=$X$13,"Major deep pass",IF(O234&gt;=$X$14,"Targeted innovation pass",IF(O234&gt;=$X$15,"Sampling pass","Reference / defer"))))</f>
        <v>Targeted innovation pass</v>
      </c>
      <c r="Q234" s="31" t="s">
        <v>14215</v>
      </c>
      <c r="R234" s="31" t="s">
        <v>14216</v>
      </c>
      <c r="S234" s="31" t="s">
        <v>14184</v>
      </c>
      <c r="T234" s="31" t="s">
        <v>9800</v>
      </c>
      <c r="U234" s="42" t="n">
        <v>46236</v>
      </c>
    </row>
    <row r="235" customFormat="false" ht="45.75" hidden="false" customHeight="true" outlineLevel="0" collapsed="false">
      <c r="A235" s="30" t="n">
        <v>229</v>
      </c>
      <c r="B235" s="30" t="s">
        <v>9673</v>
      </c>
      <c r="C235" s="31" t="s">
        <v>9674</v>
      </c>
      <c r="D235" s="31" t="s">
        <v>9676</v>
      </c>
      <c r="E235" s="31" t="s">
        <v>8205</v>
      </c>
      <c r="F235" s="30" t="n">
        <f aca="false">COUNTIF('Seed Catalogue'!$C$2:$C$452,B235)</f>
        <v>0</v>
      </c>
      <c r="G235" s="40" t="n">
        <v>3</v>
      </c>
      <c r="H235" s="40" t="n">
        <v>3</v>
      </c>
      <c r="I235" s="40" t="n">
        <v>2</v>
      </c>
      <c r="J235" s="40" t="n">
        <v>4</v>
      </c>
      <c r="K235" s="40" t="n">
        <v>3</v>
      </c>
      <c r="L235" s="40" t="n">
        <v>5</v>
      </c>
      <c r="M235" s="40" t="n">
        <v>4</v>
      </c>
      <c r="N235" s="40" t="n">
        <v>3</v>
      </c>
      <c r="O235" s="41" t="n">
        <f aca="false">ROUND(G235/5*$X$2+H235/5*$X$3+I235/5*$X$4+J235/5*$X$5+K235/5*$X$6+L235/5*$X$7+M235/5*$X$8-N235/5*$X$9,1)</f>
        <v>54</v>
      </c>
      <c r="P235" s="30" t="str">
        <f aca="false">IF(O235&gt;=$X$12,"Foundational deep pass",IF(O235&gt;=$X$13,"Major deep pass",IF(O235&gt;=$X$14,"Targeted innovation pass",IF(O235&gt;=$X$15,"Sampling pass","Reference / defer"))))</f>
        <v>Targeted innovation pass</v>
      </c>
      <c r="Q235" s="31" t="s">
        <v>14215</v>
      </c>
      <c r="R235" s="31" t="s">
        <v>14216</v>
      </c>
      <c r="S235" s="31" t="s">
        <v>14184</v>
      </c>
      <c r="T235" s="31" t="s">
        <v>9680</v>
      </c>
      <c r="U235" s="42" t="n">
        <v>46236</v>
      </c>
    </row>
    <row r="236" customFormat="false" ht="45.75" hidden="false" customHeight="true" outlineLevel="0" collapsed="false">
      <c r="A236" s="30" t="n">
        <v>230</v>
      </c>
      <c r="B236" s="30" t="s">
        <v>9856</v>
      </c>
      <c r="C236" s="31" t="s">
        <v>9857</v>
      </c>
      <c r="D236" s="31" t="s">
        <v>9773</v>
      </c>
      <c r="E236" s="31" t="s">
        <v>8343</v>
      </c>
      <c r="F236" s="30" t="n">
        <f aca="false">COUNTIF('Seed Catalogue'!$C$2:$C$452,B236)</f>
        <v>0</v>
      </c>
      <c r="G236" s="40" t="n">
        <v>3</v>
      </c>
      <c r="H236" s="40" t="n">
        <v>3</v>
      </c>
      <c r="I236" s="40" t="n">
        <v>2</v>
      </c>
      <c r="J236" s="40" t="n">
        <v>4</v>
      </c>
      <c r="K236" s="40" t="n">
        <v>3</v>
      </c>
      <c r="L236" s="40" t="n">
        <v>5</v>
      </c>
      <c r="M236" s="40" t="n">
        <v>4</v>
      </c>
      <c r="N236" s="40" t="n">
        <v>3</v>
      </c>
      <c r="O236" s="41" t="n">
        <f aca="false">ROUND(G236/5*$X$2+H236/5*$X$3+I236/5*$X$4+J236/5*$X$5+K236/5*$X$6+L236/5*$X$7+M236/5*$X$8-N236/5*$X$9,1)</f>
        <v>54</v>
      </c>
      <c r="P236" s="30" t="str">
        <f aca="false">IF(O236&gt;=$X$12,"Foundational deep pass",IF(O236&gt;=$X$13,"Major deep pass",IF(O236&gt;=$X$14,"Targeted innovation pass",IF(O236&gt;=$X$15,"Sampling pass","Reference / defer"))))</f>
        <v>Targeted innovation pass</v>
      </c>
      <c r="Q236" s="31" t="s">
        <v>14215</v>
      </c>
      <c r="R236" s="31" t="s">
        <v>14216</v>
      </c>
      <c r="S236" s="31" t="s">
        <v>14184</v>
      </c>
      <c r="T236" s="31" t="s">
        <v>9861</v>
      </c>
      <c r="U236" s="42" t="n">
        <v>46236</v>
      </c>
    </row>
    <row r="237" customFormat="false" ht="45.75" hidden="false" customHeight="true" outlineLevel="0" collapsed="false">
      <c r="A237" s="30" t="n">
        <v>231</v>
      </c>
      <c r="B237" s="30" t="s">
        <v>9729</v>
      </c>
      <c r="C237" s="31" t="s">
        <v>9730</v>
      </c>
      <c r="D237" s="31" t="s">
        <v>9713</v>
      </c>
      <c r="E237" s="31" t="s">
        <v>9732</v>
      </c>
      <c r="F237" s="30" t="n">
        <f aca="false">COUNTIF('Seed Catalogue'!$C$2:$C$452,B237)</f>
        <v>0</v>
      </c>
      <c r="G237" s="40" t="n">
        <v>3</v>
      </c>
      <c r="H237" s="40" t="n">
        <v>3</v>
      </c>
      <c r="I237" s="40" t="n">
        <v>2</v>
      </c>
      <c r="J237" s="40" t="n">
        <v>4</v>
      </c>
      <c r="K237" s="40" t="n">
        <v>3</v>
      </c>
      <c r="L237" s="40" t="n">
        <v>5</v>
      </c>
      <c r="M237" s="40" t="n">
        <v>4</v>
      </c>
      <c r="N237" s="40" t="n">
        <v>3</v>
      </c>
      <c r="O237" s="41" t="n">
        <f aca="false">ROUND(G237/5*$X$2+H237/5*$X$3+I237/5*$X$4+J237/5*$X$5+K237/5*$X$6+L237/5*$X$7+M237/5*$X$8-N237/5*$X$9,1)</f>
        <v>54</v>
      </c>
      <c r="P237" s="30" t="str">
        <f aca="false">IF(O237&gt;=$X$12,"Foundational deep pass",IF(O237&gt;=$X$13,"Major deep pass",IF(O237&gt;=$X$14,"Targeted innovation pass",IF(O237&gt;=$X$15,"Sampling pass","Reference / defer"))))</f>
        <v>Targeted innovation pass</v>
      </c>
      <c r="Q237" s="31" t="s">
        <v>14215</v>
      </c>
      <c r="R237" s="31" t="s">
        <v>14216</v>
      </c>
      <c r="S237" s="31" t="s">
        <v>14184</v>
      </c>
      <c r="T237" s="31" t="s">
        <v>9735</v>
      </c>
      <c r="U237" s="42" t="n">
        <v>46236</v>
      </c>
    </row>
    <row r="238" customFormat="false" ht="45.75" hidden="false" customHeight="true" outlineLevel="0" collapsed="false">
      <c r="A238" s="30" t="n">
        <v>232</v>
      </c>
      <c r="B238" s="30" t="s">
        <v>9790</v>
      </c>
      <c r="C238" s="31" t="s">
        <v>9791</v>
      </c>
      <c r="D238" s="31" t="s">
        <v>9773</v>
      </c>
      <c r="E238" s="31" t="s">
        <v>8343</v>
      </c>
      <c r="F238" s="30" t="n">
        <f aca="false">COUNTIF('Seed Catalogue'!$C$2:$C$452,B238)</f>
        <v>0</v>
      </c>
      <c r="G238" s="40" t="n">
        <v>3</v>
      </c>
      <c r="H238" s="40" t="n">
        <v>3</v>
      </c>
      <c r="I238" s="40" t="n">
        <v>2</v>
      </c>
      <c r="J238" s="40" t="n">
        <v>4</v>
      </c>
      <c r="K238" s="40" t="n">
        <v>3</v>
      </c>
      <c r="L238" s="40" t="n">
        <v>5</v>
      </c>
      <c r="M238" s="40" t="n">
        <v>4</v>
      </c>
      <c r="N238" s="40" t="n">
        <v>3</v>
      </c>
      <c r="O238" s="41" t="n">
        <f aca="false">ROUND(G238/5*$X$2+H238/5*$X$3+I238/5*$X$4+J238/5*$X$5+K238/5*$X$6+L238/5*$X$7+M238/5*$X$8-N238/5*$X$9,1)</f>
        <v>54</v>
      </c>
      <c r="P238" s="30" t="str">
        <f aca="false">IF(O238&gt;=$X$12,"Foundational deep pass",IF(O238&gt;=$X$13,"Major deep pass",IF(O238&gt;=$X$14,"Targeted innovation pass",IF(O238&gt;=$X$15,"Sampling pass","Reference / defer"))))</f>
        <v>Targeted innovation pass</v>
      </c>
      <c r="Q238" s="31" t="s">
        <v>14215</v>
      </c>
      <c r="R238" s="31" t="s">
        <v>14216</v>
      </c>
      <c r="S238" s="31" t="s">
        <v>14184</v>
      </c>
      <c r="T238" s="31" t="s">
        <v>9794</v>
      </c>
      <c r="U238" s="42" t="n">
        <v>46236</v>
      </c>
    </row>
    <row r="239" customFormat="false" ht="45.75" hidden="false" customHeight="true" outlineLevel="0" collapsed="false">
      <c r="A239" s="30" t="n">
        <v>233</v>
      </c>
      <c r="B239" s="30" t="s">
        <v>9833</v>
      </c>
      <c r="C239" s="31" t="s">
        <v>9834</v>
      </c>
      <c r="D239" s="31" t="s">
        <v>9818</v>
      </c>
      <c r="E239" s="31" t="s">
        <v>9836</v>
      </c>
      <c r="F239" s="30" t="n">
        <f aca="false">COUNTIF('Seed Catalogue'!$C$2:$C$452,B239)</f>
        <v>0</v>
      </c>
      <c r="G239" s="40" t="n">
        <v>3</v>
      </c>
      <c r="H239" s="40" t="n">
        <v>3</v>
      </c>
      <c r="I239" s="40" t="n">
        <v>2</v>
      </c>
      <c r="J239" s="40" t="n">
        <v>4</v>
      </c>
      <c r="K239" s="40" t="n">
        <v>3</v>
      </c>
      <c r="L239" s="40" t="n">
        <v>5</v>
      </c>
      <c r="M239" s="40" t="n">
        <v>4</v>
      </c>
      <c r="N239" s="40" t="n">
        <v>3</v>
      </c>
      <c r="O239" s="41" t="n">
        <f aca="false">ROUND(G239/5*$X$2+H239/5*$X$3+I239/5*$X$4+J239/5*$X$5+K239/5*$X$6+L239/5*$X$7+M239/5*$X$8-N239/5*$X$9,1)</f>
        <v>54</v>
      </c>
      <c r="P239" s="30" t="str">
        <f aca="false">IF(O239&gt;=$X$12,"Foundational deep pass",IF(O239&gt;=$X$13,"Major deep pass",IF(O239&gt;=$X$14,"Targeted innovation pass",IF(O239&gt;=$X$15,"Sampling pass","Reference / defer"))))</f>
        <v>Targeted innovation pass</v>
      </c>
      <c r="Q239" s="31" t="s">
        <v>14215</v>
      </c>
      <c r="R239" s="31" t="s">
        <v>14216</v>
      </c>
      <c r="S239" s="31" t="s">
        <v>14184</v>
      </c>
      <c r="T239" s="31" t="s">
        <v>9839</v>
      </c>
      <c r="U239" s="42" t="n">
        <v>46236</v>
      </c>
    </row>
    <row r="240" customFormat="false" ht="45.75" hidden="false" customHeight="true" outlineLevel="0" collapsed="false">
      <c r="A240" s="30" t="n">
        <v>234</v>
      </c>
      <c r="B240" s="30" t="s">
        <v>9846</v>
      </c>
      <c r="C240" s="31" t="s">
        <v>9847</v>
      </c>
      <c r="D240" s="31" t="s">
        <v>9818</v>
      </c>
      <c r="E240" s="31" t="s">
        <v>8343</v>
      </c>
      <c r="F240" s="30" t="n">
        <f aca="false">COUNTIF('Seed Catalogue'!$C$2:$C$452,B240)</f>
        <v>0</v>
      </c>
      <c r="G240" s="40" t="n">
        <v>3</v>
      </c>
      <c r="H240" s="40" t="n">
        <v>3</v>
      </c>
      <c r="I240" s="40" t="n">
        <v>2</v>
      </c>
      <c r="J240" s="40" t="n">
        <v>4</v>
      </c>
      <c r="K240" s="40" t="n">
        <v>3</v>
      </c>
      <c r="L240" s="40" t="n">
        <v>5</v>
      </c>
      <c r="M240" s="40" t="n">
        <v>4</v>
      </c>
      <c r="N240" s="40" t="n">
        <v>3</v>
      </c>
      <c r="O240" s="41" t="n">
        <f aca="false">ROUND(G240/5*$X$2+H240/5*$X$3+I240/5*$X$4+J240/5*$X$5+K240/5*$X$6+L240/5*$X$7+M240/5*$X$8-N240/5*$X$9,1)</f>
        <v>54</v>
      </c>
      <c r="P240" s="30" t="str">
        <f aca="false">IF(O240&gt;=$X$12,"Foundational deep pass",IF(O240&gt;=$X$13,"Major deep pass",IF(O240&gt;=$X$14,"Targeted innovation pass",IF(O240&gt;=$X$15,"Sampling pass","Reference / defer"))))</f>
        <v>Targeted innovation pass</v>
      </c>
      <c r="Q240" s="31" t="s">
        <v>14215</v>
      </c>
      <c r="R240" s="31" t="s">
        <v>14216</v>
      </c>
      <c r="S240" s="31" t="s">
        <v>14184</v>
      </c>
      <c r="T240" s="31" t="s">
        <v>9850</v>
      </c>
      <c r="U240" s="42" t="n">
        <v>46236</v>
      </c>
    </row>
    <row r="241" customFormat="false" ht="45.75" hidden="false" customHeight="true" outlineLevel="0" collapsed="false">
      <c r="A241" s="30" t="n">
        <v>235</v>
      </c>
      <c r="B241" s="30" t="s">
        <v>9840</v>
      </c>
      <c r="C241" s="31" t="s">
        <v>9841</v>
      </c>
      <c r="D241" s="31" t="s">
        <v>9818</v>
      </c>
      <c r="E241" s="31" t="s">
        <v>9843</v>
      </c>
      <c r="F241" s="30" t="n">
        <f aca="false">COUNTIF('Seed Catalogue'!$C$2:$C$452,B241)</f>
        <v>0</v>
      </c>
      <c r="G241" s="40" t="n">
        <v>3</v>
      </c>
      <c r="H241" s="40" t="n">
        <v>3</v>
      </c>
      <c r="I241" s="40" t="n">
        <v>2</v>
      </c>
      <c r="J241" s="40" t="n">
        <v>4</v>
      </c>
      <c r="K241" s="40" t="n">
        <v>3</v>
      </c>
      <c r="L241" s="40" t="n">
        <v>5</v>
      </c>
      <c r="M241" s="40" t="n">
        <v>4</v>
      </c>
      <c r="N241" s="40" t="n">
        <v>3</v>
      </c>
      <c r="O241" s="41" t="n">
        <f aca="false">ROUND(G241/5*$X$2+H241/5*$X$3+I241/5*$X$4+J241/5*$X$5+K241/5*$X$6+L241/5*$X$7+M241/5*$X$8-N241/5*$X$9,1)</f>
        <v>54</v>
      </c>
      <c r="P241" s="30" t="str">
        <f aca="false">IF(O241&gt;=$X$12,"Foundational deep pass",IF(O241&gt;=$X$13,"Major deep pass",IF(O241&gt;=$X$14,"Targeted innovation pass",IF(O241&gt;=$X$15,"Sampling pass","Reference / defer"))))</f>
        <v>Targeted innovation pass</v>
      </c>
      <c r="Q241" s="31" t="s">
        <v>14215</v>
      </c>
      <c r="R241" s="31" t="s">
        <v>14216</v>
      </c>
      <c r="S241" s="31" t="s">
        <v>14184</v>
      </c>
      <c r="T241" s="31" t="s">
        <v>9845</v>
      </c>
      <c r="U241" s="42" t="n">
        <v>46236</v>
      </c>
    </row>
    <row r="242" customFormat="false" ht="45.75" hidden="false" customHeight="true" outlineLevel="0" collapsed="false">
      <c r="A242" s="30" t="n">
        <v>236</v>
      </c>
      <c r="B242" s="30" t="s">
        <v>9716</v>
      </c>
      <c r="C242" s="31" t="s">
        <v>9717</v>
      </c>
      <c r="D242" s="31" t="s">
        <v>9705</v>
      </c>
      <c r="E242" s="31" t="s">
        <v>8343</v>
      </c>
      <c r="F242" s="30" t="n">
        <f aca="false">COUNTIF('Seed Catalogue'!$C$2:$C$452,B242)</f>
        <v>0</v>
      </c>
      <c r="G242" s="40" t="n">
        <v>3</v>
      </c>
      <c r="H242" s="40" t="n">
        <v>3</v>
      </c>
      <c r="I242" s="40" t="n">
        <v>2</v>
      </c>
      <c r="J242" s="40" t="n">
        <v>4</v>
      </c>
      <c r="K242" s="40" t="n">
        <v>3</v>
      </c>
      <c r="L242" s="40" t="n">
        <v>5</v>
      </c>
      <c r="M242" s="40" t="n">
        <v>4</v>
      </c>
      <c r="N242" s="40" t="n">
        <v>3</v>
      </c>
      <c r="O242" s="41" t="n">
        <f aca="false">ROUND(G242/5*$X$2+H242/5*$X$3+I242/5*$X$4+J242/5*$X$5+K242/5*$X$6+L242/5*$X$7+M242/5*$X$8-N242/5*$X$9,1)</f>
        <v>54</v>
      </c>
      <c r="P242" s="30" t="str">
        <f aca="false">IF(O242&gt;=$X$12,"Foundational deep pass",IF(O242&gt;=$X$13,"Major deep pass",IF(O242&gt;=$X$14,"Targeted innovation pass",IF(O242&gt;=$X$15,"Sampling pass","Reference / defer"))))</f>
        <v>Targeted innovation pass</v>
      </c>
      <c r="Q242" s="31" t="s">
        <v>14215</v>
      </c>
      <c r="R242" s="31" t="s">
        <v>14216</v>
      </c>
      <c r="S242" s="31" t="s">
        <v>14184</v>
      </c>
      <c r="T242" s="31" t="s">
        <v>9721</v>
      </c>
      <c r="U242" s="42" t="n">
        <v>46236</v>
      </c>
    </row>
    <row r="243" customFormat="false" ht="45.75" hidden="false" customHeight="true" outlineLevel="0" collapsed="false">
      <c r="A243" s="30" t="n">
        <v>237</v>
      </c>
      <c r="B243" s="30" t="s">
        <v>9868</v>
      </c>
      <c r="C243" s="31" t="s">
        <v>9869</v>
      </c>
      <c r="D243" s="31" t="s">
        <v>9818</v>
      </c>
      <c r="E243" s="31" t="s">
        <v>9836</v>
      </c>
      <c r="F243" s="30" t="n">
        <f aca="false">COUNTIF('Seed Catalogue'!$C$2:$C$452,B243)</f>
        <v>0</v>
      </c>
      <c r="G243" s="40" t="n">
        <v>3</v>
      </c>
      <c r="H243" s="40" t="n">
        <v>3</v>
      </c>
      <c r="I243" s="40" t="n">
        <v>2</v>
      </c>
      <c r="J243" s="40" t="n">
        <v>4</v>
      </c>
      <c r="K243" s="40" t="n">
        <v>3</v>
      </c>
      <c r="L243" s="40" t="n">
        <v>5</v>
      </c>
      <c r="M243" s="40" t="n">
        <v>4</v>
      </c>
      <c r="N243" s="40" t="n">
        <v>3</v>
      </c>
      <c r="O243" s="41" t="n">
        <f aca="false">ROUND(G243/5*$X$2+H243/5*$X$3+I243/5*$X$4+J243/5*$X$5+K243/5*$X$6+L243/5*$X$7+M243/5*$X$8-N243/5*$X$9,1)</f>
        <v>54</v>
      </c>
      <c r="P243" s="30" t="str">
        <f aca="false">IF(O243&gt;=$X$12,"Foundational deep pass",IF(O243&gt;=$X$13,"Major deep pass",IF(O243&gt;=$X$14,"Targeted innovation pass",IF(O243&gt;=$X$15,"Sampling pass","Reference / defer"))))</f>
        <v>Targeted innovation pass</v>
      </c>
      <c r="Q243" s="31" t="s">
        <v>14215</v>
      </c>
      <c r="R243" s="31" t="s">
        <v>14216</v>
      </c>
      <c r="S243" s="31" t="s">
        <v>14184</v>
      </c>
      <c r="T243" s="31" t="s">
        <v>9872</v>
      </c>
      <c r="U243" s="42" t="n">
        <v>46236</v>
      </c>
    </row>
    <row r="244" customFormat="false" ht="45.75" hidden="false" customHeight="true" outlineLevel="0" collapsed="false">
      <c r="A244" s="30" t="n">
        <v>238</v>
      </c>
      <c r="B244" s="30" t="s">
        <v>9372</v>
      </c>
      <c r="C244" s="31" t="s">
        <v>9373</v>
      </c>
      <c r="D244" s="31" t="s">
        <v>8984</v>
      </c>
      <c r="E244" s="31" t="s">
        <v>8860</v>
      </c>
      <c r="F244" s="30" t="n">
        <f aca="false">COUNTIF('Seed Catalogue'!$C$2:$C$452,B244)</f>
        <v>0</v>
      </c>
      <c r="G244" s="40" t="n">
        <v>3</v>
      </c>
      <c r="H244" s="40" t="n">
        <v>3</v>
      </c>
      <c r="I244" s="40" t="n">
        <v>2</v>
      </c>
      <c r="J244" s="40" t="n">
        <v>4</v>
      </c>
      <c r="K244" s="40" t="n">
        <v>3</v>
      </c>
      <c r="L244" s="40" t="n">
        <v>4</v>
      </c>
      <c r="M244" s="40" t="n">
        <v>4</v>
      </c>
      <c r="N244" s="40" t="n">
        <v>3</v>
      </c>
      <c r="O244" s="41" t="n">
        <f aca="false">ROUND(G244/5*$X$2+H244/5*$X$3+I244/5*$X$4+J244/5*$X$5+K244/5*$X$6+L244/5*$X$7+M244/5*$X$8-N244/5*$X$9,1)</f>
        <v>52</v>
      </c>
      <c r="P244" s="30" t="str">
        <f aca="false">IF(O244&gt;=$X$12,"Foundational deep pass",IF(O244&gt;=$X$13,"Major deep pass",IF(O244&gt;=$X$14,"Targeted innovation pass",IF(O244&gt;=$X$15,"Sampling pass","Reference / defer"))))</f>
        <v>Targeted innovation pass</v>
      </c>
      <c r="Q244" s="31" t="s">
        <v>14219</v>
      </c>
      <c r="R244" s="31" t="s">
        <v>14220</v>
      </c>
      <c r="S244" s="31" t="s">
        <v>14184</v>
      </c>
      <c r="T244" s="31" t="s">
        <v>9377</v>
      </c>
      <c r="U244" s="42" t="n">
        <v>46236</v>
      </c>
    </row>
    <row r="245" customFormat="false" ht="45.75" hidden="false" customHeight="true" outlineLevel="0" collapsed="false">
      <c r="A245" s="30" t="n">
        <v>239</v>
      </c>
      <c r="B245" s="30" t="s">
        <v>9233</v>
      </c>
      <c r="C245" s="31" t="s">
        <v>9234</v>
      </c>
      <c r="D245" s="31" t="s">
        <v>9013</v>
      </c>
      <c r="E245" s="31" t="s">
        <v>8592</v>
      </c>
      <c r="F245" s="30" t="n">
        <f aca="false">COUNTIF('Seed Catalogue'!$C$2:$C$452,B245)</f>
        <v>0</v>
      </c>
      <c r="G245" s="40" t="n">
        <v>3</v>
      </c>
      <c r="H245" s="40" t="n">
        <v>3</v>
      </c>
      <c r="I245" s="40" t="n">
        <v>2</v>
      </c>
      <c r="J245" s="40" t="n">
        <v>4</v>
      </c>
      <c r="K245" s="40" t="n">
        <v>3</v>
      </c>
      <c r="L245" s="40" t="n">
        <v>4</v>
      </c>
      <c r="M245" s="40" t="n">
        <v>4</v>
      </c>
      <c r="N245" s="40" t="n">
        <v>3</v>
      </c>
      <c r="O245" s="41" t="n">
        <f aca="false">ROUND(G245/5*$X$2+H245/5*$X$3+I245/5*$X$4+J245/5*$X$5+K245/5*$X$6+L245/5*$X$7+M245/5*$X$8-N245/5*$X$9,1)</f>
        <v>52</v>
      </c>
      <c r="P245" s="30" t="str">
        <f aca="false">IF(O245&gt;=$X$12,"Foundational deep pass",IF(O245&gt;=$X$13,"Major deep pass",IF(O245&gt;=$X$14,"Targeted innovation pass",IF(O245&gt;=$X$15,"Sampling pass","Reference / defer"))))</f>
        <v>Targeted innovation pass</v>
      </c>
      <c r="Q245" s="31" t="s">
        <v>14219</v>
      </c>
      <c r="R245" s="31" t="s">
        <v>14220</v>
      </c>
      <c r="S245" s="31" t="s">
        <v>14184</v>
      </c>
      <c r="T245" s="31" t="s">
        <v>9238</v>
      </c>
      <c r="U245" s="42" t="n">
        <v>46236</v>
      </c>
    </row>
    <row r="246" customFormat="false" ht="45.75" hidden="false" customHeight="true" outlineLevel="0" collapsed="false">
      <c r="A246" s="30" t="n">
        <v>240</v>
      </c>
      <c r="B246" s="30" t="s">
        <v>9134</v>
      </c>
      <c r="C246" s="31" t="s">
        <v>9135</v>
      </c>
      <c r="D246" s="31" t="s">
        <v>9130</v>
      </c>
      <c r="E246" s="31" t="s">
        <v>8226</v>
      </c>
      <c r="F246" s="30" t="n">
        <f aca="false">COUNTIF('Seed Catalogue'!$C$2:$C$452,B246)</f>
        <v>0</v>
      </c>
      <c r="G246" s="40" t="n">
        <v>3</v>
      </c>
      <c r="H246" s="40" t="n">
        <v>3</v>
      </c>
      <c r="I246" s="40" t="n">
        <v>2</v>
      </c>
      <c r="J246" s="40" t="n">
        <v>4</v>
      </c>
      <c r="K246" s="40" t="n">
        <v>3</v>
      </c>
      <c r="L246" s="40" t="n">
        <v>4</v>
      </c>
      <c r="M246" s="40" t="n">
        <v>4</v>
      </c>
      <c r="N246" s="40" t="n">
        <v>3</v>
      </c>
      <c r="O246" s="41" t="n">
        <f aca="false">ROUND(G246/5*$X$2+H246/5*$X$3+I246/5*$X$4+J246/5*$X$5+K246/5*$X$6+L246/5*$X$7+M246/5*$X$8-N246/5*$X$9,1)</f>
        <v>52</v>
      </c>
      <c r="P246" s="30" t="str">
        <f aca="false">IF(O246&gt;=$X$12,"Foundational deep pass",IF(O246&gt;=$X$13,"Major deep pass",IF(O246&gt;=$X$14,"Targeted innovation pass",IF(O246&gt;=$X$15,"Sampling pass","Reference / defer"))))</f>
        <v>Targeted innovation pass</v>
      </c>
      <c r="Q246" s="31" t="s">
        <v>14219</v>
      </c>
      <c r="R246" s="31" t="s">
        <v>14220</v>
      </c>
      <c r="S246" s="31" t="s">
        <v>14184</v>
      </c>
      <c r="T246" s="31" t="s">
        <v>9138</v>
      </c>
      <c r="U246" s="42" t="n">
        <v>46236</v>
      </c>
    </row>
    <row r="247" customFormat="false" ht="45.75" hidden="false" customHeight="true" outlineLevel="0" collapsed="false">
      <c r="A247" s="30" t="n">
        <v>241</v>
      </c>
      <c r="B247" s="30" t="s">
        <v>9276</v>
      </c>
      <c r="C247" s="31" t="s">
        <v>9277</v>
      </c>
      <c r="D247" s="31" t="s">
        <v>9000</v>
      </c>
      <c r="E247" s="31" t="s">
        <v>8226</v>
      </c>
      <c r="F247" s="30" t="n">
        <f aca="false">COUNTIF('Seed Catalogue'!$C$2:$C$452,B247)</f>
        <v>0</v>
      </c>
      <c r="G247" s="40" t="n">
        <v>3</v>
      </c>
      <c r="H247" s="40" t="n">
        <v>3</v>
      </c>
      <c r="I247" s="40" t="n">
        <v>2</v>
      </c>
      <c r="J247" s="40" t="n">
        <v>4</v>
      </c>
      <c r="K247" s="40" t="n">
        <v>3</v>
      </c>
      <c r="L247" s="40" t="n">
        <v>4</v>
      </c>
      <c r="M247" s="40" t="n">
        <v>4</v>
      </c>
      <c r="N247" s="40" t="n">
        <v>3</v>
      </c>
      <c r="O247" s="41" t="n">
        <f aca="false">ROUND(G247/5*$X$2+H247/5*$X$3+I247/5*$X$4+J247/5*$X$5+K247/5*$X$6+L247/5*$X$7+M247/5*$X$8-N247/5*$X$9,1)</f>
        <v>52</v>
      </c>
      <c r="P247" s="30" t="str">
        <f aca="false">IF(O247&gt;=$X$12,"Foundational deep pass",IF(O247&gt;=$X$13,"Major deep pass",IF(O247&gt;=$X$14,"Targeted innovation pass",IF(O247&gt;=$X$15,"Sampling pass","Reference / defer"))))</f>
        <v>Targeted innovation pass</v>
      </c>
      <c r="Q247" s="31" t="s">
        <v>14219</v>
      </c>
      <c r="R247" s="31" t="s">
        <v>14220</v>
      </c>
      <c r="S247" s="31" t="s">
        <v>14184</v>
      </c>
      <c r="T247" s="31" t="s">
        <v>9280</v>
      </c>
      <c r="U247" s="42" t="n">
        <v>46236</v>
      </c>
    </row>
    <row r="248" customFormat="false" ht="45.75" hidden="false" customHeight="true" outlineLevel="0" collapsed="false">
      <c r="A248" s="30" t="n">
        <v>242</v>
      </c>
      <c r="B248" s="30" t="s">
        <v>9128</v>
      </c>
      <c r="C248" s="31" t="s">
        <v>9129</v>
      </c>
      <c r="D248" s="31" t="s">
        <v>9130</v>
      </c>
      <c r="E248" s="31" t="s">
        <v>8226</v>
      </c>
      <c r="F248" s="30" t="n">
        <f aca="false">COUNTIF('Seed Catalogue'!$C$2:$C$452,B248)</f>
        <v>0</v>
      </c>
      <c r="G248" s="40" t="n">
        <v>3</v>
      </c>
      <c r="H248" s="40" t="n">
        <v>3</v>
      </c>
      <c r="I248" s="40" t="n">
        <v>2</v>
      </c>
      <c r="J248" s="40" t="n">
        <v>4</v>
      </c>
      <c r="K248" s="40" t="n">
        <v>3</v>
      </c>
      <c r="L248" s="40" t="n">
        <v>4</v>
      </c>
      <c r="M248" s="40" t="n">
        <v>4</v>
      </c>
      <c r="N248" s="40" t="n">
        <v>3</v>
      </c>
      <c r="O248" s="41" t="n">
        <f aca="false">ROUND(G248/5*$X$2+H248/5*$X$3+I248/5*$X$4+J248/5*$X$5+K248/5*$X$6+L248/5*$X$7+M248/5*$X$8-N248/5*$X$9,1)</f>
        <v>52</v>
      </c>
      <c r="P248" s="30" t="str">
        <f aca="false">IF(O248&gt;=$X$12,"Foundational deep pass",IF(O248&gt;=$X$13,"Major deep pass",IF(O248&gt;=$X$14,"Targeted innovation pass",IF(O248&gt;=$X$15,"Sampling pass","Reference / defer"))))</f>
        <v>Targeted innovation pass</v>
      </c>
      <c r="Q248" s="31" t="s">
        <v>14219</v>
      </c>
      <c r="R248" s="31" t="s">
        <v>14220</v>
      </c>
      <c r="S248" s="31" t="s">
        <v>14184</v>
      </c>
      <c r="T248" s="31" t="s">
        <v>9133</v>
      </c>
      <c r="U248" s="42" t="n">
        <v>46236</v>
      </c>
    </row>
    <row r="249" customFormat="false" ht="45.75" hidden="false" customHeight="true" outlineLevel="0" collapsed="false">
      <c r="A249" s="30" t="n">
        <v>243</v>
      </c>
      <c r="B249" s="30" t="s">
        <v>8932</v>
      </c>
      <c r="C249" s="31" t="s">
        <v>8933</v>
      </c>
      <c r="D249" s="31" t="s">
        <v>8935</v>
      </c>
      <c r="E249" s="31" t="s">
        <v>8343</v>
      </c>
      <c r="F249" s="30" t="n">
        <f aca="false">COUNTIF('Seed Catalogue'!$C$2:$C$452,B249)</f>
        <v>0</v>
      </c>
      <c r="G249" s="40" t="n">
        <v>3</v>
      </c>
      <c r="H249" s="40" t="n">
        <v>3</v>
      </c>
      <c r="I249" s="40" t="n">
        <v>2</v>
      </c>
      <c r="J249" s="40" t="n">
        <v>4</v>
      </c>
      <c r="K249" s="40" t="n">
        <v>3</v>
      </c>
      <c r="L249" s="40" t="n">
        <v>4</v>
      </c>
      <c r="M249" s="40" t="n">
        <v>4</v>
      </c>
      <c r="N249" s="40" t="n">
        <v>3</v>
      </c>
      <c r="O249" s="41" t="n">
        <f aca="false">ROUND(G249/5*$X$2+H249/5*$X$3+I249/5*$X$4+J249/5*$X$5+K249/5*$X$6+L249/5*$X$7+M249/5*$X$8-N249/5*$X$9,1)</f>
        <v>52</v>
      </c>
      <c r="P249" s="30" t="str">
        <f aca="false">IF(O249&gt;=$X$12,"Foundational deep pass",IF(O249&gt;=$X$13,"Major deep pass",IF(O249&gt;=$X$14,"Targeted innovation pass",IF(O249&gt;=$X$15,"Sampling pass","Reference / defer"))))</f>
        <v>Targeted innovation pass</v>
      </c>
      <c r="Q249" s="31" t="s">
        <v>14221</v>
      </c>
      <c r="R249" s="31" t="s">
        <v>14222</v>
      </c>
      <c r="S249" s="31" t="s">
        <v>14184</v>
      </c>
      <c r="T249" s="31" t="s">
        <v>8939</v>
      </c>
      <c r="U249" s="42" t="n">
        <v>46236</v>
      </c>
    </row>
    <row r="250" customFormat="false" ht="45.75" hidden="false" customHeight="true" outlineLevel="0" collapsed="false">
      <c r="A250" s="30" t="n">
        <v>244</v>
      </c>
      <c r="B250" s="30" t="s">
        <v>9252</v>
      </c>
      <c r="C250" s="31" t="s">
        <v>9253</v>
      </c>
      <c r="D250" s="31" t="s">
        <v>9028</v>
      </c>
      <c r="E250" s="31" t="s">
        <v>8226</v>
      </c>
      <c r="F250" s="30" t="n">
        <f aca="false">COUNTIF('Seed Catalogue'!$C$2:$C$452,B250)</f>
        <v>0</v>
      </c>
      <c r="G250" s="40" t="n">
        <v>3</v>
      </c>
      <c r="H250" s="40" t="n">
        <v>3</v>
      </c>
      <c r="I250" s="40" t="n">
        <v>2</v>
      </c>
      <c r="J250" s="40" t="n">
        <v>4</v>
      </c>
      <c r="K250" s="40" t="n">
        <v>3</v>
      </c>
      <c r="L250" s="40" t="n">
        <v>4</v>
      </c>
      <c r="M250" s="40" t="n">
        <v>4</v>
      </c>
      <c r="N250" s="40" t="n">
        <v>3</v>
      </c>
      <c r="O250" s="41" t="n">
        <f aca="false">ROUND(G250/5*$X$2+H250/5*$X$3+I250/5*$X$4+J250/5*$X$5+K250/5*$X$6+L250/5*$X$7+M250/5*$X$8-N250/5*$X$9,1)</f>
        <v>52</v>
      </c>
      <c r="P250" s="30" t="str">
        <f aca="false">IF(O250&gt;=$X$12,"Foundational deep pass",IF(O250&gt;=$X$13,"Major deep pass",IF(O250&gt;=$X$14,"Targeted innovation pass",IF(O250&gt;=$X$15,"Sampling pass","Reference / defer"))))</f>
        <v>Targeted innovation pass</v>
      </c>
      <c r="Q250" s="31" t="s">
        <v>14219</v>
      </c>
      <c r="R250" s="31" t="s">
        <v>14220</v>
      </c>
      <c r="S250" s="31" t="s">
        <v>14184</v>
      </c>
      <c r="T250" s="31" t="s">
        <v>9257</v>
      </c>
      <c r="U250" s="42" t="n">
        <v>46236</v>
      </c>
    </row>
    <row r="251" customFormat="false" ht="45.75" hidden="false" customHeight="true" outlineLevel="0" collapsed="false">
      <c r="A251" s="30" t="n">
        <v>245</v>
      </c>
      <c r="B251" s="30" t="s">
        <v>9298</v>
      </c>
      <c r="C251" s="31" t="s">
        <v>9299</v>
      </c>
      <c r="D251" s="31" t="s">
        <v>9300</v>
      </c>
      <c r="E251" s="31" t="s">
        <v>8226</v>
      </c>
      <c r="F251" s="30" t="n">
        <f aca="false">COUNTIF('Seed Catalogue'!$C$2:$C$452,B251)</f>
        <v>0</v>
      </c>
      <c r="G251" s="40" t="n">
        <v>3</v>
      </c>
      <c r="H251" s="40" t="n">
        <v>3</v>
      </c>
      <c r="I251" s="40" t="n">
        <v>2</v>
      </c>
      <c r="J251" s="40" t="n">
        <v>4</v>
      </c>
      <c r="K251" s="40" t="n">
        <v>3</v>
      </c>
      <c r="L251" s="40" t="n">
        <v>4</v>
      </c>
      <c r="M251" s="40" t="n">
        <v>4</v>
      </c>
      <c r="N251" s="40" t="n">
        <v>3</v>
      </c>
      <c r="O251" s="41" t="n">
        <f aca="false">ROUND(G251/5*$X$2+H251/5*$X$3+I251/5*$X$4+J251/5*$X$5+K251/5*$X$6+L251/5*$X$7+M251/5*$X$8-N251/5*$X$9,1)</f>
        <v>52</v>
      </c>
      <c r="P251" s="30" t="str">
        <f aca="false">IF(O251&gt;=$X$12,"Foundational deep pass",IF(O251&gt;=$X$13,"Major deep pass",IF(O251&gt;=$X$14,"Targeted innovation pass",IF(O251&gt;=$X$15,"Sampling pass","Reference / defer"))))</f>
        <v>Targeted innovation pass</v>
      </c>
      <c r="Q251" s="31" t="s">
        <v>14219</v>
      </c>
      <c r="R251" s="31" t="s">
        <v>14220</v>
      </c>
      <c r="S251" s="31" t="s">
        <v>14184</v>
      </c>
      <c r="T251" s="31" t="s">
        <v>9303</v>
      </c>
      <c r="U251" s="42" t="n">
        <v>46236</v>
      </c>
    </row>
    <row r="252" customFormat="false" ht="45.75" hidden="false" customHeight="true" outlineLevel="0" collapsed="false">
      <c r="A252" s="30" t="n">
        <v>246</v>
      </c>
      <c r="B252" s="30" t="s">
        <v>9215</v>
      </c>
      <c r="C252" s="31" t="s">
        <v>9216</v>
      </c>
      <c r="D252" s="31" t="s">
        <v>9211</v>
      </c>
      <c r="E252" s="31" t="s">
        <v>8343</v>
      </c>
      <c r="F252" s="30" t="n">
        <f aca="false">COUNTIF('Seed Catalogue'!$C$2:$C$452,B252)</f>
        <v>0</v>
      </c>
      <c r="G252" s="40" t="n">
        <v>3</v>
      </c>
      <c r="H252" s="40" t="n">
        <v>3</v>
      </c>
      <c r="I252" s="40" t="n">
        <v>2</v>
      </c>
      <c r="J252" s="40" t="n">
        <v>4</v>
      </c>
      <c r="K252" s="40" t="n">
        <v>3</v>
      </c>
      <c r="L252" s="40" t="n">
        <v>4</v>
      </c>
      <c r="M252" s="40" t="n">
        <v>4</v>
      </c>
      <c r="N252" s="40" t="n">
        <v>3</v>
      </c>
      <c r="O252" s="41" t="n">
        <f aca="false">ROUND(G252/5*$X$2+H252/5*$X$3+I252/5*$X$4+J252/5*$X$5+K252/5*$X$6+L252/5*$X$7+M252/5*$X$8-N252/5*$X$9,1)</f>
        <v>52</v>
      </c>
      <c r="P252" s="30" t="str">
        <f aca="false">IF(O252&gt;=$X$12,"Foundational deep pass",IF(O252&gt;=$X$13,"Major deep pass",IF(O252&gt;=$X$14,"Targeted innovation pass",IF(O252&gt;=$X$15,"Sampling pass","Reference / defer"))))</f>
        <v>Targeted innovation pass</v>
      </c>
      <c r="Q252" s="31" t="s">
        <v>14219</v>
      </c>
      <c r="R252" s="31" t="s">
        <v>14220</v>
      </c>
      <c r="S252" s="31" t="s">
        <v>14184</v>
      </c>
      <c r="T252" s="31" t="s">
        <v>9220</v>
      </c>
      <c r="U252" s="42" t="n">
        <v>46236</v>
      </c>
    </row>
    <row r="253" customFormat="false" ht="45.75" hidden="false" customHeight="true" outlineLevel="0" collapsed="false">
      <c r="A253" s="30" t="n">
        <v>247</v>
      </c>
      <c r="B253" s="30" t="s">
        <v>9183</v>
      </c>
      <c r="C253" s="31" t="s">
        <v>9184</v>
      </c>
      <c r="D253" s="31" t="s">
        <v>9055</v>
      </c>
      <c r="E253" s="31" t="s">
        <v>8307</v>
      </c>
      <c r="F253" s="30" t="n">
        <f aca="false">COUNTIF('Seed Catalogue'!$C$2:$C$452,B253)</f>
        <v>0</v>
      </c>
      <c r="G253" s="40" t="n">
        <v>3</v>
      </c>
      <c r="H253" s="40" t="n">
        <v>3</v>
      </c>
      <c r="I253" s="40" t="n">
        <v>2</v>
      </c>
      <c r="J253" s="40" t="n">
        <v>4</v>
      </c>
      <c r="K253" s="40" t="n">
        <v>3</v>
      </c>
      <c r="L253" s="40" t="n">
        <v>4</v>
      </c>
      <c r="M253" s="40" t="n">
        <v>4</v>
      </c>
      <c r="N253" s="40" t="n">
        <v>3</v>
      </c>
      <c r="O253" s="41" t="n">
        <f aca="false">ROUND(G253/5*$X$2+H253/5*$X$3+I253/5*$X$4+J253/5*$X$5+K253/5*$X$6+L253/5*$X$7+M253/5*$X$8-N253/5*$X$9,1)</f>
        <v>52</v>
      </c>
      <c r="P253" s="30" t="str">
        <f aca="false">IF(O253&gt;=$X$12,"Foundational deep pass",IF(O253&gt;=$X$13,"Major deep pass",IF(O253&gt;=$X$14,"Targeted innovation pass",IF(O253&gt;=$X$15,"Sampling pass","Reference / defer"))))</f>
        <v>Targeted innovation pass</v>
      </c>
      <c r="Q253" s="31" t="s">
        <v>14219</v>
      </c>
      <c r="R253" s="31" t="s">
        <v>14220</v>
      </c>
      <c r="S253" s="31" t="s">
        <v>14184</v>
      </c>
      <c r="T253" s="31" t="s">
        <v>9188</v>
      </c>
      <c r="U253" s="42" t="n">
        <v>46236</v>
      </c>
    </row>
    <row r="254" customFormat="false" ht="45.75" hidden="false" customHeight="true" outlineLevel="0" collapsed="false">
      <c r="A254" s="30" t="n">
        <v>248</v>
      </c>
      <c r="B254" s="30" t="s">
        <v>9270</v>
      </c>
      <c r="C254" s="31" t="s">
        <v>9271</v>
      </c>
      <c r="D254" s="31" t="s">
        <v>9000</v>
      </c>
      <c r="E254" s="31" t="s">
        <v>8226</v>
      </c>
      <c r="F254" s="30" t="n">
        <f aca="false">COUNTIF('Seed Catalogue'!$C$2:$C$452,B254)</f>
        <v>0</v>
      </c>
      <c r="G254" s="40" t="n">
        <v>3</v>
      </c>
      <c r="H254" s="40" t="n">
        <v>3</v>
      </c>
      <c r="I254" s="40" t="n">
        <v>2</v>
      </c>
      <c r="J254" s="40" t="n">
        <v>4</v>
      </c>
      <c r="K254" s="40" t="n">
        <v>3</v>
      </c>
      <c r="L254" s="40" t="n">
        <v>4</v>
      </c>
      <c r="M254" s="40" t="n">
        <v>4</v>
      </c>
      <c r="N254" s="40" t="n">
        <v>3</v>
      </c>
      <c r="O254" s="41" t="n">
        <f aca="false">ROUND(G254/5*$X$2+H254/5*$X$3+I254/5*$X$4+J254/5*$X$5+K254/5*$X$6+L254/5*$X$7+M254/5*$X$8-N254/5*$X$9,1)</f>
        <v>52</v>
      </c>
      <c r="P254" s="30" t="str">
        <f aca="false">IF(O254&gt;=$X$12,"Foundational deep pass",IF(O254&gt;=$X$13,"Major deep pass",IF(O254&gt;=$X$14,"Targeted innovation pass",IF(O254&gt;=$X$15,"Sampling pass","Reference / defer"))))</f>
        <v>Targeted innovation pass</v>
      </c>
      <c r="Q254" s="31" t="s">
        <v>14219</v>
      </c>
      <c r="R254" s="31" t="s">
        <v>14220</v>
      </c>
      <c r="S254" s="31" t="s">
        <v>14184</v>
      </c>
      <c r="T254" s="31" t="s">
        <v>9275</v>
      </c>
      <c r="U254" s="42" t="n">
        <v>46236</v>
      </c>
    </row>
    <row r="255" customFormat="false" ht="45.75" hidden="false" customHeight="true" outlineLevel="0" collapsed="false">
      <c r="A255" s="30" t="n">
        <v>249</v>
      </c>
      <c r="B255" s="30" t="s">
        <v>9189</v>
      </c>
      <c r="C255" s="31" t="s">
        <v>9190</v>
      </c>
      <c r="D255" s="31" t="s">
        <v>9055</v>
      </c>
      <c r="E255" s="31" t="s">
        <v>8860</v>
      </c>
      <c r="F255" s="30" t="n">
        <f aca="false">COUNTIF('Seed Catalogue'!$C$2:$C$452,B255)</f>
        <v>0</v>
      </c>
      <c r="G255" s="40" t="n">
        <v>3</v>
      </c>
      <c r="H255" s="40" t="n">
        <v>3</v>
      </c>
      <c r="I255" s="40" t="n">
        <v>2</v>
      </c>
      <c r="J255" s="40" t="n">
        <v>4</v>
      </c>
      <c r="K255" s="40" t="n">
        <v>3</v>
      </c>
      <c r="L255" s="40" t="n">
        <v>4</v>
      </c>
      <c r="M255" s="40" t="n">
        <v>4</v>
      </c>
      <c r="N255" s="40" t="n">
        <v>3</v>
      </c>
      <c r="O255" s="41" t="n">
        <f aca="false">ROUND(G255/5*$X$2+H255/5*$X$3+I255/5*$X$4+J255/5*$X$5+K255/5*$X$6+L255/5*$X$7+M255/5*$X$8-N255/5*$X$9,1)</f>
        <v>52</v>
      </c>
      <c r="P255" s="30" t="str">
        <f aca="false">IF(O255&gt;=$X$12,"Foundational deep pass",IF(O255&gt;=$X$13,"Major deep pass",IF(O255&gt;=$X$14,"Targeted innovation pass",IF(O255&gt;=$X$15,"Sampling pass","Reference / defer"))))</f>
        <v>Targeted innovation pass</v>
      </c>
      <c r="Q255" s="31" t="s">
        <v>14219</v>
      </c>
      <c r="R255" s="31" t="s">
        <v>14220</v>
      </c>
      <c r="S255" s="31" t="s">
        <v>14184</v>
      </c>
      <c r="T255" s="31" t="s">
        <v>9194</v>
      </c>
      <c r="U255" s="42" t="n">
        <v>46236</v>
      </c>
    </row>
    <row r="256" customFormat="false" ht="45.75" hidden="false" customHeight="true" outlineLevel="0" collapsed="false">
      <c r="A256" s="30" t="n">
        <v>250</v>
      </c>
      <c r="B256" s="30" t="s">
        <v>9391</v>
      </c>
      <c r="C256" s="31" t="s">
        <v>9392</v>
      </c>
      <c r="D256" s="31" t="s">
        <v>9394</v>
      </c>
      <c r="E256" s="31" t="s">
        <v>8343</v>
      </c>
      <c r="F256" s="30" t="n">
        <f aca="false">COUNTIF('Seed Catalogue'!$C$2:$C$452,B256)</f>
        <v>0</v>
      </c>
      <c r="G256" s="40" t="n">
        <v>3</v>
      </c>
      <c r="H256" s="40" t="n">
        <v>3</v>
      </c>
      <c r="I256" s="40" t="n">
        <v>2</v>
      </c>
      <c r="J256" s="40" t="n">
        <v>4</v>
      </c>
      <c r="K256" s="40" t="n">
        <v>3</v>
      </c>
      <c r="L256" s="40" t="n">
        <v>4</v>
      </c>
      <c r="M256" s="40" t="n">
        <v>4</v>
      </c>
      <c r="N256" s="40" t="n">
        <v>3</v>
      </c>
      <c r="O256" s="41" t="n">
        <f aca="false">ROUND(G256/5*$X$2+H256/5*$X$3+I256/5*$X$4+J256/5*$X$5+K256/5*$X$6+L256/5*$X$7+M256/5*$X$8-N256/5*$X$9,1)</f>
        <v>52</v>
      </c>
      <c r="P256" s="30" t="str">
        <f aca="false">IF(O256&gt;=$X$12,"Foundational deep pass",IF(O256&gt;=$X$13,"Major deep pass",IF(O256&gt;=$X$14,"Targeted innovation pass",IF(O256&gt;=$X$15,"Sampling pass","Reference / defer"))))</f>
        <v>Targeted innovation pass</v>
      </c>
      <c r="Q256" s="31" t="s">
        <v>14219</v>
      </c>
      <c r="R256" s="31" t="s">
        <v>14220</v>
      </c>
      <c r="S256" s="31" t="s">
        <v>14184</v>
      </c>
      <c r="T256" s="31" t="s">
        <v>9398</v>
      </c>
      <c r="U256" s="42" t="n">
        <v>46236</v>
      </c>
    </row>
    <row r="257" customFormat="false" ht="45.75" hidden="false" customHeight="true" outlineLevel="0" collapsed="false">
      <c r="A257" s="30" t="n">
        <v>251</v>
      </c>
      <c r="B257" s="30" t="s">
        <v>8940</v>
      </c>
      <c r="C257" s="31" t="s">
        <v>8941</v>
      </c>
      <c r="D257" s="31" t="s">
        <v>8935</v>
      </c>
      <c r="E257" s="31" t="s">
        <v>8943</v>
      </c>
      <c r="F257" s="30" t="n">
        <f aca="false">COUNTIF('Seed Catalogue'!$C$2:$C$452,B257)</f>
        <v>0</v>
      </c>
      <c r="G257" s="40" t="n">
        <v>3</v>
      </c>
      <c r="H257" s="40" t="n">
        <v>3</v>
      </c>
      <c r="I257" s="40" t="n">
        <v>2</v>
      </c>
      <c r="J257" s="40" t="n">
        <v>4</v>
      </c>
      <c r="K257" s="40" t="n">
        <v>3</v>
      </c>
      <c r="L257" s="40" t="n">
        <v>4</v>
      </c>
      <c r="M257" s="40" t="n">
        <v>4</v>
      </c>
      <c r="N257" s="40" t="n">
        <v>3</v>
      </c>
      <c r="O257" s="41" t="n">
        <f aca="false">ROUND(G257/5*$X$2+H257/5*$X$3+I257/5*$X$4+J257/5*$X$5+K257/5*$X$6+L257/5*$X$7+M257/5*$X$8-N257/5*$X$9,1)</f>
        <v>52</v>
      </c>
      <c r="P257" s="30" t="str">
        <f aca="false">IF(O257&gt;=$X$12,"Foundational deep pass",IF(O257&gt;=$X$13,"Major deep pass",IF(O257&gt;=$X$14,"Targeted innovation pass",IF(O257&gt;=$X$15,"Sampling pass","Reference / defer"))))</f>
        <v>Targeted innovation pass</v>
      </c>
      <c r="Q257" s="31" t="s">
        <v>14221</v>
      </c>
      <c r="R257" s="31" t="s">
        <v>14222</v>
      </c>
      <c r="S257" s="31" t="s">
        <v>14184</v>
      </c>
      <c r="T257" s="31" t="s">
        <v>8946</v>
      </c>
      <c r="U257" s="42" t="n">
        <v>46236</v>
      </c>
    </row>
    <row r="258" customFormat="false" ht="45.75" hidden="false" customHeight="true" outlineLevel="0" collapsed="false">
      <c r="A258" s="30" t="n">
        <v>252</v>
      </c>
      <c r="B258" s="30" t="s">
        <v>9399</v>
      </c>
      <c r="C258" s="31" t="s">
        <v>9400</v>
      </c>
      <c r="D258" s="31" t="s">
        <v>9402</v>
      </c>
      <c r="E258" s="31" t="s">
        <v>9403</v>
      </c>
      <c r="F258" s="30" t="n">
        <f aca="false">COUNTIF('Seed Catalogue'!$C$2:$C$452,B258)</f>
        <v>0</v>
      </c>
      <c r="G258" s="40" t="n">
        <v>3</v>
      </c>
      <c r="H258" s="40" t="n">
        <v>3</v>
      </c>
      <c r="I258" s="40" t="n">
        <v>2</v>
      </c>
      <c r="J258" s="40" t="n">
        <v>4</v>
      </c>
      <c r="K258" s="40" t="n">
        <v>3</v>
      </c>
      <c r="L258" s="40" t="n">
        <v>4</v>
      </c>
      <c r="M258" s="40" t="n">
        <v>4</v>
      </c>
      <c r="N258" s="40" t="n">
        <v>3</v>
      </c>
      <c r="O258" s="41" t="n">
        <f aca="false">ROUND(G258/5*$X$2+H258/5*$X$3+I258/5*$X$4+J258/5*$X$5+K258/5*$X$6+L258/5*$X$7+M258/5*$X$8-N258/5*$X$9,1)</f>
        <v>52</v>
      </c>
      <c r="P258" s="30" t="str">
        <f aca="false">IF(O258&gt;=$X$12,"Foundational deep pass",IF(O258&gt;=$X$13,"Major deep pass",IF(O258&gt;=$X$14,"Targeted innovation pass",IF(O258&gt;=$X$15,"Sampling pass","Reference / defer"))))</f>
        <v>Targeted innovation pass</v>
      </c>
      <c r="Q258" s="31" t="s">
        <v>14219</v>
      </c>
      <c r="R258" s="31" t="s">
        <v>14220</v>
      </c>
      <c r="S258" s="31" t="s">
        <v>14184</v>
      </c>
      <c r="T258" s="31" t="s">
        <v>9406</v>
      </c>
      <c r="U258" s="42" t="n">
        <v>46236</v>
      </c>
    </row>
    <row r="259" customFormat="false" ht="45.75" hidden="false" customHeight="true" outlineLevel="0" collapsed="false">
      <c r="A259" s="30" t="n">
        <v>253</v>
      </c>
      <c r="B259" s="30" t="s">
        <v>9074</v>
      </c>
      <c r="C259" s="31" t="s">
        <v>9075</v>
      </c>
      <c r="D259" s="31" t="s">
        <v>9077</v>
      </c>
      <c r="E259" s="31" t="s">
        <v>8343</v>
      </c>
      <c r="F259" s="30" t="n">
        <f aca="false">COUNTIF('Seed Catalogue'!$C$2:$C$452,B259)</f>
        <v>0</v>
      </c>
      <c r="G259" s="40" t="n">
        <v>3</v>
      </c>
      <c r="H259" s="40" t="n">
        <v>3</v>
      </c>
      <c r="I259" s="40" t="n">
        <v>2</v>
      </c>
      <c r="J259" s="40" t="n">
        <v>4</v>
      </c>
      <c r="K259" s="40" t="n">
        <v>3</v>
      </c>
      <c r="L259" s="40" t="n">
        <v>4</v>
      </c>
      <c r="M259" s="40" t="n">
        <v>4</v>
      </c>
      <c r="N259" s="40" t="n">
        <v>3</v>
      </c>
      <c r="O259" s="41" t="n">
        <f aca="false">ROUND(G259/5*$X$2+H259/5*$X$3+I259/5*$X$4+J259/5*$X$5+K259/5*$X$6+L259/5*$X$7+M259/5*$X$8-N259/5*$X$9,1)</f>
        <v>52</v>
      </c>
      <c r="P259" s="30" t="str">
        <f aca="false">IF(O259&gt;=$X$12,"Foundational deep pass",IF(O259&gt;=$X$13,"Major deep pass",IF(O259&gt;=$X$14,"Targeted innovation pass",IF(O259&gt;=$X$15,"Sampling pass","Reference / defer"))))</f>
        <v>Targeted innovation pass</v>
      </c>
      <c r="Q259" s="31" t="s">
        <v>14219</v>
      </c>
      <c r="R259" s="31" t="s">
        <v>14220</v>
      </c>
      <c r="S259" s="31" t="s">
        <v>14184</v>
      </c>
      <c r="T259" s="31" t="s">
        <v>9080</v>
      </c>
      <c r="U259" s="42" t="n">
        <v>46236</v>
      </c>
    </row>
    <row r="260" customFormat="false" ht="45.75" hidden="false" customHeight="true" outlineLevel="0" collapsed="false">
      <c r="A260" s="30" t="n">
        <v>254</v>
      </c>
      <c r="B260" s="30" t="s">
        <v>9227</v>
      </c>
      <c r="C260" s="31" t="s">
        <v>9228</v>
      </c>
      <c r="D260" s="31" t="s">
        <v>9211</v>
      </c>
      <c r="E260" s="31" t="s">
        <v>8592</v>
      </c>
      <c r="F260" s="30" t="n">
        <f aca="false">COUNTIF('Seed Catalogue'!$C$2:$C$452,B260)</f>
        <v>0</v>
      </c>
      <c r="G260" s="40" t="n">
        <v>3</v>
      </c>
      <c r="H260" s="40" t="n">
        <v>3</v>
      </c>
      <c r="I260" s="40" t="n">
        <v>2</v>
      </c>
      <c r="J260" s="40" t="n">
        <v>4</v>
      </c>
      <c r="K260" s="40" t="n">
        <v>3</v>
      </c>
      <c r="L260" s="40" t="n">
        <v>4</v>
      </c>
      <c r="M260" s="40" t="n">
        <v>4</v>
      </c>
      <c r="N260" s="40" t="n">
        <v>3</v>
      </c>
      <c r="O260" s="41" t="n">
        <f aca="false">ROUND(G260/5*$X$2+H260/5*$X$3+I260/5*$X$4+J260/5*$X$5+K260/5*$X$6+L260/5*$X$7+M260/5*$X$8-N260/5*$X$9,1)</f>
        <v>52</v>
      </c>
      <c r="P260" s="30" t="str">
        <f aca="false">IF(O260&gt;=$X$12,"Foundational deep pass",IF(O260&gt;=$X$13,"Major deep pass",IF(O260&gt;=$X$14,"Targeted innovation pass",IF(O260&gt;=$X$15,"Sampling pass","Reference / defer"))))</f>
        <v>Targeted innovation pass</v>
      </c>
      <c r="Q260" s="31" t="s">
        <v>14219</v>
      </c>
      <c r="R260" s="31" t="s">
        <v>14220</v>
      </c>
      <c r="S260" s="31" t="s">
        <v>14184</v>
      </c>
      <c r="T260" s="31" t="s">
        <v>9232</v>
      </c>
      <c r="U260" s="42" t="n">
        <v>46236</v>
      </c>
    </row>
    <row r="261" customFormat="false" ht="45.75" hidden="false" customHeight="true" outlineLevel="0" collapsed="false">
      <c r="A261" s="30" t="n">
        <v>255</v>
      </c>
      <c r="B261" s="30" t="s">
        <v>9239</v>
      </c>
      <c r="C261" s="31" t="s">
        <v>9240</v>
      </c>
      <c r="D261" s="31" t="s">
        <v>9242</v>
      </c>
      <c r="E261" s="31" t="s">
        <v>8592</v>
      </c>
      <c r="F261" s="30" t="n">
        <f aca="false">COUNTIF('Seed Catalogue'!$C$2:$C$452,B261)</f>
        <v>0</v>
      </c>
      <c r="G261" s="40" t="n">
        <v>3</v>
      </c>
      <c r="H261" s="40" t="n">
        <v>3</v>
      </c>
      <c r="I261" s="40" t="n">
        <v>2</v>
      </c>
      <c r="J261" s="40" t="n">
        <v>4</v>
      </c>
      <c r="K261" s="40" t="n">
        <v>3</v>
      </c>
      <c r="L261" s="40" t="n">
        <v>4</v>
      </c>
      <c r="M261" s="40" t="n">
        <v>4</v>
      </c>
      <c r="N261" s="40" t="n">
        <v>3</v>
      </c>
      <c r="O261" s="41" t="n">
        <f aca="false">ROUND(G261/5*$X$2+H261/5*$X$3+I261/5*$X$4+J261/5*$X$5+K261/5*$X$6+L261/5*$X$7+M261/5*$X$8-N261/5*$X$9,1)</f>
        <v>52</v>
      </c>
      <c r="P261" s="30" t="str">
        <f aca="false">IF(O261&gt;=$X$12,"Foundational deep pass",IF(O261&gt;=$X$13,"Major deep pass",IF(O261&gt;=$X$14,"Targeted innovation pass",IF(O261&gt;=$X$15,"Sampling pass","Reference / defer"))))</f>
        <v>Targeted innovation pass</v>
      </c>
      <c r="Q261" s="31" t="s">
        <v>14219</v>
      </c>
      <c r="R261" s="31" t="s">
        <v>14220</v>
      </c>
      <c r="S261" s="31" t="s">
        <v>14184</v>
      </c>
      <c r="T261" s="31" t="s">
        <v>9245</v>
      </c>
      <c r="U261" s="42" t="n">
        <v>46236</v>
      </c>
    </row>
    <row r="262" customFormat="false" ht="45.75" hidden="false" customHeight="true" outlineLevel="0" collapsed="false">
      <c r="A262" s="30" t="n">
        <v>256</v>
      </c>
      <c r="B262" s="30" t="s">
        <v>8954</v>
      </c>
      <c r="C262" s="31" t="s">
        <v>8955</v>
      </c>
      <c r="D262" s="31" t="s">
        <v>8950</v>
      </c>
      <c r="E262" s="31" t="s">
        <v>8957</v>
      </c>
      <c r="F262" s="30" t="n">
        <f aca="false">COUNTIF('Seed Catalogue'!$C$2:$C$452,B262)</f>
        <v>0</v>
      </c>
      <c r="G262" s="40" t="n">
        <v>3</v>
      </c>
      <c r="H262" s="40" t="n">
        <v>3</v>
      </c>
      <c r="I262" s="40" t="n">
        <v>2</v>
      </c>
      <c r="J262" s="40" t="n">
        <v>4</v>
      </c>
      <c r="K262" s="40" t="n">
        <v>3</v>
      </c>
      <c r="L262" s="40" t="n">
        <v>4</v>
      </c>
      <c r="M262" s="40" t="n">
        <v>4</v>
      </c>
      <c r="N262" s="40" t="n">
        <v>3</v>
      </c>
      <c r="O262" s="41" t="n">
        <f aca="false">ROUND(G262/5*$X$2+H262/5*$X$3+I262/5*$X$4+J262/5*$X$5+K262/5*$X$6+L262/5*$X$7+M262/5*$X$8-N262/5*$X$9,1)</f>
        <v>52</v>
      </c>
      <c r="P262" s="30" t="str">
        <f aca="false">IF(O262&gt;=$X$12,"Foundational deep pass",IF(O262&gt;=$X$13,"Major deep pass",IF(O262&gt;=$X$14,"Targeted innovation pass",IF(O262&gt;=$X$15,"Sampling pass","Reference / defer"))))</f>
        <v>Targeted innovation pass</v>
      </c>
      <c r="Q262" s="31" t="s">
        <v>14221</v>
      </c>
      <c r="R262" s="31" t="s">
        <v>14222</v>
      </c>
      <c r="S262" s="31" t="s">
        <v>14184</v>
      </c>
      <c r="T262" s="31" t="s">
        <v>8961</v>
      </c>
      <c r="U262" s="42" t="n">
        <v>46236</v>
      </c>
    </row>
    <row r="263" customFormat="false" ht="45.75" hidden="false" customHeight="true" outlineLevel="0" collapsed="false">
      <c r="A263" s="30" t="n">
        <v>257</v>
      </c>
      <c r="B263" s="30" t="s">
        <v>9337</v>
      </c>
      <c r="C263" s="31" t="s">
        <v>9338</v>
      </c>
      <c r="D263" s="31" t="s">
        <v>9055</v>
      </c>
      <c r="E263" s="31" t="s">
        <v>8226</v>
      </c>
      <c r="F263" s="30" t="n">
        <f aca="false">COUNTIF('Seed Catalogue'!$C$2:$C$452,B263)</f>
        <v>0</v>
      </c>
      <c r="G263" s="40" t="n">
        <v>3</v>
      </c>
      <c r="H263" s="40" t="n">
        <v>3</v>
      </c>
      <c r="I263" s="40" t="n">
        <v>2</v>
      </c>
      <c r="J263" s="40" t="n">
        <v>4</v>
      </c>
      <c r="K263" s="40" t="n">
        <v>3</v>
      </c>
      <c r="L263" s="40" t="n">
        <v>4</v>
      </c>
      <c r="M263" s="40" t="n">
        <v>4</v>
      </c>
      <c r="N263" s="40" t="n">
        <v>3</v>
      </c>
      <c r="O263" s="41" t="n">
        <f aca="false">ROUND(G263/5*$X$2+H263/5*$X$3+I263/5*$X$4+J263/5*$X$5+K263/5*$X$6+L263/5*$X$7+M263/5*$X$8-N263/5*$X$9,1)</f>
        <v>52</v>
      </c>
      <c r="P263" s="30" t="str">
        <f aca="false">IF(O263&gt;=$X$12,"Foundational deep pass",IF(O263&gt;=$X$13,"Major deep pass",IF(O263&gt;=$X$14,"Targeted innovation pass",IF(O263&gt;=$X$15,"Sampling pass","Reference / defer"))))</f>
        <v>Targeted innovation pass</v>
      </c>
      <c r="Q263" s="31" t="s">
        <v>14219</v>
      </c>
      <c r="R263" s="31" t="s">
        <v>14220</v>
      </c>
      <c r="S263" s="31" t="s">
        <v>14184</v>
      </c>
      <c r="T263" s="31" t="s">
        <v>9341</v>
      </c>
      <c r="U263" s="42" t="n">
        <v>46236</v>
      </c>
    </row>
    <row r="264" customFormat="false" ht="45.75" hidden="false" customHeight="true" outlineLevel="0" collapsed="false">
      <c r="A264" s="30" t="n">
        <v>258</v>
      </c>
      <c r="B264" s="30" t="s">
        <v>9086</v>
      </c>
      <c r="C264" s="31" t="s">
        <v>9087</v>
      </c>
      <c r="D264" s="31" t="s">
        <v>9077</v>
      </c>
      <c r="E264" s="31" t="s">
        <v>8438</v>
      </c>
      <c r="F264" s="30" t="n">
        <f aca="false">COUNTIF('Seed Catalogue'!$C$2:$C$452,B264)</f>
        <v>0</v>
      </c>
      <c r="G264" s="40" t="n">
        <v>3</v>
      </c>
      <c r="H264" s="40" t="n">
        <v>3</v>
      </c>
      <c r="I264" s="40" t="n">
        <v>2</v>
      </c>
      <c r="J264" s="40" t="n">
        <v>4</v>
      </c>
      <c r="K264" s="40" t="n">
        <v>3</v>
      </c>
      <c r="L264" s="40" t="n">
        <v>4</v>
      </c>
      <c r="M264" s="40" t="n">
        <v>4</v>
      </c>
      <c r="N264" s="40" t="n">
        <v>3</v>
      </c>
      <c r="O264" s="41" t="n">
        <f aca="false">ROUND(G264/5*$X$2+H264/5*$X$3+I264/5*$X$4+J264/5*$X$5+K264/5*$X$6+L264/5*$X$7+M264/5*$X$8-N264/5*$X$9,1)</f>
        <v>52</v>
      </c>
      <c r="P264" s="30" t="str">
        <f aca="false">IF(O264&gt;=$X$12,"Foundational deep pass",IF(O264&gt;=$X$13,"Major deep pass",IF(O264&gt;=$X$14,"Targeted innovation pass",IF(O264&gt;=$X$15,"Sampling pass","Reference / defer"))))</f>
        <v>Targeted innovation pass</v>
      </c>
      <c r="Q264" s="31" t="s">
        <v>14219</v>
      </c>
      <c r="R264" s="31" t="s">
        <v>14220</v>
      </c>
      <c r="S264" s="31" t="s">
        <v>14184</v>
      </c>
      <c r="T264" s="31" t="s">
        <v>9091</v>
      </c>
      <c r="U264" s="42" t="n">
        <v>46236</v>
      </c>
    </row>
    <row r="265" customFormat="false" ht="45.75" hidden="false" customHeight="true" outlineLevel="0" collapsed="false">
      <c r="A265" s="30" t="n">
        <v>259</v>
      </c>
      <c r="B265" s="30" t="s">
        <v>9342</v>
      </c>
      <c r="C265" s="31" t="s">
        <v>9343</v>
      </c>
      <c r="D265" s="31" t="s">
        <v>9000</v>
      </c>
      <c r="E265" s="31" t="s">
        <v>8226</v>
      </c>
      <c r="F265" s="30" t="n">
        <f aca="false">COUNTIF('Seed Catalogue'!$C$2:$C$452,B265)</f>
        <v>0</v>
      </c>
      <c r="G265" s="40" t="n">
        <v>3</v>
      </c>
      <c r="H265" s="40" t="n">
        <v>3</v>
      </c>
      <c r="I265" s="40" t="n">
        <v>2</v>
      </c>
      <c r="J265" s="40" t="n">
        <v>4</v>
      </c>
      <c r="K265" s="40" t="n">
        <v>3</v>
      </c>
      <c r="L265" s="40" t="n">
        <v>4</v>
      </c>
      <c r="M265" s="40" t="n">
        <v>4</v>
      </c>
      <c r="N265" s="40" t="n">
        <v>3</v>
      </c>
      <c r="O265" s="41" t="n">
        <f aca="false">ROUND(G265/5*$X$2+H265/5*$X$3+I265/5*$X$4+J265/5*$X$5+K265/5*$X$6+L265/5*$X$7+M265/5*$X$8-N265/5*$X$9,1)</f>
        <v>52</v>
      </c>
      <c r="P265" s="30" t="str">
        <f aca="false">IF(O265&gt;=$X$12,"Foundational deep pass",IF(O265&gt;=$X$13,"Major deep pass",IF(O265&gt;=$X$14,"Targeted innovation pass",IF(O265&gt;=$X$15,"Sampling pass","Reference / defer"))))</f>
        <v>Targeted innovation pass</v>
      </c>
      <c r="Q265" s="31" t="s">
        <v>14219</v>
      </c>
      <c r="R265" s="31" t="s">
        <v>14220</v>
      </c>
      <c r="S265" s="31" t="s">
        <v>14184</v>
      </c>
      <c r="T265" s="31" t="s">
        <v>9347</v>
      </c>
      <c r="U265" s="42" t="n">
        <v>46236</v>
      </c>
    </row>
    <row r="266" customFormat="false" ht="45.75" hidden="false" customHeight="true" outlineLevel="0" collapsed="false">
      <c r="A266" s="30" t="n">
        <v>260</v>
      </c>
      <c r="B266" s="30" t="s">
        <v>9309</v>
      </c>
      <c r="C266" s="31" t="s">
        <v>9310</v>
      </c>
      <c r="D266" s="31" t="s">
        <v>9000</v>
      </c>
      <c r="E266" s="31" t="s">
        <v>8226</v>
      </c>
      <c r="F266" s="30" t="n">
        <f aca="false">COUNTIF('Seed Catalogue'!$C$2:$C$452,B266)</f>
        <v>0</v>
      </c>
      <c r="G266" s="40" t="n">
        <v>3</v>
      </c>
      <c r="H266" s="40" t="n">
        <v>3</v>
      </c>
      <c r="I266" s="40" t="n">
        <v>2</v>
      </c>
      <c r="J266" s="40" t="n">
        <v>4</v>
      </c>
      <c r="K266" s="40" t="n">
        <v>3</v>
      </c>
      <c r="L266" s="40" t="n">
        <v>4</v>
      </c>
      <c r="M266" s="40" t="n">
        <v>4</v>
      </c>
      <c r="N266" s="40" t="n">
        <v>3</v>
      </c>
      <c r="O266" s="41" t="n">
        <f aca="false">ROUND(G266/5*$X$2+H266/5*$X$3+I266/5*$X$4+J266/5*$X$5+K266/5*$X$6+L266/5*$X$7+M266/5*$X$8-N266/5*$X$9,1)</f>
        <v>52</v>
      </c>
      <c r="P266" s="30" t="str">
        <f aca="false">IF(O266&gt;=$X$12,"Foundational deep pass",IF(O266&gt;=$X$13,"Major deep pass",IF(O266&gt;=$X$14,"Targeted innovation pass",IF(O266&gt;=$X$15,"Sampling pass","Reference / defer"))))</f>
        <v>Targeted innovation pass</v>
      </c>
      <c r="Q266" s="31" t="s">
        <v>14219</v>
      </c>
      <c r="R266" s="31" t="s">
        <v>14220</v>
      </c>
      <c r="S266" s="31" t="s">
        <v>14184</v>
      </c>
      <c r="T266" s="31" t="s">
        <v>9313</v>
      </c>
      <c r="U266" s="42" t="n">
        <v>46236</v>
      </c>
    </row>
    <row r="267" customFormat="false" ht="45.75" hidden="false" customHeight="true" outlineLevel="0" collapsed="false">
      <c r="A267" s="30" t="n">
        <v>261</v>
      </c>
      <c r="B267" s="30" t="s">
        <v>9111</v>
      </c>
      <c r="C267" s="31" t="s">
        <v>9112</v>
      </c>
      <c r="D267" s="31" t="s">
        <v>9077</v>
      </c>
      <c r="E267" s="31" t="s">
        <v>9114</v>
      </c>
      <c r="F267" s="30" t="n">
        <f aca="false">COUNTIF('Seed Catalogue'!$C$2:$C$452,B267)</f>
        <v>0</v>
      </c>
      <c r="G267" s="40" t="n">
        <v>3</v>
      </c>
      <c r="H267" s="40" t="n">
        <v>3</v>
      </c>
      <c r="I267" s="40" t="n">
        <v>2</v>
      </c>
      <c r="J267" s="40" t="n">
        <v>4</v>
      </c>
      <c r="K267" s="40" t="n">
        <v>3</v>
      </c>
      <c r="L267" s="40" t="n">
        <v>4</v>
      </c>
      <c r="M267" s="40" t="n">
        <v>4</v>
      </c>
      <c r="N267" s="40" t="n">
        <v>3</v>
      </c>
      <c r="O267" s="41" t="n">
        <f aca="false">ROUND(G267/5*$X$2+H267/5*$X$3+I267/5*$X$4+J267/5*$X$5+K267/5*$X$6+L267/5*$X$7+M267/5*$X$8-N267/5*$X$9,1)</f>
        <v>52</v>
      </c>
      <c r="P267" s="30" t="str">
        <f aca="false">IF(O267&gt;=$X$12,"Foundational deep pass",IF(O267&gt;=$X$13,"Major deep pass",IF(O267&gt;=$X$14,"Targeted innovation pass",IF(O267&gt;=$X$15,"Sampling pass","Reference / defer"))))</f>
        <v>Targeted innovation pass</v>
      </c>
      <c r="Q267" s="31" t="s">
        <v>14219</v>
      </c>
      <c r="R267" s="31" t="s">
        <v>14220</v>
      </c>
      <c r="S267" s="31" t="s">
        <v>14184</v>
      </c>
      <c r="T267" s="31" t="s">
        <v>9117</v>
      </c>
      <c r="U267" s="42" t="n">
        <v>46236</v>
      </c>
    </row>
    <row r="268" customFormat="false" ht="45.75" hidden="false" customHeight="true" outlineLevel="0" collapsed="false">
      <c r="A268" s="30" t="n">
        <v>262</v>
      </c>
      <c r="B268" s="30" t="s">
        <v>9221</v>
      </c>
      <c r="C268" s="31" t="s">
        <v>9222</v>
      </c>
      <c r="D268" s="31" t="s">
        <v>9013</v>
      </c>
      <c r="E268" s="31" t="s">
        <v>8307</v>
      </c>
      <c r="F268" s="30" t="n">
        <f aca="false">COUNTIF('Seed Catalogue'!$C$2:$C$452,B268)</f>
        <v>0</v>
      </c>
      <c r="G268" s="40" t="n">
        <v>3</v>
      </c>
      <c r="H268" s="40" t="n">
        <v>3</v>
      </c>
      <c r="I268" s="40" t="n">
        <v>2</v>
      </c>
      <c r="J268" s="40" t="n">
        <v>4</v>
      </c>
      <c r="K268" s="40" t="n">
        <v>3</v>
      </c>
      <c r="L268" s="40" t="n">
        <v>4</v>
      </c>
      <c r="M268" s="40" t="n">
        <v>4</v>
      </c>
      <c r="N268" s="40" t="n">
        <v>3</v>
      </c>
      <c r="O268" s="41" t="n">
        <f aca="false">ROUND(G268/5*$X$2+H268/5*$X$3+I268/5*$X$4+J268/5*$X$5+K268/5*$X$6+L268/5*$X$7+M268/5*$X$8-N268/5*$X$9,1)</f>
        <v>52</v>
      </c>
      <c r="P268" s="30" t="str">
        <f aca="false">IF(O268&gt;=$X$12,"Foundational deep pass",IF(O268&gt;=$X$13,"Major deep pass",IF(O268&gt;=$X$14,"Targeted innovation pass",IF(O268&gt;=$X$15,"Sampling pass","Reference / defer"))))</f>
        <v>Targeted innovation pass</v>
      </c>
      <c r="Q268" s="31" t="s">
        <v>14219</v>
      </c>
      <c r="R268" s="31" t="s">
        <v>14220</v>
      </c>
      <c r="S268" s="31" t="s">
        <v>14184</v>
      </c>
      <c r="T268" s="31" t="s">
        <v>9226</v>
      </c>
      <c r="U268" s="42" t="n">
        <v>46236</v>
      </c>
    </row>
    <row r="269" customFormat="false" ht="45.75" hidden="false" customHeight="true" outlineLevel="0" collapsed="false">
      <c r="A269" s="30" t="n">
        <v>263</v>
      </c>
      <c r="B269" s="30" t="s">
        <v>9332</v>
      </c>
      <c r="C269" s="31" t="s">
        <v>9333</v>
      </c>
      <c r="D269" s="31" t="s">
        <v>9000</v>
      </c>
      <c r="E269" s="31" t="s">
        <v>8226</v>
      </c>
      <c r="F269" s="30" t="n">
        <f aca="false">COUNTIF('Seed Catalogue'!$C$2:$C$452,B269)</f>
        <v>0</v>
      </c>
      <c r="G269" s="40" t="n">
        <v>3</v>
      </c>
      <c r="H269" s="40" t="n">
        <v>3</v>
      </c>
      <c r="I269" s="40" t="n">
        <v>2</v>
      </c>
      <c r="J269" s="40" t="n">
        <v>4</v>
      </c>
      <c r="K269" s="40" t="n">
        <v>3</v>
      </c>
      <c r="L269" s="40" t="n">
        <v>4</v>
      </c>
      <c r="M269" s="40" t="n">
        <v>4</v>
      </c>
      <c r="N269" s="40" t="n">
        <v>3</v>
      </c>
      <c r="O269" s="41" t="n">
        <f aca="false">ROUND(G269/5*$X$2+H269/5*$X$3+I269/5*$X$4+J269/5*$X$5+K269/5*$X$6+L269/5*$X$7+M269/5*$X$8-N269/5*$X$9,1)</f>
        <v>52</v>
      </c>
      <c r="P269" s="30" t="str">
        <f aca="false">IF(O269&gt;=$X$12,"Foundational deep pass",IF(O269&gt;=$X$13,"Major deep pass",IF(O269&gt;=$X$14,"Targeted innovation pass",IF(O269&gt;=$X$15,"Sampling pass","Reference / defer"))))</f>
        <v>Targeted innovation pass</v>
      </c>
      <c r="Q269" s="31" t="s">
        <v>14219</v>
      </c>
      <c r="R269" s="31" t="s">
        <v>14220</v>
      </c>
      <c r="S269" s="31" t="s">
        <v>14184</v>
      </c>
      <c r="T269" s="31" t="s">
        <v>9336</v>
      </c>
      <c r="U269" s="42" t="n">
        <v>46236</v>
      </c>
    </row>
    <row r="270" customFormat="false" ht="45.75" hidden="false" customHeight="true" outlineLevel="0" collapsed="false">
      <c r="A270" s="30" t="n">
        <v>264</v>
      </c>
      <c r="B270" s="30" t="s">
        <v>9384</v>
      </c>
      <c r="C270" s="31" t="s">
        <v>9385</v>
      </c>
      <c r="D270" s="31" t="s">
        <v>9387</v>
      </c>
      <c r="E270" s="31" t="s">
        <v>8343</v>
      </c>
      <c r="F270" s="30" t="n">
        <f aca="false">COUNTIF('Seed Catalogue'!$C$2:$C$452,B270)</f>
        <v>0</v>
      </c>
      <c r="G270" s="40" t="n">
        <v>3</v>
      </c>
      <c r="H270" s="40" t="n">
        <v>3</v>
      </c>
      <c r="I270" s="40" t="n">
        <v>2</v>
      </c>
      <c r="J270" s="40" t="n">
        <v>4</v>
      </c>
      <c r="K270" s="40" t="n">
        <v>3</v>
      </c>
      <c r="L270" s="40" t="n">
        <v>4</v>
      </c>
      <c r="M270" s="40" t="n">
        <v>4</v>
      </c>
      <c r="N270" s="40" t="n">
        <v>3</v>
      </c>
      <c r="O270" s="41" t="n">
        <f aca="false">ROUND(G270/5*$X$2+H270/5*$X$3+I270/5*$X$4+J270/5*$X$5+K270/5*$X$6+L270/5*$X$7+M270/5*$X$8-N270/5*$X$9,1)</f>
        <v>52</v>
      </c>
      <c r="P270" s="30" t="str">
        <f aca="false">IF(O270&gt;=$X$12,"Foundational deep pass",IF(O270&gt;=$X$13,"Major deep pass",IF(O270&gt;=$X$14,"Targeted innovation pass",IF(O270&gt;=$X$15,"Sampling pass","Reference / defer"))))</f>
        <v>Targeted innovation pass</v>
      </c>
      <c r="Q270" s="31" t="s">
        <v>14219</v>
      </c>
      <c r="R270" s="31" t="s">
        <v>14220</v>
      </c>
      <c r="S270" s="31" t="s">
        <v>14184</v>
      </c>
      <c r="T270" s="31" t="s">
        <v>9390</v>
      </c>
      <c r="U270" s="42" t="n">
        <v>46236</v>
      </c>
    </row>
    <row r="271" customFormat="false" ht="45.75" hidden="false" customHeight="true" outlineLevel="0" collapsed="false">
      <c r="A271" s="30" t="n">
        <v>265</v>
      </c>
      <c r="B271" s="30" t="s">
        <v>8968</v>
      </c>
      <c r="C271" s="31" t="s">
        <v>8969</v>
      </c>
      <c r="D271" s="31" t="s">
        <v>8950</v>
      </c>
      <c r="E271" s="31" t="s">
        <v>8971</v>
      </c>
      <c r="F271" s="30" t="n">
        <f aca="false">COUNTIF('Seed Catalogue'!$C$2:$C$452,B271)</f>
        <v>0</v>
      </c>
      <c r="G271" s="40" t="n">
        <v>3</v>
      </c>
      <c r="H271" s="40" t="n">
        <v>3</v>
      </c>
      <c r="I271" s="40" t="n">
        <v>2</v>
      </c>
      <c r="J271" s="40" t="n">
        <v>4</v>
      </c>
      <c r="K271" s="40" t="n">
        <v>3</v>
      </c>
      <c r="L271" s="40" t="n">
        <v>4</v>
      </c>
      <c r="M271" s="40" t="n">
        <v>4</v>
      </c>
      <c r="N271" s="40" t="n">
        <v>3</v>
      </c>
      <c r="O271" s="41" t="n">
        <f aca="false">ROUND(G271/5*$X$2+H271/5*$X$3+I271/5*$X$4+J271/5*$X$5+K271/5*$X$6+L271/5*$X$7+M271/5*$X$8-N271/5*$X$9,1)</f>
        <v>52</v>
      </c>
      <c r="P271" s="30" t="str">
        <f aca="false">IF(O271&gt;=$X$12,"Foundational deep pass",IF(O271&gt;=$X$13,"Major deep pass",IF(O271&gt;=$X$14,"Targeted innovation pass",IF(O271&gt;=$X$15,"Sampling pass","Reference / defer"))))</f>
        <v>Targeted innovation pass</v>
      </c>
      <c r="Q271" s="31" t="s">
        <v>14221</v>
      </c>
      <c r="R271" s="31" t="s">
        <v>14222</v>
      </c>
      <c r="S271" s="31" t="s">
        <v>14184</v>
      </c>
      <c r="T271" s="31" t="s">
        <v>8974</v>
      </c>
      <c r="U271" s="42" t="n">
        <v>46236</v>
      </c>
    </row>
    <row r="272" customFormat="false" ht="45.75" hidden="false" customHeight="true" outlineLevel="0" collapsed="false">
      <c r="A272" s="30" t="n">
        <v>266</v>
      </c>
      <c r="B272" s="30" t="s">
        <v>9281</v>
      </c>
      <c r="C272" s="31" t="s">
        <v>9282</v>
      </c>
      <c r="D272" s="31" t="s">
        <v>9284</v>
      </c>
      <c r="E272" s="31" t="s">
        <v>8226</v>
      </c>
      <c r="F272" s="30" t="n">
        <f aca="false">COUNTIF('Seed Catalogue'!$C$2:$C$452,B272)</f>
        <v>0</v>
      </c>
      <c r="G272" s="40" t="n">
        <v>3</v>
      </c>
      <c r="H272" s="40" t="n">
        <v>3</v>
      </c>
      <c r="I272" s="40" t="n">
        <v>2</v>
      </c>
      <c r="J272" s="40" t="n">
        <v>4</v>
      </c>
      <c r="K272" s="40" t="n">
        <v>3</v>
      </c>
      <c r="L272" s="40" t="n">
        <v>4</v>
      </c>
      <c r="M272" s="40" t="n">
        <v>4</v>
      </c>
      <c r="N272" s="40" t="n">
        <v>3</v>
      </c>
      <c r="O272" s="41" t="n">
        <f aca="false">ROUND(G272/5*$X$2+H272/5*$X$3+I272/5*$X$4+J272/5*$X$5+K272/5*$X$6+L272/5*$X$7+M272/5*$X$8-N272/5*$X$9,1)</f>
        <v>52</v>
      </c>
      <c r="P272" s="30" t="str">
        <f aca="false">IF(O272&gt;=$X$12,"Foundational deep pass",IF(O272&gt;=$X$13,"Major deep pass",IF(O272&gt;=$X$14,"Targeted innovation pass",IF(O272&gt;=$X$15,"Sampling pass","Reference / defer"))))</f>
        <v>Targeted innovation pass</v>
      </c>
      <c r="Q272" s="31" t="s">
        <v>14219</v>
      </c>
      <c r="R272" s="31" t="s">
        <v>14220</v>
      </c>
      <c r="S272" s="31" t="s">
        <v>14184</v>
      </c>
      <c r="T272" s="31" t="s">
        <v>9286</v>
      </c>
      <c r="U272" s="42" t="n">
        <v>46236</v>
      </c>
    </row>
    <row r="273" customFormat="false" ht="45.75" hidden="false" customHeight="true" outlineLevel="0" collapsed="false">
      <c r="A273" s="30" t="n">
        <v>267</v>
      </c>
      <c r="B273" s="30" t="s">
        <v>8947</v>
      </c>
      <c r="C273" s="31" t="s">
        <v>8948</v>
      </c>
      <c r="D273" s="31" t="s">
        <v>8950</v>
      </c>
      <c r="E273" s="31" t="s">
        <v>8307</v>
      </c>
      <c r="F273" s="30" t="n">
        <f aca="false">COUNTIF('Seed Catalogue'!$C$2:$C$452,B273)</f>
        <v>0</v>
      </c>
      <c r="G273" s="40" t="n">
        <v>3</v>
      </c>
      <c r="H273" s="40" t="n">
        <v>3</v>
      </c>
      <c r="I273" s="40" t="n">
        <v>2</v>
      </c>
      <c r="J273" s="40" t="n">
        <v>4</v>
      </c>
      <c r="K273" s="40" t="n">
        <v>3</v>
      </c>
      <c r="L273" s="40" t="n">
        <v>4</v>
      </c>
      <c r="M273" s="40" t="n">
        <v>4</v>
      </c>
      <c r="N273" s="40" t="n">
        <v>3</v>
      </c>
      <c r="O273" s="41" t="n">
        <f aca="false">ROUND(G273/5*$X$2+H273/5*$X$3+I273/5*$X$4+J273/5*$X$5+K273/5*$X$6+L273/5*$X$7+M273/5*$X$8-N273/5*$X$9,1)</f>
        <v>52</v>
      </c>
      <c r="P273" s="30" t="str">
        <f aca="false">IF(O273&gt;=$X$12,"Foundational deep pass",IF(O273&gt;=$X$13,"Major deep pass",IF(O273&gt;=$X$14,"Targeted innovation pass",IF(O273&gt;=$X$15,"Sampling pass","Reference / defer"))))</f>
        <v>Targeted innovation pass</v>
      </c>
      <c r="Q273" s="31" t="s">
        <v>14221</v>
      </c>
      <c r="R273" s="31" t="s">
        <v>14222</v>
      </c>
      <c r="S273" s="31" t="s">
        <v>14184</v>
      </c>
      <c r="T273" s="31" t="s">
        <v>8953</v>
      </c>
      <c r="U273" s="42" t="n">
        <v>46236</v>
      </c>
    </row>
    <row r="274" customFormat="false" ht="45.75" hidden="false" customHeight="true" outlineLevel="0" collapsed="false">
      <c r="A274" s="30" t="n">
        <v>268</v>
      </c>
      <c r="B274" s="30" t="s">
        <v>9314</v>
      </c>
      <c r="C274" s="31" t="s">
        <v>9315</v>
      </c>
      <c r="D274" s="31" t="s">
        <v>8984</v>
      </c>
      <c r="E274" s="31" t="s">
        <v>8226</v>
      </c>
      <c r="F274" s="30" t="n">
        <f aca="false">COUNTIF('Seed Catalogue'!$C$2:$C$452,B274)</f>
        <v>0</v>
      </c>
      <c r="G274" s="40" t="n">
        <v>3</v>
      </c>
      <c r="H274" s="40" t="n">
        <v>3</v>
      </c>
      <c r="I274" s="40" t="n">
        <v>2</v>
      </c>
      <c r="J274" s="40" t="n">
        <v>4</v>
      </c>
      <c r="K274" s="40" t="n">
        <v>3</v>
      </c>
      <c r="L274" s="40" t="n">
        <v>4</v>
      </c>
      <c r="M274" s="40" t="n">
        <v>4</v>
      </c>
      <c r="N274" s="40" t="n">
        <v>3</v>
      </c>
      <c r="O274" s="41" t="n">
        <f aca="false">ROUND(G274/5*$X$2+H274/5*$X$3+I274/5*$X$4+J274/5*$X$5+K274/5*$X$6+L274/5*$X$7+M274/5*$X$8-N274/5*$X$9,1)</f>
        <v>52</v>
      </c>
      <c r="P274" s="30" t="str">
        <f aca="false">IF(O274&gt;=$X$12,"Foundational deep pass",IF(O274&gt;=$X$13,"Major deep pass",IF(O274&gt;=$X$14,"Targeted innovation pass",IF(O274&gt;=$X$15,"Sampling pass","Reference / defer"))))</f>
        <v>Targeted innovation pass</v>
      </c>
      <c r="Q274" s="31" t="s">
        <v>14219</v>
      </c>
      <c r="R274" s="31" t="s">
        <v>14220</v>
      </c>
      <c r="S274" s="31" t="s">
        <v>14184</v>
      </c>
      <c r="T274" s="31" t="s">
        <v>9319</v>
      </c>
      <c r="U274" s="42" t="n">
        <v>46236</v>
      </c>
    </row>
    <row r="275" customFormat="false" ht="45.75" hidden="false" customHeight="true" outlineLevel="0" collapsed="false">
      <c r="A275" s="30" t="n">
        <v>269</v>
      </c>
      <c r="B275" s="30" t="s">
        <v>9105</v>
      </c>
      <c r="C275" s="31" t="s">
        <v>9106</v>
      </c>
      <c r="D275" s="31" t="s">
        <v>9077</v>
      </c>
      <c r="E275" s="31" t="s">
        <v>8343</v>
      </c>
      <c r="F275" s="30" t="n">
        <f aca="false">COUNTIF('Seed Catalogue'!$C$2:$C$452,B275)</f>
        <v>0</v>
      </c>
      <c r="G275" s="40" t="n">
        <v>3</v>
      </c>
      <c r="H275" s="40" t="n">
        <v>3</v>
      </c>
      <c r="I275" s="40" t="n">
        <v>2</v>
      </c>
      <c r="J275" s="40" t="n">
        <v>4</v>
      </c>
      <c r="K275" s="40" t="n">
        <v>3</v>
      </c>
      <c r="L275" s="40" t="n">
        <v>4</v>
      </c>
      <c r="M275" s="40" t="n">
        <v>4</v>
      </c>
      <c r="N275" s="40" t="n">
        <v>3</v>
      </c>
      <c r="O275" s="41" t="n">
        <f aca="false">ROUND(G275/5*$X$2+H275/5*$X$3+I275/5*$X$4+J275/5*$X$5+K275/5*$X$6+L275/5*$X$7+M275/5*$X$8-N275/5*$X$9,1)</f>
        <v>52</v>
      </c>
      <c r="P275" s="30" t="str">
        <f aca="false">IF(O275&gt;=$X$12,"Foundational deep pass",IF(O275&gt;=$X$13,"Major deep pass",IF(O275&gt;=$X$14,"Targeted innovation pass",IF(O275&gt;=$X$15,"Sampling pass","Reference / defer"))))</f>
        <v>Targeted innovation pass</v>
      </c>
      <c r="Q275" s="31" t="s">
        <v>14219</v>
      </c>
      <c r="R275" s="31" t="s">
        <v>14220</v>
      </c>
      <c r="S275" s="31" t="s">
        <v>14184</v>
      </c>
      <c r="T275" s="31" t="s">
        <v>9110</v>
      </c>
      <c r="U275" s="42" t="n">
        <v>46236</v>
      </c>
    </row>
    <row r="276" customFormat="false" ht="45.75" hidden="false" customHeight="true" outlineLevel="0" collapsed="false">
      <c r="A276" s="30" t="n">
        <v>270</v>
      </c>
      <c r="B276" s="30" t="s">
        <v>9320</v>
      </c>
      <c r="C276" s="31" t="s">
        <v>9321</v>
      </c>
      <c r="D276" s="31" t="s">
        <v>8984</v>
      </c>
      <c r="E276" s="31" t="s">
        <v>8226</v>
      </c>
      <c r="F276" s="30" t="n">
        <f aca="false">COUNTIF('Seed Catalogue'!$C$2:$C$452,B276)</f>
        <v>0</v>
      </c>
      <c r="G276" s="40" t="n">
        <v>3</v>
      </c>
      <c r="H276" s="40" t="n">
        <v>3</v>
      </c>
      <c r="I276" s="40" t="n">
        <v>2</v>
      </c>
      <c r="J276" s="40" t="n">
        <v>4</v>
      </c>
      <c r="K276" s="40" t="n">
        <v>3</v>
      </c>
      <c r="L276" s="40" t="n">
        <v>4</v>
      </c>
      <c r="M276" s="40" t="n">
        <v>4</v>
      </c>
      <c r="N276" s="40" t="n">
        <v>3</v>
      </c>
      <c r="O276" s="41" t="n">
        <f aca="false">ROUND(G276/5*$X$2+H276/5*$X$3+I276/5*$X$4+J276/5*$X$5+K276/5*$X$6+L276/5*$X$7+M276/5*$X$8-N276/5*$X$9,1)</f>
        <v>52</v>
      </c>
      <c r="P276" s="30" t="str">
        <f aca="false">IF(O276&gt;=$X$12,"Foundational deep pass",IF(O276&gt;=$X$13,"Major deep pass",IF(O276&gt;=$X$14,"Targeted innovation pass",IF(O276&gt;=$X$15,"Sampling pass","Reference / defer"))))</f>
        <v>Targeted innovation pass</v>
      </c>
      <c r="Q276" s="31" t="s">
        <v>14219</v>
      </c>
      <c r="R276" s="31" t="s">
        <v>14220</v>
      </c>
      <c r="S276" s="31" t="s">
        <v>14184</v>
      </c>
      <c r="T276" s="31" t="s">
        <v>9326</v>
      </c>
      <c r="U276" s="42" t="n">
        <v>46236</v>
      </c>
    </row>
    <row r="277" customFormat="false" ht="45.75" hidden="false" customHeight="true" outlineLevel="0" collapsed="false">
      <c r="A277" s="30" t="n">
        <v>271</v>
      </c>
      <c r="B277" s="30" t="s">
        <v>9327</v>
      </c>
      <c r="C277" s="31" t="s">
        <v>9328</v>
      </c>
      <c r="D277" s="31" t="s">
        <v>9130</v>
      </c>
      <c r="E277" s="31" t="s">
        <v>8226</v>
      </c>
      <c r="F277" s="30" t="n">
        <f aca="false">COUNTIF('Seed Catalogue'!$C$2:$C$452,B277)</f>
        <v>0</v>
      </c>
      <c r="G277" s="40" t="n">
        <v>3</v>
      </c>
      <c r="H277" s="40" t="n">
        <v>3</v>
      </c>
      <c r="I277" s="40" t="n">
        <v>2</v>
      </c>
      <c r="J277" s="40" t="n">
        <v>4</v>
      </c>
      <c r="K277" s="40" t="n">
        <v>3</v>
      </c>
      <c r="L277" s="40" t="n">
        <v>4</v>
      </c>
      <c r="M277" s="40" t="n">
        <v>4</v>
      </c>
      <c r="N277" s="40" t="n">
        <v>3</v>
      </c>
      <c r="O277" s="41" t="n">
        <f aca="false">ROUND(G277/5*$X$2+H277/5*$X$3+I277/5*$X$4+J277/5*$X$5+K277/5*$X$6+L277/5*$X$7+M277/5*$X$8-N277/5*$X$9,1)</f>
        <v>52</v>
      </c>
      <c r="P277" s="30" t="str">
        <f aca="false">IF(O277&gt;=$X$12,"Foundational deep pass",IF(O277&gt;=$X$13,"Major deep pass",IF(O277&gt;=$X$14,"Targeted innovation pass",IF(O277&gt;=$X$15,"Sampling pass","Reference / defer"))))</f>
        <v>Targeted innovation pass</v>
      </c>
      <c r="Q277" s="31" t="s">
        <v>14219</v>
      </c>
      <c r="R277" s="31" t="s">
        <v>14220</v>
      </c>
      <c r="S277" s="31" t="s">
        <v>14184</v>
      </c>
      <c r="T277" s="31" t="s">
        <v>9331</v>
      </c>
      <c r="U277" s="42" t="n">
        <v>46236</v>
      </c>
    </row>
    <row r="278" customFormat="false" ht="45.75" hidden="false" customHeight="true" outlineLevel="0" collapsed="false">
      <c r="A278" s="30" t="n">
        <v>272</v>
      </c>
      <c r="B278" s="30" t="s">
        <v>9264</v>
      </c>
      <c r="C278" s="31" t="s">
        <v>9265</v>
      </c>
      <c r="D278" s="31" t="s">
        <v>9000</v>
      </c>
      <c r="E278" s="31" t="s">
        <v>8226</v>
      </c>
      <c r="F278" s="30" t="n">
        <f aca="false">COUNTIF('Seed Catalogue'!$C$2:$C$452,B278)</f>
        <v>0</v>
      </c>
      <c r="G278" s="40" t="n">
        <v>3</v>
      </c>
      <c r="H278" s="40" t="n">
        <v>3</v>
      </c>
      <c r="I278" s="40" t="n">
        <v>2</v>
      </c>
      <c r="J278" s="40" t="n">
        <v>4</v>
      </c>
      <c r="K278" s="40" t="n">
        <v>3</v>
      </c>
      <c r="L278" s="40" t="n">
        <v>4</v>
      </c>
      <c r="M278" s="40" t="n">
        <v>4</v>
      </c>
      <c r="N278" s="40" t="n">
        <v>3</v>
      </c>
      <c r="O278" s="41" t="n">
        <f aca="false">ROUND(G278/5*$X$2+H278/5*$X$3+I278/5*$X$4+J278/5*$X$5+K278/5*$X$6+L278/5*$X$7+M278/5*$X$8-N278/5*$X$9,1)</f>
        <v>52</v>
      </c>
      <c r="P278" s="30" t="str">
        <f aca="false">IF(O278&gt;=$X$12,"Foundational deep pass",IF(O278&gt;=$X$13,"Major deep pass",IF(O278&gt;=$X$14,"Targeted innovation pass",IF(O278&gt;=$X$15,"Sampling pass","Reference / defer"))))</f>
        <v>Targeted innovation pass</v>
      </c>
      <c r="Q278" s="31" t="s">
        <v>14219</v>
      </c>
      <c r="R278" s="31" t="s">
        <v>14220</v>
      </c>
      <c r="S278" s="31" t="s">
        <v>14184</v>
      </c>
      <c r="T278" s="31" t="s">
        <v>9269</v>
      </c>
      <c r="U278" s="42" t="n">
        <v>46236</v>
      </c>
    </row>
    <row r="279" customFormat="false" ht="45.75" hidden="false" customHeight="true" outlineLevel="0" collapsed="false">
      <c r="A279" s="30" t="n">
        <v>273</v>
      </c>
      <c r="B279" s="30" t="s">
        <v>9287</v>
      </c>
      <c r="C279" s="31" t="s">
        <v>9288</v>
      </c>
      <c r="D279" s="31" t="s">
        <v>9055</v>
      </c>
      <c r="E279" s="31" t="s">
        <v>8226</v>
      </c>
      <c r="F279" s="30" t="n">
        <f aca="false">COUNTIF('Seed Catalogue'!$C$2:$C$452,B279)</f>
        <v>0</v>
      </c>
      <c r="G279" s="40" t="n">
        <v>3</v>
      </c>
      <c r="H279" s="40" t="n">
        <v>3</v>
      </c>
      <c r="I279" s="40" t="n">
        <v>2</v>
      </c>
      <c r="J279" s="40" t="n">
        <v>4</v>
      </c>
      <c r="K279" s="40" t="n">
        <v>3</v>
      </c>
      <c r="L279" s="40" t="n">
        <v>4</v>
      </c>
      <c r="M279" s="40" t="n">
        <v>4</v>
      </c>
      <c r="N279" s="40" t="n">
        <v>3</v>
      </c>
      <c r="O279" s="41" t="n">
        <f aca="false">ROUND(G279/5*$X$2+H279/5*$X$3+I279/5*$X$4+J279/5*$X$5+K279/5*$X$6+L279/5*$X$7+M279/5*$X$8-N279/5*$X$9,1)</f>
        <v>52</v>
      </c>
      <c r="P279" s="30" t="str">
        <f aca="false">IF(O279&gt;=$X$12,"Foundational deep pass",IF(O279&gt;=$X$13,"Major deep pass",IF(O279&gt;=$X$14,"Targeted innovation pass",IF(O279&gt;=$X$15,"Sampling pass","Reference / defer"))))</f>
        <v>Targeted innovation pass</v>
      </c>
      <c r="Q279" s="31" t="s">
        <v>14219</v>
      </c>
      <c r="R279" s="31" t="s">
        <v>14220</v>
      </c>
      <c r="S279" s="31" t="s">
        <v>14184</v>
      </c>
      <c r="T279" s="31" t="s">
        <v>9292</v>
      </c>
      <c r="U279" s="42" t="n">
        <v>46236</v>
      </c>
    </row>
    <row r="280" customFormat="false" ht="45.75" hidden="false" customHeight="true" outlineLevel="0" collapsed="false">
      <c r="A280" s="30" t="n">
        <v>274</v>
      </c>
      <c r="B280" s="30" t="s">
        <v>9011</v>
      </c>
      <c r="C280" s="31" t="s">
        <v>9012</v>
      </c>
      <c r="D280" s="31" t="s">
        <v>9013</v>
      </c>
      <c r="E280" s="31" t="s">
        <v>8226</v>
      </c>
      <c r="F280" s="30" t="n">
        <f aca="false">COUNTIF('Seed Catalogue'!$C$2:$C$452,B280)</f>
        <v>16</v>
      </c>
      <c r="G280" s="40" t="n">
        <v>3</v>
      </c>
      <c r="H280" s="40" t="n">
        <v>3</v>
      </c>
      <c r="I280" s="40" t="n">
        <v>2</v>
      </c>
      <c r="J280" s="40" t="n">
        <v>5</v>
      </c>
      <c r="K280" s="40" t="n">
        <v>3</v>
      </c>
      <c r="L280" s="40" t="n">
        <v>4</v>
      </c>
      <c r="M280" s="40" t="n">
        <v>4</v>
      </c>
      <c r="N280" s="40" t="n">
        <v>4</v>
      </c>
      <c r="O280" s="41" t="n">
        <f aca="false">ROUND(G280/5*$X$2+H280/5*$X$3+I280/5*$X$4+J280/5*$X$5+K280/5*$X$6+L280/5*$X$7+M280/5*$X$8-N280/5*$X$9,1)</f>
        <v>51</v>
      </c>
      <c r="P280" s="30" t="str">
        <f aca="false">IF(O280&gt;=$X$12,"Foundational deep pass",IF(O280&gt;=$X$13,"Major deep pass",IF(O280&gt;=$X$14,"Targeted innovation pass",IF(O280&gt;=$X$15,"Sampling pass","Reference / defer"))))</f>
        <v>Targeted innovation pass</v>
      </c>
      <c r="Q280" s="31" t="s">
        <v>14219</v>
      </c>
      <c r="R280" s="31" t="s">
        <v>14220</v>
      </c>
      <c r="S280" s="31" t="s">
        <v>14184</v>
      </c>
      <c r="T280" s="31" t="s">
        <v>9018</v>
      </c>
      <c r="U280" s="42" t="n">
        <v>46236</v>
      </c>
    </row>
    <row r="281" customFormat="false" ht="45.75" hidden="false" customHeight="true" outlineLevel="0" collapsed="false">
      <c r="A281" s="30" t="n">
        <v>275</v>
      </c>
      <c r="B281" s="30" t="s">
        <v>9873</v>
      </c>
      <c r="C281" s="31" t="s">
        <v>9874</v>
      </c>
      <c r="D281" s="31" t="s">
        <v>9818</v>
      </c>
      <c r="E281" s="31" t="s">
        <v>9836</v>
      </c>
      <c r="F281" s="30" t="n">
        <f aca="false">COUNTIF('Seed Catalogue'!$C$2:$C$452,B281)</f>
        <v>0</v>
      </c>
      <c r="G281" s="40" t="n">
        <v>3</v>
      </c>
      <c r="H281" s="40" t="n">
        <v>3</v>
      </c>
      <c r="I281" s="40" t="n">
        <v>2</v>
      </c>
      <c r="J281" s="40" t="n">
        <v>3</v>
      </c>
      <c r="K281" s="40" t="n">
        <v>3</v>
      </c>
      <c r="L281" s="40" t="n">
        <v>5</v>
      </c>
      <c r="M281" s="40" t="n">
        <v>4</v>
      </c>
      <c r="N281" s="40" t="n">
        <v>3</v>
      </c>
      <c r="O281" s="41" t="n">
        <f aca="false">ROUND(G281/5*$X$2+H281/5*$X$3+I281/5*$X$4+J281/5*$X$5+K281/5*$X$6+L281/5*$X$7+M281/5*$X$8-N281/5*$X$9,1)</f>
        <v>51</v>
      </c>
      <c r="P281" s="30" t="str">
        <f aca="false">IF(O281&gt;=$X$12,"Foundational deep pass",IF(O281&gt;=$X$13,"Major deep pass",IF(O281&gt;=$X$14,"Targeted innovation pass",IF(O281&gt;=$X$15,"Sampling pass","Reference / defer"))))</f>
        <v>Targeted innovation pass</v>
      </c>
      <c r="Q281" s="31" t="s">
        <v>14215</v>
      </c>
      <c r="R281" s="31" t="s">
        <v>14216</v>
      </c>
      <c r="S281" s="31" t="s">
        <v>14184</v>
      </c>
      <c r="T281" s="31" t="s">
        <v>9877</v>
      </c>
      <c r="U281" s="42" t="n">
        <v>46236</v>
      </c>
    </row>
    <row r="282" customFormat="false" ht="45.75" hidden="false" customHeight="true" outlineLevel="0" collapsed="false">
      <c r="A282" s="30" t="n">
        <v>276</v>
      </c>
      <c r="B282" s="30" t="s">
        <v>9878</v>
      </c>
      <c r="C282" s="31" t="s">
        <v>9879</v>
      </c>
      <c r="D282" s="31" t="s">
        <v>9818</v>
      </c>
      <c r="E282" s="31" t="s">
        <v>9836</v>
      </c>
      <c r="F282" s="30" t="n">
        <f aca="false">COUNTIF('Seed Catalogue'!$C$2:$C$452,B282)</f>
        <v>0</v>
      </c>
      <c r="G282" s="40" t="n">
        <v>3</v>
      </c>
      <c r="H282" s="40" t="n">
        <v>3</v>
      </c>
      <c r="I282" s="40" t="n">
        <v>2</v>
      </c>
      <c r="J282" s="40" t="n">
        <v>3</v>
      </c>
      <c r="K282" s="40" t="n">
        <v>3</v>
      </c>
      <c r="L282" s="40" t="n">
        <v>5</v>
      </c>
      <c r="M282" s="40" t="n">
        <v>4</v>
      </c>
      <c r="N282" s="40" t="n">
        <v>3</v>
      </c>
      <c r="O282" s="41" t="n">
        <f aca="false">ROUND(G282/5*$X$2+H282/5*$X$3+I282/5*$X$4+J282/5*$X$5+K282/5*$X$6+L282/5*$X$7+M282/5*$X$8-N282/5*$X$9,1)</f>
        <v>51</v>
      </c>
      <c r="P282" s="30" t="str">
        <f aca="false">IF(O282&gt;=$X$12,"Foundational deep pass",IF(O282&gt;=$X$13,"Major deep pass",IF(O282&gt;=$X$14,"Targeted innovation pass",IF(O282&gt;=$X$15,"Sampling pass","Reference / defer"))))</f>
        <v>Targeted innovation pass</v>
      </c>
      <c r="Q282" s="31" t="s">
        <v>14215</v>
      </c>
      <c r="R282" s="31" t="s">
        <v>14216</v>
      </c>
      <c r="S282" s="31" t="s">
        <v>14184</v>
      </c>
      <c r="T282" s="31" t="s">
        <v>9882</v>
      </c>
      <c r="U282" s="42" t="n">
        <v>46236</v>
      </c>
    </row>
    <row r="283" customFormat="false" ht="45.75" hidden="false" customHeight="true" outlineLevel="0" collapsed="false">
      <c r="A283" s="30" t="n">
        <v>277</v>
      </c>
      <c r="B283" s="30" t="s">
        <v>9352</v>
      </c>
      <c r="C283" s="31" t="s">
        <v>9353</v>
      </c>
      <c r="D283" s="31" t="s">
        <v>9355</v>
      </c>
      <c r="E283" s="31" t="s">
        <v>8226</v>
      </c>
      <c r="F283" s="30" t="n">
        <f aca="false">COUNTIF('Seed Catalogue'!$C$2:$C$452,B283)</f>
        <v>0</v>
      </c>
      <c r="G283" s="40" t="n">
        <v>3</v>
      </c>
      <c r="H283" s="40" t="n">
        <v>3</v>
      </c>
      <c r="I283" s="40" t="n">
        <v>2</v>
      </c>
      <c r="J283" s="40" t="n">
        <v>3</v>
      </c>
      <c r="K283" s="40" t="n">
        <v>3</v>
      </c>
      <c r="L283" s="40" t="n">
        <v>4</v>
      </c>
      <c r="M283" s="40" t="n">
        <v>4</v>
      </c>
      <c r="N283" s="40" t="n">
        <v>3</v>
      </c>
      <c r="O283" s="41" t="n">
        <f aca="false">ROUND(G283/5*$X$2+H283/5*$X$3+I283/5*$X$4+J283/5*$X$5+K283/5*$X$6+L283/5*$X$7+M283/5*$X$8-N283/5*$X$9,1)</f>
        <v>49</v>
      </c>
      <c r="P283" s="30" t="str">
        <f aca="false">IF(O283&gt;=$X$12,"Foundational deep pass",IF(O283&gt;=$X$13,"Major deep pass",IF(O283&gt;=$X$14,"Targeted innovation pass",IF(O283&gt;=$X$15,"Sampling pass","Reference / defer"))))</f>
        <v>Targeted innovation pass</v>
      </c>
      <c r="Q283" s="31" t="s">
        <v>14219</v>
      </c>
      <c r="R283" s="31" t="s">
        <v>14220</v>
      </c>
      <c r="S283" s="31" t="s">
        <v>14184</v>
      </c>
      <c r="T283" s="31" t="s">
        <v>9358</v>
      </c>
      <c r="U283" s="42" t="n">
        <v>46236</v>
      </c>
    </row>
    <row r="284" customFormat="false" ht="45.75" hidden="false" customHeight="true" outlineLevel="0" collapsed="false">
      <c r="A284" s="30" t="n">
        <v>278</v>
      </c>
      <c r="B284" s="30" t="s">
        <v>9195</v>
      </c>
      <c r="C284" s="31" t="s">
        <v>9196</v>
      </c>
      <c r="D284" s="31" t="s">
        <v>9055</v>
      </c>
      <c r="E284" s="31" t="s">
        <v>8860</v>
      </c>
      <c r="F284" s="30" t="n">
        <f aca="false">COUNTIF('Seed Catalogue'!$C$2:$C$452,B284)</f>
        <v>0</v>
      </c>
      <c r="G284" s="40" t="n">
        <v>3</v>
      </c>
      <c r="H284" s="40" t="n">
        <v>3</v>
      </c>
      <c r="I284" s="40" t="n">
        <v>2</v>
      </c>
      <c r="J284" s="40" t="n">
        <v>3</v>
      </c>
      <c r="K284" s="40" t="n">
        <v>3</v>
      </c>
      <c r="L284" s="40" t="n">
        <v>4</v>
      </c>
      <c r="M284" s="40" t="n">
        <v>4</v>
      </c>
      <c r="N284" s="40" t="n">
        <v>3</v>
      </c>
      <c r="O284" s="41" t="n">
        <f aca="false">ROUND(G284/5*$X$2+H284/5*$X$3+I284/5*$X$4+J284/5*$X$5+K284/5*$X$6+L284/5*$X$7+M284/5*$X$8-N284/5*$X$9,1)</f>
        <v>49</v>
      </c>
      <c r="P284" s="30" t="str">
        <f aca="false">IF(O284&gt;=$X$12,"Foundational deep pass",IF(O284&gt;=$X$13,"Major deep pass",IF(O284&gt;=$X$14,"Targeted innovation pass",IF(O284&gt;=$X$15,"Sampling pass","Reference / defer"))))</f>
        <v>Targeted innovation pass</v>
      </c>
      <c r="Q284" s="31" t="s">
        <v>14219</v>
      </c>
      <c r="R284" s="31" t="s">
        <v>14220</v>
      </c>
      <c r="S284" s="31" t="s">
        <v>14184</v>
      </c>
      <c r="T284" s="31" t="s">
        <v>9199</v>
      </c>
      <c r="U284" s="42" t="n">
        <v>46236</v>
      </c>
    </row>
    <row r="285" customFormat="false" ht="45.75" hidden="false" customHeight="true" outlineLevel="0" collapsed="false">
      <c r="A285" s="30" t="n">
        <v>279</v>
      </c>
      <c r="B285" s="30" t="s">
        <v>8975</v>
      </c>
      <c r="C285" s="31" t="s">
        <v>8976</v>
      </c>
      <c r="D285" s="31" t="s">
        <v>8950</v>
      </c>
      <c r="E285" s="31" t="s">
        <v>8343</v>
      </c>
      <c r="F285" s="30" t="n">
        <f aca="false">COUNTIF('Seed Catalogue'!$C$2:$C$452,B285)</f>
        <v>0</v>
      </c>
      <c r="G285" s="40" t="n">
        <v>3</v>
      </c>
      <c r="H285" s="40" t="n">
        <v>3</v>
      </c>
      <c r="I285" s="40" t="n">
        <v>2</v>
      </c>
      <c r="J285" s="40" t="n">
        <v>3</v>
      </c>
      <c r="K285" s="40" t="n">
        <v>3</v>
      </c>
      <c r="L285" s="40" t="n">
        <v>4</v>
      </c>
      <c r="M285" s="40" t="n">
        <v>4</v>
      </c>
      <c r="N285" s="40" t="n">
        <v>3</v>
      </c>
      <c r="O285" s="41" t="n">
        <f aca="false">ROUND(G285/5*$X$2+H285/5*$X$3+I285/5*$X$4+J285/5*$X$5+K285/5*$X$6+L285/5*$X$7+M285/5*$X$8-N285/5*$X$9,1)</f>
        <v>49</v>
      </c>
      <c r="P285" s="30" t="str">
        <f aca="false">IF(O285&gt;=$X$12,"Foundational deep pass",IF(O285&gt;=$X$13,"Major deep pass",IF(O285&gt;=$X$14,"Targeted innovation pass",IF(O285&gt;=$X$15,"Sampling pass","Reference / defer"))))</f>
        <v>Targeted innovation pass</v>
      </c>
      <c r="Q285" s="31" t="s">
        <v>14221</v>
      </c>
      <c r="R285" s="31" t="s">
        <v>14222</v>
      </c>
      <c r="S285" s="31" t="s">
        <v>14184</v>
      </c>
      <c r="T285" s="31" t="s">
        <v>8980</v>
      </c>
      <c r="U285" s="42" t="n">
        <v>46236</v>
      </c>
    </row>
    <row r="286" customFormat="false" ht="45.75" hidden="false" customHeight="true" outlineLevel="0" collapsed="false">
      <c r="A286" s="30" t="n">
        <v>280</v>
      </c>
      <c r="B286" s="30" t="s">
        <v>9032</v>
      </c>
      <c r="C286" s="31" t="s">
        <v>9033</v>
      </c>
      <c r="D286" s="31" t="s">
        <v>9035</v>
      </c>
      <c r="E286" s="31" t="s">
        <v>8343</v>
      </c>
      <c r="F286" s="30" t="n">
        <f aca="false">COUNTIF('Seed Catalogue'!$C$2:$C$452,B286)</f>
        <v>24</v>
      </c>
      <c r="G286" s="40" t="n">
        <v>3</v>
      </c>
      <c r="H286" s="40" t="n">
        <v>3</v>
      </c>
      <c r="I286" s="40" t="n">
        <v>2</v>
      </c>
      <c r="J286" s="40" t="n">
        <v>5</v>
      </c>
      <c r="K286" s="40" t="n">
        <v>3</v>
      </c>
      <c r="L286" s="40" t="n">
        <v>4</v>
      </c>
      <c r="M286" s="40" t="n">
        <v>4</v>
      </c>
      <c r="N286" s="40" t="n">
        <v>5</v>
      </c>
      <c r="O286" s="41" t="n">
        <f aca="false">ROUND(G286/5*$X$2+H286/5*$X$3+I286/5*$X$4+J286/5*$X$5+K286/5*$X$6+L286/5*$X$7+M286/5*$X$8-N286/5*$X$9,1)</f>
        <v>47</v>
      </c>
      <c r="P286" s="30" t="str">
        <f aca="false">IF(O286&gt;=$X$12,"Foundational deep pass",IF(O286&gt;=$X$13,"Major deep pass",IF(O286&gt;=$X$14,"Targeted innovation pass",IF(O286&gt;=$X$15,"Sampling pass","Reference / defer"))))</f>
        <v>Targeted innovation pass</v>
      </c>
      <c r="Q286" s="31" t="s">
        <v>14219</v>
      </c>
      <c r="R286" s="31" t="s">
        <v>14220</v>
      </c>
      <c r="S286" s="31" t="s">
        <v>14184</v>
      </c>
      <c r="T286" s="31" t="s">
        <v>9038</v>
      </c>
      <c r="U286" s="42" t="n">
        <v>46236</v>
      </c>
    </row>
    <row r="287" customFormat="false" ht="45.75" hidden="false" customHeight="true" outlineLevel="0" collapsed="false">
      <c r="A287" s="30" t="n">
        <v>281</v>
      </c>
      <c r="B287" s="30" t="s">
        <v>9039</v>
      </c>
      <c r="C287" s="31" t="s">
        <v>9040</v>
      </c>
      <c r="D287" s="31" t="s">
        <v>9042</v>
      </c>
      <c r="E287" s="31" t="s">
        <v>8343</v>
      </c>
      <c r="F287" s="30" t="n">
        <f aca="false">COUNTIF('Seed Catalogue'!$C$2:$C$452,B287)</f>
        <v>28</v>
      </c>
      <c r="G287" s="40" t="n">
        <v>3</v>
      </c>
      <c r="H287" s="40" t="n">
        <v>3</v>
      </c>
      <c r="I287" s="40" t="n">
        <v>2</v>
      </c>
      <c r="J287" s="40" t="n">
        <v>5</v>
      </c>
      <c r="K287" s="40" t="n">
        <v>3</v>
      </c>
      <c r="L287" s="40" t="n">
        <v>4</v>
      </c>
      <c r="M287" s="40" t="n">
        <v>4</v>
      </c>
      <c r="N287" s="40" t="n">
        <v>5</v>
      </c>
      <c r="O287" s="41" t="n">
        <f aca="false">ROUND(G287/5*$X$2+H287/5*$X$3+I287/5*$X$4+J287/5*$X$5+K287/5*$X$6+L287/5*$X$7+M287/5*$X$8-N287/5*$X$9,1)</f>
        <v>47</v>
      </c>
      <c r="P287" s="30" t="str">
        <f aca="false">IF(O287&gt;=$X$12,"Foundational deep pass",IF(O287&gt;=$X$13,"Major deep pass",IF(O287&gt;=$X$14,"Targeted innovation pass",IF(O287&gt;=$X$15,"Sampling pass","Reference / defer"))))</f>
        <v>Targeted innovation pass</v>
      </c>
      <c r="Q287" s="31" t="s">
        <v>14219</v>
      </c>
      <c r="R287" s="31" t="s">
        <v>14220</v>
      </c>
      <c r="S287" s="31" t="s">
        <v>14184</v>
      </c>
      <c r="T287" s="31" t="s">
        <v>9046</v>
      </c>
      <c r="U287" s="42" t="n">
        <v>46236</v>
      </c>
    </row>
  </sheetData>
  <mergeCells count="4">
    <mergeCell ref="A1:U1"/>
    <mergeCell ref="A2:U2"/>
    <mergeCell ref="A3:U3"/>
    <mergeCell ref="W16:AD16"/>
  </mergeCells>
  <conditionalFormatting sqref="O7:O287">
    <cfRule type="dataBar" priority="2">
      <dataBar showValue="1" minLength="10" maxLength="90">
        <cfvo type="min" val="0"/>
        <cfvo type="max" val="0"/>
        <color rgb="FF5B9BD5"/>
      </dataBar>
      <extLst>
        <ext xmlns:x14="http://schemas.microsoft.com/office/spreadsheetml/2009/9/main" uri="{B025F937-C7B1-47D3-B67F-A62EFF666E3E}">
          <x14:id>{C3BD396C-B5AB-4BE9-9CA6-D336CD68E625}</x14:id>
        </ext>
      </extLst>
    </cfRule>
  </conditionalFormatting>
  <conditionalFormatting sqref="G7:M287">
    <cfRule type="colorScale" priority="3">
      <colorScale>
        <cfvo type="min" val="0"/>
        <cfvo type="percentile" val="50"/>
        <cfvo type="max" val="0"/>
        <color rgb="FFFCE8E6"/>
        <color rgb="FFFFF2CC"/>
        <color rgb="FFE2F0D9"/>
      </colorScale>
    </cfRule>
  </conditionalFormatting>
  <dataValidations count="2">
    <dataValidation allowBlank="false" errorStyle="stop" operator="between" showDropDown="false" showErrorMessage="false" showInputMessage="false" sqref="G7:M287" type="list">
      <formula1>"1,2,3,4,5"</formula1>
      <formula2>0</formula2>
    </dataValidation>
    <dataValidation allowBlank="false" errorStyle="stop" operator="between" showDropDown="false" showErrorMessage="false" showInputMessage="false" sqref="N7:N287" type="list">
      <formula1>"0,1,2,3,4,5"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extLst>
    <ext xmlns:x14="http://schemas.microsoft.com/office/spreadsheetml/2009/9/main" uri="{78C0D931-6437-407d-A8EE-F0AAD7539E65}">
      <x14:conditionalFormattings>
        <x14:conditionalFormatting xmlns:xm="http://schemas.microsoft.com/office/excel/2006/main">
          <x14:cfRule type="dataBar" id="{C3BD396C-B5AB-4BE9-9CA6-D336CD68E625}">
            <x14:dataBar minLength="10" maxLength="90" axisPosition="none" gradient="true">
              <x14:cfvo type="min"/>
              <x14:cfvo type="max"/>
              <x14:negativeFillColor rgb="FF5B9BD5"/>
              <x14:axisColor rgb="FF000000"/>
            </x14:dataBar>
          </x14:cfRule>
          <xm:sqref>O7:O287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2.09"/>
    <col collapsed="false" customWidth="true" hidden="false" outlineLevel="0" max="2" min="2" style="1" width="13.19"/>
    <col collapsed="false" customWidth="true" hidden="false" outlineLevel="0" max="3" min="3" style="1" width="10.99"/>
    <col collapsed="false" customWidth="true" hidden="false" outlineLevel="0" max="4" min="4" style="1" width="24.18"/>
    <col collapsed="false" customWidth="true" hidden="false" outlineLevel="0" max="5" min="5" style="1" width="19.79"/>
    <col collapsed="false" customWidth="true" hidden="false" outlineLevel="0" max="7" min="6" style="1" width="21.98"/>
    <col collapsed="false" customWidth="true" hidden="false" outlineLevel="0" max="8" min="8" style="1" width="24.18"/>
    <col collapsed="false" customWidth="true" hidden="false" outlineLevel="0" max="9" min="9" style="1" width="26.38"/>
    <col collapsed="false" customWidth="true" hidden="false" outlineLevel="0" max="10" min="10" style="1" width="30.77"/>
    <col collapsed="false" customWidth="true" hidden="false" outlineLevel="0" max="11" min="11" style="1" width="37.37"/>
    <col collapsed="false" customWidth="true" hidden="false" outlineLevel="0" max="12" min="12" style="1" width="28.58"/>
    <col collapsed="false" customWidth="true" hidden="false" outlineLevel="0" max="13" min="13" style="1" width="35.17"/>
    <col collapsed="false" customWidth="true" hidden="false" outlineLevel="0" max="14" min="14" style="1" width="50.56"/>
    <col collapsed="false" customWidth="true" hidden="false" outlineLevel="0" max="15" min="15" style="1" width="32.97"/>
    <col collapsed="false" customWidth="true" hidden="false" outlineLevel="0" max="16" min="16" style="1" width="26.38"/>
    <col collapsed="false" customWidth="true" hidden="false" outlineLevel="0" max="17" min="17" style="1" width="37.37"/>
    <col collapsed="false" customWidth="true" hidden="false" outlineLevel="0" max="18" min="18" style="1" width="17.59"/>
  </cols>
  <sheetData>
    <row r="1" customFormat="false" ht="27.75" hidden="false" customHeight="true" outlineLevel="0" collapsed="false">
      <c r="A1" s="2" t="s">
        <v>14225</v>
      </c>
      <c r="B1" s="2"/>
      <c r="C1" s="2"/>
      <c r="D1" s="2"/>
      <c r="E1" s="2"/>
      <c r="F1" s="2"/>
      <c r="G1" s="2"/>
      <c r="H1" s="2"/>
      <c r="I1" s="2"/>
      <c r="J1" s="2"/>
      <c r="K1" s="2"/>
      <c r="L1" s="2"/>
      <c r="M1" s="2"/>
      <c r="N1" s="2"/>
      <c r="O1" s="2"/>
      <c r="P1" s="2"/>
      <c r="Q1" s="2"/>
      <c r="R1" s="2"/>
    </row>
    <row r="2" customFormat="false" ht="27.75" hidden="false" customHeight="true" outlineLevel="0" collapsed="false">
      <c r="A2" s="38" t="s">
        <v>14226</v>
      </c>
      <c r="B2" s="38"/>
      <c r="C2" s="38"/>
      <c r="D2" s="38"/>
      <c r="E2" s="38"/>
      <c r="F2" s="38"/>
      <c r="G2" s="38"/>
      <c r="H2" s="38"/>
      <c r="I2" s="38"/>
      <c r="J2" s="38"/>
      <c r="K2" s="38"/>
      <c r="L2" s="38"/>
      <c r="M2" s="38"/>
      <c r="N2" s="38"/>
      <c r="O2" s="38"/>
      <c r="P2" s="38"/>
      <c r="Q2" s="38"/>
      <c r="R2" s="38"/>
    </row>
    <row r="3" customFormat="false" ht="39.75" hidden="false" customHeight="true" outlineLevel="0" collapsed="false">
      <c r="A3" s="39" t="s">
        <v>14227</v>
      </c>
      <c r="B3" s="39"/>
      <c r="C3" s="39"/>
      <c r="D3" s="39"/>
      <c r="E3" s="39"/>
      <c r="F3" s="39"/>
      <c r="G3" s="39"/>
      <c r="H3" s="39"/>
      <c r="I3" s="39"/>
      <c r="J3" s="39"/>
      <c r="K3" s="39"/>
      <c r="L3" s="39"/>
      <c r="M3" s="39"/>
      <c r="N3" s="39"/>
      <c r="O3" s="39"/>
      <c r="P3" s="39"/>
      <c r="Q3" s="39"/>
      <c r="R3" s="39"/>
    </row>
    <row r="4" customFormat="false" ht="42" hidden="false" customHeight="true" outlineLevel="0" collapsed="false">
      <c r="A4" s="37" t="s">
        <v>13909</v>
      </c>
      <c r="B4" s="37" t="s">
        <v>13912</v>
      </c>
      <c r="C4" s="37" t="s">
        <v>8062</v>
      </c>
      <c r="D4" s="37" t="s">
        <v>13916</v>
      </c>
      <c r="E4" s="37" t="s">
        <v>13919</v>
      </c>
      <c r="F4" s="37" t="s">
        <v>13922</v>
      </c>
      <c r="G4" s="37" t="s">
        <v>13925</v>
      </c>
      <c r="H4" s="37" t="s">
        <v>13928</v>
      </c>
      <c r="I4" s="37" t="s">
        <v>13931</v>
      </c>
      <c r="J4" s="37" t="s">
        <v>13934</v>
      </c>
      <c r="K4" s="37" t="s">
        <v>13937</v>
      </c>
      <c r="L4" s="37" t="s">
        <v>13575</v>
      </c>
      <c r="M4" s="37" t="s">
        <v>13942</v>
      </c>
      <c r="N4" s="37" t="s">
        <v>13945</v>
      </c>
      <c r="O4" s="37" t="s">
        <v>13559</v>
      </c>
      <c r="P4" s="37" t="s">
        <v>13950</v>
      </c>
      <c r="Q4" s="37" t="s">
        <v>8071</v>
      </c>
      <c r="R4" s="37" t="s">
        <v>9951</v>
      </c>
    </row>
    <row r="5" customFormat="false" ht="63.75" hidden="false" customHeight="true" outlineLevel="0" collapsed="false">
      <c r="A5" s="30" t="s">
        <v>14228</v>
      </c>
      <c r="B5" s="30" t="s">
        <v>11979</v>
      </c>
      <c r="C5" s="30" t="s">
        <v>9889</v>
      </c>
      <c r="D5" s="31" t="s">
        <v>14229</v>
      </c>
      <c r="E5" s="31" t="s">
        <v>14230</v>
      </c>
      <c r="F5" s="31" t="s">
        <v>14231</v>
      </c>
      <c r="G5" s="31" t="s">
        <v>14229</v>
      </c>
      <c r="H5" s="31" t="s">
        <v>14232</v>
      </c>
      <c r="I5" s="31" t="s">
        <v>14233</v>
      </c>
      <c r="J5" s="31" t="s">
        <v>14234</v>
      </c>
      <c r="K5" s="31" t="s">
        <v>14235</v>
      </c>
      <c r="L5" s="31" t="s">
        <v>13581</v>
      </c>
      <c r="M5" s="31" t="s">
        <v>14236</v>
      </c>
      <c r="N5" s="31" t="s">
        <v>14237</v>
      </c>
      <c r="O5" s="31" t="s">
        <v>13565</v>
      </c>
      <c r="P5" s="31" t="s">
        <v>14238</v>
      </c>
      <c r="Q5" s="31" t="s">
        <v>8192</v>
      </c>
      <c r="R5" s="31" t="s">
        <v>9963</v>
      </c>
    </row>
    <row r="6" customFormat="false" ht="63.75" hidden="false" customHeight="true" outlineLevel="0" collapsed="false">
      <c r="A6" s="30" t="s">
        <v>14239</v>
      </c>
      <c r="B6" s="30" t="s">
        <v>11991</v>
      </c>
      <c r="C6" s="30" t="s">
        <v>9889</v>
      </c>
      <c r="D6" s="31" t="s">
        <v>14240</v>
      </c>
      <c r="E6" s="31" t="s">
        <v>14230</v>
      </c>
      <c r="F6" s="31" t="s">
        <v>14241</v>
      </c>
      <c r="G6" s="31" t="s">
        <v>14240</v>
      </c>
      <c r="H6" s="31" t="s">
        <v>14242</v>
      </c>
      <c r="I6" s="31" t="s">
        <v>14233</v>
      </c>
      <c r="J6" s="31" t="s">
        <v>14234</v>
      </c>
      <c r="K6" s="31" t="s">
        <v>14235</v>
      </c>
      <c r="L6" s="31" t="s">
        <v>13581</v>
      </c>
      <c r="M6" s="31" t="s">
        <v>14243</v>
      </c>
      <c r="N6" s="31" t="s">
        <v>14244</v>
      </c>
      <c r="O6" s="31" t="s">
        <v>13565</v>
      </c>
      <c r="P6" s="31" t="s">
        <v>14238</v>
      </c>
      <c r="Q6" s="31" t="s">
        <v>8192</v>
      </c>
      <c r="R6" s="31" t="s">
        <v>9963</v>
      </c>
    </row>
    <row r="7" customFormat="false" ht="63.75" hidden="false" customHeight="true" outlineLevel="0" collapsed="false">
      <c r="A7" s="30" t="s">
        <v>14245</v>
      </c>
      <c r="B7" s="30" t="s">
        <v>12000</v>
      </c>
      <c r="C7" s="30" t="s">
        <v>9889</v>
      </c>
      <c r="D7" s="31" t="s">
        <v>14246</v>
      </c>
      <c r="E7" s="31" t="s">
        <v>14230</v>
      </c>
      <c r="F7" s="31" t="s">
        <v>14247</v>
      </c>
      <c r="G7" s="31" t="s">
        <v>14246</v>
      </c>
      <c r="H7" s="31" t="s">
        <v>14248</v>
      </c>
      <c r="I7" s="31" t="s">
        <v>14233</v>
      </c>
      <c r="J7" s="31" t="s">
        <v>14234</v>
      </c>
      <c r="K7" s="31" t="s">
        <v>14235</v>
      </c>
      <c r="L7" s="31" t="s">
        <v>13581</v>
      </c>
      <c r="M7" s="31" t="s">
        <v>14249</v>
      </c>
      <c r="N7" s="31" t="s">
        <v>14250</v>
      </c>
      <c r="O7" s="31" t="s">
        <v>13565</v>
      </c>
      <c r="P7" s="31" t="s">
        <v>14238</v>
      </c>
      <c r="Q7" s="31" t="s">
        <v>8192</v>
      </c>
      <c r="R7" s="31" t="s">
        <v>9963</v>
      </c>
    </row>
    <row r="8" customFormat="false" ht="63.75" hidden="false" customHeight="true" outlineLevel="0" collapsed="false">
      <c r="A8" s="30" t="s">
        <v>14251</v>
      </c>
      <c r="B8" s="30" t="s">
        <v>12010</v>
      </c>
      <c r="C8" s="30" t="s">
        <v>9889</v>
      </c>
      <c r="D8" s="31" t="s">
        <v>14252</v>
      </c>
      <c r="E8" s="31" t="s">
        <v>14230</v>
      </c>
      <c r="F8" s="31" t="s">
        <v>14253</v>
      </c>
      <c r="G8" s="31" t="s">
        <v>14252</v>
      </c>
      <c r="H8" s="31" t="s">
        <v>14254</v>
      </c>
      <c r="I8" s="31" t="s">
        <v>14233</v>
      </c>
      <c r="J8" s="31" t="s">
        <v>14234</v>
      </c>
      <c r="K8" s="31" t="s">
        <v>14235</v>
      </c>
      <c r="L8" s="31" t="s">
        <v>13581</v>
      </c>
      <c r="M8" s="31" t="s">
        <v>14255</v>
      </c>
      <c r="N8" s="31" t="s">
        <v>14256</v>
      </c>
      <c r="O8" s="31" t="s">
        <v>13565</v>
      </c>
      <c r="P8" s="31" t="s">
        <v>14238</v>
      </c>
      <c r="Q8" s="31" t="s">
        <v>8192</v>
      </c>
      <c r="R8" s="31" t="s">
        <v>9963</v>
      </c>
    </row>
    <row r="9" customFormat="false" ht="63.75" hidden="false" customHeight="true" outlineLevel="0" collapsed="false">
      <c r="A9" s="30" t="s">
        <v>14257</v>
      </c>
      <c r="B9" s="30" t="s">
        <v>12020</v>
      </c>
      <c r="C9" s="30" t="s">
        <v>9889</v>
      </c>
      <c r="D9" s="31" t="s">
        <v>14258</v>
      </c>
      <c r="E9" s="31" t="s">
        <v>14230</v>
      </c>
      <c r="F9" s="31" t="s">
        <v>14259</v>
      </c>
      <c r="G9" s="31" t="s">
        <v>14258</v>
      </c>
      <c r="H9" s="31" t="s">
        <v>14260</v>
      </c>
      <c r="I9" s="31" t="s">
        <v>14233</v>
      </c>
      <c r="J9" s="31" t="s">
        <v>14234</v>
      </c>
      <c r="K9" s="31" t="s">
        <v>14235</v>
      </c>
      <c r="L9" s="31" t="s">
        <v>13581</v>
      </c>
      <c r="M9" s="31" t="s">
        <v>14261</v>
      </c>
      <c r="N9" s="31" t="s">
        <v>14262</v>
      </c>
      <c r="O9" s="31" t="s">
        <v>13565</v>
      </c>
      <c r="P9" s="31" t="s">
        <v>14238</v>
      </c>
      <c r="Q9" s="31" t="s">
        <v>8192</v>
      </c>
      <c r="R9" s="31" t="s">
        <v>9963</v>
      </c>
    </row>
    <row r="10" customFormat="false" ht="63.75" hidden="false" customHeight="true" outlineLevel="0" collapsed="false">
      <c r="A10" s="30" t="s">
        <v>14263</v>
      </c>
      <c r="B10" s="30" t="s">
        <v>12030</v>
      </c>
      <c r="C10" s="30" t="s">
        <v>9889</v>
      </c>
      <c r="D10" s="31" t="s">
        <v>14264</v>
      </c>
      <c r="E10" s="31" t="s">
        <v>14230</v>
      </c>
      <c r="F10" s="31" t="s">
        <v>14265</v>
      </c>
      <c r="G10" s="31" t="s">
        <v>14264</v>
      </c>
      <c r="H10" s="31" t="s">
        <v>14266</v>
      </c>
      <c r="I10" s="31" t="s">
        <v>14233</v>
      </c>
      <c r="J10" s="31" t="s">
        <v>14234</v>
      </c>
      <c r="K10" s="31" t="s">
        <v>14235</v>
      </c>
      <c r="L10" s="31" t="s">
        <v>13581</v>
      </c>
      <c r="M10" s="31" t="s">
        <v>14267</v>
      </c>
      <c r="N10" s="31" t="s">
        <v>14268</v>
      </c>
      <c r="O10" s="31" t="s">
        <v>13565</v>
      </c>
      <c r="P10" s="31" t="s">
        <v>14238</v>
      </c>
      <c r="Q10" s="31" t="s">
        <v>8192</v>
      </c>
      <c r="R10" s="31" t="s">
        <v>9963</v>
      </c>
    </row>
    <row r="11" customFormat="false" ht="63.75" hidden="false" customHeight="true" outlineLevel="0" collapsed="false">
      <c r="A11" s="30" t="s">
        <v>14269</v>
      </c>
      <c r="B11" s="30" t="s">
        <v>12039</v>
      </c>
      <c r="C11" s="30" t="s">
        <v>9889</v>
      </c>
      <c r="D11" s="31" t="s">
        <v>14270</v>
      </c>
      <c r="E11" s="31" t="s">
        <v>14230</v>
      </c>
      <c r="F11" s="31" t="s">
        <v>14271</v>
      </c>
      <c r="G11" s="31" t="s">
        <v>14270</v>
      </c>
      <c r="H11" s="31" t="s">
        <v>14272</v>
      </c>
      <c r="I11" s="31" t="s">
        <v>14233</v>
      </c>
      <c r="J11" s="31" t="s">
        <v>14234</v>
      </c>
      <c r="K11" s="31" t="s">
        <v>14235</v>
      </c>
      <c r="L11" s="31" t="s">
        <v>13581</v>
      </c>
      <c r="M11" s="31" t="s">
        <v>14273</v>
      </c>
      <c r="N11" s="31" t="s">
        <v>14274</v>
      </c>
      <c r="O11" s="31" t="s">
        <v>13565</v>
      </c>
      <c r="P11" s="31" t="s">
        <v>14238</v>
      </c>
      <c r="Q11" s="31" t="s">
        <v>8192</v>
      </c>
      <c r="R11" s="31" t="s">
        <v>9963</v>
      </c>
    </row>
    <row r="12" customFormat="false" ht="63.75" hidden="false" customHeight="true" outlineLevel="0" collapsed="false">
      <c r="A12" s="30" t="s">
        <v>14275</v>
      </c>
      <c r="B12" s="30" t="s">
        <v>12049</v>
      </c>
      <c r="C12" s="30" t="s">
        <v>9889</v>
      </c>
      <c r="D12" s="31" t="s">
        <v>14276</v>
      </c>
      <c r="E12" s="31" t="s">
        <v>14230</v>
      </c>
      <c r="F12" s="31" t="s">
        <v>14277</v>
      </c>
      <c r="G12" s="31" t="s">
        <v>14276</v>
      </c>
      <c r="H12" s="31" t="s">
        <v>14278</v>
      </c>
      <c r="I12" s="31" t="s">
        <v>14233</v>
      </c>
      <c r="J12" s="31" t="s">
        <v>14234</v>
      </c>
      <c r="K12" s="31" t="s">
        <v>14235</v>
      </c>
      <c r="L12" s="31" t="s">
        <v>13581</v>
      </c>
      <c r="M12" s="31" t="s">
        <v>14279</v>
      </c>
      <c r="N12" s="31" t="s">
        <v>14280</v>
      </c>
      <c r="O12" s="31" t="s">
        <v>13565</v>
      </c>
      <c r="P12" s="31" t="s">
        <v>14238</v>
      </c>
      <c r="Q12" s="31" t="s">
        <v>8192</v>
      </c>
      <c r="R12" s="31" t="s">
        <v>9963</v>
      </c>
    </row>
    <row r="13" customFormat="false" ht="63.75" hidden="false" customHeight="true" outlineLevel="0" collapsed="false">
      <c r="A13" s="30" t="s">
        <v>14281</v>
      </c>
      <c r="B13" s="30" t="s">
        <v>12070</v>
      </c>
      <c r="C13" s="30" t="s">
        <v>9889</v>
      </c>
      <c r="D13" s="31" t="s">
        <v>14282</v>
      </c>
      <c r="E13" s="31" t="s">
        <v>14230</v>
      </c>
      <c r="F13" s="31" t="s">
        <v>14283</v>
      </c>
      <c r="G13" s="31" t="s">
        <v>14282</v>
      </c>
      <c r="H13" s="31" t="s">
        <v>14284</v>
      </c>
      <c r="I13" s="31" t="s">
        <v>14285</v>
      </c>
      <c r="J13" s="31" t="s">
        <v>14234</v>
      </c>
      <c r="K13" s="31" t="s">
        <v>14235</v>
      </c>
      <c r="L13" s="31" t="s">
        <v>13581</v>
      </c>
      <c r="M13" s="31" t="s">
        <v>14286</v>
      </c>
      <c r="N13" s="31" t="s">
        <v>14287</v>
      </c>
      <c r="O13" s="31" t="s">
        <v>13565</v>
      </c>
      <c r="P13" s="31" t="s">
        <v>14238</v>
      </c>
      <c r="Q13" s="31" t="s">
        <v>8192</v>
      </c>
      <c r="R13" s="31" t="s">
        <v>9963</v>
      </c>
    </row>
    <row r="14" customFormat="false" ht="63.75" hidden="false" customHeight="true" outlineLevel="0" collapsed="false">
      <c r="A14" s="30" t="s">
        <v>14288</v>
      </c>
      <c r="B14" s="30" t="s">
        <v>12081</v>
      </c>
      <c r="C14" s="30" t="s">
        <v>9889</v>
      </c>
      <c r="D14" s="31" t="s">
        <v>14289</v>
      </c>
      <c r="E14" s="31" t="s">
        <v>14230</v>
      </c>
      <c r="F14" s="31" t="s">
        <v>14290</v>
      </c>
      <c r="G14" s="31" t="s">
        <v>14289</v>
      </c>
      <c r="H14" s="31" t="s">
        <v>14291</v>
      </c>
      <c r="I14" s="31" t="s">
        <v>14292</v>
      </c>
      <c r="J14" s="31" t="s">
        <v>14234</v>
      </c>
      <c r="K14" s="31" t="s">
        <v>14235</v>
      </c>
      <c r="L14" s="31" t="s">
        <v>13581</v>
      </c>
      <c r="M14" s="31" t="s">
        <v>14293</v>
      </c>
      <c r="N14" s="31" t="s">
        <v>14294</v>
      </c>
      <c r="O14" s="31" t="s">
        <v>13565</v>
      </c>
      <c r="P14" s="31" t="s">
        <v>14238</v>
      </c>
      <c r="Q14" s="31" t="s">
        <v>8192</v>
      </c>
      <c r="R14" s="31" t="s">
        <v>9963</v>
      </c>
    </row>
    <row r="15" customFormat="false" ht="63.75" hidden="false" customHeight="true" outlineLevel="0" collapsed="false">
      <c r="A15" s="30" t="s">
        <v>14295</v>
      </c>
      <c r="B15" s="30" t="s">
        <v>12099</v>
      </c>
      <c r="C15" s="30" t="s">
        <v>9889</v>
      </c>
      <c r="D15" s="31" t="s">
        <v>14296</v>
      </c>
      <c r="E15" s="31" t="s">
        <v>14230</v>
      </c>
      <c r="F15" s="31" t="s">
        <v>14297</v>
      </c>
      <c r="G15" s="31" t="s">
        <v>14296</v>
      </c>
      <c r="H15" s="31" t="s">
        <v>14298</v>
      </c>
      <c r="I15" s="31" t="s">
        <v>14233</v>
      </c>
      <c r="J15" s="31" t="s">
        <v>14234</v>
      </c>
      <c r="K15" s="31" t="s">
        <v>14235</v>
      </c>
      <c r="L15" s="31" t="s">
        <v>13581</v>
      </c>
      <c r="M15" s="31" t="s">
        <v>14299</v>
      </c>
      <c r="N15" s="31" t="s">
        <v>14300</v>
      </c>
      <c r="O15" s="31" t="s">
        <v>13565</v>
      </c>
      <c r="P15" s="31" t="s">
        <v>14238</v>
      </c>
      <c r="Q15" s="31" t="s">
        <v>8192</v>
      </c>
      <c r="R15" s="31" t="s">
        <v>9963</v>
      </c>
    </row>
    <row r="16" customFormat="false" ht="63.75" hidden="false" customHeight="true" outlineLevel="0" collapsed="false">
      <c r="A16" s="30" t="s">
        <v>14301</v>
      </c>
      <c r="B16" s="30" t="s">
        <v>12109</v>
      </c>
      <c r="C16" s="30" t="s">
        <v>9889</v>
      </c>
      <c r="D16" s="31" t="s">
        <v>14302</v>
      </c>
      <c r="E16" s="31" t="s">
        <v>14230</v>
      </c>
      <c r="F16" s="31" t="s">
        <v>14303</v>
      </c>
      <c r="G16" s="31" t="s">
        <v>14302</v>
      </c>
      <c r="H16" s="31" t="s">
        <v>14304</v>
      </c>
      <c r="I16" s="31" t="s">
        <v>14233</v>
      </c>
      <c r="J16" s="31" t="s">
        <v>14234</v>
      </c>
      <c r="K16" s="31" t="s">
        <v>14235</v>
      </c>
      <c r="L16" s="31" t="s">
        <v>13581</v>
      </c>
      <c r="M16" s="31" t="s">
        <v>14305</v>
      </c>
      <c r="N16" s="31" t="s">
        <v>14306</v>
      </c>
      <c r="O16" s="31" t="s">
        <v>13565</v>
      </c>
      <c r="P16" s="31" t="s">
        <v>14238</v>
      </c>
      <c r="Q16" s="31" t="s">
        <v>8192</v>
      </c>
      <c r="R16" s="31" t="s">
        <v>9963</v>
      </c>
    </row>
    <row r="17" customFormat="false" ht="63.75" hidden="false" customHeight="true" outlineLevel="0" collapsed="false">
      <c r="A17" s="30" t="s">
        <v>14307</v>
      </c>
      <c r="B17" s="30" t="s">
        <v>12119</v>
      </c>
      <c r="C17" s="30" t="s">
        <v>9889</v>
      </c>
      <c r="D17" s="31" t="s">
        <v>14308</v>
      </c>
      <c r="E17" s="31" t="s">
        <v>14230</v>
      </c>
      <c r="F17" s="31" t="s">
        <v>14309</v>
      </c>
      <c r="G17" s="31" t="s">
        <v>14308</v>
      </c>
      <c r="H17" s="31" t="s">
        <v>14310</v>
      </c>
      <c r="I17" s="31" t="s">
        <v>14233</v>
      </c>
      <c r="J17" s="31" t="s">
        <v>14234</v>
      </c>
      <c r="K17" s="31" t="s">
        <v>14235</v>
      </c>
      <c r="L17" s="31" t="s">
        <v>13581</v>
      </c>
      <c r="M17" s="31" t="s">
        <v>14311</v>
      </c>
      <c r="N17" s="31" t="s">
        <v>14312</v>
      </c>
      <c r="O17" s="31" t="s">
        <v>13565</v>
      </c>
      <c r="P17" s="31" t="s">
        <v>14238</v>
      </c>
      <c r="Q17" s="31" t="s">
        <v>8192</v>
      </c>
      <c r="R17" s="31" t="s">
        <v>9963</v>
      </c>
    </row>
    <row r="18" customFormat="false" ht="63.75" hidden="false" customHeight="true" outlineLevel="0" collapsed="false">
      <c r="A18" s="30" t="s">
        <v>14313</v>
      </c>
      <c r="B18" s="30" t="s">
        <v>12130</v>
      </c>
      <c r="C18" s="30" t="s">
        <v>9889</v>
      </c>
      <c r="D18" s="31" t="s">
        <v>14314</v>
      </c>
      <c r="E18" s="31" t="s">
        <v>14230</v>
      </c>
      <c r="F18" s="31" t="s">
        <v>14315</v>
      </c>
      <c r="G18" s="31" t="s">
        <v>14314</v>
      </c>
      <c r="H18" s="31" t="s">
        <v>14316</v>
      </c>
      <c r="I18" s="31" t="s">
        <v>14233</v>
      </c>
      <c r="J18" s="31" t="s">
        <v>14234</v>
      </c>
      <c r="K18" s="31" t="s">
        <v>14235</v>
      </c>
      <c r="L18" s="31" t="s">
        <v>13581</v>
      </c>
      <c r="M18" s="31" t="s">
        <v>14317</v>
      </c>
      <c r="N18" s="31" t="s">
        <v>14318</v>
      </c>
      <c r="O18" s="31" t="s">
        <v>13565</v>
      </c>
      <c r="P18" s="31" t="s">
        <v>14238</v>
      </c>
      <c r="Q18" s="31" t="s">
        <v>8192</v>
      </c>
      <c r="R18" s="31" t="s">
        <v>9963</v>
      </c>
    </row>
    <row r="19" customFormat="false" ht="63.75" hidden="false" customHeight="true" outlineLevel="0" collapsed="false">
      <c r="A19" s="30" t="s">
        <v>14319</v>
      </c>
      <c r="B19" s="30" t="s">
        <v>12141</v>
      </c>
      <c r="C19" s="30" t="s">
        <v>9889</v>
      </c>
      <c r="D19" s="31" t="s">
        <v>14320</v>
      </c>
      <c r="E19" s="31" t="s">
        <v>14230</v>
      </c>
      <c r="F19" s="31" t="s">
        <v>14321</v>
      </c>
      <c r="G19" s="31" t="s">
        <v>14320</v>
      </c>
      <c r="H19" s="31" t="s">
        <v>14322</v>
      </c>
      <c r="I19" s="31" t="s">
        <v>14323</v>
      </c>
      <c r="J19" s="31" t="s">
        <v>14234</v>
      </c>
      <c r="K19" s="31" t="s">
        <v>14235</v>
      </c>
      <c r="L19" s="31" t="s">
        <v>13581</v>
      </c>
      <c r="M19" s="31" t="s">
        <v>14324</v>
      </c>
      <c r="N19" s="31" t="s">
        <v>14325</v>
      </c>
      <c r="O19" s="31" t="s">
        <v>13565</v>
      </c>
      <c r="P19" s="31" t="s">
        <v>14238</v>
      </c>
      <c r="Q19" s="31" t="s">
        <v>8192</v>
      </c>
      <c r="R19" s="31" t="s">
        <v>9963</v>
      </c>
    </row>
    <row r="20" customFormat="false" ht="63.75" hidden="false" customHeight="true" outlineLevel="0" collapsed="false">
      <c r="A20" s="30" t="s">
        <v>14326</v>
      </c>
      <c r="B20" s="30" t="s">
        <v>12151</v>
      </c>
      <c r="C20" s="30" t="s">
        <v>9889</v>
      </c>
      <c r="D20" s="31" t="s">
        <v>14327</v>
      </c>
      <c r="E20" s="31" t="s">
        <v>14230</v>
      </c>
      <c r="F20" s="31" t="s">
        <v>14328</v>
      </c>
      <c r="G20" s="31" t="s">
        <v>14327</v>
      </c>
      <c r="H20" s="31" t="s">
        <v>14329</v>
      </c>
      <c r="I20" s="31" t="s">
        <v>14330</v>
      </c>
      <c r="J20" s="31" t="s">
        <v>14234</v>
      </c>
      <c r="K20" s="31" t="s">
        <v>14235</v>
      </c>
      <c r="L20" s="31" t="s">
        <v>13581</v>
      </c>
      <c r="M20" s="31" t="s">
        <v>14331</v>
      </c>
      <c r="N20" s="31" t="s">
        <v>14332</v>
      </c>
      <c r="O20" s="31" t="s">
        <v>13565</v>
      </c>
      <c r="P20" s="31" t="s">
        <v>14238</v>
      </c>
      <c r="Q20" s="31" t="s">
        <v>8192</v>
      </c>
      <c r="R20" s="31" t="s">
        <v>9963</v>
      </c>
    </row>
    <row r="21" customFormat="false" ht="63.75" hidden="false" customHeight="true" outlineLevel="0" collapsed="false">
      <c r="A21" s="30" t="s">
        <v>14333</v>
      </c>
      <c r="B21" s="30" t="s">
        <v>12151</v>
      </c>
      <c r="C21" s="30" t="s">
        <v>9889</v>
      </c>
      <c r="D21" s="31" t="s">
        <v>14334</v>
      </c>
      <c r="E21" s="31" t="s">
        <v>14230</v>
      </c>
      <c r="F21" s="31" t="s">
        <v>14335</v>
      </c>
      <c r="G21" s="31" t="s">
        <v>14334</v>
      </c>
      <c r="H21" s="31" t="s">
        <v>14336</v>
      </c>
      <c r="I21" s="31" t="s">
        <v>14330</v>
      </c>
      <c r="J21" s="31" t="s">
        <v>14234</v>
      </c>
      <c r="K21" s="31" t="s">
        <v>14235</v>
      </c>
      <c r="L21" s="31" t="s">
        <v>13581</v>
      </c>
      <c r="M21" s="31" t="s">
        <v>14337</v>
      </c>
      <c r="N21" s="31" t="s">
        <v>14338</v>
      </c>
      <c r="O21" s="31" t="s">
        <v>13565</v>
      </c>
      <c r="P21" s="31" t="s">
        <v>14238</v>
      </c>
      <c r="Q21" s="31" t="s">
        <v>8192</v>
      </c>
      <c r="R21" s="31" t="s">
        <v>9963</v>
      </c>
    </row>
    <row r="22" customFormat="false" ht="63.75" hidden="false" customHeight="true" outlineLevel="0" collapsed="false">
      <c r="A22" s="30" t="s">
        <v>14339</v>
      </c>
      <c r="B22" s="30" t="s">
        <v>12169</v>
      </c>
      <c r="C22" s="30" t="s">
        <v>9889</v>
      </c>
      <c r="D22" s="31" t="s">
        <v>14340</v>
      </c>
      <c r="E22" s="31" t="s">
        <v>14230</v>
      </c>
      <c r="F22" s="31" t="s">
        <v>14341</v>
      </c>
      <c r="G22" s="31" t="s">
        <v>14340</v>
      </c>
      <c r="H22" s="31" t="s">
        <v>14342</v>
      </c>
      <c r="I22" s="31" t="s">
        <v>14343</v>
      </c>
      <c r="J22" s="31" t="s">
        <v>14234</v>
      </c>
      <c r="K22" s="31" t="s">
        <v>14235</v>
      </c>
      <c r="L22" s="31" t="s">
        <v>13581</v>
      </c>
      <c r="M22" s="31" t="s">
        <v>14344</v>
      </c>
      <c r="N22" s="31" t="s">
        <v>14345</v>
      </c>
      <c r="O22" s="31" t="s">
        <v>13565</v>
      </c>
      <c r="P22" s="31" t="s">
        <v>14238</v>
      </c>
      <c r="Q22" s="31" t="s">
        <v>8192</v>
      </c>
      <c r="R22" s="31" t="s">
        <v>9963</v>
      </c>
    </row>
    <row r="23" customFormat="false" ht="63.75" hidden="false" customHeight="true" outlineLevel="0" collapsed="false">
      <c r="A23" s="30" t="s">
        <v>14346</v>
      </c>
      <c r="B23" s="30" t="s">
        <v>12179</v>
      </c>
      <c r="C23" s="30" t="s">
        <v>9889</v>
      </c>
      <c r="D23" s="31" t="s">
        <v>14347</v>
      </c>
      <c r="E23" s="31" t="s">
        <v>14230</v>
      </c>
      <c r="F23" s="31" t="s">
        <v>14348</v>
      </c>
      <c r="G23" s="31" t="s">
        <v>14347</v>
      </c>
      <c r="H23" s="31" t="s">
        <v>14349</v>
      </c>
      <c r="I23" s="31" t="s">
        <v>14350</v>
      </c>
      <c r="J23" s="31" t="s">
        <v>14234</v>
      </c>
      <c r="K23" s="31" t="s">
        <v>14235</v>
      </c>
      <c r="L23" s="31" t="s">
        <v>13581</v>
      </c>
      <c r="M23" s="31" t="s">
        <v>14351</v>
      </c>
      <c r="N23" s="31" t="s">
        <v>14352</v>
      </c>
      <c r="O23" s="31" t="s">
        <v>13565</v>
      </c>
      <c r="P23" s="31" t="s">
        <v>14238</v>
      </c>
      <c r="Q23" s="31" t="s">
        <v>8192</v>
      </c>
      <c r="R23" s="31" t="s">
        <v>9963</v>
      </c>
    </row>
    <row r="24" customFormat="false" ht="63.75" hidden="false" customHeight="true" outlineLevel="0" collapsed="false">
      <c r="A24" s="30" t="s">
        <v>14353</v>
      </c>
      <c r="B24" s="30" t="s">
        <v>12189</v>
      </c>
      <c r="C24" s="30" t="s">
        <v>9889</v>
      </c>
      <c r="D24" s="31" t="s">
        <v>14354</v>
      </c>
      <c r="E24" s="31" t="s">
        <v>14230</v>
      </c>
      <c r="F24" s="31" t="s">
        <v>14355</v>
      </c>
      <c r="G24" s="31" t="s">
        <v>14354</v>
      </c>
      <c r="H24" s="31" t="s">
        <v>14356</v>
      </c>
      <c r="I24" s="31" t="s">
        <v>14233</v>
      </c>
      <c r="J24" s="31" t="s">
        <v>14234</v>
      </c>
      <c r="K24" s="31" t="s">
        <v>14235</v>
      </c>
      <c r="L24" s="31" t="s">
        <v>13581</v>
      </c>
      <c r="M24" s="31" t="s">
        <v>14357</v>
      </c>
      <c r="N24" s="31" t="s">
        <v>14358</v>
      </c>
      <c r="O24" s="31" t="s">
        <v>13565</v>
      </c>
      <c r="P24" s="31" t="s">
        <v>14238</v>
      </c>
      <c r="Q24" s="31" t="s">
        <v>8192</v>
      </c>
      <c r="R24" s="31" t="s">
        <v>9963</v>
      </c>
    </row>
    <row r="25" customFormat="false" ht="63.75" hidden="false" customHeight="true" outlineLevel="0" collapsed="false">
      <c r="A25" s="30" t="s">
        <v>14359</v>
      </c>
      <c r="B25" s="30" t="s">
        <v>12219</v>
      </c>
      <c r="C25" s="30" t="s">
        <v>9889</v>
      </c>
      <c r="D25" s="31" t="s">
        <v>14360</v>
      </c>
      <c r="E25" s="31" t="s">
        <v>14230</v>
      </c>
      <c r="F25" s="31" t="s">
        <v>14361</v>
      </c>
      <c r="G25" s="31" t="s">
        <v>14360</v>
      </c>
      <c r="H25" s="31" t="s">
        <v>14362</v>
      </c>
      <c r="I25" s="31" t="s">
        <v>14363</v>
      </c>
      <c r="J25" s="31" t="s">
        <v>14234</v>
      </c>
      <c r="K25" s="31" t="s">
        <v>14235</v>
      </c>
      <c r="L25" s="31" t="s">
        <v>13581</v>
      </c>
      <c r="M25" s="31" t="s">
        <v>14364</v>
      </c>
      <c r="N25" s="31" t="s">
        <v>14365</v>
      </c>
      <c r="O25" s="31" t="s">
        <v>13565</v>
      </c>
      <c r="P25" s="31" t="s">
        <v>14238</v>
      </c>
      <c r="Q25" s="31" t="s">
        <v>8192</v>
      </c>
      <c r="R25" s="31" t="s">
        <v>9963</v>
      </c>
    </row>
    <row r="26" customFormat="false" ht="63.75" hidden="false" customHeight="true" outlineLevel="0" collapsed="false">
      <c r="A26" s="30" t="s">
        <v>14366</v>
      </c>
      <c r="B26" s="30" t="s">
        <v>12249</v>
      </c>
      <c r="C26" s="30" t="s">
        <v>9889</v>
      </c>
      <c r="D26" s="31" t="s">
        <v>14367</v>
      </c>
      <c r="E26" s="31" t="s">
        <v>14230</v>
      </c>
      <c r="F26" s="31" t="s">
        <v>14368</v>
      </c>
      <c r="G26" s="31" t="s">
        <v>14367</v>
      </c>
      <c r="H26" s="31" t="s">
        <v>14369</v>
      </c>
      <c r="I26" s="31" t="s">
        <v>14370</v>
      </c>
      <c r="J26" s="31" t="s">
        <v>14234</v>
      </c>
      <c r="K26" s="31" t="s">
        <v>14235</v>
      </c>
      <c r="L26" s="31" t="s">
        <v>13581</v>
      </c>
      <c r="M26" s="31" t="s">
        <v>14371</v>
      </c>
      <c r="N26" s="31" t="s">
        <v>14372</v>
      </c>
      <c r="O26" s="31" t="s">
        <v>13565</v>
      </c>
      <c r="P26" s="31" t="s">
        <v>14238</v>
      </c>
      <c r="Q26" s="31" t="s">
        <v>8192</v>
      </c>
      <c r="R26" s="31" t="s">
        <v>9963</v>
      </c>
    </row>
    <row r="27" customFormat="false" ht="63.75" hidden="false" customHeight="true" outlineLevel="0" collapsed="false">
      <c r="A27" s="30" t="s">
        <v>14373</v>
      </c>
      <c r="B27" s="30" t="s">
        <v>12259</v>
      </c>
      <c r="C27" s="30" t="s">
        <v>9889</v>
      </c>
      <c r="D27" s="31" t="s">
        <v>14374</v>
      </c>
      <c r="E27" s="31" t="s">
        <v>14230</v>
      </c>
      <c r="F27" s="31" t="s">
        <v>14375</v>
      </c>
      <c r="G27" s="31" t="s">
        <v>14374</v>
      </c>
      <c r="H27" s="31" t="s">
        <v>14376</v>
      </c>
      <c r="I27" s="31" t="s">
        <v>14233</v>
      </c>
      <c r="J27" s="31" t="s">
        <v>14234</v>
      </c>
      <c r="K27" s="31" t="s">
        <v>14235</v>
      </c>
      <c r="L27" s="31" t="s">
        <v>13581</v>
      </c>
      <c r="M27" s="31" t="s">
        <v>14377</v>
      </c>
      <c r="N27" s="31" t="s">
        <v>14378</v>
      </c>
      <c r="O27" s="31" t="s">
        <v>13565</v>
      </c>
      <c r="P27" s="31" t="s">
        <v>14238</v>
      </c>
      <c r="Q27" s="31" t="s">
        <v>8192</v>
      </c>
      <c r="R27" s="31" t="s">
        <v>9963</v>
      </c>
    </row>
    <row r="28" customFormat="false" ht="63.75" hidden="false" customHeight="true" outlineLevel="0" collapsed="false">
      <c r="A28" s="30" t="s">
        <v>14379</v>
      </c>
      <c r="B28" s="30" t="s">
        <v>12269</v>
      </c>
      <c r="C28" s="30" t="s">
        <v>9889</v>
      </c>
      <c r="D28" s="31" t="s">
        <v>14380</v>
      </c>
      <c r="E28" s="31" t="s">
        <v>14230</v>
      </c>
      <c r="F28" s="31" t="s">
        <v>14381</v>
      </c>
      <c r="G28" s="31" t="s">
        <v>14380</v>
      </c>
      <c r="H28" s="31" t="s">
        <v>14382</v>
      </c>
      <c r="I28" s="31" t="s">
        <v>14233</v>
      </c>
      <c r="J28" s="31" t="s">
        <v>14234</v>
      </c>
      <c r="K28" s="31" t="s">
        <v>14235</v>
      </c>
      <c r="L28" s="31" t="s">
        <v>13581</v>
      </c>
      <c r="M28" s="31" t="s">
        <v>14383</v>
      </c>
      <c r="N28" s="31" t="s">
        <v>14384</v>
      </c>
      <c r="O28" s="31" t="s">
        <v>13565</v>
      </c>
      <c r="P28" s="31" t="s">
        <v>14238</v>
      </c>
      <c r="Q28" s="31" t="s">
        <v>8192</v>
      </c>
      <c r="R28" s="31" t="s">
        <v>9963</v>
      </c>
    </row>
    <row r="29" customFormat="false" ht="63.75" hidden="false" customHeight="true" outlineLevel="0" collapsed="false">
      <c r="A29" s="30" t="s">
        <v>14385</v>
      </c>
      <c r="B29" s="30" t="s">
        <v>12279</v>
      </c>
      <c r="C29" s="30" t="s">
        <v>9889</v>
      </c>
      <c r="D29" s="31" t="s">
        <v>14386</v>
      </c>
      <c r="E29" s="31" t="s">
        <v>14230</v>
      </c>
      <c r="F29" s="31" t="s">
        <v>14387</v>
      </c>
      <c r="G29" s="31" t="s">
        <v>14386</v>
      </c>
      <c r="H29" s="31" t="s">
        <v>14388</v>
      </c>
      <c r="I29" s="31" t="s">
        <v>14389</v>
      </c>
      <c r="J29" s="31" t="s">
        <v>14234</v>
      </c>
      <c r="K29" s="31" t="s">
        <v>14235</v>
      </c>
      <c r="L29" s="31" t="s">
        <v>13581</v>
      </c>
      <c r="M29" s="31" t="s">
        <v>14390</v>
      </c>
      <c r="N29" s="31" t="s">
        <v>14391</v>
      </c>
      <c r="O29" s="31" t="s">
        <v>13565</v>
      </c>
      <c r="P29" s="31" t="s">
        <v>14238</v>
      </c>
      <c r="Q29" s="31" t="s">
        <v>8192</v>
      </c>
      <c r="R29" s="31" t="s">
        <v>9963</v>
      </c>
    </row>
    <row r="30" customFormat="false" ht="63.75" hidden="false" customHeight="true" outlineLevel="0" collapsed="false">
      <c r="A30" s="30" t="s">
        <v>14392</v>
      </c>
      <c r="B30" s="30" t="s">
        <v>12289</v>
      </c>
      <c r="C30" s="30" t="s">
        <v>9889</v>
      </c>
      <c r="D30" s="31" t="s">
        <v>14393</v>
      </c>
      <c r="E30" s="31" t="s">
        <v>14230</v>
      </c>
      <c r="F30" s="31" t="s">
        <v>14394</v>
      </c>
      <c r="G30" s="31" t="s">
        <v>14393</v>
      </c>
      <c r="H30" s="31" t="s">
        <v>14395</v>
      </c>
      <c r="I30" s="31" t="s">
        <v>14233</v>
      </c>
      <c r="J30" s="31" t="s">
        <v>14234</v>
      </c>
      <c r="K30" s="31" t="s">
        <v>14235</v>
      </c>
      <c r="L30" s="31" t="s">
        <v>13581</v>
      </c>
      <c r="M30" s="31" t="s">
        <v>14396</v>
      </c>
      <c r="N30" s="31" t="s">
        <v>14397</v>
      </c>
      <c r="O30" s="31" t="s">
        <v>13565</v>
      </c>
      <c r="P30" s="31" t="s">
        <v>14238</v>
      </c>
      <c r="Q30" s="31" t="s">
        <v>8192</v>
      </c>
      <c r="R30" s="31" t="s">
        <v>9963</v>
      </c>
    </row>
    <row r="31" customFormat="false" ht="63.75" hidden="false" customHeight="true" outlineLevel="0" collapsed="false">
      <c r="A31" s="30" t="s">
        <v>14398</v>
      </c>
      <c r="B31" s="30" t="s">
        <v>12299</v>
      </c>
      <c r="C31" s="30" t="s">
        <v>9889</v>
      </c>
      <c r="D31" s="31" t="s">
        <v>14399</v>
      </c>
      <c r="E31" s="31" t="s">
        <v>14230</v>
      </c>
      <c r="F31" s="31" t="s">
        <v>14400</v>
      </c>
      <c r="G31" s="31" t="s">
        <v>14399</v>
      </c>
      <c r="H31" s="31" t="s">
        <v>14401</v>
      </c>
      <c r="I31" s="31" t="s">
        <v>14233</v>
      </c>
      <c r="J31" s="31" t="s">
        <v>14234</v>
      </c>
      <c r="K31" s="31" t="s">
        <v>14235</v>
      </c>
      <c r="L31" s="31" t="s">
        <v>13581</v>
      </c>
      <c r="M31" s="31" t="s">
        <v>14402</v>
      </c>
      <c r="N31" s="31" t="s">
        <v>14403</v>
      </c>
      <c r="O31" s="31" t="s">
        <v>13565</v>
      </c>
      <c r="P31" s="31" t="s">
        <v>14238</v>
      </c>
      <c r="Q31" s="31" t="s">
        <v>8192</v>
      </c>
      <c r="R31" s="31" t="s">
        <v>9963</v>
      </c>
    </row>
    <row r="32" customFormat="false" ht="63.75" hidden="false" customHeight="true" outlineLevel="0" collapsed="false">
      <c r="A32" s="30" t="s">
        <v>14404</v>
      </c>
      <c r="B32" s="30" t="s">
        <v>12309</v>
      </c>
      <c r="C32" s="30" t="s">
        <v>9889</v>
      </c>
      <c r="D32" s="31" t="s">
        <v>14405</v>
      </c>
      <c r="E32" s="31" t="s">
        <v>14230</v>
      </c>
      <c r="F32" s="31" t="s">
        <v>14406</v>
      </c>
      <c r="G32" s="31" t="s">
        <v>14405</v>
      </c>
      <c r="H32" s="31" t="s">
        <v>14407</v>
      </c>
      <c r="I32" s="31" t="s">
        <v>14233</v>
      </c>
      <c r="J32" s="31" t="s">
        <v>14234</v>
      </c>
      <c r="K32" s="31" t="s">
        <v>14235</v>
      </c>
      <c r="L32" s="31" t="s">
        <v>13581</v>
      </c>
      <c r="M32" s="31" t="s">
        <v>14408</v>
      </c>
      <c r="N32" s="31" t="s">
        <v>14409</v>
      </c>
      <c r="O32" s="31" t="s">
        <v>13565</v>
      </c>
      <c r="P32" s="31" t="s">
        <v>14238</v>
      </c>
      <c r="Q32" s="31" t="s">
        <v>8192</v>
      </c>
      <c r="R32" s="31" t="s">
        <v>9963</v>
      </c>
    </row>
    <row r="33" customFormat="false" ht="63.75" hidden="false" customHeight="true" outlineLevel="0" collapsed="false">
      <c r="A33" s="30" t="s">
        <v>14410</v>
      </c>
      <c r="B33" s="30" t="s">
        <v>12339</v>
      </c>
      <c r="C33" s="30" t="s">
        <v>9889</v>
      </c>
      <c r="D33" s="31" t="s">
        <v>14411</v>
      </c>
      <c r="E33" s="31" t="s">
        <v>14230</v>
      </c>
      <c r="F33" s="31" t="s">
        <v>14412</v>
      </c>
      <c r="G33" s="31" t="s">
        <v>14411</v>
      </c>
      <c r="H33" s="31" t="s">
        <v>14413</v>
      </c>
      <c r="I33" s="31" t="s">
        <v>14233</v>
      </c>
      <c r="J33" s="31" t="s">
        <v>14234</v>
      </c>
      <c r="K33" s="31" t="s">
        <v>14235</v>
      </c>
      <c r="L33" s="31" t="s">
        <v>13581</v>
      </c>
      <c r="M33" s="31" t="s">
        <v>14414</v>
      </c>
      <c r="N33" s="31" t="s">
        <v>14415</v>
      </c>
      <c r="O33" s="31" t="s">
        <v>13565</v>
      </c>
      <c r="P33" s="31" t="s">
        <v>14238</v>
      </c>
      <c r="Q33" s="31" t="s">
        <v>8192</v>
      </c>
      <c r="R33" s="31" t="s">
        <v>9963</v>
      </c>
    </row>
    <row r="34" customFormat="false" ht="63.75" hidden="false" customHeight="true" outlineLevel="0" collapsed="false">
      <c r="A34" s="30" t="s">
        <v>14416</v>
      </c>
      <c r="B34" s="30" t="s">
        <v>12359</v>
      </c>
      <c r="C34" s="30" t="s">
        <v>9889</v>
      </c>
      <c r="D34" s="31" t="s">
        <v>14417</v>
      </c>
      <c r="E34" s="31" t="s">
        <v>14230</v>
      </c>
      <c r="F34" s="31" t="s">
        <v>14418</v>
      </c>
      <c r="G34" s="31" t="s">
        <v>14417</v>
      </c>
      <c r="H34" s="31" t="s">
        <v>14419</v>
      </c>
      <c r="I34" s="31" t="s">
        <v>14420</v>
      </c>
      <c r="J34" s="31" t="s">
        <v>14234</v>
      </c>
      <c r="K34" s="31" t="s">
        <v>14235</v>
      </c>
      <c r="L34" s="31" t="s">
        <v>13581</v>
      </c>
      <c r="M34" s="31" t="s">
        <v>14421</v>
      </c>
      <c r="N34" s="31" t="s">
        <v>14422</v>
      </c>
      <c r="O34" s="31" t="s">
        <v>13565</v>
      </c>
      <c r="P34" s="31" t="s">
        <v>14238</v>
      </c>
      <c r="Q34" s="31" t="s">
        <v>8192</v>
      </c>
      <c r="R34" s="31" t="s">
        <v>9963</v>
      </c>
    </row>
    <row r="35" customFormat="false" ht="63.75" hidden="false" customHeight="true" outlineLevel="0" collapsed="false">
      <c r="A35" s="30" t="s">
        <v>14423</v>
      </c>
      <c r="B35" s="30" t="s">
        <v>12369</v>
      </c>
      <c r="C35" s="30" t="s">
        <v>9889</v>
      </c>
      <c r="D35" s="31" t="s">
        <v>14424</v>
      </c>
      <c r="E35" s="31" t="s">
        <v>14230</v>
      </c>
      <c r="F35" s="31" t="s">
        <v>14425</v>
      </c>
      <c r="G35" s="31" t="s">
        <v>14424</v>
      </c>
      <c r="H35" s="31" t="s">
        <v>14426</v>
      </c>
      <c r="I35" s="31" t="s">
        <v>14427</v>
      </c>
      <c r="J35" s="31" t="s">
        <v>14234</v>
      </c>
      <c r="K35" s="31" t="s">
        <v>14235</v>
      </c>
      <c r="L35" s="31" t="s">
        <v>13581</v>
      </c>
      <c r="M35" s="31" t="s">
        <v>14428</v>
      </c>
      <c r="N35" s="31" t="s">
        <v>14429</v>
      </c>
      <c r="O35" s="31" t="s">
        <v>13565</v>
      </c>
      <c r="P35" s="31" t="s">
        <v>14238</v>
      </c>
      <c r="Q35" s="31" t="s">
        <v>8192</v>
      </c>
      <c r="R35" s="31" t="s">
        <v>9963</v>
      </c>
    </row>
    <row r="36" customFormat="false" ht="63.75" hidden="false" customHeight="true" outlineLevel="0" collapsed="false">
      <c r="A36" s="30" t="s">
        <v>14430</v>
      </c>
      <c r="B36" s="30" t="s">
        <v>12409</v>
      </c>
      <c r="C36" s="30" t="s">
        <v>9889</v>
      </c>
      <c r="D36" s="31" t="s">
        <v>14431</v>
      </c>
      <c r="E36" s="31" t="s">
        <v>14230</v>
      </c>
      <c r="F36" s="31" t="s">
        <v>14432</v>
      </c>
      <c r="G36" s="31" t="s">
        <v>14431</v>
      </c>
      <c r="H36" s="31" t="s">
        <v>14433</v>
      </c>
      <c r="I36" s="31" t="s">
        <v>14233</v>
      </c>
      <c r="J36" s="31" t="s">
        <v>14234</v>
      </c>
      <c r="K36" s="31" t="s">
        <v>14235</v>
      </c>
      <c r="L36" s="31" t="s">
        <v>13581</v>
      </c>
      <c r="M36" s="31" t="s">
        <v>14434</v>
      </c>
      <c r="N36" s="31" t="s">
        <v>14435</v>
      </c>
      <c r="O36" s="31" t="s">
        <v>13565</v>
      </c>
      <c r="P36" s="31" t="s">
        <v>14238</v>
      </c>
      <c r="Q36" s="31" t="s">
        <v>8192</v>
      </c>
      <c r="R36" s="31" t="s">
        <v>9963</v>
      </c>
    </row>
    <row r="37" customFormat="false" ht="63.75" hidden="false" customHeight="true" outlineLevel="0" collapsed="false">
      <c r="A37" s="30" t="s">
        <v>14436</v>
      </c>
      <c r="B37" s="30" t="s">
        <v>12419</v>
      </c>
      <c r="C37" s="30" t="s">
        <v>9889</v>
      </c>
      <c r="D37" s="31" t="s">
        <v>12420</v>
      </c>
      <c r="E37" s="31" t="s">
        <v>14230</v>
      </c>
      <c r="F37" s="31" t="s">
        <v>14437</v>
      </c>
      <c r="G37" s="31" t="s">
        <v>12420</v>
      </c>
      <c r="H37" s="31" t="s">
        <v>14438</v>
      </c>
      <c r="I37" s="31" t="s">
        <v>14439</v>
      </c>
      <c r="J37" s="31" t="s">
        <v>14234</v>
      </c>
      <c r="K37" s="31" t="s">
        <v>14235</v>
      </c>
      <c r="L37" s="31" t="s">
        <v>13581</v>
      </c>
      <c r="M37" s="31" t="s">
        <v>14440</v>
      </c>
      <c r="N37" s="31" t="s">
        <v>14441</v>
      </c>
      <c r="O37" s="31" t="s">
        <v>13565</v>
      </c>
      <c r="P37" s="31" t="s">
        <v>14238</v>
      </c>
      <c r="Q37" s="31" t="s">
        <v>8192</v>
      </c>
      <c r="R37" s="31" t="s">
        <v>9963</v>
      </c>
    </row>
    <row r="38" customFormat="false" ht="63.75" hidden="false" customHeight="true" outlineLevel="0" collapsed="false">
      <c r="A38" s="30" t="s">
        <v>14442</v>
      </c>
      <c r="B38" s="30" t="s">
        <v>12429</v>
      </c>
      <c r="C38" s="30" t="s">
        <v>9889</v>
      </c>
      <c r="D38" s="31" t="s">
        <v>12430</v>
      </c>
      <c r="E38" s="31" t="s">
        <v>14230</v>
      </c>
      <c r="F38" s="31" t="s">
        <v>14443</v>
      </c>
      <c r="G38" s="31" t="s">
        <v>12430</v>
      </c>
      <c r="H38" s="31" t="s">
        <v>14444</v>
      </c>
      <c r="I38" s="31" t="s">
        <v>14445</v>
      </c>
      <c r="J38" s="31" t="s">
        <v>14234</v>
      </c>
      <c r="K38" s="31" t="s">
        <v>14235</v>
      </c>
      <c r="L38" s="31" t="s">
        <v>13581</v>
      </c>
      <c r="M38" s="31" t="s">
        <v>14446</v>
      </c>
      <c r="N38" s="31" t="s">
        <v>14447</v>
      </c>
      <c r="O38" s="31" t="s">
        <v>13565</v>
      </c>
      <c r="P38" s="31" t="s">
        <v>14238</v>
      </c>
      <c r="Q38" s="31" t="s">
        <v>8192</v>
      </c>
      <c r="R38" s="31" t="s">
        <v>9963</v>
      </c>
    </row>
    <row r="39" customFormat="false" ht="63.75" hidden="false" customHeight="true" outlineLevel="0" collapsed="false">
      <c r="A39" s="30" t="s">
        <v>14448</v>
      </c>
      <c r="B39" s="30" t="s">
        <v>12439</v>
      </c>
      <c r="C39" s="30" t="s">
        <v>9889</v>
      </c>
      <c r="D39" s="31" t="s">
        <v>12440</v>
      </c>
      <c r="E39" s="31" t="s">
        <v>14230</v>
      </c>
      <c r="F39" s="31" t="s">
        <v>14449</v>
      </c>
      <c r="G39" s="31" t="s">
        <v>12440</v>
      </c>
      <c r="H39" s="31" t="s">
        <v>14450</v>
      </c>
      <c r="I39" s="31" t="s">
        <v>14420</v>
      </c>
      <c r="J39" s="31" t="s">
        <v>14234</v>
      </c>
      <c r="K39" s="31" t="s">
        <v>14235</v>
      </c>
      <c r="L39" s="31" t="s">
        <v>13581</v>
      </c>
      <c r="M39" s="31" t="s">
        <v>14451</v>
      </c>
      <c r="N39" s="31" t="s">
        <v>14452</v>
      </c>
      <c r="O39" s="31" t="s">
        <v>13565</v>
      </c>
      <c r="P39" s="31" t="s">
        <v>14238</v>
      </c>
      <c r="Q39" s="31" t="s">
        <v>8192</v>
      </c>
      <c r="R39" s="31" t="s">
        <v>9963</v>
      </c>
    </row>
    <row r="40" customFormat="false" ht="63.75" hidden="false" customHeight="true" outlineLevel="0" collapsed="false">
      <c r="A40" s="30" t="s">
        <v>14453</v>
      </c>
      <c r="B40" s="30" t="s">
        <v>12449</v>
      </c>
      <c r="C40" s="30" t="s">
        <v>9889</v>
      </c>
      <c r="D40" s="31" t="s">
        <v>12450</v>
      </c>
      <c r="E40" s="31" t="s">
        <v>14230</v>
      </c>
      <c r="F40" s="31" t="s">
        <v>14454</v>
      </c>
      <c r="G40" s="31" t="s">
        <v>12450</v>
      </c>
      <c r="H40" s="31" t="s">
        <v>14455</v>
      </c>
      <c r="I40" s="31" t="s">
        <v>14456</v>
      </c>
      <c r="J40" s="31" t="s">
        <v>14234</v>
      </c>
      <c r="K40" s="31" t="s">
        <v>14235</v>
      </c>
      <c r="L40" s="31" t="s">
        <v>13581</v>
      </c>
      <c r="M40" s="31" t="s">
        <v>14457</v>
      </c>
      <c r="N40" s="31" t="s">
        <v>14458</v>
      </c>
      <c r="O40" s="31" t="s">
        <v>13565</v>
      </c>
      <c r="P40" s="31" t="s">
        <v>14238</v>
      </c>
      <c r="Q40" s="31" t="s">
        <v>8192</v>
      </c>
      <c r="R40" s="31" t="s">
        <v>9963</v>
      </c>
    </row>
    <row r="41" customFormat="false" ht="63.75" hidden="false" customHeight="true" outlineLevel="0" collapsed="false">
      <c r="A41" s="30" t="s">
        <v>14459</v>
      </c>
      <c r="B41" s="30" t="s">
        <v>12459</v>
      </c>
      <c r="C41" s="30" t="s">
        <v>9889</v>
      </c>
      <c r="D41" s="31" t="s">
        <v>14460</v>
      </c>
      <c r="E41" s="31" t="s">
        <v>14230</v>
      </c>
      <c r="F41" s="31" t="s">
        <v>14461</v>
      </c>
      <c r="G41" s="31" t="s">
        <v>14460</v>
      </c>
      <c r="H41" s="31" t="s">
        <v>14462</v>
      </c>
      <c r="I41" s="31" t="s">
        <v>14463</v>
      </c>
      <c r="J41" s="31" t="s">
        <v>14234</v>
      </c>
      <c r="K41" s="31" t="s">
        <v>14235</v>
      </c>
      <c r="L41" s="31" t="s">
        <v>13581</v>
      </c>
      <c r="M41" s="31" t="s">
        <v>14464</v>
      </c>
      <c r="N41" s="31" t="s">
        <v>14465</v>
      </c>
      <c r="O41" s="31" t="s">
        <v>13565</v>
      </c>
      <c r="P41" s="31" t="s">
        <v>14238</v>
      </c>
      <c r="Q41" s="31" t="s">
        <v>8192</v>
      </c>
      <c r="R41" s="31" t="s">
        <v>9963</v>
      </c>
    </row>
    <row r="42" customFormat="false" ht="63.75" hidden="false" customHeight="true" outlineLevel="0" collapsed="false">
      <c r="A42" s="30" t="s">
        <v>14466</v>
      </c>
      <c r="B42" s="30" t="s">
        <v>12469</v>
      </c>
      <c r="C42" s="30" t="s">
        <v>9889</v>
      </c>
      <c r="D42" s="31" t="s">
        <v>14467</v>
      </c>
      <c r="E42" s="31" t="s">
        <v>14230</v>
      </c>
      <c r="F42" s="31" t="s">
        <v>14468</v>
      </c>
      <c r="G42" s="31" t="s">
        <v>14467</v>
      </c>
      <c r="H42" s="31" t="s">
        <v>14469</v>
      </c>
      <c r="I42" s="31" t="s">
        <v>14343</v>
      </c>
      <c r="J42" s="31" t="s">
        <v>14234</v>
      </c>
      <c r="K42" s="31" t="s">
        <v>14235</v>
      </c>
      <c r="L42" s="31" t="s">
        <v>13581</v>
      </c>
      <c r="M42" s="31" t="s">
        <v>14470</v>
      </c>
      <c r="N42" s="31" t="s">
        <v>14471</v>
      </c>
      <c r="O42" s="31" t="s">
        <v>13565</v>
      </c>
      <c r="P42" s="31" t="s">
        <v>14238</v>
      </c>
      <c r="Q42" s="31" t="s">
        <v>8192</v>
      </c>
      <c r="R42" s="31" t="s">
        <v>9963</v>
      </c>
    </row>
    <row r="43" customFormat="false" ht="63.75" hidden="false" customHeight="true" outlineLevel="0" collapsed="false">
      <c r="A43" s="30" t="s">
        <v>14472</v>
      </c>
      <c r="B43" s="30" t="s">
        <v>12479</v>
      </c>
      <c r="C43" s="30" t="s">
        <v>9889</v>
      </c>
      <c r="D43" s="31" t="s">
        <v>14473</v>
      </c>
      <c r="E43" s="31" t="s">
        <v>14230</v>
      </c>
      <c r="F43" s="31" t="s">
        <v>14474</v>
      </c>
      <c r="G43" s="31" t="s">
        <v>14473</v>
      </c>
      <c r="H43" s="31" t="s">
        <v>14475</v>
      </c>
      <c r="I43" s="31" t="s">
        <v>14476</v>
      </c>
      <c r="J43" s="31" t="s">
        <v>14234</v>
      </c>
      <c r="K43" s="31" t="s">
        <v>14235</v>
      </c>
      <c r="L43" s="31" t="s">
        <v>13581</v>
      </c>
      <c r="M43" s="31" t="s">
        <v>14477</v>
      </c>
      <c r="N43" s="31" t="s">
        <v>14478</v>
      </c>
      <c r="O43" s="31" t="s">
        <v>13565</v>
      </c>
      <c r="P43" s="31" t="s">
        <v>14238</v>
      </c>
      <c r="Q43" s="31" t="s">
        <v>8192</v>
      </c>
      <c r="R43" s="31" t="s">
        <v>9963</v>
      </c>
    </row>
    <row r="44" customFormat="false" ht="63.75" hidden="false" customHeight="true" outlineLevel="0" collapsed="false">
      <c r="A44" s="30" t="s">
        <v>14479</v>
      </c>
      <c r="B44" s="30" t="s">
        <v>12489</v>
      </c>
      <c r="C44" s="30" t="s">
        <v>9889</v>
      </c>
      <c r="D44" s="31" t="s">
        <v>14480</v>
      </c>
      <c r="E44" s="31" t="s">
        <v>14230</v>
      </c>
      <c r="F44" s="31" t="s">
        <v>14481</v>
      </c>
      <c r="G44" s="31" t="s">
        <v>14480</v>
      </c>
      <c r="H44" s="31" t="s">
        <v>14482</v>
      </c>
      <c r="I44" s="31" t="s">
        <v>14483</v>
      </c>
      <c r="J44" s="31" t="s">
        <v>14234</v>
      </c>
      <c r="K44" s="31" t="s">
        <v>14235</v>
      </c>
      <c r="L44" s="31" t="s">
        <v>13581</v>
      </c>
      <c r="M44" s="31" t="s">
        <v>14484</v>
      </c>
      <c r="N44" s="31" t="s">
        <v>14485</v>
      </c>
      <c r="O44" s="31" t="s">
        <v>13565</v>
      </c>
      <c r="P44" s="31" t="s">
        <v>14238</v>
      </c>
      <c r="Q44" s="31" t="s">
        <v>8192</v>
      </c>
      <c r="R44" s="31" t="s">
        <v>9963</v>
      </c>
    </row>
    <row r="45" customFormat="false" ht="63.75" hidden="false" customHeight="true" outlineLevel="0" collapsed="false">
      <c r="A45" s="30" t="s">
        <v>14486</v>
      </c>
      <c r="B45" s="30" t="s">
        <v>12509</v>
      </c>
      <c r="C45" s="30" t="s">
        <v>9889</v>
      </c>
      <c r="D45" s="31" t="s">
        <v>14487</v>
      </c>
      <c r="E45" s="31" t="s">
        <v>14230</v>
      </c>
      <c r="F45" s="31" t="s">
        <v>14488</v>
      </c>
      <c r="G45" s="31" t="s">
        <v>14487</v>
      </c>
      <c r="H45" s="31" t="s">
        <v>14489</v>
      </c>
      <c r="I45" s="31" t="s">
        <v>14490</v>
      </c>
      <c r="J45" s="31" t="s">
        <v>14234</v>
      </c>
      <c r="K45" s="31" t="s">
        <v>14235</v>
      </c>
      <c r="L45" s="31" t="s">
        <v>13581</v>
      </c>
      <c r="M45" s="31" t="s">
        <v>14491</v>
      </c>
      <c r="N45" s="31" t="s">
        <v>14492</v>
      </c>
      <c r="O45" s="31" t="s">
        <v>13565</v>
      </c>
      <c r="P45" s="31" t="s">
        <v>14238</v>
      </c>
      <c r="Q45" s="31" t="s">
        <v>8192</v>
      </c>
      <c r="R45" s="31" t="s">
        <v>9963</v>
      </c>
    </row>
    <row r="46" customFormat="false" ht="63.75" hidden="false" customHeight="true" outlineLevel="0" collapsed="false">
      <c r="A46" s="30" t="s">
        <v>14493</v>
      </c>
      <c r="B46" s="30" t="s">
        <v>12519</v>
      </c>
      <c r="C46" s="30" t="s">
        <v>9889</v>
      </c>
      <c r="D46" s="31" t="s">
        <v>14494</v>
      </c>
      <c r="E46" s="31" t="s">
        <v>14230</v>
      </c>
      <c r="F46" s="31" t="s">
        <v>14495</v>
      </c>
      <c r="G46" s="31" t="s">
        <v>14494</v>
      </c>
      <c r="H46" s="31" t="s">
        <v>14496</v>
      </c>
      <c r="I46" s="31" t="s">
        <v>14497</v>
      </c>
      <c r="J46" s="31" t="s">
        <v>14234</v>
      </c>
      <c r="K46" s="31" t="s">
        <v>14235</v>
      </c>
      <c r="L46" s="31" t="s">
        <v>13581</v>
      </c>
      <c r="M46" s="31" t="s">
        <v>14498</v>
      </c>
      <c r="N46" s="31" t="s">
        <v>14499</v>
      </c>
      <c r="O46" s="31" t="s">
        <v>13565</v>
      </c>
      <c r="P46" s="31" t="s">
        <v>14238</v>
      </c>
      <c r="Q46" s="31" t="s">
        <v>8192</v>
      </c>
      <c r="R46" s="31" t="s">
        <v>9963</v>
      </c>
    </row>
    <row r="47" customFormat="false" ht="63.75" hidden="false" customHeight="true" outlineLevel="0" collapsed="false">
      <c r="A47" s="30" t="s">
        <v>14500</v>
      </c>
      <c r="B47" s="30" t="s">
        <v>12529</v>
      </c>
      <c r="C47" s="30" t="s">
        <v>9889</v>
      </c>
      <c r="D47" s="31" t="s">
        <v>14501</v>
      </c>
      <c r="E47" s="31" t="s">
        <v>14230</v>
      </c>
      <c r="F47" s="31" t="s">
        <v>14502</v>
      </c>
      <c r="G47" s="31" t="s">
        <v>14501</v>
      </c>
      <c r="H47" s="31" t="s">
        <v>14503</v>
      </c>
      <c r="I47" s="31" t="s">
        <v>14504</v>
      </c>
      <c r="J47" s="31" t="s">
        <v>14234</v>
      </c>
      <c r="K47" s="31" t="s">
        <v>14235</v>
      </c>
      <c r="L47" s="31" t="s">
        <v>13581</v>
      </c>
      <c r="M47" s="31" t="s">
        <v>14505</v>
      </c>
      <c r="N47" s="31" t="s">
        <v>14506</v>
      </c>
      <c r="O47" s="31" t="s">
        <v>13565</v>
      </c>
      <c r="P47" s="31" t="s">
        <v>14238</v>
      </c>
      <c r="Q47" s="31" t="s">
        <v>8192</v>
      </c>
      <c r="R47" s="31" t="s">
        <v>9963</v>
      </c>
    </row>
    <row r="48" customFormat="false" ht="63.75" hidden="false" customHeight="true" outlineLevel="0" collapsed="false">
      <c r="A48" s="30" t="s">
        <v>14507</v>
      </c>
      <c r="B48" s="30" t="s">
        <v>12539</v>
      </c>
      <c r="C48" s="30" t="s">
        <v>9889</v>
      </c>
      <c r="D48" s="31" t="s">
        <v>14508</v>
      </c>
      <c r="E48" s="31" t="s">
        <v>14230</v>
      </c>
      <c r="F48" s="31" t="s">
        <v>14509</v>
      </c>
      <c r="G48" s="31" t="s">
        <v>14508</v>
      </c>
      <c r="H48" s="31" t="s">
        <v>14510</v>
      </c>
      <c r="I48" s="31" t="s">
        <v>14511</v>
      </c>
      <c r="J48" s="31" t="s">
        <v>14234</v>
      </c>
      <c r="K48" s="31" t="s">
        <v>14235</v>
      </c>
      <c r="L48" s="31" t="s">
        <v>13581</v>
      </c>
      <c r="M48" s="31" t="s">
        <v>14512</v>
      </c>
      <c r="N48" s="31" t="s">
        <v>14513</v>
      </c>
      <c r="O48" s="31" t="s">
        <v>13565</v>
      </c>
      <c r="P48" s="31" t="s">
        <v>14238</v>
      </c>
      <c r="Q48" s="31" t="s">
        <v>8192</v>
      </c>
      <c r="R48" s="31" t="s">
        <v>9963</v>
      </c>
    </row>
    <row r="49" customFormat="false" ht="63.75" hidden="false" customHeight="true" outlineLevel="0" collapsed="false">
      <c r="A49" s="30" t="s">
        <v>14514</v>
      </c>
      <c r="B49" s="30" t="s">
        <v>12549</v>
      </c>
      <c r="C49" s="30" t="s">
        <v>9889</v>
      </c>
      <c r="D49" s="31" t="s">
        <v>14515</v>
      </c>
      <c r="E49" s="31" t="s">
        <v>14230</v>
      </c>
      <c r="F49" s="31" t="s">
        <v>14516</v>
      </c>
      <c r="G49" s="31" t="s">
        <v>14515</v>
      </c>
      <c r="H49" s="31" t="s">
        <v>14517</v>
      </c>
      <c r="I49" s="31" t="s">
        <v>14518</v>
      </c>
      <c r="J49" s="31" t="s">
        <v>14234</v>
      </c>
      <c r="K49" s="31" t="s">
        <v>14235</v>
      </c>
      <c r="L49" s="31" t="s">
        <v>13581</v>
      </c>
      <c r="M49" s="31" t="s">
        <v>14519</v>
      </c>
      <c r="N49" s="31" t="s">
        <v>14520</v>
      </c>
      <c r="O49" s="31" t="s">
        <v>13565</v>
      </c>
      <c r="P49" s="31" t="s">
        <v>14238</v>
      </c>
      <c r="Q49" s="31" t="s">
        <v>8192</v>
      </c>
      <c r="R49" s="31" t="s">
        <v>9963</v>
      </c>
    </row>
    <row r="50" customFormat="false" ht="63.75" hidden="false" customHeight="true" outlineLevel="0" collapsed="false">
      <c r="A50" s="30" t="s">
        <v>14521</v>
      </c>
      <c r="B50" s="30" t="s">
        <v>12559</v>
      </c>
      <c r="C50" s="30" t="s">
        <v>9889</v>
      </c>
      <c r="D50" s="31" t="s">
        <v>14522</v>
      </c>
      <c r="E50" s="31" t="s">
        <v>14230</v>
      </c>
      <c r="F50" s="31" t="s">
        <v>14523</v>
      </c>
      <c r="G50" s="31" t="s">
        <v>14522</v>
      </c>
      <c r="H50" s="31" t="s">
        <v>14524</v>
      </c>
      <c r="I50" s="31" t="s">
        <v>14504</v>
      </c>
      <c r="J50" s="31" t="s">
        <v>14234</v>
      </c>
      <c r="K50" s="31" t="s">
        <v>14235</v>
      </c>
      <c r="L50" s="31" t="s">
        <v>13581</v>
      </c>
      <c r="M50" s="31" t="s">
        <v>14525</v>
      </c>
      <c r="N50" s="31" t="s">
        <v>14526</v>
      </c>
      <c r="O50" s="31" t="s">
        <v>13565</v>
      </c>
      <c r="P50" s="31" t="s">
        <v>14238</v>
      </c>
      <c r="Q50" s="31" t="s">
        <v>8192</v>
      </c>
      <c r="R50" s="31" t="s">
        <v>9963</v>
      </c>
    </row>
    <row r="51" customFormat="false" ht="63.75" hidden="false" customHeight="true" outlineLevel="0" collapsed="false">
      <c r="A51" s="30" t="s">
        <v>14527</v>
      </c>
      <c r="B51" s="30" t="s">
        <v>12569</v>
      </c>
      <c r="C51" s="30" t="s">
        <v>9889</v>
      </c>
      <c r="D51" s="31" t="s">
        <v>14528</v>
      </c>
      <c r="E51" s="31" t="s">
        <v>14230</v>
      </c>
      <c r="F51" s="31" t="s">
        <v>14529</v>
      </c>
      <c r="G51" s="31" t="s">
        <v>14528</v>
      </c>
      <c r="H51" s="31" t="s">
        <v>14530</v>
      </c>
      <c r="I51" s="31" t="s">
        <v>14531</v>
      </c>
      <c r="J51" s="31" t="s">
        <v>14234</v>
      </c>
      <c r="K51" s="31" t="s">
        <v>14235</v>
      </c>
      <c r="L51" s="31" t="s">
        <v>13581</v>
      </c>
      <c r="M51" s="31" t="s">
        <v>14532</v>
      </c>
      <c r="N51" s="31" t="s">
        <v>14533</v>
      </c>
      <c r="O51" s="31" t="s">
        <v>13565</v>
      </c>
      <c r="P51" s="31" t="s">
        <v>14238</v>
      </c>
      <c r="Q51" s="31" t="s">
        <v>8192</v>
      </c>
      <c r="R51" s="31" t="s">
        <v>9963</v>
      </c>
    </row>
    <row r="52" customFormat="false" ht="63.75" hidden="false" customHeight="true" outlineLevel="0" collapsed="false">
      <c r="A52" s="30" t="s">
        <v>14534</v>
      </c>
      <c r="B52" s="30" t="s">
        <v>12579</v>
      </c>
      <c r="C52" s="30" t="s">
        <v>9889</v>
      </c>
      <c r="D52" s="31" t="s">
        <v>14535</v>
      </c>
      <c r="E52" s="31" t="s">
        <v>14230</v>
      </c>
      <c r="F52" s="31" t="s">
        <v>14536</v>
      </c>
      <c r="G52" s="31" t="s">
        <v>14535</v>
      </c>
      <c r="H52" s="31" t="s">
        <v>14537</v>
      </c>
      <c r="I52" s="31" t="s">
        <v>14538</v>
      </c>
      <c r="J52" s="31" t="s">
        <v>14234</v>
      </c>
      <c r="K52" s="31" t="s">
        <v>14235</v>
      </c>
      <c r="L52" s="31" t="s">
        <v>13581</v>
      </c>
      <c r="M52" s="31" t="s">
        <v>14539</v>
      </c>
      <c r="N52" s="31" t="s">
        <v>14540</v>
      </c>
      <c r="O52" s="31" t="s">
        <v>13565</v>
      </c>
      <c r="P52" s="31" t="s">
        <v>14238</v>
      </c>
      <c r="Q52" s="31" t="s">
        <v>8192</v>
      </c>
      <c r="R52" s="31" t="s">
        <v>9963</v>
      </c>
    </row>
    <row r="53" customFormat="false" ht="63.75" hidden="false" customHeight="true" outlineLevel="0" collapsed="false">
      <c r="A53" s="30" t="s">
        <v>14541</v>
      </c>
      <c r="B53" s="30" t="s">
        <v>12589</v>
      </c>
      <c r="C53" s="30" t="s">
        <v>9889</v>
      </c>
      <c r="D53" s="31" t="s">
        <v>14542</v>
      </c>
      <c r="E53" s="31" t="s">
        <v>14230</v>
      </c>
      <c r="F53" s="31" t="s">
        <v>14543</v>
      </c>
      <c r="G53" s="31" t="s">
        <v>14542</v>
      </c>
      <c r="H53" s="31" t="s">
        <v>14544</v>
      </c>
      <c r="I53" s="31" t="s">
        <v>14545</v>
      </c>
      <c r="J53" s="31" t="s">
        <v>14234</v>
      </c>
      <c r="K53" s="31" t="s">
        <v>14235</v>
      </c>
      <c r="L53" s="31" t="s">
        <v>13581</v>
      </c>
      <c r="M53" s="31" t="s">
        <v>14546</v>
      </c>
      <c r="N53" s="31" t="s">
        <v>14547</v>
      </c>
      <c r="O53" s="31" t="s">
        <v>13565</v>
      </c>
      <c r="P53" s="31" t="s">
        <v>14238</v>
      </c>
      <c r="Q53" s="31" t="s">
        <v>8192</v>
      </c>
      <c r="R53" s="31" t="s">
        <v>9963</v>
      </c>
    </row>
    <row r="54" customFormat="false" ht="63.75" hidden="false" customHeight="true" outlineLevel="0" collapsed="false">
      <c r="A54" s="30" t="s">
        <v>14548</v>
      </c>
      <c r="B54" s="30" t="s">
        <v>12609</v>
      </c>
      <c r="C54" s="30" t="s">
        <v>9889</v>
      </c>
      <c r="D54" s="31" t="s">
        <v>14549</v>
      </c>
      <c r="E54" s="31" t="s">
        <v>14230</v>
      </c>
      <c r="F54" s="31" t="s">
        <v>14550</v>
      </c>
      <c r="G54" s="31" t="s">
        <v>14549</v>
      </c>
      <c r="H54" s="31" t="s">
        <v>14551</v>
      </c>
      <c r="I54" s="31" t="s">
        <v>14552</v>
      </c>
      <c r="J54" s="31" t="s">
        <v>14234</v>
      </c>
      <c r="K54" s="31" t="s">
        <v>14235</v>
      </c>
      <c r="L54" s="31" t="s">
        <v>13581</v>
      </c>
      <c r="M54" s="31" t="s">
        <v>14553</v>
      </c>
      <c r="N54" s="31" t="s">
        <v>14554</v>
      </c>
      <c r="O54" s="31" t="s">
        <v>13565</v>
      </c>
      <c r="P54" s="31" t="s">
        <v>14238</v>
      </c>
      <c r="Q54" s="31" t="s">
        <v>8192</v>
      </c>
      <c r="R54" s="31" t="s">
        <v>9963</v>
      </c>
    </row>
    <row r="55" customFormat="false" ht="63.75" hidden="false" customHeight="true" outlineLevel="0" collapsed="false">
      <c r="A55" s="30" t="s">
        <v>14555</v>
      </c>
      <c r="B55" s="30" t="s">
        <v>12620</v>
      </c>
      <c r="C55" s="30" t="s">
        <v>9889</v>
      </c>
      <c r="D55" s="31" t="s">
        <v>14556</v>
      </c>
      <c r="E55" s="31" t="s">
        <v>14230</v>
      </c>
      <c r="F55" s="31" t="s">
        <v>14557</v>
      </c>
      <c r="G55" s="31" t="s">
        <v>14556</v>
      </c>
      <c r="H55" s="31" t="s">
        <v>14558</v>
      </c>
      <c r="I55" s="31" t="s">
        <v>14518</v>
      </c>
      <c r="J55" s="31" t="s">
        <v>14234</v>
      </c>
      <c r="K55" s="31" t="s">
        <v>14235</v>
      </c>
      <c r="L55" s="31" t="s">
        <v>13581</v>
      </c>
      <c r="M55" s="31" t="s">
        <v>14559</v>
      </c>
      <c r="N55" s="31" t="s">
        <v>14560</v>
      </c>
      <c r="O55" s="31" t="s">
        <v>13565</v>
      </c>
      <c r="P55" s="31" t="s">
        <v>14238</v>
      </c>
      <c r="Q55" s="31" t="s">
        <v>8192</v>
      </c>
      <c r="R55" s="31" t="s">
        <v>9963</v>
      </c>
    </row>
    <row r="56" customFormat="false" ht="63.75" hidden="false" customHeight="true" outlineLevel="0" collapsed="false">
      <c r="A56" s="30" t="s">
        <v>14561</v>
      </c>
      <c r="B56" s="30" t="s">
        <v>12629</v>
      </c>
      <c r="C56" s="30" t="s">
        <v>9889</v>
      </c>
      <c r="D56" s="31" t="s">
        <v>14562</v>
      </c>
      <c r="E56" s="31" t="s">
        <v>14230</v>
      </c>
      <c r="F56" s="31" t="s">
        <v>14563</v>
      </c>
      <c r="G56" s="31" t="s">
        <v>14562</v>
      </c>
      <c r="H56" s="31" t="s">
        <v>14564</v>
      </c>
      <c r="I56" s="31" t="s">
        <v>14565</v>
      </c>
      <c r="J56" s="31" t="s">
        <v>14234</v>
      </c>
      <c r="K56" s="31" t="s">
        <v>14235</v>
      </c>
      <c r="L56" s="31" t="s">
        <v>13581</v>
      </c>
      <c r="M56" s="31" t="s">
        <v>14566</v>
      </c>
      <c r="N56" s="31" t="s">
        <v>14567</v>
      </c>
      <c r="O56" s="31" t="s">
        <v>13565</v>
      </c>
      <c r="P56" s="31" t="s">
        <v>14238</v>
      </c>
      <c r="Q56" s="31" t="s">
        <v>8192</v>
      </c>
      <c r="R56" s="31" t="s">
        <v>9963</v>
      </c>
    </row>
    <row r="57" customFormat="false" ht="63.75" hidden="false" customHeight="true" outlineLevel="0" collapsed="false">
      <c r="A57" s="30" t="s">
        <v>14568</v>
      </c>
      <c r="B57" s="30" t="s">
        <v>12638</v>
      </c>
      <c r="C57" s="30" t="s">
        <v>9889</v>
      </c>
      <c r="D57" s="31" t="s">
        <v>14569</v>
      </c>
      <c r="E57" s="31" t="s">
        <v>14230</v>
      </c>
      <c r="F57" s="31" t="s">
        <v>14570</v>
      </c>
      <c r="G57" s="31" t="s">
        <v>14569</v>
      </c>
      <c r="H57" s="31" t="s">
        <v>14571</v>
      </c>
      <c r="I57" s="31" t="s">
        <v>14572</v>
      </c>
      <c r="J57" s="31" t="s">
        <v>14234</v>
      </c>
      <c r="K57" s="31" t="s">
        <v>14235</v>
      </c>
      <c r="L57" s="31" t="s">
        <v>13581</v>
      </c>
      <c r="M57" s="31" t="s">
        <v>14573</v>
      </c>
      <c r="N57" s="31" t="s">
        <v>14574</v>
      </c>
      <c r="O57" s="31" t="s">
        <v>13565</v>
      </c>
      <c r="P57" s="31" t="s">
        <v>14238</v>
      </c>
      <c r="Q57" s="31" t="s">
        <v>8192</v>
      </c>
      <c r="R57" s="31" t="s">
        <v>9963</v>
      </c>
    </row>
    <row r="58" customFormat="false" ht="63.75" hidden="false" customHeight="true" outlineLevel="0" collapsed="false">
      <c r="A58" s="30" t="s">
        <v>14575</v>
      </c>
      <c r="B58" s="30" t="s">
        <v>12648</v>
      </c>
      <c r="C58" s="30" t="s">
        <v>9889</v>
      </c>
      <c r="D58" s="31" t="s">
        <v>14576</v>
      </c>
      <c r="E58" s="31" t="s">
        <v>14230</v>
      </c>
      <c r="F58" s="31" t="s">
        <v>14577</v>
      </c>
      <c r="G58" s="31" t="s">
        <v>14576</v>
      </c>
      <c r="H58" s="31" t="s">
        <v>14578</v>
      </c>
      <c r="I58" s="31" t="s">
        <v>14579</v>
      </c>
      <c r="J58" s="31" t="s">
        <v>14234</v>
      </c>
      <c r="K58" s="31" t="s">
        <v>14235</v>
      </c>
      <c r="L58" s="31" t="s">
        <v>13581</v>
      </c>
      <c r="M58" s="31" t="s">
        <v>14580</v>
      </c>
      <c r="N58" s="31" t="s">
        <v>14581</v>
      </c>
      <c r="O58" s="31" t="s">
        <v>13565</v>
      </c>
      <c r="P58" s="31" t="s">
        <v>14238</v>
      </c>
      <c r="Q58" s="31" t="s">
        <v>8192</v>
      </c>
      <c r="R58" s="31" t="s">
        <v>9963</v>
      </c>
    </row>
    <row r="59" customFormat="false" ht="63.75" hidden="false" customHeight="true" outlineLevel="0" collapsed="false">
      <c r="A59" s="30" t="s">
        <v>14582</v>
      </c>
      <c r="B59" s="30" t="s">
        <v>12658</v>
      </c>
      <c r="C59" s="30" t="s">
        <v>9889</v>
      </c>
      <c r="D59" s="31" t="s">
        <v>14583</v>
      </c>
      <c r="E59" s="31" t="s">
        <v>14230</v>
      </c>
      <c r="F59" s="31" t="s">
        <v>14584</v>
      </c>
      <c r="G59" s="31" t="s">
        <v>14583</v>
      </c>
      <c r="H59" s="31" t="s">
        <v>14585</v>
      </c>
      <c r="I59" s="31" t="s">
        <v>14586</v>
      </c>
      <c r="J59" s="31" t="s">
        <v>14234</v>
      </c>
      <c r="K59" s="31" t="s">
        <v>14235</v>
      </c>
      <c r="L59" s="31" t="s">
        <v>13581</v>
      </c>
      <c r="M59" s="31" t="s">
        <v>14587</v>
      </c>
      <c r="N59" s="31" t="s">
        <v>14588</v>
      </c>
      <c r="O59" s="31" t="s">
        <v>13565</v>
      </c>
      <c r="P59" s="31" t="s">
        <v>14238</v>
      </c>
      <c r="Q59" s="31" t="s">
        <v>8192</v>
      </c>
      <c r="R59" s="31" t="s">
        <v>9963</v>
      </c>
    </row>
    <row r="60" customFormat="false" ht="63.75" hidden="false" customHeight="true" outlineLevel="0" collapsed="false">
      <c r="A60" s="30" t="s">
        <v>14589</v>
      </c>
      <c r="B60" s="30" t="s">
        <v>12668</v>
      </c>
      <c r="C60" s="30" t="s">
        <v>9889</v>
      </c>
      <c r="D60" s="31" t="s">
        <v>14590</v>
      </c>
      <c r="E60" s="31" t="s">
        <v>14230</v>
      </c>
      <c r="F60" s="31" t="s">
        <v>14591</v>
      </c>
      <c r="G60" s="31" t="s">
        <v>14590</v>
      </c>
      <c r="H60" s="31" t="s">
        <v>14592</v>
      </c>
      <c r="I60" s="31" t="s">
        <v>14586</v>
      </c>
      <c r="J60" s="31" t="s">
        <v>14234</v>
      </c>
      <c r="K60" s="31" t="s">
        <v>14235</v>
      </c>
      <c r="L60" s="31" t="s">
        <v>13581</v>
      </c>
      <c r="M60" s="31" t="s">
        <v>14593</v>
      </c>
      <c r="N60" s="31" t="s">
        <v>14594</v>
      </c>
      <c r="O60" s="31" t="s">
        <v>13565</v>
      </c>
      <c r="P60" s="31" t="s">
        <v>14238</v>
      </c>
      <c r="Q60" s="31" t="s">
        <v>8192</v>
      </c>
      <c r="R60" s="31" t="s">
        <v>9963</v>
      </c>
    </row>
    <row r="61" customFormat="false" ht="63.75" hidden="false" customHeight="true" outlineLevel="0" collapsed="false">
      <c r="A61" s="30" t="s">
        <v>14595</v>
      </c>
      <c r="B61" s="30" t="s">
        <v>12748</v>
      </c>
      <c r="C61" s="30" t="s">
        <v>9889</v>
      </c>
      <c r="D61" s="31" t="s">
        <v>14596</v>
      </c>
      <c r="E61" s="31" t="s">
        <v>14230</v>
      </c>
      <c r="F61" s="31" t="s">
        <v>14597</v>
      </c>
      <c r="G61" s="31" t="s">
        <v>14596</v>
      </c>
      <c r="H61" s="31" t="s">
        <v>14598</v>
      </c>
      <c r="I61" s="31" t="s">
        <v>14233</v>
      </c>
      <c r="J61" s="31" t="s">
        <v>14234</v>
      </c>
      <c r="K61" s="31" t="s">
        <v>14235</v>
      </c>
      <c r="L61" s="31" t="s">
        <v>13581</v>
      </c>
      <c r="M61" s="31" t="s">
        <v>14599</v>
      </c>
      <c r="N61" s="31" t="s">
        <v>14600</v>
      </c>
      <c r="O61" s="31" t="s">
        <v>13565</v>
      </c>
      <c r="P61" s="31" t="s">
        <v>14238</v>
      </c>
      <c r="Q61" s="31" t="s">
        <v>8192</v>
      </c>
      <c r="R61" s="31" t="s">
        <v>9963</v>
      </c>
    </row>
    <row r="62" customFormat="false" ht="63.75" hidden="false" customHeight="true" outlineLevel="0" collapsed="false">
      <c r="A62" s="30" t="s">
        <v>14601</v>
      </c>
      <c r="B62" s="30" t="s">
        <v>12758</v>
      </c>
      <c r="C62" s="30" t="s">
        <v>9889</v>
      </c>
      <c r="D62" s="31" t="s">
        <v>14602</v>
      </c>
      <c r="E62" s="31" t="s">
        <v>14230</v>
      </c>
      <c r="F62" s="31" t="s">
        <v>14603</v>
      </c>
      <c r="G62" s="31" t="s">
        <v>14602</v>
      </c>
      <c r="H62" s="31" t="s">
        <v>14604</v>
      </c>
      <c r="I62" s="31" t="s">
        <v>14605</v>
      </c>
      <c r="J62" s="31" t="s">
        <v>14234</v>
      </c>
      <c r="K62" s="31" t="s">
        <v>14235</v>
      </c>
      <c r="L62" s="31" t="s">
        <v>13581</v>
      </c>
      <c r="M62" s="31" t="s">
        <v>14606</v>
      </c>
      <c r="N62" s="31" t="s">
        <v>14607</v>
      </c>
      <c r="O62" s="31" t="s">
        <v>13565</v>
      </c>
      <c r="P62" s="31" t="s">
        <v>14238</v>
      </c>
      <c r="Q62" s="31" t="s">
        <v>8192</v>
      </c>
      <c r="R62" s="31" t="s">
        <v>9963</v>
      </c>
    </row>
    <row r="63" customFormat="false" ht="63.75" hidden="false" customHeight="true" outlineLevel="0" collapsed="false">
      <c r="A63" s="30" t="s">
        <v>14608</v>
      </c>
      <c r="B63" s="30" t="s">
        <v>12768</v>
      </c>
      <c r="C63" s="30" t="s">
        <v>9889</v>
      </c>
      <c r="D63" s="31" t="s">
        <v>14609</v>
      </c>
      <c r="E63" s="31" t="s">
        <v>14230</v>
      </c>
      <c r="F63" s="31" t="s">
        <v>14610</v>
      </c>
      <c r="G63" s="31" t="s">
        <v>14609</v>
      </c>
      <c r="H63" s="31" t="s">
        <v>14611</v>
      </c>
      <c r="I63" s="31" t="s">
        <v>14612</v>
      </c>
      <c r="J63" s="31" t="s">
        <v>14234</v>
      </c>
      <c r="K63" s="31" t="s">
        <v>14235</v>
      </c>
      <c r="L63" s="31" t="s">
        <v>13581</v>
      </c>
      <c r="M63" s="31" t="s">
        <v>14613</v>
      </c>
      <c r="N63" s="31" t="s">
        <v>14614</v>
      </c>
      <c r="O63" s="31" t="s">
        <v>13565</v>
      </c>
      <c r="P63" s="31" t="s">
        <v>14238</v>
      </c>
      <c r="Q63" s="31" t="s">
        <v>8192</v>
      </c>
      <c r="R63" s="31" t="s">
        <v>9963</v>
      </c>
    </row>
    <row r="64" customFormat="false" ht="63.75" hidden="false" customHeight="true" outlineLevel="0" collapsed="false">
      <c r="A64" s="30" t="s">
        <v>14615</v>
      </c>
      <c r="B64" s="30" t="s">
        <v>12778</v>
      </c>
      <c r="C64" s="30" t="s">
        <v>9889</v>
      </c>
      <c r="D64" s="31" t="s">
        <v>14616</v>
      </c>
      <c r="E64" s="31" t="s">
        <v>14230</v>
      </c>
      <c r="F64" s="31" t="s">
        <v>14617</v>
      </c>
      <c r="G64" s="31" t="s">
        <v>14616</v>
      </c>
      <c r="H64" s="31" t="s">
        <v>14618</v>
      </c>
      <c r="I64" s="31" t="s">
        <v>14619</v>
      </c>
      <c r="J64" s="31" t="s">
        <v>14234</v>
      </c>
      <c r="K64" s="31" t="s">
        <v>14235</v>
      </c>
      <c r="L64" s="31" t="s">
        <v>13581</v>
      </c>
      <c r="M64" s="31" t="s">
        <v>14620</v>
      </c>
      <c r="N64" s="31" t="s">
        <v>14621</v>
      </c>
      <c r="O64" s="31" t="s">
        <v>13565</v>
      </c>
      <c r="P64" s="31" t="s">
        <v>14238</v>
      </c>
      <c r="Q64" s="31" t="s">
        <v>8192</v>
      </c>
      <c r="R64" s="31" t="s">
        <v>9963</v>
      </c>
    </row>
  </sheetData>
  <mergeCells count="3">
    <mergeCell ref="A1:R1"/>
    <mergeCell ref="A2:R2"/>
    <mergeCell ref="A3:R3"/>
  </mergeCells>
  <dataValidations count="3">
    <dataValidation allowBlank="false" errorStyle="stop" operator="between" showDropDown="false" showErrorMessage="false" showInputMessage="false" sqref="L5:L64" type="list">
      <formula1>'Controlled Vocab'!$B$151:$B$157</formula1>
      <formula2>0</formula2>
    </dataValidation>
    <dataValidation allowBlank="false" errorStyle="stop" operator="between" showDropDown="false" showErrorMessage="false" showInputMessage="false" sqref="O5:O64" type="list">
      <formula1>'Controlled Vocab'!$B$144:$B$150</formula1>
      <formula2>0</formula2>
    </dataValidation>
    <dataValidation allowBlank="false" errorStyle="stop" operator="between" showDropDown="false" showErrorMessage="false" showInputMessage="false" sqref="R5:R64" type="list">
      <formula1>'Controlled Vocab'!$B$87:$B$91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2" min="1" style="1" width="13.19"/>
    <col collapsed="false" customWidth="true" hidden="false" outlineLevel="0" max="3" min="3" style="1" width="27.48"/>
    <col collapsed="false" customWidth="true" hidden="false" outlineLevel="0" max="4" min="4" style="1" width="28.58"/>
    <col collapsed="false" customWidth="true" hidden="false" outlineLevel="0" max="5" min="5" style="1" width="13.19"/>
    <col collapsed="false" customWidth="true" hidden="false" outlineLevel="0" max="6" min="6" style="1" width="27.48"/>
    <col collapsed="false" customWidth="true" hidden="false" outlineLevel="0" max="7" min="7" style="1" width="26.38"/>
    <col collapsed="false" customWidth="true" hidden="false" outlineLevel="0" max="8" min="8" style="1" width="25.28"/>
    <col collapsed="false" customWidth="true" hidden="false" outlineLevel="0" max="9" min="9" style="1" width="26.38"/>
    <col collapsed="false" customWidth="true" hidden="false" outlineLevel="0" max="10" min="10" style="1" width="41.76"/>
    <col collapsed="false" customWidth="true" hidden="false" outlineLevel="0" max="11" min="11" style="1" width="50.56"/>
    <col collapsed="false" customWidth="true" hidden="false" outlineLevel="0" max="12" min="12" style="1" width="41.76"/>
    <col collapsed="false" customWidth="true" hidden="false" outlineLevel="0" max="13" min="13" style="1" width="19.79"/>
    <col collapsed="false" customWidth="true" hidden="false" outlineLevel="0" max="14" min="14" style="1" width="24.18"/>
    <col collapsed="false" customWidth="true" hidden="false" outlineLevel="0" max="15" min="15" style="1" width="43.97"/>
    <col collapsed="false" customWidth="true" hidden="false" outlineLevel="0" max="16" min="16" style="1" width="37.37"/>
    <col collapsed="false" customWidth="true" hidden="false" outlineLevel="0" max="17" min="17" style="1" width="17.59"/>
  </cols>
  <sheetData>
    <row r="1" customFormat="false" ht="27.75" hidden="false" customHeight="true" outlineLevel="0" collapsed="false">
      <c r="A1" s="2" t="s">
        <v>14622</v>
      </c>
      <c r="B1" s="2"/>
      <c r="C1" s="2"/>
      <c r="D1" s="2"/>
      <c r="E1" s="2"/>
      <c r="F1" s="2"/>
      <c r="G1" s="2"/>
      <c r="H1" s="2"/>
      <c r="I1" s="2"/>
      <c r="J1" s="2"/>
      <c r="K1" s="2"/>
      <c r="L1" s="2"/>
      <c r="M1" s="2"/>
      <c r="N1" s="2"/>
      <c r="O1" s="2"/>
      <c r="P1" s="2"/>
      <c r="Q1" s="2"/>
    </row>
    <row r="2" customFormat="false" ht="31.5" hidden="false" customHeight="true" outlineLevel="0" collapsed="false">
      <c r="A2" s="38" t="s">
        <v>14623</v>
      </c>
      <c r="B2" s="38"/>
      <c r="C2" s="38"/>
      <c r="D2" s="38"/>
      <c r="E2" s="38"/>
      <c r="F2" s="38"/>
      <c r="G2" s="38"/>
      <c r="H2" s="38"/>
      <c r="I2" s="38"/>
      <c r="J2" s="38"/>
      <c r="K2" s="38"/>
      <c r="L2" s="38"/>
      <c r="M2" s="38"/>
      <c r="N2" s="38"/>
      <c r="O2" s="38"/>
      <c r="P2" s="38"/>
      <c r="Q2" s="38"/>
    </row>
    <row r="3" customFormat="false" ht="39.75" hidden="false" customHeight="true" outlineLevel="0" collapsed="false">
      <c r="A3" s="39" t="s">
        <v>14624</v>
      </c>
      <c r="B3" s="39"/>
      <c r="C3" s="39"/>
      <c r="D3" s="39"/>
      <c r="E3" s="39"/>
      <c r="F3" s="39"/>
      <c r="G3" s="39"/>
      <c r="H3" s="39"/>
      <c r="I3" s="39"/>
      <c r="J3" s="39"/>
      <c r="K3" s="39"/>
      <c r="L3" s="39"/>
      <c r="M3" s="39"/>
      <c r="N3" s="39"/>
      <c r="O3" s="39"/>
      <c r="P3" s="39"/>
      <c r="Q3" s="39"/>
    </row>
    <row r="4" customFormat="false" ht="48" hidden="false" customHeight="true" outlineLevel="0" collapsed="false">
      <c r="A4" s="37" t="s">
        <v>13957</v>
      </c>
      <c r="B4" s="37" t="s">
        <v>13959</v>
      </c>
      <c r="C4" s="37" t="s">
        <v>13963</v>
      </c>
      <c r="D4" s="37" t="s">
        <v>13966</v>
      </c>
      <c r="E4" s="37" t="s">
        <v>13969</v>
      </c>
      <c r="F4" s="37" t="s">
        <v>13971</v>
      </c>
      <c r="G4" s="37" t="s">
        <v>13973</v>
      </c>
      <c r="H4" s="37" t="s">
        <v>13976</v>
      </c>
      <c r="I4" s="37" t="s">
        <v>13512</v>
      </c>
      <c r="J4" s="37" t="s">
        <v>13981</v>
      </c>
      <c r="K4" s="37" t="s">
        <v>13984</v>
      </c>
      <c r="L4" s="37" t="s">
        <v>13987</v>
      </c>
      <c r="M4" s="37" t="s">
        <v>13990</v>
      </c>
      <c r="N4" s="37" t="s">
        <v>9949</v>
      </c>
      <c r="O4" s="37" t="s">
        <v>9950</v>
      </c>
      <c r="P4" s="37" t="s">
        <v>8071</v>
      </c>
      <c r="Q4" s="37" t="s">
        <v>9951</v>
      </c>
    </row>
    <row r="5" customFormat="false" ht="78" hidden="false" customHeight="true" outlineLevel="0" collapsed="false">
      <c r="A5" s="30" t="s">
        <v>14625</v>
      </c>
      <c r="B5" s="30"/>
      <c r="C5" s="31" t="s">
        <v>14626</v>
      </c>
      <c r="D5" s="31" t="s">
        <v>14627</v>
      </c>
      <c r="E5" s="31" t="s">
        <v>9926</v>
      </c>
      <c r="F5" s="31" t="s">
        <v>144</v>
      </c>
      <c r="G5" s="31" t="s">
        <v>12889</v>
      </c>
      <c r="H5" s="31" t="s">
        <v>14628</v>
      </c>
      <c r="I5" s="31" t="s">
        <v>13513</v>
      </c>
      <c r="J5" s="31" t="s">
        <v>14629</v>
      </c>
      <c r="K5" s="31" t="s">
        <v>14630</v>
      </c>
      <c r="L5" s="31" t="s">
        <v>14631</v>
      </c>
      <c r="M5" s="31" t="s">
        <v>14632</v>
      </c>
      <c r="N5" s="31" t="s">
        <v>9961</v>
      </c>
      <c r="O5" s="31" t="s">
        <v>14633</v>
      </c>
      <c r="P5" s="31" t="s">
        <v>9934</v>
      </c>
      <c r="Q5" s="31" t="s">
        <v>9963</v>
      </c>
    </row>
    <row r="6" customFormat="false" ht="78" hidden="false" customHeight="true" outlineLevel="0" collapsed="false">
      <c r="A6" s="30" t="s">
        <v>14634</v>
      </c>
      <c r="B6" s="30"/>
      <c r="C6" s="31" t="s">
        <v>14635</v>
      </c>
      <c r="D6" s="31" t="s">
        <v>14627</v>
      </c>
      <c r="E6" s="31" t="s">
        <v>9926</v>
      </c>
      <c r="F6" s="31" t="s">
        <v>144</v>
      </c>
      <c r="G6" s="31" t="s">
        <v>14636</v>
      </c>
      <c r="H6" s="31" t="s">
        <v>14637</v>
      </c>
      <c r="I6" s="31" t="s">
        <v>13522</v>
      </c>
      <c r="J6" s="31" t="s">
        <v>14638</v>
      </c>
      <c r="K6" s="31" t="s">
        <v>14639</v>
      </c>
      <c r="L6" s="31" t="s">
        <v>14640</v>
      </c>
      <c r="M6" s="31" t="s">
        <v>14632</v>
      </c>
      <c r="N6" s="31" t="s">
        <v>9961</v>
      </c>
      <c r="O6" s="31" t="s">
        <v>14633</v>
      </c>
      <c r="P6" s="31" t="s">
        <v>9934</v>
      </c>
      <c r="Q6" s="31" t="s">
        <v>9963</v>
      </c>
    </row>
    <row r="7" customFormat="false" ht="78" hidden="false" customHeight="true" outlineLevel="0" collapsed="false">
      <c r="A7" s="30" t="s">
        <v>14641</v>
      </c>
      <c r="B7" s="30"/>
      <c r="C7" s="31" t="s">
        <v>14642</v>
      </c>
      <c r="D7" s="31" t="s">
        <v>14643</v>
      </c>
      <c r="E7" s="31" t="s">
        <v>9926</v>
      </c>
      <c r="F7" s="31" t="s">
        <v>144</v>
      </c>
      <c r="G7" s="31" t="s">
        <v>12916</v>
      </c>
      <c r="H7" s="31" t="s">
        <v>12917</v>
      </c>
      <c r="I7" s="31" t="s">
        <v>13518</v>
      </c>
      <c r="J7" s="31" t="s">
        <v>14644</v>
      </c>
      <c r="K7" s="31" t="s">
        <v>14645</v>
      </c>
      <c r="L7" s="31" t="s">
        <v>14646</v>
      </c>
      <c r="M7" s="31" t="s">
        <v>14632</v>
      </c>
      <c r="N7" s="31" t="s">
        <v>9961</v>
      </c>
      <c r="O7" s="31" t="s">
        <v>14633</v>
      </c>
      <c r="P7" s="31" t="s">
        <v>9934</v>
      </c>
      <c r="Q7" s="31" t="s">
        <v>9963</v>
      </c>
    </row>
    <row r="8" customFormat="false" ht="78" hidden="false" customHeight="true" outlineLevel="0" collapsed="false">
      <c r="A8" s="30" t="s">
        <v>14647</v>
      </c>
      <c r="B8" s="30"/>
      <c r="C8" s="31" t="s">
        <v>14648</v>
      </c>
      <c r="D8" s="31" t="s">
        <v>14649</v>
      </c>
      <c r="E8" s="31" t="s">
        <v>9926</v>
      </c>
      <c r="F8" s="31" t="s">
        <v>144</v>
      </c>
      <c r="G8" s="31" t="s">
        <v>14650</v>
      </c>
      <c r="H8" s="31" t="s">
        <v>14651</v>
      </c>
      <c r="I8" s="31" t="s">
        <v>13520</v>
      </c>
      <c r="J8" s="31" t="s">
        <v>14652</v>
      </c>
      <c r="K8" s="31" t="s">
        <v>14653</v>
      </c>
      <c r="L8" s="31" t="s">
        <v>14654</v>
      </c>
      <c r="M8" s="31" t="s">
        <v>14632</v>
      </c>
      <c r="N8" s="31" t="s">
        <v>9961</v>
      </c>
      <c r="O8" s="31" t="s">
        <v>14633</v>
      </c>
      <c r="P8" s="31" t="s">
        <v>9934</v>
      </c>
      <c r="Q8" s="31" t="s">
        <v>9963</v>
      </c>
    </row>
    <row r="9" customFormat="false" ht="78" hidden="false" customHeight="true" outlineLevel="0" collapsed="false">
      <c r="A9" s="30" t="s">
        <v>14655</v>
      </c>
      <c r="B9" s="30"/>
      <c r="C9" s="31" t="s">
        <v>14656</v>
      </c>
      <c r="D9" s="31" t="s">
        <v>14657</v>
      </c>
      <c r="E9" s="31" t="s">
        <v>9926</v>
      </c>
      <c r="F9" s="31" t="s">
        <v>144</v>
      </c>
      <c r="G9" s="31" t="s">
        <v>12934</v>
      </c>
      <c r="H9" s="31" t="s">
        <v>14658</v>
      </c>
      <c r="I9" s="31" t="s">
        <v>13516</v>
      </c>
      <c r="J9" s="31" t="s">
        <v>14659</v>
      </c>
      <c r="K9" s="31" t="s">
        <v>14660</v>
      </c>
      <c r="L9" s="31" t="s">
        <v>14661</v>
      </c>
      <c r="M9" s="31" t="s">
        <v>14632</v>
      </c>
      <c r="N9" s="31" t="s">
        <v>9961</v>
      </c>
      <c r="O9" s="31" t="s">
        <v>14633</v>
      </c>
      <c r="P9" s="31" t="s">
        <v>9934</v>
      </c>
      <c r="Q9" s="31" t="s">
        <v>9963</v>
      </c>
    </row>
    <row r="10" customFormat="false" ht="78" hidden="false" customHeight="true" outlineLevel="0" collapsed="false">
      <c r="A10" s="30" t="s">
        <v>14662</v>
      </c>
      <c r="B10" s="30"/>
      <c r="C10" s="31" t="s">
        <v>14663</v>
      </c>
      <c r="D10" s="31" t="s">
        <v>14664</v>
      </c>
      <c r="E10" s="31" t="s">
        <v>9926</v>
      </c>
      <c r="F10" s="31" t="s">
        <v>144</v>
      </c>
      <c r="G10" s="31" t="s">
        <v>12943</v>
      </c>
      <c r="H10" s="31" t="s">
        <v>14665</v>
      </c>
      <c r="I10" s="31" t="s">
        <v>13526</v>
      </c>
      <c r="J10" s="31" t="s">
        <v>14666</v>
      </c>
      <c r="K10" s="31" t="s">
        <v>14667</v>
      </c>
      <c r="L10" s="31" t="s">
        <v>14668</v>
      </c>
      <c r="M10" s="31" t="s">
        <v>14632</v>
      </c>
      <c r="N10" s="31" t="s">
        <v>9961</v>
      </c>
      <c r="O10" s="31" t="s">
        <v>14633</v>
      </c>
      <c r="P10" s="31" t="s">
        <v>9934</v>
      </c>
      <c r="Q10" s="31" t="s">
        <v>9963</v>
      </c>
    </row>
    <row r="11" customFormat="false" ht="78" hidden="false" customHeight="true" outlineLevel="0" collapsed="false">
      <c r="A11" s="30" t="s">
        <v>14669</v>
      </c>
      <c r="B11" s="30"/>
      <c r="C11" s="31" t="s">
        <v>14670</v>
      </c>
      <c r="D11" s="31" t="s">
        <v>14671</v>
      </c>
      <c r="E11" s="31" t="s">
        <v>9926</v>
      </c>
      <c r="F11" s="31" t="s">
        <v>144</v>
      </c>
      <c r="G11" s="31" t="s">
        <v>14672</v>
      </c>
      <c r="H11" s="31" t="s">
        <v>14673</v>
      </c>
      <c r="I11" s="31" t="s">
        <v>13557</v>
      </c>
      <c r="J11" s="31" t="s">
        <v>14674</v>
      </c>
      <c r="K11" s="31" t="s">
        <v>14675</v>
      </c>
      <c r="L11" s="31" t="s">
        <v>14676</v>
      </c>
      <c r="M11" s="31" t="s">
        <v>14632</v>
      </c>
      <c r="N11" s="31" t="s">
        <v>9961</v>
      </c>
      <c r="O11" s="31" t="s">
        <v>14633</v>
      </c>
      <c r="P11" s="31" t="s">
        <v>9934</v>
      </c>
      <c r="Q11" s="31" t="s">
        <v>9963</v>
      </c>
    </row>
    <row r="12" customFormat="false" ht="78" hidden="false" customHeight="true" outlineLevel="0" collapsed="false">
      <c r="A12" s="30" t="s">
        <v>14677</v>
      </c>
      <c r="B12" s="30"/>
      <c r="C12" s="31" t="s">
        <v>14678</v>
      </c>
      <c r="D12" s="31" t="s">
        <v>14679</v>
      </c>
      <c r="E12" s="31" t="s">
        <v>9926</v>
      </c>
      <c r="F12" s="31" t="s">
        <v>144</v>
      </c>
      <c r="G12" s="31" t="s">
        <v>14680</v>
      </c>
      <c r="H12" s="31" t="s">
        <v>14681</v>
      </c>
      <c r="I12" s="31" t="s">
        <v>13522</v>
      </c>
      <c r="J12" s="31" t="s">
        <v>14682</v>
      </c>
      <c r="K12" s="31" t="s">
        <v>14683</v>
      </c>
      <c r="L12" s="31" t="s">
        <v>14684</v>
      </c>
      <c r="M12" s="31" t="s">
        <v>14632</v>
      </c>
      <c r="N12" s="31" t="s">
        <v>9961</v>
      </c>
      <c r="O12" s="31" t="s">
        <v>14633</v>
      </c>
      <c r="P12" s="31" t="s">
        <v>9934</v>
      </c>
      <c r="Q12" s="31" t="s">
        <v>9963</v>
      </c>
    </row>
    <row r="13" customFormat="false" ht="78" hidden="false" customHeight="true" outlineLevel="0" collapsed="false">
      <c r="A13" s="30" t="s">
        <v>14685</v>
      </c>
      <c r="B13" s="30"/>
      <c r="C13" s="31" t="s">
        <v>14686</v>
      </c>
      <c r="D13" s="31" t="s">
        <v>14687</v>
      </c>
      <c r="E13" s="31" t="s">
        <v>9926</v>
      </c>
      <c r="F13" s="31" t="s">
        <v>144</v>
      </c>
      <c r="G13" s="31" t="s">
        <v>14688</v>
      </c>
      <c r="H13" s="31" t="s">
        <v>14689</v>
      </c>
      <c r="I13" s="31" t="s">
        <v>13532</v>
      </c>
      <c r="J13" s="31" t="s">
        <v>14690</v>
      </c>
      <c r="K13" s="31" t="s">
        <v>14691</v>
      </c>
      <c r="L13" s="31" t="s">
        <v>14692</v>
      </c>
      <c r="M13" s="31" t="s">
        <v>14632</v>
      </c>
      <c r="N13" s="31" t="s">
        <v>9961</v>
      </c>
      <c r="O13" s="31" t="s">
        <v>14633</v>
      </c>
      <c r="P13" s="31" t="s">
        <v>9934</v>
      </c>
      <c r="Q13" s="31" t="s">
        <v>9963</v>
      </c>
    </row>
    <row r="14" customFormat="false" ht="78" hidden="false" customHeight="true" outlineLevel="0" collapsed="false">
      <c r="A14" s="30" t="s">
        <v>14693</v>
      </c>
      <c r="B14" s="30"/>
      <c r="C14" s="31" t="s">
        <v>14694</v>
      </c>
      <c r="D14" s="31" t="s">
        <v>14695</v>
      </c>
      <c r="E14" s="31" t="s">
        <v>9926</v>
      </c>
      <c r="F14" s="31" t="s">
        <v>144</v>
      </c>
      <c r="G14" s="31" t="s">
        <v>14696</v>
      </c>
      <c r="H14" s="31" t="s">
        <v>14697</v>
      </c>
      <c r="I14" s="31" t="s">
        <v>13528</v>
      </c>
      <c r="J14" s="31" t="s">
        <v>14698</v>
      </c>
      <c r="K14" s="31" t="s">
        <v>14699</v>
      </c>
      <c r="L14" s="31" t="s">
        <v>14700</v>
      </c>
      <c r="M14" s="31" t="s">
        <v>14632</v>
      </c>
      <c r="N14" s="31" t="s">
        <v>9961</v>
      </c>
      <c r="O14" s="31" t="s">
        <v>14633</v>
      </c>
      <c r="P14" s="31" t="s">
        <v>9934</v>
      </c>
      <c r="Q14" s="31" t="s">
        <v>9963</v>
      </c>
    </row>
    <row r="15" customFormat="false" ht="78" hidden="false" customHeight="true" outlineLevel="0" collapsed="false">
      <c r="A15" s="30" t="s">
        <v>14701</v>
      </c>
      <c r="B15" s="30"/>
      <c r="C15" s="31" t="s">
        <v>14702</v>
      </c>
      <c r="D15" s="31" t="s">
        <v>14703</v>
      </c>
      <c r="E15" s="31" t="s">
        <v>9926</v>
      </c>
      <c r="F15" s="31" t="s">
        <v>144</v>
      </c>
      <c r="G15" s="31" t="s">
        <v>12988</v>
      </c>
      <c r="H15" s="31" t="s">
        <v>14704</v>
      </c>
      <c r="I15" s="31" t="s">
        <v>13530</v>
      </c>
      <c r="J15" s="31" t="s">
        <v>14705</v>
      </c>
      <c r="K15" s="31" t="s">
        <v>14706</v>
      </c>
      <c r="L15" s="31" t="s">
        <v>14707</v>
      </c>
      <c r="M15" s="31" t="s">
        <v>14632</v>
      </c>
      <c r="N15" s="31" t="s">
        <v>9961</v>
      </c>
      <c r="O15" s="31" t="s">
        <v>14633</v>
      </c>
      <c r="P15" s="31" t="s">
        <v>9934</v>
      </c>
      <c r="Q15" s="31" t="s">
        <v>9963</v>
      </c>
    </row>
    <row r="16" customFormat="false" ht="78" hidden="false" customHeight="true" outlineLevel="0" collapsed="false">
      <c r="A16" s="30" t="s">
        <v>14708</v>
      </c>
      <c r="B16" s="30"/>
      <c r="C16" s="31" t="s">
        <v>14709</v>
      </c>
      <c r="D16" s="31" t="s">
        <v>14710</v>
      </c>
      <c r="E16" s="31" t="s">
        <v>9926</v>
      </c>
      <c r="F16" s="31" t="s">
        <v>144</v>
      </c>
      <c r="G16" s="31" t="s">
        <v>12997</v>
      </c>
      <c r="H16" s="31" t="s">
        <v>14711</v>
      </c>
      <c r="I16" s="31" t="s">
        <v>13518</v>
      </c>
      <c r="J16" s="31" t="s">
        <v>14712</v>
      </c>
      <c r="K16" s="31" t="s">
        <v>14713</v>
      </c>
      <c r="L16" s="31" t="s">
        <v>14714</v>
      </c>
      <c r="M16" s="31" t="s">
        <v>14632</v>
      </c>
      <c r="N16" s="31" t="s">
        <v>9961</v>
      </c>
      <c r="O16" s="31" t="s">
        <v>14633</v>
      </c>
      <c r="P16" s="31" t="s">
        <v>9934</v>
      </c>
      <c r="Q16" s="31" t="s">
        <v>9963</v>
      </c>
    </row>
    <row r="17" customFormat="false" ht="78" hidden="false" customHeight="true" outlineLevel="0" collapsed="false">
      <c r="A17" s="30" t="s">
        <v>14715</v>
      </c>
      <c r="B17" s="30"/>
      <c r="C17" s="31" t="s">
        <v>14716</v>
      </c>
      <c r="D17" s="31" t="s">
        <v>14717</v>
      </c>
      <c r="E17" s="31" t="s">
        <v>9926</v>
      </c>
      <c r="F17" s="31" t="s">
        <v>144</v>
      </c>
      <c r="G17" s="31" t="s">
        <v>14718</v>
      </c>
      <c r="H17" s="31" t="s">
        <v>14719</v>
      </c>
      <c r="I17" s="31" t="s">
        <v>14720</v>
      </c>
      <c r="J17" s="31" t="s">
        <v>14721</v>
      </c>
      <c r="K17" s="31" t="s">
        <v>14722</v>
      </c>
      <c r="L17" s="31" t="s">
        <v>14723</v>
      </c>
      <c r="M17" s="31" t="s">
        <v>14632</v>
      </c>
      <c r="N17" s="31" t="s">
        <v>9961</v>
      </c>
      <c r="O17" s="31" t="s">
        <v>14633</v>
      </c>
      <c r="P17" s="31" t="s">
        <v>9934</v>
      </c>
      <c r="Q17" s="31" t="s">
        <v>9963</v>
      </c>
    </row>
    <row r="18" customFormat="false" ht="78" hidden="false" customHeight="true" outlineLevel="0" collapsed="false">
      <c r="A18" s="30" t="s">
        <v>14724</v>
      </c>
      <c r="B18" s="30"/>
      <c r="C18" s="31" t="s">
        <v>14725</v>
      </c>
      <c r="D18" s="31" t="s">
        <v>14726</v>
      </c>
      <c r="E18" s="31" t="s">
        <v>9926</v>
      </c>
      <c r="F18" s="31" t="s">
        <v>144</v>
      </c>
      <c r="G18" s="31" t="s">
        <v>14727</v>
      </c>
      <c r="H18" s="31" t="s">
        <v>14728</v>
      </c>
      <c r="I18" s="31" t="s">
        <v>14729</v>
      </c>
      <c r="J18" s="31" t="s">
        <v>14730</v>
      </c>
      <c r="K18" s="31" t="s">
        <v>14731</v>
      </c>
      <c r="L18" s="31" t="s">
        <v>14732</v>
      </c>
      <c r="M18" s="31" t="s">
        <v>14632</v>
      </c>
      <c r="N18" s="31" t="s">
        <v>9961</v>
      </c>
      <c r="O18" s="31" t="s">
        <v>14633</v>
      </c>
      <c r="P18" s="31" t="s">
        <v>9934</v>
      </c>
      <c r="Q18" s="31" t="s">
        <v>9963</v>
      </c>
    </row>
    <row r="19" customFormat="false" ht="78" hidden="false" customHeight="true" outlineLevel="0" collapsed="false">
      <c r="A19" s="30" t="s">
        <v>14733</v>
      </c>
      <c r="B19" s="30"/>
      <c r="C19" s="31" t="s">
        <v>14734</v>
      </c>
      <c r="D19" s="31" t="s">
        <v>14735</v>
      </c>
      <c r="E19" s="31" t="s">
        <v>9926</v>
      </c>
      <c r="F19" s="31" t="s">
        <v>144</v>
      </c>
      <c r="G19" s="31" t="s">
        <v>14736</v>
      </c>
      <c r="H19" s="31" t="s">
        <v>14737</v>
      </c>
      <c r="I19" s="31" t="s">
        <v>13534</v>
      </c>
      <c r="J19" s="31" t="s">
        <v>14738</v>
      </c>
      <c r="K19" s="31" t="s">
        <v>14739</v>
      </c>
      <c r="L19" s="31" t="s">
        <v>14740</v>
      </c>
      <c r="M19" s="31" t="s">
        <v>14632</v>
      </c>
      <c r="N19" s="31" t="s">
        <v>9961</v>
      </c>
      <c r="O19" s="31" t="s">
        <v>14633</v>
      </c>
      <c r="P19" s="31" t="s">
        <v>9934</v>
      </c>
      <c r="Q19" s="31" t="s">
        <v>9963</v>
      </c>
    </row>
    <row r="20" customFormat="false" ht="78" hidden="false" customHeight="true" outlineLevel="0" collapsed="false">
      <c r="A20" s="30" t="s">
        <v>14741</v>
      </c>
      <c r="B20" s="30"/>
      <c r="C20" s="31" t="s">
        <v>14742</v>
      </c>
      <c r="D20" s="31" t="s">
        <v>14743</v>
      </c>
      <c r="E20" s="31" t="s">
        <v>9926</v>
      </c>
      <c r="F20" s="31" t="s">
        <v>144</v>
      </c>
      <c r="G20" s="31" t="s">
        <v>14744</v>
      </c>
      <c r="H20" s="31" t="s">
        <v>14745</v>
      </c>
      <c r="I20" s="31" t="s">
        <v>13551</v>
      </c>
      <c r="J20" s="31" t="s">
        <v>14746</v>
      </c>
      <c r="K20" s="31" t="s">
        <v>14747</v>
      </c>
      <c r="L20" s="31" t="s">
        <v>14748</v>
      </c>
      <c r="M20" s="31" t="s">
        <v>14632</v>
      </c>
      <c r="N20" s="31" t="s">
        <v>9961</v>
      </c>
      <c r="O20" s="31" t="s">
        <v>14633</v>
      </c>
      <c r="P20" s="31" t="s">
        <v>9934</v>
      </c>
      <c r="Q20" s="31" t="s">
        <v>9963</v>
      </c>
    </row>
    <row r="21" customFormat="false" ht="78" hidden="false" customHeight="true" outlineLevel="0" collapsed="false">
      <c r="A21" s="30" t="s">
        <v>14749</v>
      </c>
      <c r="B21" s="30" t="s">
        <v>8073</v>
      </c>
      <c r="C21" s="31" t="s">
        <v>14750</v>
      </c>
      <c r="D21" s="31" t="s">
        <v>14751</v>
      </c>
      <c r="E21" s="31" t="s">
        <v>9926</v>
      </c>
      <c r="F21" s="31" t="s">
        <v>144</v>
      </c>
      <c r="G21" s="31" t="s">
        <v>14752</v>
      </c>
      <c r="H21" s="31" t="s">
        <v>14753</v>
      </c>
      <c r="I21" s="31" t="s">
        <v>13513</v>
      </c>
      <c r="J21" s="31" t="s">
        <v>14754</v>
      </c>
      <c r="K21" s="31" t="s">
        <v>14755</v>
      </c>
      <c r="L21" s="31" t="s">
        <v>14756</v>
      </c>
      <c r="M21" s="31" t="s">
        <v>14632</v>
      </c>
      <c r="N21" s="31" t="s">
        <v>9961</v>
      </c>
      <c r="O21" s="31" t="s">
        <v>14633</v>
      </c>
      <c r="P21" s="31" t="s">
        <v>9934</v>
      </c>
      <c r="Q21" s="31" t="s">
        <v>9963</v>
      </c>
    </row>
    <row r="22" customFormat="false" ht="78" hidden="false" customHeight="true" outlineLevel="0" collapsed="false">
      <c r="A22" s="30" t="s">
        <v>14757</v>
      </c>
      <c r="B22" s="30" t="s">
        <v>8175</v>
      </c>
      <c r="C22" s="31" t="s">
        <v>14758</v>
      </c>
      <c r="D22" s="31" t="s">
        <v>14759</v>
      </c>
      <c r="E22" s="31" t="s">
        <v>9926</v>
      </c>
      <c r="F22" s="31" t="s">
        <v>144</v>
      </c>
      <c r="G22" s="31" t="s">
        <v>14760</v>
      </c>
      <c r="H22" s="31" t="s">
        <v>14753</v>
      </c>
      <c r="I22" s="31" t="s">
        <v>14761</v>
      </c>
      <c r="J22" s="31" t="s">
        <v>14762</v>
      </c>
      <c r="K22" s="31" t="s">
        <v>14763</v>
      </c>
      <c r="L22" s="31" t="s">
        <v>14764</v>
      </c>
      <c r="M22" s="31" t="s">
        <v>14632</v>
      </c>
      <c r="N22" s="31" t="s">
        <v>9961</v>
      </c>
      <c r="O22" s="31" t="s">
        <v>14633</v>
      </c>
      <c r="P22" s="31" t="s">
        <v>9934</v>
      </c>
      <c r="Q22" s="31" t="s">
        <v>9963</v>
      </c>
    </row>
    <row r="23" customFormat="false" ht="78" hidden="false" customHeight="true" outlineLevel="0" collapsed="false">
      <c r="A23" s="30" t="s">
        <v>14765</v>
      </c>
      <c r="B23" s="30" t="s">
        <v>8085</v>
      </c>
      <c r="C23" s="31" t="s">
        <v>14766</v>
      </c>
      <c r="D23" s="31" t="s">
        <v>14767</v>
      </c>
      <c r="E23" s="31" t="s">
        <v>9926</v>
      </c>
      <c r="F23" s="31" t="s">
        <v>144</v>
      </c>
      <c r="G23" s="31" t="s">
        <v>14768</v>
      </c>
      <c r="H23" s="31" t="s">
        <v>14753</v>
      </c>
      <c r="I23" s="31" t="s">
        <v>13542</v>
      </c>
      <c r="J23" s="31" t="s">
        <v>14769</v>
      </c>
      <c r="K23" s="31" t="s">
        <v>14770</v>
      </c>
      <c r="L23" s="31" t="s">
        <v>14771</v>
      </c>
      <c r="M23" s="31" t="s">
        <v>14632</v>
      </c>
      <c r="N23" s="31" t="s">
        <v>9961</v>
      </c>
      <c r="O23" s="31" t="s">
        <v>14633</v>
      </c>
      <c r="P23" s="31" t="s">
        <v>9934</v>
      </c>
      <c r="Q23" s="31" t="s">
        <v>9963</v>
      </c>
    </row>
    <row r="24" customFormat="false" ht="78" hidden="false" customHeight="true" outlineLevel="0" collapsed="false">
      <c r="A24" s="30" t="s">
        <v>14772</v>
      </c>
      <c r="B24" s="30" t="s">
        <v>8073</v>
      </c>
      <c r="C24" s="31" t="s">
        <v>14773</v>
      </c>
      <c r="D24" s="31" t="s">
        <v>14774</v>
      </c>
      <c r="E24" s="31" t="s">
        <v>9926</v>
      </c>
      <c r="F24" s="31" t="s">
        <v>144</v>
      </c>
      <c r="G24" s="31" t="s">
        <v>13038</v>
      </c>
      <c r="H24" s="31" t="s">
        <v>14775</v>
      </c>
      <c r="I24" s="31" t="s">
        <v>14776</v>
      </c>
      <c r="J24" s="31" t="s">
        <v>14777</v>
      </c>
      <c r="K24" s="31" t="s">
        <v>14778</v>
      </c>
      <c r="L24" s="31" t="s">
        <v>14779</v>
      </c>
      <c r="M24" s="31" t="s">
        <v>14780</v>
      </c>
      <c r="N24" s="31" t="s">
        <v>9961</v>
      </c>
      <c r="O24" s="31" t="s">
        <v>14633</v>
      </c>
      <c r="P24" s="31" t="s">
        <v>9934</v>
      </c>
      <c r="Q24" s="31" t="s">
        <v>9963</v>
      </c>
    </row>
    <row r="25" customFormat="false" ht="78" hidden="false" customHeight="true" outlineLevel="0" collapsed="false">
      <c r="A25" s="30" t="s">
        <v>14781</v>
      </c>
      <c r="B25" s="30" t="s">
        <v>9907</v>
      </c>
      <c r="C25" s="31" t="s">
        <v>14782</v>
      </c>
      <c r="D25" s="31" t="s">
        <v>14783</v>
      </c>
      <c r="E25" s="31" t="s">
        <v>9926</v>
      </c>
      <c r="F25" s="31" t="s">
        <v>144</v>
      </c>
      <c r="G25" s="31" t="s">
        <v>14784</v>
      </c>
      <c r="H25" s="31" t="s">
        <v>14785</v>
      </c>
      <c r="I25" s="31" t="s">
        <v>14786</v>
      </c>
      <c r="J25" s="31" t="s">
        <v>14787</v>
      </c>
      <c r="K25" s="31" t="s">
        <v>14788</v>
      </c>
      <c r="L25" s="31" t="s">
        <v>14789</v>
      </c>
      <c r="M25" s="31" t="s">
        <v>14632</v>
      </c>
      <c r="N25" s="31" t="s">
        <v>9961</v>
      </c>
      <c r="O25" s="31" t="s">
        <v>14633</v>
      </c>
      <c r="P25" s="31" t="s">
        <v>9934</v>
      </c>
      <c r="Q25" s="31" t="s">
        <v>9963</v>
      </c>
    </row>
    <row r="26" customFormat="false" ht="78" hidden="false" customHeight="true" outlineLevel="0" collapsed="false">
      <c r="A26" s="30" t="s">
        <v>14790</v>
      </c>
      <c r="B26" s="30" t="s">
        <v>8223</v>
      </c>
      <c r="C26" s="31" t="s">
        <v>14791</v>
      </c>
      <c r="D26" s="31" t="s">
        <v>14792</v>
      </c>
      <c r="E26" s="31" t="s">
        <v>9926</v>
      </c>
      <c r="F26" s="31" t="s">
        <v>144</v>
      </c>
      <c r="G26" s="31" t="s">
        <v>14793</v>
      </c>
      <c r="H26" s="31" t="s">
        <v>14785</v>
      </c>
      <c r="I26" s="31" t="s">
        <v>14794</v>
      </c>
      <c r="J26" s="31" t="s">
        <v>14795</v>
      </c>
      <c r="K26" s="31" t="s">
        <v>14796</v>
      </c>
      <c r="L26" s="31" t="s">
        <v>14797</v>
      </c>
      <c r="M26" s="31" t="s">
        <v>14632</v>
      </c>
      <c r="N26" s="31" t="s">
        <v>9961</v>
      </c>
      <c r="O26" s="31" t="s">
        <v>14633</v>
      </c>
      <c r="P26" s="31" t="s">
        <v>9934</v>
      </c>
      <c r="Q26" s="31" t="s">
        <v>9963</v>
      </c>
    </row>
    <row r="27" customFormat="false" ht="78" hidden="false" customHeight="true" outlineLevel="0" collapsed="false">
      <c r="A27" s="30" t="s">
        <v>14798</v>
      </c>
      <c r="B27" s="30" t="s">
        <v>9916</v>
      </c>
      <c r="C27" s="31" t="s">
        <v>14799</v>
      </c>
      <c r="D27" s="31" t="s">
        <v>14800</v>
      </c>
      <c r="E27" s="31" t="s">
        <v>9926</v>
      </c>
      <c r="F27" s="31" t="s">
        <v>144</v>
      </c>
      <c r="G27" s="31" t="s">
        <v>14801</v>
      </c>
      <c r="H27" s="31" t="s">
        <v>14785</v>
      </c>
      <c r="I27" s="31" t="s">
        <v>14802</v>
      </c>
      <c r="J27" s="31" t="s">
        <v>14803</v>
      </c>
      <c r="K27" s="31" t="s">
        <v>14804</v>
      </c>
      <c r="L27" s="31" t="s">
        <v>14805</v>
      </c>
      <c r="M27" s="31" t="s">
        <v>14632</v>
      </c>
      <c r="N27" s="31" t="s">
        <v>9961</v>
      </c>
      <c r="O27" s="31" t="s">
        <v>14633</v>
      </c>
      <c r="P27" s="31" t="s">
        <v>9934</v>
      </c>
      <c r="Q27" s="31" t="s">
        <v>9963</v>
      </c>
    </row>
    <row r="28" customFormat="false" ht="78" hidden="false" customHeight="true" outlineLevel="0" collapsed="false">
      <c r="A28" s="30" t="s">
        <v>14806</v>
      </c>
      <c r="B28" s="30"/>
      <c r="C28" s="31" t="s">
        <v>14807</v>
      </c>
      <c r="D28" s="31" t="s">
        <v>14808</v>
      </c>
      <c r="E28" s="31" t="s">
        <v>9926</v>
      </c>
      <c r="F28" s="31" t="s">
        <v>144</v>
      </c>
      <c r="G28" s="31" t="s">
        <v>14809</v>
      </c>
      <c r="H28" s="31" t="s">
        <v>14810</v>
      </c>
      <c r="I28" s="31" t="s">
        <v>13520</v>
      </c>
      <c r="J28" s="31" t="s">
        <v>14811</v>
      </c>
      <c r="K28" s="31" t="s">
        <v>14812</v>
      </c>
      <c r="L28" s="31" t="s">
        <v>14813</v>
      </c>
      <c r="M28" s="31" t="s">
        <v>14632</v>
      </c>
      <c r="N28" s="31" t="s">
        <v>9961</v>
      </c>
      <c r="O28" s="31" t="s">
        <v>14633</v>
      </c>
      <c r="P28" s="31" t="s">
        <v>9934</v>
      </c>
      <c r="Q28" s="31" t="s">
        <v>9963</v>
      </c>
    </row>
    <row r="29" customFormat="false" ht="78" hidden="false" customHeight="true" outlineLevel="0" collapsed="false">
      <c r="A29" s="30" t="s">
        <v>14814</v>
      </c>
      <c r="B29" s="30"/>
      <c r="C29" s="31" t="s">
        <v>14815</v>
      </c>
      <c r="D29" s="31" t="s">
        <v>14816</v>
      </c>
      <c r="E29" s="31" t="s">
        <v>9926</v>
      </c>
      <c r="F29" s="31" t="s">
        <v>144</v>
      </c>
      <c r="G29" s="31" t="s">
        <v>14817</v>
      </c>
      <c r="H29" s="31" t="s">
        <v>14818</v>
      </c>
      <c r="I29" s="31" t="s">
        <v>14819</v>
      </c>
      <c r="J29" s="31" t="s">
        <v>14820</v>
      </c>
      <c r="K29" s="31" t="s">
        <v>14821</v>
      </c>
      <c r="L29" s="31" t="s">
        <v>14822</v>
      </c>
      <c r="M29" s="31" t="s">
        <v>14632</v>
      </c>
      <c r="N29" s="31" t="s">
        <v>9961</v>
      </c>
      <c r="O29" s="31" t="s">
        <v>14633</v>
      </c>
      <c r="P29" s="31" t="s">
        <v>9934</v>
      </c>
      <c r="Q29" s="31" t="s">
        <v>9963</v>
      </c>
    </row>
    <row r="30" customFormat="false" ht="78" hidden="false" customHeight="true" outlineLevel="0" collapsed="false">
      <c r="A30" s="30" t="s">
        <v>14823</v>
      </c>
      <c r="B30" s="30"/>
      <c r="C30" s="31" t="s">
        <v>14824</v>
      </c>
      <c r="D30" s="31" t="s">
        <v>14825</v>
      </c>
      <c r="E30" s="31" t="s">
        <v>9926</v>
      </c>
      <c r="F30" s="31" t="s">
        <v>144</v>
      </c>
      <c r="G30" s="31" t="s">
        <v>14826</v>
      </c>
      <c r="H30" s="31" t="s">
        <v>14827</v>
      </c>
      <c r="I30" s="31" t="s">
        <v>13553</v>
      </c>
      <c r="J30" s="31" t="s">
        <v>14828</v>
      </c>
      <c r="K30" s="31" t="s">
        <v>14829</v>
      </c>
      <c r="L30" s="31" t="s">
        <v>14830</v>
      </c>
      <c r="M30" s="31" t="s">
        <v>14632</v>
      </c>
      <c r="N30" s="31" t="s">
        <v>9961</v>
      </c>
      <c r="O30" s="31" t="s">
        <v>14633</v>
      </c>
      <c r="P30" s="31" t="s">
        <v>9934</v>
      </c>
      <c r="Q30" s="31" t="s">
        <v>9963</v>
      </c>
    </row>
    <row r="31" customFormat="false" ht="78" hidden="false" customHeight="true" outlineLevel="0" collapsed="false">
      <c r="A31" s="30" t="s">
        <v>14831</v>
      </c>
      <c r="B31" s="30"/>
      <c r="C31" s="31" t="s">
        <v>14832</v>
      </c>
      <c r="D31" s="31" t="s">
        <v>14833</v>
      </c>
      <c r="E31" s="31" t="s">
        <v>9926</v>
      </c>
      <c r="F31" s="31" t="s">
        <v>144</v>
      </c>
      <c r="G31" s="31" t="s">
        <v>14834</v>
      </c>
      <c r="H31" s="31" t="s">
        <v>14835</v>
      </c>
      <c r="I31" s="31" t="s">
        <v>13524</v>
      </c>
      <c r="J31" s="31" t="s">
        <v>14836</v>
      </c>
      <c r="K31" s="31" t="s">
        <v>14837</v>
      </c>
      <c r="L31" s="31" t="s">
        <v>14838</v>
      </c>
      <c r="M31" s="31" t="s">
        <v>14632</v>
      </c>
      <c r="N31" s="31" t="s">
        <v>9961</v>
      </c>
      <c r="O31" s="31" t="s">
        <v>14633</v>
      </c>
      <c r="P31" s="31" t="s">
        <v>9934</v>
      </c>
      <c r="Q31" s="31" t="s">
        <v>9963</v>
      </c>
    </row>
    <row r="32" customFormat="false" ht="78" hidden="false" customHeight="true" outlineLevel="0" collapsed="false">
      <c r="A32" s="30" t="s">
        <v>14839</v>
      </c>
      <c r="B32" s="30"/>
      <c r="C32" s="31" t="s">
        <v>14840</v>
      </c>
      <c r="D32" s="31" t="s">
        <v>14841</v>
      </c>
      <c r="E32" s="31" t="s">
        <v>9926</v>
      </c>
      <c r="F32" s="31" t="s">
        <v>144</v>
      </c>
      <c r="G32" s="31" t="s">
        <v>14842</v>
      </c>
      <c r="H32" s="31" t="s">
        <v>14843</v>
      </c>
      <c r="I32" s="31" t="s">
        <v>14844</v>
      </c>
      <c r="J32" s="31" t="s">
        <v>14845</v>
      </c>
      <c r="K32" s="31" t="s">
        <v>14846</v>
      </c>
      <c r="L32" s="31" t="s">
        <v>14847</v>
      </c>
      <c r="M32" s="31" t="s">
        <v>14632</v>
      </c>
      <c r="N32" s="31" t="s">
        <v>9961</v>
      </c>
      <c r="O32" s="31" t="s">
        <v>14633</v>
      </c>
      <c r="P32" s="31" t="s">
        <v>9934</v>
      </c>
      <c r="Q32" s="31" t="s">
        <v>9963</v>
      </c>
    </row>
    <row r="33" customFormat="false" ht="78" hidden="false" customHeight="true" outlineLevel="0" collapsed="false">
      <c r="A33" s="30" t="s">
        <v>14848</v>
      </c>
      <c r="B33" s="30"/>
      <c r="C33" s="31" t="s">
        <v>14849</v>
      </c>
      <c r="D33" s="31" t="s">
        <v>14850</v>
      </c>
      <c r="E33" s="31" t="s">
        <v>9926</v>
      </c>
      <c r="F33" s="31" t="s">
        <v>144</v>
      </c>
      <c r="G33" s="31" t="s">
        <v>14851</v>
      </c>
      <c r="H33" s="31" t="s">
        <v>14852</v>
      </c>
      <c r="I33" s="31" t="s">
        <v>14853</v>
      </c>
      <c r="J33" s="31" t="s">
        <v>14854</v>
      </c>
      <c r="K33" s="31" t="s">
        <v>14855</v>
      </c>
      <c r="L33" s="31" t="s">
        <v>14856</v>
      </c>
      <c r="M33" s="31" t="s">
        <v>14632</v>
      </c>
      <c r="N33" s="31" t="s">
        <v>9961</v>
      </c>
      <c r="O33" s="31" t="s">
        <v>14633</v>
      </c>
      <c r="P33" s="31" t="s">
        <v>9934</v>
      </c>
      <c r="Q33" s="31" t="s">
        <v>9963</v>
      </c>
    </row>
    <row r="34" customFormat="false" ht="78" hidden="false" customHeight="true" outlineLevel="0" collapsed="false">
      <c r="A34" s="30" t="s">
        <v>14857</v>
      </c>
      <c r="B34" s="30"/>
      <c r="C34" s="31" t="s">
        <v>14858</v>
      </c>
      <c r="D34" s="31" t="s">
        <v>14859</v>
      </c>
      <c r="E34" s="31" t="s">
        <v>9926</v>
      </c>
      <c r="F34" s="31" t="s">
        <v>144</v>
      </c>
      <c r="G34" s="31" t="s">
        <v>14860</v>
      </c>
      <c r="H34" s="31" t="s">
        <v>14861</v>
      </c>
      <c r="I34" s="31" t="s">
        <v>13555</v>
      </c>
      <c r="J34" s="31" t="s">
        <v>14862</v>
      </c>
      <c r="K34" s="31" t="s">
        <v>14863</v>
      </c>
      <c r="L34" s="31" t="s">
        <v>14864</v>
      </c>
      <c r="M34" s="31" t="s">
        <v>14632</v>
      </c>
      <c r="N34" s="31" t="s">
        <v>9961</v>
      </c>
      <c r="O34" s="31" t="s">
        <v>14633</v>
      </c>
      <c r="P34" s="31" t="s">
        <v>9934</v>
      </c>
      <c r="Q34" s="31" t="s">
        <v>9963</v>
      </c>
    </row>
  </sheetData>
  <mergeCells count="3">
    <mergeCell ref="A1:Q1"/>
    <mergeCell ref="A2:Q2"/>
    <mergeCell ref="A3:Q3"/>
  </mergeCells>
  <dataValidations count="4">
    <dataValidation allowBlank="false" errorStyle="stop" operator="between" showDropDown="false" showErrorMessage="false" showInputMessage="false" sqref="I5:I34" type="list">
      <formula1>'Controlled Vocab'!$B$121:$B$143</formula1>
      <formula2>0</formula2>
    </dataValidation>
    <dataValidation allowBlank="false" errorStyle="stop" operator="between" showDropDown="false" showErrorMessage="false" showInputMessage="false" sqref="M5:M34" type="list">
      <formula1>"Exact equivalent,Close analogue,Partial analogy,Functional analogue,Mechanical analogue,Visual analogue,Uncertain / disputed"</formula1>
      <formula2>0</formula2>
    </dataValidation>
    <dataValidation allowBlank="false" errorStyle="stop" operator="between" showDropDown="false" showErrorMessage="false" showInputMessage="false" sqref="N5:N34" type="list">
      <formula1>'Controlled Vocab'!$B$82:$B$86</formula1>
      <formula2>0</formula2>
    </dataValidation>
    <dataValidation allowBlank="false" errorStyle="stop" operator="between" showDropDown="false" showErrorMessage="false" showInputMessage="false" sqref="Q5:Q34" type="list">
      <formula1>'Controlled Vocab'!$B$87:$B$91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5.39"/>
    <col collapsed="false" customWidth="true" hidden="false" outlineLevel="0" max="2" min="2" style="1" width="13.19"/>
    <col collapsed="false" customWidth="true" hidden="false" outlineLevel="0" max="3" min="3" style="1" width="32.97"/>
    <col collapsed="false" customWidth="true" hidden="false" outlineLevel="0" max="4" min="4" style="1" width="37.37"/>
    <col collapsed="false" customWidth="true" hidden="false" outlineLevel="0" max="5" min="5" style="1" width="24.18"/>
    <col collapsed="false" customWidth="true" hidden="false" outlineLevel="0" max="6" min="6" style="1" width="37.37"/>
    <col collapsed="false" customWidth="true" hidden="false" outlineLevel="0" max="7" min="7" style="1" width="24.18"/>
    <col collapsed="false" customWidth="true" hidden="false" outlineLevel="0" max="8" min="8" style="1" width="34.07"/>
    <col collapsed="false" customWidth="true" hidden="false" outlineLevel="0" max="9" min="9" style="1" width="13.19"/>
    <col collapsed="false" customWidth="true" hidden="false" outlineLevel="0" max="10" min="10" style="1" width="24.18"/>
    <col collapsed="false" customWidth="true" hidden="false" outlineLevel="0" max="11" min="11" style="1" width="29.67"/>
    <col collapsed="false" customWidth="true" hidden="false" outlineLevel="0" max="12" min="12" style="1" width="38.47"/>
    <col collapsed="false" customWidth="true" hidden="false" outlineLevel="0" max="13" min="13" style="1" width="52.76"/>
  </cols>
  <sheetData>
    <row r="1" customFormat="false" ht="31.5" hidden="false" customHeight="true" outlineLevel="0" collapsed="false">
      <c r="A1" s="43" t="s">
        <v>14001</v>
      </c>
      <c r="B1" s="43" t="s">
        <v>8062</v>
      </c>
      <c r="C1" s="43" t="s">
        <v>9937</v>
      </c>
      <c r="D1" s="43" t="s">
        <v>14004</v>
      </c>
      <c r="E1" s="43" t="s">
        <v>14007</v>
      </c>
      <c r="F1" s="43" t="s">
        <v>14865</v>
      </c>
      <c r="G1" s="43" t="s">
        <v>14011</v>
      </c>
      <c r="H1" s="43" t="s">
        <v>14866</v>
      </c>
      <c r="I1" s="43" t="s">
        <v>14867</v>
      </c>
      <c r="J1" s="43" t="s">
        <v>9949</v>
      </c>
      <c r="K1" s="43" t="s">
        <v>9951</v>
      </c>
      <c r="L1" s="43" t="s">
        <v>8071</v>
      </c>
      <c r="M1" s="43" t="s">
        <v>14868</v>
      </c>
    </row>
    <row r="2" customFormat="false" ht="22.35" hidden="false" customHeight="false" outlineLevel="0" collapsed="false">
      <c r="A2" s="44" t="s">
        <v>14869</v>
      </c>
      <c r="B2" s="44" t="s">
        <v>8073</v>
      </c>
      <c r="C2" s="44" t="s">
        <v>8074</v>
      </c>
      <c r="D2" s="44" t="s">
        <v>14870</v>
      </c>
      <c r="E2" s="44" t="s">
        <v>215</v>
      </c>
      <c r="F2" s="44" t="s">
        <v>216</v>
      </c>
      <c r="G2" s="44" t="s">
        <v>14871</v>
      </c>
      <c r="H2" s="44" t="s">
        <v>14872</v>
      </c>
      <c r="I2" s="44" t="s">
        <v>14873</v>
      </c>
      <c r="J2" s="44" t="s">
        <v>14874</v>
      </c>
      <c r="K2" s="44" t="s">
        <v>14875</v>
      </c>
      <c r="L2" s="44" t="s">
        <v>8083</v>
      </c>
      <c r="M2" s="44" t="s">
        <v>14876</v>
      </c>
    </row>
    <row r="3" customFormat="false" ht="22.35" hidden="false" customHeight="false" outlineLevel="0" collapsed="false">
      <c r="A3" s="44" t="s">
        <v>14877</v>
      </c>
      <c r="B3" s="44" t="s">
        <v>8073</v>
      </c>
      <c r="C3" s="44" t="s">
        <v>8074</v>
      </c>
      <c r="D3" s="44" t="s">
        <v>14878</v>
      </c>
      <c r="E3" s="44" t="s">
        <v>486</v>
      </c>
      <c r="F3" s="44" t="s">
        <v>487</v>
      </c>
      <c r="G3" s="44" t="s">
        <v>14871</v>
      </c>
      <c r="H3" s="44" t="s">
        <v>14872</v>
      </c>
      <c r="I3" s="44" t="s">
        <v>14879</v>
      </c>
      <c r="J3" s="44" t="s">
        <v>14874</v>
      </c>
      <c r="K3" s="44" t="s">
        <v>14875</v>
      </c>
      <c r="L3" s="44" t="s">
        <v>8083</v>
      </c>
      <c r="M3" s="44" t="s">
        <v>14876</v>
      </c>
    </row>
    <row r="4" customFormat="false" ht="22.35" hidden="false" customHeight="false" outlineLevel="0" collapsed="false">
      <c r="A4" s="44" t="s">
        <v>14880</v>
      </c>
      <c r="B4" s="44" t="s">
        <v>8073</v>
      </c>
      <c r="C4" s="44" t="s">
        <v>8074</v>
      </c>
      <c r="D4" s="44" t="s">
        <v>14881</v>
      </c>
      <c r="E4" s="44"/>
      <c r="F4" s="44"/>
      <c r="G4" s="44" t="s">
        <v>14882</v>
      </c>
      <c r="H4" s="44" t="s">
        <v>14872</v>
      </c>
      <c r="I4" s="44" t="s">
        <v>14883</v>
      </c>
      <c r="J4" s="44" t="s">
        <v>14874</v>
      </c>
      <c r="K4" s="44" t="s">
        <v>14875</v>
      </c>
      <c r="L4" s="44" t="s">
        <v>8083</v>
      </c>
      <c r="M4" s="44" t="s">
        <v>14876</v>
      </c>
    </row>
    <row r="5" customFormat="false" ht="22.35" hidden="false" customHeight="false" outlineLevel="0" collapsed="false">
      <c r="A5" s="44" t="s">
        <v>14884</v>
      </c>
      <c r="B5" s="44" t="s">
        <v>8073</v>
      </c>
      <c r="C5" s="44" t="s">
        <v>8074</v>
      </c>
      <c r="D5" s="44" t="s">
        <v>14885</v>
      </c>
      <c r="E5" s="44" t="s">
        <v>180</v>
      </c>
      <c r="F5" s="44" t="s">
        <v>47</v>
      </c>
      <c r="G5" s="44" t="s">
        <v>14871</v>
      </c>
      <c r="H5" s="44" t="s">
        <v>14872</v>
      </c>
      <c r="I5" s="44" t="s">
        <v>14886</v>
      </c>
      <c r="J5" s="44" t="s">
        <v>14874</v>
      </c>
      <c r="K5" s="44" t="s">
        <v>14875</v>
      </c>
      <c r="L5" s="44" t="s">
        <v>8083</v>
      </c>
      <c r="M5" s="44" t="s">
        <v>14876</v>
      </c>
    </row>
    <row r="6" customFormat="false" ht="22.35" hidden="false" customHeight="false" outlineLevel="0" collapsed="false">
      <c r="A6" s="44" t="s">
        <v>14887</v>
      </c>
      <c r="B6" s="44" t="s">
        <v>8073</v>
      </c>
      <c r="C6" s="44" t="s">
        <v>8074</v>
      </c>
      <c r="D6" s="44" t="s">
        <v>14888</v>
      </c>
      <c r="E6" s="44" t="s">
        <v>392</v>
      </c>
      <c r="F6" s="44" t="s">
        <v>393</v>
      </c>
      <c r="G6" s="44" t="s">
        <v>14871</v>
      </c>
      <c r="H6" s="44" t="s">
        <v>14872</v>
      </c>
      <c r="I6" s="44" t="s">
        <v>14879</v>
      </c>
      <c r="J6" s="44" t="s">
        <v>14874</v>
      </c>
      <c r="K6" s="44" t="s">
        <v>14875</v>
      </c>
      <c r="L6" s="44" t="s">
        <v>8083</v>
      </c>
      <c r="M6" s="44" t="s">
        <v>14876</v>
      </c>
    </row>
    <row r="7" customFormat="false" ht="22.35" hidden="false" customHeight="false" outlineLevel="0" collapsed="false">
      <c r="A7" s="44" t="s">
        <v>14889</v>
      </c>
      <c r="B7" s="44" t="s">
        <v>8073</v>
      </c>
      <c r="C7" s="44" t="s">
        <v>8074</v>
      </c>
      <c r="D7" s="44" t="s">
        <v>14890</v>
      </c>
      <c r="E7" s="44" t="s">
        <v>14891</v>
      </c>
      <c r="F7" s="44" t="s">
        <v>14892</v>
      </c>
      <c r="G7" s="44" t="s">
        <v>14871</v>
      </c>
      <c r="H7" s="44" t="s">
        <v>14872</v>
      </c>
      <c r="I7" s="44" t="s">
        <v>14873</v>
      </c>
      <c r="J7" s="44" t="s">
        <v>14874</v>
      </c>
      <c r="K7" s="44" t="s">
        <v>14875</v>
      </c>
      <c r="L7" s="44" t="s">
        <v>8083</v>
      </c>
      <c r="M7" s="44" t="s">
        <v>14876</v>
      </c>
    </row>
    <row r="8" customFormat="false" ht="22.35" hidden="false" customHeight="false" outlineLevel="0" collapsed="false">
      <c r="A8" s="44" t="s">
        <v>14893</v>
      </c>
      <c r="B8" s="44" t="s">
        <v>8073</v>
      </c>
      <c r="C8" s="44" t="s">
        <v>8074</v>
      </c>
      <c r="D8" s="44" t="s">
        <v>14894</v>
      </c>
      <c r="E8" s="44"/>
      <c r="F8" s="44"/>
      <c r="G8" s="44" t="s">
        <v>14882</v>
      </c>
      <c r="H8" s="44" t="s">
        <v>14872</v>
      </c>
      <c r="I8" s="44" t="s">
        <v>14883</v>
      </c>
      <c r="J8" s="44" t="s">
        <v>14874</v>
      </c>
      <c r="K8" s="44" t="s">
        <v>14875</v>
      </c>
      <c r="L8" s="44" t="s">
        <v>8083</v>
      </c>
      <c r="M8" s="44" t="s">
        <v>14876</v>
      </c>
    </row>
    <row r="9" customFormat="false" ht="22.35" hidden="false" customHeight="false" outlineLevel="0" collapsed="false">
      <c r="A9" s="44" t="s">
        <v>14895</v>
      </c>
      <c r="B9" s="44" t="s">
        <v>8073</v>
      </c>
      <c r="C9" s="44" t="s">
        <v>8074</v>
      </c>
      <c r="D9" s="44" t="s">
        <v>14896</v>
      </c>
      <c r="E9" s="44" t="s">
        <v>2473</v>
      </c>
      <c r="F9" s="44" t="s">
        <v>2474</v>
      </c>
      <c r="G9" s="44" t="s">
        <v>14871</v>
      </c>
      <c r="H9" s="44" t="s">
        <v>14872</v>
      </c>
      <c r="I9" s="44" t="s">
        <v>14879</v>
      </c>
      <c r="J9" s="44" t="s">
        <v>14874</v>
      </c>
      <c r="K9" s="44" t="s">
        <v>14875</v>
      </c>
      <c r="L9" s="44" t="s">
        <v>8083</v>
      </c>
      <c r="M9" s="44" t="s">
        <v>14876</v>
      </c>
    </row>
    <row r="10" customFormat="false" ht="22.35" hidden="false" customHeight="false" outlineLevel="0" collapsed="false">
      <c r="A10" s="44" t="s">
        <v>14897</v>
      </c>
      <c r="B10" s="44" t="s">
        <v>8085</v>
      </c>
      <c r="C10" s="44" t="s">
        <v>8086</v>
      </c>
      <c r="D10" s="44" t="s">
        <v>14898</v>
      </c>
      <c r="E10" s="44"/>
      <c r="F10" s="44"/>
      <c r="G10" s="44" t="s">
        <v>14882</v>
      </c>
      <c r="H10" s="44" t="s">
        <v>14872</v>
      </c>
      <c r="I10" s="44" t="s">
        <v>14883</v>
      </c>
      <c r="J10" s="44" t="s">
        <v>14874</v>
      </c>
      <c r="K10" s="44" t="s">
        <v>14875</v>
      </c>
      <c r="L10" s="44" t="s">
        <v>8092</v>
      </c>
      <c r="M10" s="44" t="s">
        <v>14876</v>
      </c>
    </row>
    <row r="11" customFormat="false" ht="22.35" hidden="false" customHeight="false" outlineLevel="0" collapsed="false">
      <c r="A11" s="44" t="s">
        <v>14899</v>
      </c>
      <c r="B11" s="44" t="s">
        <v>8085</v>
      </c>
      <c r="C11" s="44" t="s">
        <v>8086</v>
      </c>
      <c r="D11" s="44" t="s">
        <v>14900</v>
      </c>
      <c r="E11" s="44" t="s">
        <v>254</v>
      </c>
      <c r="F11" s="44" t="s">
        <v>255</v>
      </c>
      <c r="G11" s="44" t="s">
        <v>14871</v>
      </c>
      <c r="H11" s="44" t="s">
        <v>14872</v>
      </c>
      <c r="I11" s="44" t="s">
        <v>14879</v>
      </c>
      <c r="J11" s="44" t="s">
        <v>14874</v>
      </c>
      <c r="K11" s="44" t="s">
        <v>14875</v>
      </c>
      <c r="L11" s="44" t="s">
        <v>8092</v>
      </c>
      <c r="M11" s="44" t="s">
        <v>14876</v>
      </c>
    </row>
    <row r="12" customFormat="false" ht="22.35" hidden="false" customHeight="false" outlineLevel="0" collapsed="false">
      <c r="A12" s="44" t="s">
        <v>14901</v>
      </c>
      <c r="B12" s="44" t="s">
        <v>8085</v>
      </c>
      <c r="C12" s="44" t="s">
        <v>8086</v>
      </c>
      <c r="D12" s="44" t="s">
        <v>14902</v>
      </c>
      <c r="E12" s="44"/>
      <c r="F12" s="44"/>
      <c r="G12" s="44" t="s">
        <v>14882</v>
      </c>
      <c r="H12" s="44" t="s">
        <v>14872</v>
      </c>
      <c r="I12" s="44" t="s">
        <v>14883</v>
      </c>
      <c r="J12" s="44" t="s">
        <v>14874</v>
      </c>
      <c r="K12" s="44" t="s">
        <v>14875</v>
      </c>
      <c r="L12" s="44" t="s">
        <v>8092</v>
      </c>
      <c r="M12" s="44" t="s">
        <v>14876</v>
      </c>
    </row>
    <row r="13" customFormat="false" ht="22.35" hidden="false" customHeight="false" outlineLevel="0" collapsed="false">
      <c r="A13" s="44" t="s">
        <v>14903</v>
      </c>
      <c r="B13" s="44" t="s">
        <v>8085</v>
      </c>
      <c r="C13" s="44" t="s">
        <v>8086</v>
      </c>
      <c r="D13" s="44" t="s">
        <v>14904</v>
      </c>
      <c r="E13" s="44" t="s">
        <v>223</v>
      </c>
      <c r="F13" s="44" t="s">
        <v>224</v>
      </c>
      <c r="G13" s="44" t="s">
        <v>14871</v>
      </c>
      <c r="H13" s="44" t="s">
        <v>14872</v>
      </c>
      <c r="I13" s="44" t="s">
        <v>14879</v>
      </c>
      <c r="J13" s="44" t="s">
        <v>14874</v>
      </c>
      <c r="K13" s="44" t="s">
        <v>14875</v>
      </c>
      <c r="L13" s="44" t="s">
        <v>8092</v>
      </c>
      <c r="M13" s="44" t="s">
        <v>14876</v>
      </c>
    </row>
    <row r="14" customFormat="false" ht="22.35" hidden="false" customHeight="false" outlineLevel="0" collapsed="false">
      <c r="A14" s="44" t="s">
        <v>14905</v>
      </c>
      <c r="B14" s="44" t="s">
        <v>8085</v>
      </c>
      <c r="C14" s="44" t="s">
        <v>8086</v>
      </c>
      <c r="D14" s="44" t="s">
        <v>14906</v>
      </c>
      <c r="E14" s="44"/>
      <c r="F14" s="44"/>
      <c r="G14" s="44" t="s">
        <v>14882</v>
      </c>
      <c r="H14" s="44" t="s">
        <v>14872</v>
      </c>
      <c r="I14" s="44" t="s">
        <v>14883</v>
      </c>
      <c r="J14" s="44" t="s">
        <v>14874</v>
      </c>
      <c r="K14" s="44" t="s">
        <v>14875</v>
      </c>
      <c r="L14" s="44" t="s">
        <v>8092</v>
      </c>
      <c r="M14" s="44" t="s">
        <v>14876</v>
      </c>
    </row>
    <row r="15" customFormat="false" ht="22.35" hidden="false" customHeight="false" outlineLevel="0" collapsed="false">
      <c r="A15" s="44" t="s">
        <v>14907</v>
      </c>
      <c r="B15" s="44" t="s">
        <v>8085</v>
      </c>
      <c r="C15" s="44" t="s">
        <v>8086</v>
      </c>
      <c r="D15" s="44" t="s">
        <v>14908</v>
      </c>
      <c r="E15" s="44"/>
      <c r="F15" s="44"/>
      <c r="G15" s="44" t="s">
        <v>14882</v>
      </c>
      <c r="H15" s="44" t="s">
        <v>14872</v>
      </c>
      <c r="I15" s="44" t="s">
        <v>14883</v>
      </c>
      <c r="J15" s="44" t="s">
        <v>14874</v>
      </c>
      <c r="K15" s="44" t="s">
        <v>14875</v>
      </c>
      <c r="L15" s="44" t="s">
        <v>8092</v>
      </c>
      <c r="M15" s="44" t="s">
        <v>14876</v>
      </c>
    </row>
    <row r="16" customFormat="false" ht="22.35" hidden="false" customHeight="false" outlineLevel="0" collapsed="false">
      <c r="A16" s="44" t="s">
        <v>14909</v>
      </c>
      <c r="B16" s="44" t="s">
        <v>8085</v>
      </c>
      <c r="C16" s="44" t="s">
        <v>8086</v>
      </c>
      <c r="D16" s="44" t="s">
        <v>14910</v>
      </c>
      <c r="E16" s="44" t="s">
        <v>7231</v>
      </c>
      <c r="F16" s="44" t="s">
        <v>7232</v>
      </c>
      <c r="G16" s="44" t="s">
        <v>14871</v>
      </c>
      <c r="H16" s="44" t="s">
        <v>14872</v>
      </c>
      <c r="I16" s="44" t="s">
        <v>14873</v>
      </c>
      <c r="J16" s="44" t="s">
        <v>14874</v>
      </c>
      <c r="K16" s="44" t="s">
        <v>14875</v>
      </c>
      <c r="L16" s="44" t="s">
        <v>8092</v>
      </c>
      <c r="M16" s="44" t="s">
        <v>14876</v>
      </c>
    </row>
    <row r="17" customFormat="false" ht="22.35" hidden="false" customHeight="false" outlineLevel="0" collapsed="false">
      <c r="A17" s="44" t="s">
        <v>14911</v>
      </c>
      <c r="B17" s="44" t="s">
        <v>8085</v>
      </c>
      <c r="C17" s="44" t="s">
        <v>8086</v>
      </c>
      <c r="D17" s="44" t="s">
        <v>14912</v>
      </c>
      <c r="E17" s="44" t="s">
        <v>14913</v>
      </c>
      <c r="F17" s="44" t="s">
        <v>14914</v>
      </c>
      <c r="G17" s="44" t="s">
        <v>14871</v>
      </c>
      <c r="H17" s="44" t="s">
        <v>14872</v>
      </c>
      <c r="I17" s="44" t="s">
        <v>14873</v>
      </c>
      <c r="J17" s="44" t="s">
        <v>14874</v>
      </c>
      <c r="K17" s="44" t="s">
        <v>14875</v>
      </c>
      <c r="L17" s="44" t="s">
        <v>8092</v>
      </c>
      <c r="M17" s="44" t="s">
        <v>14876</v>
      </c>
    </row>
    <row r="18" customFormat="false" ht="22.35" hidden="false" customHeight="false" outlineLevel="0" collapsed="false">
      <c r="A18" s="44" t="s">
        <v>14915</v>
      </c>
      <c r="B18" s="44" t="s">
        <v>8093</v>
      </c>
      <c r="C18" s="44" t="s">
        <v>8094</v>
      </c>
      <c r="D18" s="44" t="s">
        <v>14916</v>
      </c>
      <c r="E18" s="44" t="s">
        <v>200</v>
      </c>
      <c r="F18" s="44" t="s">
        <v>201</v>
      </c>
      <c r="G18" s="44" t="s">
        <v>14871</v>
      </c>
      <c r="H18" s="44" t="s">
        <v>14872</v>
      </c>
      <c r="I18" s="44" t="s">
        <v>14886</v>
      </c>
      <c r="J18" s="44" t="s">
        <v>14874</v>
      </c>
      <c r="K18" s="44" t="s">
        <v>14875</v>
      </c>
      <c r="L18" s="44" t="s">
        <v>8099</v>
      </c>
      <c r="M18" s="44" t="s">
        <v>14876</v>
      </c>
    </row>
    <row r="19" customFormat="false" ht="22.35" hidden="false" customHeight="false" outlineLevel="0" collapsed="false">
      <c r="A19" s="44" t="s">
        <v>14917</v>
      </c>
      <c r="B19" s="44" t="s">
        <v>8093</v>
      </c>
      <c r="C19" s="44" t="s">
        <v>8094</v>
      </c>
      <c r="D19" s="44" t="s">
        <v>14918</v>
      </c>
      <c r="E19" s="44" t="s">
        <v>6764</v>
      </c>
      <c r="F19" s="44" t="s">
        <v>6765</v>
      </c>
      <c r="G19" s="44" t="s">
        <v>14871</v>
      </c>
      <c r="H19" s="44" t="s">
        <v>14872</v>
      </c>
      <c r="I19" s="44" t="s">
        <v>14873</v>
      </c>
      <c r="J19" s="44" t="s">
        <v>14874</v>
      </c>
      <c r="K19" s="44" t="s">
        <v>14875</v>
      </c>
      <c r="L19" s="44" t="s">
        <v>8099</v>
      </c>
      <c r="M19" s="44" t="s">
        <v>14876</v>
      </c>
    </row>
    <row r="20" customFormat="false" ht="22.35" hidden="false" customHeight="false" outlineLevel="0" collapsed="false">
      <c r="A20" s="44" t="s">
        <v>14919</v>
      </c>
      <c r="B20" s="44" t="s">
        <v>8093</v>
      </c>
      <c r="C20" s="44" t="s">
        <v>8094</v>
      </c>
      <c r="D20" s="44" t="s">
        <v>14920</v>
      </c>
      <c r="E20" s="44"/>
      <c r="F20" s="44"/>
      <c r="G20" s="44" t="s">
        <v>14882</v>
      </c>
      <c r="H20" s="44" t="s">
        <v>14872</v>
      </c>
      <c r="I20" s="44" t="s">
        <v>14883</v>
      </c>
      <c r="J20" s="44" t="s">
        <v>14874</v>
      </c>
      <c r="K20" s="44" t="s">
        <v>14875</v>
      </c>
      <c r="L20" s="44" t="s">
        <v>8099</v>
      </c>
      <c r="M20" s="44" t="s">
        <v>14876</v>
      </c>
    </row>
    <row r="21" customFormat="false" ht="22.35" hidden="false" customHeight="false" outlineLevel="0" collapsed="false">
      <c r="A21" s="44" t="s">
        <v>14921</v>
      </c>
      <c r="B21" s="44" t="s">
        <v>8093</v>
      </c>
      <c r="C21" s="44" t="s">
        <v>8094</v>
      </c>
      <c r="D21" s="44" t="s">
        <v>14922</v>
      </c>
      <c r="E21" s="44"/>
      <c r="F21" s="44"/>
      <c r="G21" s="44" t="s">
        <v>14882</v>
      </c>
      <c r="H21" s="44" t="s">
        <v>14872</v>
      </c>
      <c r="I21" s="44" t="s">
        <v>14883</v>
      </c>
      <c r="J21" s="44" t="s">
        <v>14874</v>
      </c>
      <c r="K21" s="44" t="s">
        <v>14875</v>
      </c>
      <c r="L21" s="44" t="s">
        <v>8099</v>
      </c>
      <c r="M21" s="44" t="s">
        <v>14876</v>
      </c>
    </row>
    <row r="22" customFormat="false" ht="22.35" hidden="false" customHeight="false" outlineLevel="0" collapsed="false">
      <c r="A22" s="44" t="s">
        <v>14923</v>
      </c>
      <c r="B22" s="44" t="s">
        <v>8093</v>
      </c>
      <c r="C22" s="44" t="s">
        <v>8094</v>
      </c>
      <c r="D22" s="44" t="s">
        <v>14924</v>
      </c>
      <c r="E22" s="44" t="s">
        <v>2761</v>
      </c>
      <c r="F22" s="44" t="s">
        <v>2762</v>
      </c>
      <c r="G22" s="44" t="s">
        <v>14871</v>
      </c>
      <c r="H22" s="44" t="s">
        <v>14872</v>
      </c>
      <c r="I22" s="44" t="s">
        <v>14886</v>
      </c>
      <c r="J22" s="44" t="s">
        <v>14874</v>
      </c>
      <c r="K22" s="44" t="s">
        <v>14875</v>
      </c>
      <c r="L22" s="44" t="s">
        <v>8099</v>
      </c>
      <c r="M22" s="44" t="s">
        <v>14876</v>
      </c>
    </row>
    <row r="23" customFormat="false" ht="22.35" hidden="false" customHeight="false" outlineLevel="0" collapsed="false">
      <c r="A23" s="44" t="s">
        <v>14925</v>
      </c>
      <c r="B23" s="44" t="s">
        <v>8093</v>
      </c>
      <c r="C23" s="44" t="s">
        <v>8094</v>
      </c>
      <c r="D23" s="44" t="s">
        <v>14926</v>
      </c>
      <c r="E23" s="44"/>
      <c r="F23" s="44"/>
      <c r="G23" s="44" t="s">
        <v>14882</v>
      </c>
      <c r="H23" s="44" t="s">
        <v>14872</v>
      </c>
      <c r="I23" s="44" t="s">
        <v>14883</v>
      </c>
      <c r="J23" s="44" t="s">
        <v>14874</v>
      </c>
      <c r="K23" s="44" t="s">
        <v>14875</v>
      </c>
      <c r="L23" s="44" t="s">
        <v>8099</v>
      </c>
      <c r="M23" s="44" t="s">
        <v>14876</v>
      </c>
    </row>
    <row r="24" customFormat="false" ht="22.35" hidden="false" customHeight="false" outlineLevel="0" collapsed="false">
      <c r="A24" s="44" t="s">
        <v>14927</v>
      </c>
      <c r="B24" s="44" t="s">
        <v>8100</v>
      </c>
      <c r="C24" s="44" t="s">
        <v>8101</v>
      </c>
      <c r="D24" s="44" t="s">
        <v>14928</v>
      </c>
      <c r="E24" s="44"/>
      <c r="F24" s="44"/>
      <c r="G24" s="44" t="s">
        <v>14882</v>
      </c>
      <c r="H24" s="44" t="s">
        <v>14872</v>
      </c>
      <c r="I24" s="44" t="s">
        <v>14883</v>
      </c>
      <c r="J24" s="44" t="s">
        <v>14874</v>
      </c>
      <c r="K24" s="44" t="s">
        <v>14875</v>
      </c>
      <c r="L24" s="44" t="s">
        <v>8108</v>
      </c>
      <c r="M24" s="44" t="s">
        <v>14876</v>
      </c>
    </row>
    <row r="25" customFormat="false" ht="22.35" hidden="false" customHeight="false" outlineLevel="0" collapsed="false">
      <c r="A25" s="44" t="s">
        <v>14929</v>
      </c>
      <c r="B25" s="44" t="s">
        <v>8100</v>
      </c>
      <c r="C25" s="44" t="s">
        <v>8101</v>
      </c>
      <c r="D25" s="44" t="s">
        <v>14930</v>
      </c>
      <c r="E25" s="44"/>
      <c r="F25" s="44"/>
      <c r="G25" s="44" t="s">
        <v>14882</v>
      </c>
      <c r="H25" s="44" t="s">
        <v>14872</v>
      </c>
      <c r="I25" s="44" t="s">
        <v>14883</v>
      </c>
      <c r="J25" s="44" t="s">
        <v>14874</v>
      </c>
      <c r="K25" s="44" t="s">
        <v>14875</v>
      </c>
      <c r="L25" s="44" t="s">
        <v>8108</v>
      </c>
      <c r="M25" s="44" t="s">
        <v>14876</v>
      </c>
    </row>
    <row r="26" customFormat="false" ht="22.35" hidden="false" customHeight="false" outlineLevel="0" collapsed="false">
      <c r="A26" s="44" t="s">
        <v>14931</v>
      </c>
      <c r="B26" s="44" t="s">
        <v>8100</v>
      </c>
      <c r="C26" s="44" t="s">
        <v>8101</v>
      </c>
      <c r="D26" s="44" t="s">
        <v>14932</v>
      </c>
      <c r="E26" s="44" t="s">
        <v>2761</v>
      </c>
      <c r="F26" s="44" t="s">
        <v>2762</v>
      </c>
      <c r="G26" s="44" t="s">
        <v>14871</v>
      </c>
      <c r="H26" s="44" t="s">
        <v>14872</v>
      </c>
      <c r="I26" s="44" t="s">
        <v>14886</v>
      </c>
      <c r="J26" s="44" t="s">
        <v>14874</v>
      </c>
      <c r="K26" s="44" t="s">
        <v>14875</v>
      </c>
      <c r="L26" s="44" t="s">
        <v>8108</v>
      </c>
      <c r="M26" s="44" t="s">
        <v>14876</v>
      </c>
    </row>
    <row r="27" customFormat="false" ht="22.35" hidden="false" customHeight="false" outlineLevel="0" collapsed="false">
      <c r="A27" s="44" t="s">
        <v>14933</v>
      </c>
      <c r="B27" s="44" t="s">
        <v>8100</v>
      </c>
      <c r="C27" s="44" t="s">
        <v>8101</v>
      </c>
      <c r="D27" s="44" t="s">
        <v>14934</v>
      </c>
      <c r="E27" s="44" t="s">
        <v>14935</v>
      </c>
      <c r="F27" s="44" t="s">
        <v>14936</v>
      </c>
      <c r="G27" s="44" t="s">
        <v>14871</v>
      </c>
      <c r="H27" s="44" t="s">
        <v>14872</v>
      </c>
      <c r="I27" s="44" t="s">
        <v>14873</v>
      </c>
      <c r="J27" s="44" t="s">
        <v>14874</v>
      </c>
      <c r="K27" s="44" t="s">
        <v>14875</v>
      </c>
      <c r="L27" s="44" t="s">
        <v>8108</v>
      </c>
      <c r="M27" s="44" t="s">
        <v>14876</v>
      </c>
    </row>
    <row r="28" customFormat="false" ht="22.35" hidden="false" customHeight="false" outlineLevel="0" collapsed="false">
      <c r="A28" s="44" t="s">
        <v>14937</v>
      </c>
      <c r="B28" s="44" t="s">
        <v>8100</v>
      </c>
      <c r="C28" s="44" t="s">
        <v>8101</v>
      </c>
      <c r="D28" s="44" t="s">
        <v>14938</v>
      </c>
      <c r="E28" s="44" t="s">
        <v>6785</v>
      </c>
      <c r="F28" s="44" t="s">
        <v>6786</v>
      </c>
      <c r="G28" s="44" t="s">
        <v>14871</v>
      </c>
      <c r="H28" s="44" t="s">
        <v>14872</v>
      </c>
      <c r="I28" s="44" t="s">
        <v>14886</v>
      </c>
      <c r="J28" s="44" t="s">
        <v>14874</v>
      </c>
      <c r="K28" s="44" t="s">
        <v>14875</v>
      </c>
      <c r="L28" s="44" t="s">
        <v>8108</v>
      </c>
      <c r="M28" s="44" t="s">
        <v>14876</v>
      </c>
    </row>
    <row r="29" customFormat="false" ht="22.35" hidden="false" customHeight="false" outlineLevel="0" collapsed="false">
      <c r="A29" s="44" t="s">
        <v>14939</v>
      </c>
      <c r="B29" s="44" t="s">
        <v>8109</v>
      </c>
      <c r="C29" s="44" t="s">
        <v>8110</v>
      </c>
      <c r="D29" s="44" t="s">
        <v>14940</v>
      </c>
      <c r="E29" s="44" t="s">
        <v>994</v>
      </c>
      <c r="F29" s="44" t="s">
        <v>995</v>
      </c>
      <c r="G29" s="44" t="s">
        <v>14871</v>
      </c>
      <c r="H29" s="44" t="s">
        <v>14872</v>
      </c>
      <c r="I29" s="44" t="s">
        <v>14873</v>
      </c>
      <c r="J29" s="44" t="s">
        <v>14874</v>
      </c>
      <c r="K29" s="44" t="s">
        <v>14875</v>
      </c>
      <c r="L29" s="44" t="s">
        <v>8116</v>
      </c>
      <c r="M29" s="44" t="s">
        <v>14876</v>
      </c>
    </row>
    <row r="30" customFormat="false" ht="22.35" hidden="false" customHeight="false" outlineLevel="0" collapsed="false">
      <c r="A30" s="44" t="s">
        <v>14941</v>
      </c>
      <c r="B30" s="44" t="s">
        <v>8109</v>
      </c>
      <c r="C30" s="44" t="s">
        <v>8110</v>
      </c>
      <c r="D30" s="44" t="s">
        <v>14942</v>
      </c>
      <c r="E30" s="44" t="s">
        <v>3589</v>
      </c>
      <c r="F30" s="44" t="s">
        <v>3590</v>
      </c>
      <c r="G30" s="44" t="s">
        <v>14871</v>
      </c>
      <c r="H30" s="44" t="s">
        <v>14872</v>
      </c>
      <c r="I30" s="44" t="s">
        <v>14886</v>
      </c>
      <c r="J30" s="44" t="s">
        <v>14874</v>
      </c>
      <c r="K30" s="44" t="s">
        <v>14875</v>
      </c>
      <c r="L30" s="44" t="s">
        <v>8116</v>
      </c>
      <c r="M30" s="44" t="s">
        <v>14876</v>
      </c>
    </row>
    <row r="31" customFormat="false" ht="22.35" hidden="false" customHeight="false" outlineLevel="0" collapsed="false">
      <c r="A31" s="44" t="s">
        <v>14943</v>
      </c>
      <c r="B31" s="44" t="s">
        <v>8109</v>
      </c>
      <c r="C31" s="44" t="s">
        <v>8110</v>
      </c>
      <c r="D31" s="44" t="s">
        <v>14944</v>
      </c>
      <c r="E31" s="44" t="s">
        <v>14945</v>
      </c>
      <c r="F31" s="44" t="s">
        <v>14946</v>
      </c>
      <c r="G31" s="44" t="s">
        <v>14871</v>
      </c>
      <c r="H31" s="44" t="s">
        <v>14872</v>
      </c>
      <c r="I31" s="44" t="s">
        <v>14886</v>
      </c>
      <c r="J31" s="44" t="s">
        <v>14874</v>
      </c>
      <c r="K31" s="44" t="s">
        <v>14875</v>
      </c>
      <c r="L31" s="44" t="s">
        <v>8116</v>
      </c>
      <c r="M31" s="44" t="s">
        <v>14876</v>
      </c>
    </row>
    <row r="32" customFormat="false" ht="22.35" hidden="false" customHeight="false" outlineLevel="0" collapsed="false">
      <c r="A32" s="44" t="s">
        <v>14947</v>
      </c>
      <c r="B32" s="44" t="s">
        <v>8109</v>
      </c>
      <c r="C32" s="44" t="s">
        <v>8110</v>
      </c>
      <c r="D32" s="44" t="s">
        <v>14948</v>
      </c>
      <c r="E32" s="44" t="s">
        <v>5151</v>
      </c>
      <c r="F32" s="44" t="s">
        <v>5152</v>
      </c>
      <c r="G32" s="44" t="s">
        <v>14871</v>
      </c>
      <c r="H32" s="44" t="s">
        <v>14872</v>
      </c>
      <c r="I32" s="44" t="s">
        <v>14873</v>
      </c>
      <c r="J32" s="44" t="s">
        <v>14874</v>
      </c>
      <c r="K32" s="44" t="s">
        <v>14875</v>
      </c>
      <c r="L32" s="44" t="s">
        <v>8116</v>
      </c>
      <c r="M32" s="44" t="s">
        <v>14876</v>
      </c>
    </row>
    <row r="33" customFormat="false" ht="22.35" hidden="false" customHeight="false" outlineLevel="0" collapsed="false">
      <c r="A33" s="44" t="s">
        <v>14949</v>
      </c>
      <c r="B33" s="44" t="s">
        <v>8109</v>
      </c>
      <c r="C33" s="44" t="s">
        <v>8110</v>
      </c>
      <c r="D33" s="44" t="s">
        <v>14950</v>
      </c>
      <c r="E33" s="44" t="s">
        <v>3251</v>
      </c>
      <c r="F33" s="44" t="s">
        <v>3252</v>
      </c>
      <c r="G33" s="44" t="s">
        <v>14871</v>
      </c>
      <c r="H33" s="44" t="s">
        <v>14872</v>
      </c>
      <c r="I33" s="44" t="s">
        <v>14886</v>
      </c>
      <c r="J33" s="44" t="s">
        <v>14874</v>
      </c>
      <c r="K33" s="44" t="s">
        <v>14875</v>
      </c>
      <c r="L33" s="44" t="s">
        <v>8116</v>
      </c>
      <c r="M33" s="44" t="s">
        <v>14876</v>
      </c>
    </row>
    <row r="34" customFormat="false" ht="22.35" hidden="false" customHeight="false" outlineLevel="0" collapsed="false">
      <c r="A34" s="44" t="s">
        <v>14951</v>
      </c>
      <c r="B34" s="44" t="s">
        <v>8109</v>
      </c>
      <c r="C34" s="44" t="s">
        <v>8110</v>
      </c>
      <c r="D34" s="44" t="s">
        <v>14952</v>
      </c>
      <c r="E34" s="44" t="s">
        <v>4052</v>
      </c>
      <c r="F34" s="44" t="s">
        <v>4053</v>
      </c>
      <c r="G34" s="44" t="s">
        <v>14871</v>
      </c>
      <c r="H34" s="44" t="s">
        <v>14872</v>
      </c>
      <c r="I34" s="44" t="s">
        <v>14873</v>
      </c>
      <c r="J34" s="44" t="s">
        <v>14874</v>
      </c>
      <c r="K34" s="44" t="s">
        <v>14875</v>
      </c>
      <c r="L34" s="44" t="s">
        <v>8116</v>
      </c>
      <c r="M34" s="44" t="s">
        <v>14876</v>
      </c>
    </row>
    <row r="35" customFormat="false" ht="22.35" hidden="false" customHeight="false" outlineLevel="0" collapsed="false">
      <c r="A35" s="44" t="s">
        <v>14953</v>
      </c>
      <c r="B35" s="44" t="s">
        <v>8117</v>
      </c>
      <c r="C35" s="44" t="s">
        <v>8118</v>
      </c>
      <c r="D35" s="44" t="s">
        <v>14954</v>
      </c>
      <c r="E35" s="44" t="s">
        <v>2566</v>
      </c>
      <c r="F35" s="44" t="s">
        <v>2567</v>
      </c>
      <c r="G35" s="44" t="s">
        <v>14871</v>
      </c>
      <c r="H35" s="44" t="s">
        <v>14872</v>
      </c>
      <c r="I35" s="44" t="s">
        <v>14873</v>
      </c>
      <c r="J35" s="44" t="s">
        <v>14874</v>
      </c>
      <c r="K35" s="44" t="s">
        <v>14875</v>
      </c>
      <c r="L35" s="44" t="s">
        <v>8125</v>
      </c>
      <c r="M35" s="44" t="s">
        <v>14876</v>
      </c>
    </row>
    <row r="36" customFormat="false" ht="22.35" hidden="false" customHeight="false" outlineLevel="0" collapsed="false">
      <c r="A36" s="44" t="s">
        <v>14955</v>
      </c>
      <c r="B36" s="44" t="s">
        <v>8117</v>
      </c>
      <c r="C36" s="44" t="s">
        <v>8118</v>
      </c>
      <c r="D36" s="44" t="s">
        <v>14956</v>
      </c>
      <c r="E36" s="44" t="s">
        <v>1669</v>
      </c>
      <c r="F36" s="44" t="s">
        <v>1670</v>
      </c>
      <c r="G36" s="44" t="s">
        <v>14871</v>
      </c>
      <c r="H36" s="44" t="s">
        <v>14872</v>
      </c>
      <c r="I36" s="44" t="s">
        <v>14873</v>
      </c>
      <c r="J36" s="44" t="s">
        <v>14874</v>
      </c>
      <c r="K36" s="44" t="s">
        <v>14875</v>
      </c>
      <c r="L36" s="44" t="s">
        <v>8125</v>
      </c>
      <c r="M36" s="44" t="s">
        <v>14876</v>
      </c>
    </row>
    <row r="37" customFormat="false" ht="22.35" hidden="false" customHeight="false" outlineLevel="0" collapsed="false">
      <c r="A37" s="44" t="s">
        <v>14957</v>
      </c>
      <c r="B37" s="44" t="s">
        <v>8117</v>
      </c>
      <c r="C37" s="44" t="s">
        <v>8118</v>
      </c>
      <c r="D37" s="44" t="s">
        <v>14958</v>
      </c>
      <c r="E37" s="44" t="s">
        <v>1561</v>
      </c>
      <c r="F37" s="44" t="s">
        <v>1562</v>
      </c>
      <c r="G37" s="44" t="s">
        <v>14871</v>
      </c>
      <c r="H37" s="44" t="s">
        <v>14872</v>
      </c>
      <c r="I37" s="44" t="s">
        <v>14879</v>
      </c>
      <c r="J37" s="44" t="s">
        <v>14874</v>
      </c>
      <c r="K37" s="44" t="s">
        <v>14875</v>
      </c>
      <c r="L37" s="44" t="s">
        <v>8125</v>
      </c>
      <c r="M37" s="44" t="s">
        <v>14876</v>
      </c>
    </row>
    <row r="38" customFormat="false" ht="22.35" hidden="false" customHeight="false" outlineLevel="0" collapsed="false">
      <c r="A38" s="44" t="s">
        <v>14959</v>
      </c>
      <c r="B38" s="44" t="s">
        <v>8117</v>
      </c>
      <c r="C38" s="44" t="s">
        <v>8118</v>
      </c>
      <c r="D38" s="44" t="s">
        <v>14960</v>
      </c>
      <c r="E38" s="44" t="s">
        <v>14961</v>
      </c>
      <c r="F38" s="44" t="s">
        <v>14962</v>
      </c>
      <c r="G38" s="44" t="s">
        <v>14871</v>
      </c>
      <c r="H38" s="44" t="s">
        <v>14872</v>
      </c>
      <c r="I38" s="44" t="s">
        <v>14886</v>
      </c>
      <c r="J38" s="44" t="s">
        <v>14874</v>
      </c>
      <c r="K38" s="44" t="s">
        <v>14875</v>
      </c>
      <c r="L38" s="44" t="s">
        <v>8125</v>
      </c>
      <c r="M38" s="44" t="s">
        <v>14876</v>
      </c>
    </row>
    <row r="39" customFormat="false" ht="22.35" hidden="false" customHeight="false" outlineLevel="0" collapsed="false">
      <c r="A39" s="44" t="s">
        <v>14963</v>
      </c>
      <c r="B39" s="44" t="s">
        <v>8117</v>
      </c>
      <c r="C39" s="44" t="s">
        <v>8118</v>
      </c>
      <c r="D39" s="44" t="s">
        <v>14964</v>
      </c>
      <c r="E39" s="44" t="s">
        <v>196</v>
      </c>
      <c r="F39" s="44" t="s">
        <v>59</v>
      </c>
      <c r="G39" s="44" t="s">
        <v>14871</v>
      </c>
      <c r="H39" s="44" t="s">
        <v>14872</v>
      </c>
      <c r="I39" s="44" t="s">
        <v>14886</v>
      </c>
      <c r="J39" s="44" t="s">
        <v>14874</v>
      </c>
      <c r="K39" s="44" t="s">
        <v>14875</v>
      </c>
      <c r="L39" s="44" t="s">
        <v>8125</v>
      </c>
      <c r="M39" s="44" t="s">
        <v>14876</v>
      </c>
    </row>
    <row r="40" customFormat="false" ht="22.35" hidden="false" customHeight="false" outlineLevel="0" collapsed="false">
      <c r="A40" s="44" t="s">
        <v>14965</v>
      </c>
      <c r="B40" s="44" t="s">
        <v>8126</v>
      </c>
      <c r="C40" s="44" t="s">
        <v>8127</v>
      </c>
      <c r="D40" s="44" t="s">
        <v>14966</v>
      </c>
      <c r="E40" s="44" t="s">
        <v>223</v>
      </c>
      <c r="F40" s="44" t="s">
        <v>224</v>
      </c>
      <c r="G40" s="44" t="s">
        <v>14871</v>
      </c>
      <c r="H40" s="44" t="s">
        <v>14872</v>
      </c>
      <c r="I40" s="44" t="s">
        <v>14879</v>
      </c>
      <c r="J40" s="44" t="s">
        <v>14874</v>
      </c>
      <c r="K40" s="44" t="s">
        <v>14875</v>
      </c>
      <c r="L40" s="44" t="s">
        <v>8132</v>
      </c>
      <c r="M40" s="44" t="s">
        <v>14876</v>
      </c>
    </row>
    <row r="41" customFormat="false" ht="22.35" hidden="false" customHeight="false" outlineLevel="0" collapsed="false">
      <c r="A41" s="44" t="s">
        <v>14967</v>
      </c>
      <c r="B41" s="44" t="s">
        <v>8126</v>
      </c>
      <c r="C41" s="44" t="s">
        <v>8127</v>
      </c>
      <c r="D41" s="44" t="s">
        <v>14968</v>
      </c>
      <c r="E41" s="44" t="s">
        <v>14969</v>
      </c>
      <c r="F41" s="44" t="s">
        <v>14970</v>
      </c>
      <c r="G41" s="44" t="s">
        <v>14871</v>
      </c>
      <c r="H41" s="44" t="s">
        <v>14872</v>
      </c>
      <c r="I41" s="44" t="s">
        <v>14873</v>
      </c>
      <c r="J41" s="44" t="s">
        <v>14874</v>
      </c>
      <c r="K41" s="44" t="s">
        <v>14875</v>
      </c>
      <c r="L41" s="44" t="s">
        <v>8132</v>
      </c>
      <c r="M41" s="44" t="s">
        <v>14876</v>
      </c>
    </row>
    <row r="42" customFormat="false" ht="22.35" hidden="false" customHeight="false" outlineLevel="0" collapsed="false">
      <c r="A42" s="44" t="s">
        <v>14971</v>
      </c>
      <c r="B42" s="44" t="s">
        <v>8126</v>
      </c>
      <c r="C42" s="44" t="s">
        <v>8127</v>
      </c>
      <c r="D42" s="44" t="s">
        <v>14972</v>
      </c>
      <c r="E42" s="44" t="s">
        <v>1242</v>
      </c>
      <c r="F42" s="44" t="s">
        <v>1243</v>
      </c>
      <c r="G42" s="44" t="s">
        <v>14871</v>
      </c>
      <c r="H42" s="44" t="s">
        <v>14872</v>
      </c>
      <c r="I42" s="44" t="s">
        <v>14879</v>
      </c>
      <c r="J42" s="44" t="s">
        <v>14874</v>
      </c>
      <c r="K42" s="44" t="s">
        <v>14875</v>
      </c>
      <c r="L42" s="44" t="s">
        <v>8132</v>
      </c>
      <c r="M42" s="44" t="s">
        <v>14876</v>
      </c>
    </row>
    <row r="43" customFormat="false" ht="22.35" hidden="false" customHeight="false" outlineLevel="0" collapsed="false">
      <c r="A43" s="44" t="s">
        <v>14973</v>
      </c>
      <c r="B43" s="44" t="s">
        <v>8126</v>
      </c>
      <c r="C43" s="44" t="s">
        <v>8127</v>
      </c>
      <c r="D43" s="44" t="s">
        <v>14974</v>
      </c>
      <c r="E43" s="44" t="s">
        <v>207</v>
      </c>
      <c r="F43" s="44" t="s">
        <v>208</v>
      </c>
      <c r="G43" s="44" t="s">
        <v>14871</v>
      </c>
      <c r="H43" s="44" t="s">
        <v>14872</v>
      </c>
      <c r="I43" s="44" t="s">
        <v>14873</v>
      </c>
      <c r="J43" s="44" t="s">
        <v>14874</v>
      </c>
      <c r="K43" s="44" t="s">
        <v>14875</v>
      </c>
      <c r="L43" s="44" t="s">
        <v>8132</v>
      </c>
      <c r="M43" s="44" t="s">
        <v>14876</v>
      </c>
    </row>
    <row r="44" customFormat="false" ht="22.35" hidden="false" customHeight="false" outlineLevel="0" collapsed="false">
      <c r="A44" s="44" t="s">
        <v>14975</v>
      </c>
      <c r="B44" s="44" t="s">
        <v>8126</v>
      </c>
      <c r="C44" s="44" t="s">
        <v>8127</v>
      </c>
      <c r="D44" s="44" t="s">
        <v>14976</v>
      </c>
      <c r="E44" s="44" t="s">
        <v>231</v>
      </c>
      <c r="F44" s="44" t="s">
        <v>232</v>
      </c>
      <c r="G44" s="44" t="s">
        <v>14871</v>
      </c>
      <c r="H44" s="44" t="s">
        <v>14872</v>
      </c>
      <c r="I44" s="44" t="s">
        <v>14873</v>
      </c>
      <c r="J44" s="44" t="s">
        <v>14874</v>
      </c>
      <c r="K44" s="44" t="s">
        <v>14875</v>
      </c>
      <c r="L44" s="44" t="s">
        <v>8132</v>
      </c>
      <c r="M44" s="44" t="s">
        <v>14876</v>
      </c>
    </row>
    <row r="45" customFormat="false" ht="22.35" hidden="false" customHeight="false" outlineLevel="0" collapsed="false">
      <c r="A45" s="44" t="s">
        <v>14977</v>
      </c>
      <c r="B45" s="44" t="s">
        <v>8126</v>
      </c>
      <c r="C45" s="44" t="s">
        <v>8127</v>
      </c>
      <c r="D45" s="44" t="s">
        <v>14978</v>
      </c>
      <c r="E45" s="44" t="s">
        <v>14979</v>
      </c>
      <c r="F45" s="44" t="s">
        <v>14980</v>
      </c>
      <c r="G45" s="44" t="s">
        <v>14871</v>
      </c>
      <c r="H45" s="44" t="s">
        <v>14872</v>
      </c>
      <c r="I45" s="44" t="s">
        <v>14879</v>
      </c>
      <c r="J45" s="44" t="s">
        <v>14874</v>
      </c>
      <c r="K45" s="44" t="s">
        <v>14875</v>
      </c>
      <c r="L45" s="44" t="s">
        <v>8132</v>
      </c>
      <c r="M45" s="44" t="s">
        <v>14876</v>
      </c>
    </row>
    <row r="46" customFormat="false" ht="22.35" hidden="false" customHeight="false" outlineLevel="0" collapsed="false">
      <c r="A46" s="44" t="s">
        <v>14981</v>
      </c>
      <c r="B46" s="44" t="s">
        <v>8133</v>
      </c>
      <c r="C46" s="44" t="s">
        <v>8134</v>
      </c>
      <c r="D46" s="44" t="s">
        <v>11739</v>
      </c>
      <c r="E46" s="44" t="s">
        <v>1242</v>
      </c>
      <c r="F46" s="44" t="s">
        <v>1243</v>
      </c>
      <c r="G46" s="44" t="s">
        <v>14871</v>
      </c>
      <c r="H46" s="44" t="s">
        <v>14872</v>
      </c>
      <c r="I46" s="44" t="s">
        <v>14879</v>
      </c>
      <c r="J46" s="44" t="s">
        <v>14874</v>
      </c>
      <c r="K46" s="44" t="s">
        <v>14875</v>
      </c>
      <c r="L46" s="44" t="s">
        <v>8141</v>
      </c>
      <c r="M46" s="44" t="s">
        <v>14876</v>
      </c>
    </row>
    <row r="47" customFormat="false" ht="22.35" hidden="false" customHeight="false" outlineLevel="0" collapsed="false">
      <c r="A47" s="44" t="s">
        <v>14982</v>
      </c>
      <c r="B47" s="44" t="s">
        <v>8133</v>
      </c>
      <c r="C47" s="44" t="s">
        <v>8134</v>
      </c>
      <c r="D47" s="44" t="s">
        <v>14983</v>
      </c>
      <c r="E47" s="44"/>
      <c r="F47" s="44"/>
      <c r="G47" s="44" t="s">
        <v>14882</v>
      </c>
      <c r="H47" s="44" t="s">
        <v>14872</v>
      </c>
      <c r="I47" s="44" t="s">
        <v>14883</v>
      </c>
      <c r="J47" s="44" t="s">
        <v>14874</v>
      </c>
      <c r="K47" s="44" t="s">
        <v>14875</v>
      </c>
      <c r="L47" s="44" t="s">
        <v>8141</v>
      </c>
      <c r="M47" s="44" t="s">
        <v>14876</v>
      </c>
    </row>
    <row r="48" customFormat="false" ht="22.35" hidden="false" customHeight="false" outlineLevel="0" collapsed="false">
      <c r="A48" s="44" t="s">
        <v>14984</v>
      </c>
      <c r="B48" s="44" t="s">
        <v>8133</v>
      </c>
      <c r="C48" s="44" t="s">
        <v>8134</v>
      </c>
      <c r="D48" s="44" t="s">
        <v>14985</v>
      </c>
      <c r="E48" s="44" t="s">
        <v>14935</v>
      </c>
      <c r="F48" s="44" t="s">
        <v>14936</v>
      </c>
      <c r="G48" s="44" t="s">
        <v>14871</v>
      </c>
      <c r="H48" s="44" t="s">
        <v>14872</v>
      </c>
      <c r="I48" s="44" t="s">
        <v>14873</v>
      </c>
      <c r="J48" s="44" t="s">
        <v>14874</v>
      </c>
      <c r="K48" s="44" t="s">
        <v>14875</v>
      </c>
      <c r="L48" s="44" t="s">
        <v>8141</v>
      </c>
      <c r="M48" s="44" t="s">
        <v>14876</v>
      </c>
    </row>
    <row r="49" customFormat="false" ht="22.35" hidden="false" customHeight="false" outlineLevel="0" collapsed="false">
      <c r="A49" s="44" t="s">
        <v>14986</v>
      </c>
      <c r="B49" s="44" t="s">
        <v>8133</v>
      </c>
      <c r="C49" s="44" t="s">
        <v>8134</v>
      </c>
      <c r="D49" s="44" t="s">
        <v>14987</v>
      </c>
      <c r="E49" s="44"/>
      <c r="F49" s="44"/>
      <c r="G49" s="44" t="s">
        <v>14882</v>
      </c>
      <c r="H49" s="44" t="s">
        <v>14872</v>
      </c>
      <c r="I49" s="44" t="s">
        <v>14883</v>
      </c>
      <c r="J49" s="44" t="s">
        <v>14874</v>
      </c>
      <c r="K49" s="44" t="s">
        <v>14875</v>
      </c>
      <c r="L49" s="44" t="s">
        <v>8141</v>
      </c>
      <c r="M49" s="44" t="s">
        <v>14876</v>
      </c>
    </row>
    <row r="50" customFormat="false" ht="22.35" hidden="false" customHeight="false" outlineLevel="0" collapsed="false">
      <c r="A50" s="44" t="s">
        <v>14988</v>
      </c>
      <c r="B50" s="44" t="s">
        <v>8133</v>
      </c>
      <c r="C50" s="44" t="s">
        <v>8134</v>
      </c>
      <c r="D50" s="44" t="s">
        <v>14989</v>
      </c>
      <c r="E50" s="44"/>
      <c r="F50" s="44"/>
      <c r="G50" s="44" t="s">
        <v>14882</v>
      </c>
      <c r="H50" s="44" t="s">
        <v>14872</v>
      </c>
      <c r="I50" s="44" t="s">
        <v>14883</v>
      </c>
      <c r="J50" s="44" t="s">
        <v>14874</v>
      </c>
      <c r="K50" s="44" t="s">
        <v>14875</v>
      </c>
      <c r="L50" s="44" t="s">
        <v>8141</v>
      </c>
      <c r="M50" s="44" t="s">
        <v>14876</v>
      </c>
    </row>
    <row r="51" customFormat="false" ht="22.35" hidden="false" customHeight="false" outlineLevel="0" collapsed="false">
      <c r="A51" s="44" t="s">
        <v>14990</v>
      </c>
      <c r="B51" s="44" t="s">
        <v>8133</v>
      </c>
      <c r="C51" s="44" t="s">
        <v>8134</v>
      </c>
      <c r="D51" s="44" t="s">
        <v>14991</v>
      </c>
      <c r="E51" s="44"/>
      <c r="F51" s="44"/>
      <c r="G51" s="44" t="s">
        <v>14882</v>
      </c>
      <c r="H51" s="44" t="s">
        <v>14872</v>
      </c>
      <c r="I51" s="44" t="s">
        <v>14883</v>
      </c>
      <c r="J51" s="44" t="s">
        <v>14874</v>
      </c>
      <c r="K51" s="44" t="s">
        <v>14875</v>
      </c>
      <c r="L51" s="44" t="s">
        <v>8141</v>
      </c>
      <c r="M51" s="44" t="s">
        <v>14876</v>
      </c>
    </row>
    <row r="52" customFormat="false" ht="22.35" hidden="false" customHeight="false" outlineLevel="0" collapsed="false">
      <c r="A52" s="44" t="s">
        <v>14992</v>
      </c>
      <c r="B52" s="44" t="s">
        <v>8133</v>
      </c>
      <c r="C52" s="44" t="s">
        <v>8134</v>
      </c>
      <c r="D52" s="44" t="s">
        <v>14993</v>
      </c>
      <c r="E52" s="44" t="s">
        <v>3257</v>
      </c>
      <c r="F52" s="44" t="s">
        <v>3258</v>
      </c>
      <c r="G52" s="44" t="s">
        <v>14871</v>
      </c>
      <c r="H52" s="44" t="s">
        <v>14872</v>
      </c>
      <c r="I52" s="44" t="s">
        <v>14873</v>
      </c>
      <c r="J52" s="44" t="s">
        <v>14874</v>
      </c>
      <c r="K52" s="44" t="s">
        <v>14875</v>
      </c>
      <c r="L52" s="44" t="s">
        <v>8141</v>
      </c>
      <c r="M52" s="44" t="s">
        <v>14876</v>
      </c>
    </row>
    <row r="53" customFormat="false" ht="22.35" hidden="false" customHeight="false" outlineLevel="0" collapsed="false">
      <c r="A53" s="44" t="s">
        <v>14994</v>
      </c>
      <c r="B53" s="44" t="s">
        <v>8142</v>
      </c>
      <c r="C53" s="44" t="s">
        <v>8143</v>
      </c>
      <c r="D53" s="44" t="s">
        <v>10434</v>
      </c>
      <c r="E53" s="44" t="s">
        <v>388</v>
      </c>
      <c r="F53" s="44" t="s">
        <v>389</v>
      </c>
      <c r="G53" s="44" t="s">
        <v>14871</v>
      </c>
      <c r="H53" s="44" t="s">
        <v>14872</v>
      </c>
      <c r="I53" s="44" t="s">
        <v>14879</v>
      </c>
      <c r="J53" s="44" t="s">
        <v>14874</v>
      </c>
      <c r="K53" s="44" t="s">
        <v>14875</v>
      </c>
      <c r="L53" s="44" t="s">
        <v>8150</v>
      </c>
      <c r="M53" s="44" t="s">
        <v>14876</v>
      </c>
    </row>
    <row r="54" customFormat="false" ht="22.35" hidden="false" customHeight="false" outlineLevel="0" collapsed="false">
      <c r="A54" s="44" t="s">
        <v>14995</v>
      </c>
      <c r="B54" s="44" t="s">
        <v>8142</v>
      </c>
      <c r="C54" s="44" t="s">
        <v>8143</v>
      </c>
      <c r="D54" s="44" t="s">
        <v>14996</v>
      </c>
      <c r="E54" s="44" t="s">
        <v>1238</v>
      </c>
      <c r="F54" s="44" t="s">
        <v>1239</v>
      </c>
      <c r="G54" s="44" t="s">
        <v>14871</v>
      </c>
      <c r="H54" s="44" t="s">
        <v>14872</v>
      </c>
      <c r="I54" s="44" t="s">
        <v>14879</v>
      </c>
      <c r="J54" s="44" t="s">
        <v>14874</v>
      </c>
      <c r="K54" s="44" t="s">
        <v>14875</v>
      </c>
      <c r="L54" s="44" t="s">
        <v>8150</v>
      </c>
      <c r="M54" s="44" t="s">
        <v>14876</v>
      </c>
    </row>
    <row r="55" customFormat="false" ht="22.35" hidden="false" customHeight="false" outlineLevel="0" collapsed="false">
      <c r="A55" s="44" t="s">
        <v>14997</v>
      </c>
      <c r="B55" s="44" t="s">
        <v>8142</v>
      </c>
      <c r="C55" s="44" t="s">
        <v>8143</v>
      </c>
      <c r="D55" s="44" t="s">
        <v>14998</v>
      </c>
      <c r="E55" s="44" t="s">
        <v>14999</v>
      </c>
      <c r="F55" s="44" t="s">
        <v>15000</v>
      </c>
      <c r="G55" s="44" t="s">
        <v>14871</v>
      </c>
      <c r="H55" s="44" t="s">
        <v>14872</v>
      </c>
      <c r="I55" s="44" t="s">
        <v>14886</v>
      </c>
      <c r="J55" s="44" t="s">
        <v>14874</v>
      </c>
      <c r="K55" s="44" t="s">
        <v>14875</v>
      </c>
      <c r="L55" s="44" t="s">
        <v>8150</v>
      </c>
      <c r="M55" s="44" t="s">
        <v>14876</v>
      </c>
    </row>
    <row r="56" customFormat="false" ht="22.35" hidden="false" customHeight="false" outlineLevel="0" collapsed="false">
      <c r="A56" s="44" t="s">
        <v>15001</v>
      </c>
      <c r="B56" s="44" t="s">
        <v>8142</v>
      </c>
      <c r="C56" s="44" t="s">
        <v>8143</v>
      </c>
      <c r="D56" s="44" t="s">
        <v>15002</v>
      </c>
      <c r="E56" s="44"/>
      <c r="F56" s="44"/>
      <c r="G56" s="44" t="s">
        <v>14882</v>
      </c>
      <c r="H56" s="44" t="s">
        <v>14872</v>
      </c>
      <c r="I56" s="44" t="s">
        <v>14883</v>
      </c>
      <c r="J56" s="44" t="s">
        <v>14874</v>
      </c>
      <c r="K56" s="44" t="s">
        <v>14875</v>
      </c>
      <c r="L56" s="44" t="s">
        <v>8150</v>
      </c>
      <c r="M56" s="44" t="s">
        <v>14876</v>
      </c>
    </row>
    <row r="57" customFormat="false" ht="22.35" hidden="false" customHeight="false" outlineLevel="0" collapsed="false">
      <c r="A57" s="44" t="s">
        <v>15003</v>
      </c>
      <c r="B57" s="44" t="s">
        <v>8142</v>
      </c>
      <c r="C57" s="44" t="s">
        <v>8143</v>
      </c>
      <c r="D57" s="44" t="s">
        <v>15004</v>
      </c>
      <c r="E57" s="44" t="s">
        <v>1205</v>
      </c>
      <c r="F57" s="44" t="s">
        <v>1206</v>
      </c>
      <c r="G57" s="44" t="s">
        <v>14871</v>
      </c>
      <c r="H57" s="44" t="s">
        <v>14872</v>
      </c>
      <c r="I57" s="44" t="s">
        <v>14873</v>
      </c>
      <c r="J57" s="44" t="s">
        <v>14874</v>
      </c>
      <c r="K57" s="44" t="s">
        <v>14875</v>
      </c>
      <c r="L57" s="44" t="s">
        <v>8150</v>
      </c>
      <c r="M57" s="44" t="s">
        <v>14876</v>
      </c>
    </row>
    <row r="58" customFormat="false" ht="22.35" hidden="false" customHeight="false" outlineLevel="0" collapsed="false">
      <c r="A58" s="44" t="s">
        <v>15005</v>
      </c>
      <c r="B58" s="44" t="s">
        <v>8142</v>
      </c>
      <c r="C58" s="44" t="s">
        <v>8143</v>
      </c>
      <c r="D58" s="44" t="s">
        <v>15006</v>
      </c>
      <c r="E58" s="44" t="s">
        <v>1798</v>
      </c>
      <c r="F58" s="44" t="s">
        <v>1799</v>
      </c>
      <c r="G58" s="44" t="s">
        <v>14871</v>
      </c>
      <c r="H58" s="44" t="s">
        <v>14872</v>
      </c>
      <c r="I58" s="44" t="s">
        <v>14873</v>
      </c>
      <c r="J58" s="44" t="s">
        <v>14874</v>
      </c>
      <c r="K58" s="44" t="s">
        <v>14875</v>
      </c>
      <c r="L58" s="44" t="s">
        <v>8150</v>
      </c>
      <c r="M58" s="44" t="s">
        <v>14876</v>
      </c>
    </row>
    <row r="59" customFormat="false" ht="22.35" hidden="false" customHeight="false" outlineLevel="0" collapsed="false">
      <c r="A59" s="44" t="s">
        <v>15007</v>
      </c>
      <c r="B59" s="44" t="s">
        <v>8142</v>
      </c>
      <c r="C59" s="44" t="s">
        <v>8143</v>
      </c>
      <c r="D59" s="44" t="s">
        <v>15008</v>
      </c>
      <c r="E59" s="44"/>
      <c r="F59" s="44"/>
      <c r="G59" s="44" t="s">
        <v>14882</v>
      </c>
      <c r="H59" s="44" t="s">
        <v>14872</v>
      </c>
      <c r="I59" s="44" t="s">
        <v>14883</v>
      </c>
      <c r="J59" s="44" t="s">
        <v>14874</v>
      </c>
      <c r="K59" s="44" t="s">
        <v>14875</v>
      </c>
      <c r="L59" s="44" t="s">
        <v>8150</v>
      </c>
      <c r="M59" s="44" t="s">
        <v>14876</v>
      </c>
    </row>
    <row r="60" customFormat="false" ht="22.35" hidden="false" customHeight="false" outlineLevel="0" collapsed="false">
      <c r="A60" s="44" t="s">
        <v>15009</v>
      </c>
      <c r="B60" s="44" t="s">
        <v>8151</v>
      </c>
      <c r="C60" s="44" t="s">
        <v>8152</v>
      </c>
      <c r="D60" s="44" t="s">
        <v>15010</v>
      </c>
      <c r="E60" s="44" t="s">
        <v>211</v>
      </c>
      <c r="F60" s="44" t="s">
        <v>212</v>
      </c>
      <c r="G60" s="44" t="s">
        <v>14871</v>
      </c>
      <c r="H60" s="44" t="s">
        <v>14872</v>
      </c>
      <c r="I60" s="44" t="s">
        <v>14873</v>
      </c>
      <c r="J60" s="44" t="s">
        <v>14874</v>
      </c>
      <c r="K60" s="44" t="s">
        <v>14875</v>
      </c>
      <c r="L60" s="44" t="s">
        <v>8157</v>
      </c>
      <c r="M60" s="44" t="s">
        <v>14876</v>
      </c>
    </row>
    <row r="61" customFormat="false" ht="22.35" hidden="false" customHeight="false" outlineLevel="0" collapsed="false">
      <c r="A61" s="44" t="s">
        <v>15011</v>
      </c>
      <c r="B61" s="44" t="s">
        <v>8151</v>
      </c>
      <c r="C61" s="44" t="s">
        <v>8152</v>
      </c>
      <c r="D61" s="44" t="s">
        <v>15012</v>
      </c>
      <c r="E61" s="44"/>
      <c r="F61" s="44"/>
      <c r="G61" s="44" t="s">
        <v>14882</v>
      </c>
      <c r="H61" s="44" t="s">
        <v>14872</v>
      </c>
      <c r="I61" s="44" t="s">
        <v>14883</v>
      </c>
      <c r="J61" s="44" t="s">
        <v>14874</v>
      </c>
      <c r="K61" s="44" t="s">
        <v>14875</v>
      </c>
      <c r="L61" s="44" t="s">
        <v>8157</v>
      </c>
      <c r="M61" s="44" t="s">
        <v>14876</v>
      </c>
    </row>
    <row r="62" customFormat="false" ht="22.35" hidden="false" customHeight="false" outlineLevel="0" collapsed="false">
      <c r="A62" s="44" t="s">
        <v>15013</v>
      </c>
      <c r="B62" s="44" t="s">
        <v>8151</v>
      </c>
      <c r="C62" s="44" t="s">
        <v>8152</v>
      </c>
      <c r="D62" s="44" t="s">
        <v>15014</v>
      </c>
      <c r="E62" s="44"/>
      <c r="F62" s="44"/>
      <c r="G62" s="44" t="s">
        <v>14882</v>
      </c>
      <c r="H62" s="44" t="s">
        <v>14872</v>
      </c>
      <c r="I62" s="44" t="s">
        <v>14883</v>
      </c>
      <c r="J62" s="44" t="s">
        <v>14874</v>
      </c>
      <c r="K62" s="44" t="s">
        <v>14875</v>
      </c>
      <c r="L62" s="44" t="s">
        <v>8157</v>
      </c>
      <c r="M62" s="44" t="s">
        <v>14876</v>
      </c>
    </row>
    <row r="63" customFormat="false" ht="22.35" hidden="false" customHeight="false" outlineLevel="0" collapsed="false">
      <c r="A63" s="44" t="s">
        <v>15015</v>
      </c>
      <c r="B63" s="44" t="s">
        <v>8151</v>
      </c>
      <c r="C63" s="44" t="s">
        <v>8152</v>
      </c>
      <c r="D63" s="44" t="s">
        <v>15016</v>
      </c>
      <c r="E63" s="44" t="s">
        <v>2232</v>
      </c>
      <c r="F63" s="44" t="s">
        <v>2233</v>
      </c>
      <c r="G63" s="44" t="s">
        <v>14871</v>
      </c>
      <c r="H63" s="44" t="s">
        <v>14872</v>
      </c>
      <c r="I63" s="44" t="s">
        <v>14879</v>
      </c>
      <c r="J63" s="44" t="s">
        <v>14874</v>
      </c>
      <c r="K63" s="44" t="s">
        <v>14875</v>
      </c>
      <c r="L63" s="44" t="s">
        <v>8157</v>
      </c>
      <c r="M63" s="44" t="s">
        <v>14876</v>
      </c>
    </row>
    <row r="64" customFormat="false" ht="22.35" hidden="false" customHeight="false" outlineLevel="0" collapsed="false">
      <c r="A64" s="44" t="s">
        <v>15017</v>
      </c>
      <c r="B64" s="44" t="s">
        <v>8151</v>
      </c>
      <c r="C64" s="44" t="s">
        <v>8152</v>
      </c>
      <c r="D64" s="44" t="s">
        <v>15018</v>
      </c>
      <c r="E64" s="44" t="s">
        <v>2277</v>
      </c>
      <c r="F64" s="44" t="s">
        <v>2278</v>
      </c>
      <c r="G64" s="44" t="s">
        <v>14871</v>
      </c>
      <c r="H64" s="44" t="s">
        <v>14872</v>
      </c>
      <c r="I64" s="44" t="s">
        <v>14873</v>
      </c>
      <c r="J64" s="44" t="s">
        <v>14874</v>
      </c>
      <c r="K64" s="44" t="s">
        <v>14875</v>
      </c>
      <c r="L64" s="44" t="s">
        <v>8157</v>
      </c>
      <c r="M64" s="44" t="s">
        <v>14876</v>
      </c>
    </row>
    <row r="65" customFormat="false" ht="22.35" hidden="false" customHeight="false" outlineLevel="0" collapsed="false">
      <c r="A65" s="44" t="s">
        <v>15019</v>
      </c>
      <c r="B65" s="44" t="s">
        <v>8151</v>
      </c>
      <c r="C65" s="44" t="s">
        <v>8152</v>
      </c>
      <c r="D65" s="44" t="s">
        <v>15020</v>
      </c>
      <c r="E65" s="44" t="s">
        <v>196</v>
      </c>
      <c r="F65" s="44" t="s">
        <v>59</v>
      </c>
      <c r="G65" s="44" t="s">
        <v>14871</v>
      </c>
      <c r="H65" s="44" t="s">
        <v>14872</v>
      </c>
      <c r="I65" s="44" t="s">
        <v>14886</v>
      </c>
      <c r="J65" s="44" t="s">
        <v>14874</v>
      </c>
      <c r="K65" s="44" t="s">
        <v>14875</v>
      </c>
      <c r="L65" s="44" t="s">
        <v>8157</v>
      </c>
      <c r="M65" s="44" t="s">
        <v>14876</v>
      </c>
    </row>
    <row r="66" customFormat="false" ht="22.35" hidden="false" customHeight="false" outlineLevel="0" collapsed="false">
      <c r="A66" s="44" t="s">
        <v>15021</v>
      </c>
      <c r="B66" s="44" t="s">
        <v>8158</v>
      </c>
      <c r="C66" s="44" t="s">
        <v>8159</v>
      </c>
      <c r="D66" s="44" t="s">
        <v>15022</v>
      </c>
      <c r="E66" s="44" t="s">
        <v>934</v>
      </c>
      <c r="F66" s="44" t="s">
        <v>935</v>
      </c>
      <c r="G66" s="44" t="s">
        <v>14871</v>
      </c>
      <c r="H66" s="44" t="s">
        <v>14872</v>
      </c>
      <c r="I66" s="44" t="s">
        <v>14873</v>
      </c>
      <c r="J66" s="44" t="s">
        <v>14874</v>
      </c>
      <c r="K66" s="44" t="s">
        <v>14875</v>
      </c>
      <c r="L66" s="44" t="s">
        <v>8166</v>
      </c>
      <c r="M66" s="44" t="s">
        <v>14876</v>
      </c>
    </row>
    <row r="67" customFormat="false" ht="22.35" hidden="false" customHeight="false" outlineLevel="0" collapsed="false">
      <c r="A67" s="44" t="s">
        <v>15023</v>
      </c>
      <c r="B67" s="44" t="s">
        <v>8158</v>
      </c>
      <c r="C67" s="44" t="s">
        <v>8159</v>
      </c>
      <c r="D67" s="44" t="s">
        <v>15024</v>
      </c>
      <c r="E67" s="44" t="s">
        <v>925</v>
      </c>
      <c r="F67" s="44" t="s">
        <v>926</v>
      </c>
      <c r="G67" s="44" t="s">
        <v>14871</v>
      </c>
      <c r="H67" s="44" t="s">
        <v>14872</v>
      </c>
      <c r="I67" s="44" t="s">
        <v>14873</v>
      </c>
      <c r="J67" s="44" t="s">
        <v>14874</v>
      </c>
      <c r="K67" s="44" t="s">
        <v>14875</v>
      </c>
      <c r="L67" s="44" t="s">
        <v>8166</v>
      </c>
      <c r="M67" s="44" t="s">
        <v>14876</v>
      </c>
    </row>
    <row r="68" customFormat="false" ht="22.35" hidden="false" customHeight="false" outlineLevel="0" collapsed="false">
      <c r="A68" s="44" t="s">
        <v>15025</v>
      </c>
      <c r="B68" s="44" t="s">
        <v>8158</v>
      </c>
      <c r="C68" s="44" t="s">
        <v>8159</v>
      </c>
      <c r="D68" s="44" t="s">
        <v>15026</v>
      </c>
      <c r="E68" s="44" t="s">
        <v>522</v>
      </c>
      <c r="F68" s="44" t="s">
        <v>523</v>
      </c>
      <c r="G68" s="44" t="s">
        <v>14871</v>
      </c>
      <c r="H68" s="44" t="s">
        <v>14872</v>
      </c>
      <c r="I68" s="44" t="s">
        <v>14879</v>
      </c>
      <c r="J68" s="44" t="s">
        <v>14874</v>
      </c>
      <c r="K68" s="44" t="s">
        <v>14875</v>
      </c>
      <c r="L68" s="44" t="s">
        <v>8166</v>
      </c>
      <c r="M68" s="44" t="s">
        <v>14876</v>
      </c>
    </row>
    <row r="69" customFormat="false" ht="22.35" hidden="false" customHeight="false" outlineLevel="0" collapsed="false">
      <c r="A69" s="44" t="s">
        <v>15027</v>
      </c>
      <c r="B69" s="44" t="s">
        <v>8158</v>
      </c>
      <c r="C69" s="44" t="s">
        <v>8159</v>
      </c>
      <c r="D69" s="44" t="s">
        <v>15028</v>
      </c>
      <c r="E69" s="44"/>
      <c r="F69" s="44"/>
      <c r="G69" s="44" t="s">
        <v>14882</v>
      </c>
      <c r="H69" s="44" t="s">
        <v>14872</v>
      </c>
      <c r="I69" s="44" t="s">
        <v>14883</v>
      </c>
      <c r="J69" s="44" t="s">
        <v>14874</v>
      </c>
      <c r="K69" s="44" t="s">
        <v>14875</v>
      </c>
      <c r="L69" s="44" t="s">
        <v>8166</v>
      </c>
      <c r="M69" s="44" t="s">
        <v>14876</v>
      </c>
    </row>
    <row r="70" customFormat="false" ht="22.35" hidden="false" customHeight="false" outlineLevel="0" collapsed="false">
      <c r="A70" s="44" t="s">
        <v>15029</v>
      </c>
      <c r="B70" s="44" t="s">
        <v>8158</v>
      </c>
      <c r="C70" s="44" t="s">
        <v>8159</v>
      </c>
      <c r="D70" s="44" t="s">
        <v>15030</v>
      </c>
      <c r="E70" s="44" t="s">
        <v>3638</v>
      </c>
      <c r="F70" s="44" t="s">
        <v>3639</v>
      </c>
      <c r="G70" s="44" t="s">
        <v>14871</v>
      </c>
      <c r="H70" s="44" t="s">
        <v>14872</v>
      </c>
      <c r="I70" s="44" t="s">
        <v>14873</v>
      </c>
      <c r="J70" s="44" t="s">
        <v>14874</v>
      </c>
      <c r="K70" s="44" t="s">
        <v>14875</v>
      </c>
      <c r="L70" s="44" t="s">
        <v>8166</v>
      </c>
      <c r="M70" s="44" t="s">
        <v>14876</v>
      </c>
    </row>
    <row r="71" customFormat="false" ht="22.35" hidden="false" customHeight="false" outlineLevel="0" collapsed="false">
      <c r="A71" s="44" t="s">
        <v>15031</v>
      </c>
      <c r="B71" s="44" t="s">
        <v>8158</v>
      </c>
      <c r="C71" s="44" t="s">
        <v>8159</v>
      </c>
      <c r="D71" s="44" t="s">
        <v>15032</v>
      </c>
      <c r="E71" s="44" t="s">
        <v>3257</v>
      </c>
      <c r="F71" s="44" t="s">
        <v>3258</v>
      </c>
      <c r="G71" s="44" t="s">
        <v>14871</v>
      </c>
      <c r="H71" s="44" t="s">
        <v>14872</v>
      </c>
      <c r="I71" s="44" t="s">
        <v>14873</v>
      </c>
      <c r="J71" s="44" t="s">
        <v>14874</v>
      </c>
      <c r="K71" s="44" t="s">
        <v>14875</v>
      </c>
      <c r="L71" s="44" t="s">
        <v>8166</v>
      </c>
      <c r="M71" s="44" t="s">
        <v>14876</v>
      </c>
    </row>
    <row r="72" customFormat="false" ht="22.35" hidden="false" customHeight="false" outlineLevel="0" collapsed="false">
      <c r="A72" s="44" t="s">
        <v>15033</v>
      </c>
      <c r="B72" s="44" t="s">
        <v>8167</v>
      </c>
      <c r="C72" s="44" t="s">
        <v>8168</v>
      </c>
      <c r="D72" s="44" t="s">
        <v>15034</v>
      </c>
      <c r="E72" s="44" t="s">
        <v>15035</v>
      </c>
      <c r="F72" s="44" t="s">
        <v>15036</v>
      </c>
      <c r="G72" s="44" t="s">
        <v>14871</v>
      </c>
      <c r="H72" s="44" t="s">
        <v>14872</v>
      </c>
      <c r="I72" s="44" t="s">
        <v>14886</v>
      </c>
      <c r="J72" s="44" t="s">
        <v>14874</v>
      </c>
      <c r="K72" s="44" t="s">
        <v>14875</v>
      </c>
      <c r="L72" s="44" t="s">
        <v>8174</v>
      </c>
      <c r="M72" s="44" t="s">
        <v>14876</v>
      </c>
    </row>
    <row r="73" customFormat="false" ht="22.35" hidden="false" customHeight="false" outlineLevel="0" collapsed="false">
      <c r="A73" s="44" t="s">
        <v>15037</v>
      </c>
      <c r="B73" s="44" t="s">
        <v>8167</v>
      </c>
      <c r="C73" s="44" t="s">
        <v>8168</v>
      </c>
      <c r="D73" s="44" t="s">
        <v>15038</v>
      </c>
      <c r="E73" s="44" t="s">
        <v>3583</v>
      </c>
      <c r="F73" s="44" t="s">
        <v>3584</v>
      </c>
      <c r="G73" s="44" t="s">
        <v>14871</v>
      </c>
      <c r="H73" s="44" t="s">
        <v>14872</v>
      </c>
      <c r="I73" s="44" t="s">
        <v>14886</v>
      </c>
      <c r="J73" s="44" t="s">
        <v>14874</v>
      </c>
      <c r="K73" s="44" t="s">
        <v>14875</v>
      </c>
      <c r="L73" s="44" t="s">
        <v>8174</v>
      </c>
      <c r="M73" s="44" t="s">
        <v>14876</v>
      </c>
    </row>
    <row r="74" customFormat="false" ht="22.35" hidden="false" customHeight="false" outlineLevel="0" collapsed="false">
      <c r="A74" s="44" t="s">
        <v>15039</v>
      </c>
      <c r="B74" s="44" t="s">
        <v>8167</v>
      </c>
      <c r="C74" s="44" t="s">
        <v>8168</v>
      </c>
      <c r="D74" s="44" t="s">
        <v>15040</v>
      </c>
      <c r="E74" s="44" t="s">
        <v>180</v>
      </c>
      <c r="F74" s="44" t="s">
        <v>47</v>
      </c>
      <c r="G74" s="44" t="s">
        <v>14871</v>
      </c>
      <c r="H74" s="44" t="s">
        <v>14872</v>
      </c>
      <c r="I74" s="44" t="s">
        <v>14886</v>
      </c>
      <c r="J74" s="44" t="s">
        <v>14874</v>
      </c>
      <c r="K74" s="44" t="s">
        <v>14875</v>
      </c>
      <c r="L74" s="44" t="s">
        <v>8174</v>
      </c>
      <c r="M74" s="44" t="s">
        <v>14876</v>
      </c>
    </row>
    <row r="75" customFormat="false" ht="22.35" hidden="false" customHeight="false" outlineLevel="0" collapsed="false">
      <c r="A75" s="44" t="s">
        <v>15041</v>
      </c>
      <c r="B75" s="44" t="s">
        <v>8167</v>
      </c>
      <c r="C75" s="44" t="s">
        <v>8168</v>
      </c>
      <c r="D75" s="44" t="s">
        <v>15042</v>
      </c>
      <c r="E75" s="44"/>
      <c r="F75" s="44"/>
      <c r="G75" s="44" t="s">
        <v>14882</v>
      </c>
      <c r="H75" s="44" t="s">
        <v>14872</v>
      </c>
      <c r="I75" s="44" t="s">
        <v>14883</v>
      </c>
      <c r="J75" s="44" t="s">
        <v>14874</v>
      </c>
      <c r="K75" s="44" t="s">
        <v>14875</v>
      </c>
      <c r="L75" s="44" t="s">
        <v>8174</v>
      </c>
      <c r="M75" s="44" t="s">
        <v>14876</v>
      </c>
    </row>
    <row r="76" customFormat="false" ht="22.35" hidden="false" customHeight="false" outlineLevel="0" collapsed="false">
      <c r="A76" s="44" t="s">
        <v>15043</v>
      </c>
      <c r="B76" s="44" t="s">
        <v>8167</v>
      </c>
      <c r="C76" s="44" t="s">
        <v>8168</v>
      </c>
      <c r="D76" s="44" t="s">
        <v>15044</v>
      </c>
      <c r="E76" s="44" t="s">
        <v>15045</v>
      </c>
      <c r="F76" s="44" t="s">
        <v>15046</v>
      </c>
      <c r="G76" s="44" t="s">
        <v>14871</v>
      </c>
      <c r="H76" s="44" t="s">
        <v>14872</v>
      </c>
      <c r="I76" s="44" t="s">
        <v>14886</v>
      </c>
      <c r="J76" s="44" t="s">
        <v>14874</v>
      </c>
      <c r="K76" s="44" t="s">
        <v>14875</v>
      </c>
      <c r="L76" s="44" t="s">
        <v>8174</v>
      </c>
      <c r="M76" s="44" t="s">
        <v>14876</v>
      </c>
    </row>
    <row r="77" customFormat="false" ht="22.35" hidden="false" customHeight="false" outlineLevel="0" collapsed="false">
      <c r="A77" s="44" t="s">
        <v>15047</v>
      </c>
      <c r="B77" s="44" t="s">
        <v>8175</v>
      </c>
      <c r="C77" s="44" t="s">
        <v>8176</v>
      </c>
      <c r="D77" s="44" t="s">
        <v>15048</v>
      </c>
      <c r="E77" s="44" t="s">
        <v>925</v>
      </c>
      <c r="F77" s="44" t="s">
        <v>926</v>
      </c>
      <c r="G77" s="44" t="s">
        <v>14871</v>
      </c>
      <c r="H77" s="44" t="s">
        <v>14872</v>
      </c>
      <c r="I77" s="44" t="s">
        <v>14873</v>
      </c>
      <c r="J77" s="44" t="s">
        <v>14874</v>
      </c>
      <c r="K77" s="44" t="s">
        <v>14875</v>
      </c>
      <c r="L77" s="44" t="s">
        <v>8182</v>
      </c>
      <c r="M77" s="44" t="s">
        <v>14876</v>
      </c>
    </row>
    <row r="78" customFormat="false" ht="22.35" hidden="false" customHeight="false" outlineLevel="0" collapsed="false">
      <c r="A78" s="44" t="s">
        <v>15049</v>
      </c>
      <c r="B78" s="44" t="s">
        <v>8175</v>
      </c>
      <c r="C78" s="44" t="s">
        <v>8176</v>
      </c>
      <c r="D78" s="44" t="s">
        <v>15050</v>
      </c>
      <c r="E78" s="44" t="s">
        <v>215</v>
      </c>
      <c r="F78" s="44" t="s">
        <v>216</v>
      </c>
      <c r="G78" s="44" t="s">
        <v>14871</v>
      </c>
      <c r="H78" s="44" t="s">
        <v>14872</v>
      </c>
      <c r="I78" s="44" t="s">
        <v>14873</v>
      </c>
      <c r="J78" s="44" t="s">
        <v>14874</v>
      </c>
      <c r="K78" s="44" t="s">
        <v>14875</v>
      </c>
      <c r="L78" s="44" t="s">
        <v>8182</v>
      </c>
      <c r="M78" s="44" t="s">
        <v>14876</v>
      </c>
    </row>
    <row r="79" customFormat="false" ht="22.35" hidden="false" customHeight="false" outlineLevel="0" collapsed="false">
      <c r="A79" s="44" t="s">
        <v>15051</v>
      </c>
      <c r="B79" s="44" t="s">
        <v>8175</v>
      </c>
      <c r="C79" s="44" t="s">
        <v>8176</v>
      </c>
      <c r="D79" s="44" t="s">
        <v>15052</v>
      </c>
      <c r="E79" s="44" t="s">
        <v>5914</v>
      </c>
      <c r="F79" s="44" t="s">
        <v>5915</v>
      </c>
      <c r="G79" s="44" t="s">
        <v>14871</v>
      </c>
      <c r="H79" s="44" t="s">
        <v>14872</v>
      </c>
      <c r="I79" s="44" t="s">
        <v>14873</v>
      </c>
      <c r="J79" s="44" t="s">
        <v>14874</v>
      </c>
      <c r="K79" s="44" t="s">
        <v>14875</v>
      </c>
      <c r="L79" s="44" t="s">
        <v>8182</v>
      </c>
      <c r="M79" s="44" t="s">
        <v>14876</v>
      </c>
    </row>
    <row r="80" customFormat="false" ht="22.35" hidden="false" customHeight="false" outlineLevel="0" collapsed="false">
      <c r="A80" s="44" t="s">
        <v>15053</v>
      </c>
      <c r="B80" s="44" t="s">
        <v>8175</v>
      </c>
      <c r="C80" s="44" t="s">
        <v>8176</v>
      </c>
      <c r="D80" s="44" t="s">
        <v>15054</v>
      </c>
      <c r="E80" s="44" t="s">
        <v>2823</v>
      </c>
      <c r="F80" s="44" t="s">
        <v>2408</v>
      </c>
      <c r="G80" s="44" t="s">
        <v>14871</v>
      </c>
      <c r="H80" s="44" t="s">
        <v>14872</v>
      </c>
      <c r="I80" s="44" t="s">
        <v>14873</v>
      </c>
      <c r="J80" s="44" t="s">
        <v>14874</v>
      </c>
      <c r="K80" s="44" t="s">
        <v>14875</v>
      </c>
      <c r="L80" s="44" t="s">
        <v>8182</v>
      </c>
      <c r="M80" s="44" t="s">
        <v>14876</v>
      </c>
    </row>
    <row r="81" customFormat="false" ht="22.35" hidden="false" customHeight="false" outlineLevel="0" collapsed="false">
      <c r="A81" s="44" t="s">
        <v>15055</v>
      </c>
      <c r="B81" s="44" t="s">
        <v>8175</v>
      </c>
      <c r="C81" s="44" t="s">
        <v>8176</v>
      </c>
      <c r="D81" s="44" t="s">
        <v>15056</v>
      </c>
      <c r="E81" s="44"/>
      <c r="F81" s="44"/>
      <c r="G81" s="44" t="s">
        <v>14882</v>
      </c>
      <c r="H81" s="44" t="s">
        <v>14872</v>
      </c>
      <c r="I81" s="44" t="s">
        <v>14883</v>
      </c>
      <c r="J81" s="44" t="s">
        <v>14874</v>
      </c>
      <c r="K81" s="44" t="s">
        <v>14875</v>
      </c>
      <c r="L81" s="44" t="s">
        <v>8182</v>
      </c>
      <c r="M81" s="44" t="s">
        <v>14876</v>
      </c>
    </row>
    <row r="82" customFormat="false" ht="22.35" hidden="false" customHeight="false" outlineLevel="0" collapsed="false">
      <c r="A82" s="44" t="s">
        <v>15057</v>
      </c>
      <c r="B82" s="44" t="s">
        <v>8183</v>
      </c>
      <c r="C82" s="44" t="s">
        <v>8184</v>
      </c>
      <c r="D82" s="44" t="s">
        <v>15058</v>
      </c>
      <c r="E82" s="44" t="s">
        <v>215</v>
      </c>
      <c r="F82" s="44" t="s">
        <v>216</v>
      </c>
      <c r="G82" s="44" t="s">
        <v>14871</v>
      </c>
      <c r="H82" s="44" t="s">
        <v>14872</v>
      </c>
      <c r="I82" s="44" t="s">
        <v>14873</v>
      </c>
      <c r="J82" s="44" t="s">
        <v>14874</v>
      </c>
      <c r="K82" s="44" t="s">
        <v>14875</v>
      </c>
      <c r="L82" s="44" t="s">
        <v>8192</v>
      </c>
      <c r="M82" s="44" t="s">
        <v>14876</v>
      </c>
    </row>
    <row r="83" customFormat="false" ht="32.8" hidden="false" customHeight="false" outlineLevel="0" collapsed="false">
      <c r="A83" s="44" t="s">
        <v>15059</v>
      </c>
      <c r="B83" s="44" t="s">
        <v>8183</v>
      </c>
      <c r="C83" s="44" t="s">
        <v>8184</v>
      </c>
      <c r="D83" s="44" t="s">
        <v>15060</v>
      </c>
      <c r="E83" s="44" t="s">
        <v>15061</v>
      </c>
      <c r="F83" s="44" t="s">
        <v>15062</v>
      </c>
      <c r="G83" s="44" t="s">
        <v>14871</v>
      </c>
      <c r="H83" s="44" t="s">
        <v>14872</v>
      </c>
      <c r="I83" s="44" t="s">
        <v>14886</v>
      </c>
      <c r="J83" s="44" t="s">
        <v>14874</v>
      </c>
      <c r="K83" s="44" t="s">
        <v>14875</v>
      </c>
      <c r="L83" s="44" t="s">
        <v>8192</v>
      </c>
      <c r="M83" s="44" t="s">
        <v>14876</v>
      </c>
    </row>
    <row r="84" customFormat="false" ht="22.35" hidden="false" customHeight="false" outlineLevel="0" collapsed="false">
      <c r="A84" s="44" t="s">
        <v>15063</v>
      </c>
      <c r="B84" s="44" t="s">
        <v>8183</v>
      </c>
      <c r="C84" s="44" t="s">
        <v>8184</v>
      </c>
      <c r="D84" s="44" t="s">
        <v>15064</v>
      </c>
      <c r="E84" s="44" t="s">
        <v>5160</v>
      </c>
      <c r="F84" s="44" t="s">
        <v>5161</v>
      </c>
      <c r="G84" s="44" t="s">
        <v>14871</v>
      </c>
      <c r="H84" s="44" t="s">
        <v>14872</v>
      </c>
      <c r="I84" s="44" t="s">
        <v>14873</v>
      </c>
      <c r="J84" s="44" t="s">
        <v>14874</v>
      </c>
      <c r="K84" s="44" t="s">
        <v>14875</v>
      </c>
      <c r="L84" s="44" t="s">
        <v>8192</v>
      </c>
      <c r="M84" s="44" t="s">
        <v>14876</v>
      </c>
    </row>
    <row r="85" customFormat="false" ht="22.35" hidden="false" customHeight="false" outlineLevel="0" collapsed="false">
      <c r="A85" s="44" t="s">
        <v>15065</v>
      </c>
      <c r="B85" s="44" t="s">
        <v>8183</v>
      </c>
      <c r="C85" s="44" t="s">
        <v>8184</v>
      </c>
      <c r="D85" s="44" t="s">
        <v>15066</v>
      </c>
      <c r="E85" s="44" t="s">
        <v>6764</v>
      </c>
      <c r="F85" s="44" t="s">
        <v>6765</v>
      </c>
      <c r="G85" s="44" t="s">
        <v>14871</v>
      </c>
      <c r="H85" s="44" t="s">
        <v>14872</v>
      </c>
      <c r="I85" s="44" t="s">
        <v>14873</v>
      </c>
      <c r="J85" s="44" t="s">
        <v>14874</v>
      </c>
      <c r="K85" s="44" t="s">
        <v>14875</v>
      </c>
      <c r="L85" s="44" t="s">
        <v>8192</v>
      </c>
      <c r="M85" s="44" t="s">
        <v>14876</v>
      </c>
    </row>
    <row r="86" customFormat="false" ht="22.35" hidden="false" customHeight="false" outlineLevel="0" collapsed="false">
      <c r="A86" s="44" t="s">
        <v>15067</v>
      </c>
      <c r="B86" s="44" t="s">
        <v>8183</v>
      </c>
      <c r="C86" s="44" t="s">
        <v>8184</v>
      </c>
      <c r="D86" s="44" t="s">
        <v>15068</v>
      </c>
      <c r="E86" s="44" t="s">
        <v>6887</v>
      </c>
      <c r="F86" s="44" t="s">
        <v>6888</v>
      </c>
      <c r="G86" s="44" t="s">
        <v>14871</v>
      </c>
      <c r="H86" s="44" t="s">
        <v>14872</v>
      </c>
      <c r="I86" s="44" t="s">
        <v>14879</v>
      </c>
      <c r="J86" s="44" t="s">
        <v>14874</v>
      </c>
      <c r="K86" s="44" t="s">
        <v>14875</v>
      </c>
      <c r="L86" s="44" t="s">
        <v>8192</v>
      </c>
      <c r="M86" s="44" t="s">
        <v>14876</v>
      </c>
    </row>
    <row r="87" customFormat="false" ht="22.35" hidden="false" customHeight="false" outlineLevel="0" collapsed="false">
      <c r="A87" s="44" t="s">
        <v>15069</v>
      </c>
      <c r="B87" s="44" t="s">
        <v>8183</v>
      </c>
      <c r="C87" s="44" t="s">
        <v>8184</v>
      </c>
      <c r="D87" s="44" t="s">
        <v>14985</v>
      </c>
      <c r="E87" s="44" t="s">
        <v>14935</v>
      </c>
      <c r="F87" s="44" t="s">
        <v>14936</v>
      </c>
      <c r="G87" s="44" t="s">
        <v>14871</v>
      </c>
      <c r="H87" s="44" t="s">
        <v>14872</v>
      </c>
      <c r="I87" s="44" t="s">
        <v>14873</v>
      </c>
      <c r="J87" s="44" t="s">
        <v>14874</v>
      </c>
      <c r="K87" s="44" t="s">
        <v>14875</v>
      </c>
      <c r="L87" s="44" t="s">
        <v>8192</v>
      </c>
      <c r="M87" s="44" t="s">
        <v>14876</v>
      </c>
    </row>
    <row r="88" customFormat="false" ht="22.35" hidden="false" customHeight="false" outlineLevel="0" collapsed="false">
      <c r="A88" s="44" t="s">
        <v>15070</v>
      </c>
      <c r="B88" s="44" t="s">
        <v>8183</v>
      </c>
      <c r="C88" s="44" t="s">
        <v>8184</v>
      </c>
      <c r="D88" s="44" t="s">
        <v>15071</v>
      </c>
      <c r="E88" s="44"/>
      <c r="F88" s="44"/>
      <c r="G88" s="44" t="s">
        <v>14882</v>
      </c>
      <c r="H88" s="44" t="s">
        <v>14872</v>
      </c>
      <c r="I88" s="44" t="s">
        <v>14883</v>
      </c>
      <c r="J88" s="44" t="s">
        <v>14874</v>
      </c>
      <c r="K88" s="44" t="s">
        <v>14875</v>
      </c>
      <c r="L88" s="44" t="s">
        <v>8192</v>
      </c>
      <c r="M88" s="44" t="s">
        <v>14876</v>
      </c>
    </row>
    <row r="89" customFormat="false" ht="22.35" hidden="false" customHeight="false" outlineLevel="0" collapsed="false">
      <c r="A89" s="44" t="s">
        <v>15072</v>
      </c>
      <c r="B89" s="44" t="s">
        <v>8183</v>
      </c>
      <c r="C89" s="44" t="s">
        <v>8184</v>
      </c>
      <c r="D89" s="44" t="s">
        <v>15073</v>
      </c>
      <c r="E89" s="44" t="s">
        <v>5289</v>
      </c>
      <c r="F89" s="44" t="s">
        <v>5290</v>
      </c>
      <c r="G89" s="44" t="s">
        <v>14871</v>
      </c>
      <c r="H89" s="44" t="s">
        <v>14872</v>
      </c>
      <c r="I89" s="44" t="s">
        <v>14879</v>
      </c>
      <c r="J89" s="44" t="s">
        <v>14874</v>
      </c>
      <c r="K89" s="44" t="s">
        <v>14875</v>
      </c>
      <c r="L89" s="44" t="s">
        <v>8192</v>
      </c>
      <c r="M89" s="44" t="s">
        <v>14876</v>
      </c>
    </row>
    <row r="90" customFormat="false" ht="22.35" hidden="false" customHeight="false" outlineLevel="0" collapsed="false">
      <c r="A90" s="44" t="s">
        <v>15074</v>
      </c>
      <c r="B90" s="44" t="s">
        <v>8183</v>
      </c>
      <c r="C90" s="44" t="s">
        <v>8184</v>
      </c>
      <c r="D90" s="44" t="s">
        <v>15075</v>
      </c>
      <c r="E90" s="44" t="s">
        <v>6776</v>
      </c>
      <c r="F90" s="44" t="s">
        <v>6777</v>
      </c>
      <c r="G90" s="44" t="s">
        <v>14871</v>
      </c>
      <c r="H90" s="44" t="s">
        <v>14872</v>
      </c>
      <c r="I90" s="44" t="s">
        <v>14873</v>
      </c>
      <c r="J90" s="44" t="s">
        <v>14874</v>
      </c>
      <c r="K90" s="44" t="s">
        <v>14875</v>
      </c>
      <c r="L90" s="44" t="s">
        <v>8192</v>
      </c>
      <c r="M90" s="44" t="s">
        <v>14876</v>
      </c>
    </row>
    <row r="91" customFormat="false" ht="22.35" hidden="false" customHeight="false" outlineLevel="0" collapsed="false">
      <c r="A91" s="44" t="s">
        <v>15076</v>
      </c>
      <c r="B91" s="44" t="s">
        <v>8183</v>
      </c>
      <c r="C91" s="44" t="s">
        <v>8184</v>
      </c>
      <c r="D91" s="44" t="s">
        <v>15077</v>
      </c>
      <c r="E91" s="44" t="s">
        <v>5926</v>
      </c>
      <c r="F91" s="44" t="s">
        <v>5927</v>
      </c>
      <c r="G91" s="44" t="s">
        <v>14871</v>
      </c>
      <c r="H91" s="44" t="s">
        <v>14872</v>
      </c>
      <c r="I91" s="44" t="s">
        <v>14873</v>
      </c>
      <c r="J91" s="44" t="s">
        <v>14874</v>
      </c>
      <c r="K91" s="44" t="s">
        <v>14875</v>
      </c>
      <c r="L91" s="44" t="s">
        <v>8192</v>
      </c>
      <c r="M91" s="44" t="s">
        <v>14876</v>
      </c>
    </row>
    <row r="92" customFormat="false" ht="22.35" hidden="false" customHeight="false" outlineLevel="0" collapsed="false">
      <c r="A92" s="44" t="s">
        <v>15078</v>
      </c>
      <c r="B92" s="44" t="s">
        <v>8183</v>
      </c>
      <c r="C92" s="44" t="s">
        <v>8184</v>
      </c>
      <c r="D92" s="44" t="s">
        <v>15079</v>
      </c>
      <c r="E92" s="44" t="s">
        <v>6782</v>
      </c>
      <c r="F92" s="44" t="s">
        <v>6783</v>
      </c>
      <c r="G92" s="44" t="s">
        <v>14871</v>
      </c>
      <c r="H92" s="44" t="s">
        <v>14872</v>
      </c>
      <c r="I92" s="44" t="s">
        <v>14873</v>
      </c>
      <c r="J92" s="44" t="s">
        <v>14874</v>
      </c>
      <c r="K92" s="44" t="s">
        <v>14875</v>
      </c>
      <c r="L92" s="44" t="s">
        <v>8192</v>
      </c>
      <c r="M92" s="44" t="s">
        <v>14876</v>
      </c>
    </row>
    <row r="93" customFormat="false" ht="22.35" hidden="false" customHeight="false" outlineLevel="0" collapsed="false">
      <c r="A93" s="44" t="s">
        <v>15080</v>
      </c>
      <c r="B93" s="44" t="s">
        <v>8183</v>
      </c>
      <c r="C93" s="44" t="s">
        <v>8184</v>
      </c>
      <c r="D93" s="44" t="s">
        <v>15081</v>
      </c>
      <c r="E93" s="44"/>
      <c r="F93" s="44"/>
      <c r="G93" s="44" t="s">
        <v>14882</v>
      </c>
      <c r="H93" s="44" t="s">
        <v>14872</v>
      </c>
      <c r="I93" s="44" t="s">
        <v>14883</v>
      </c>
      <c r="J93" s="44" t="s">
        <v>14874</v>
      </c>
      <c r="K93" s="44" t="s">
        <v>14875</v>
      </c>
      <c r="L93" s="44" t="s">
        <v>8192</v>
      </c>
      <c r="M93" s="44" t="s">
        <v>14876</v>
      </c>
    </row>
    <row r="94" customFormat="false" ht="22.35" hidden="false" customHeight="false" outlineLevel="0" collapsed="false">
      <c r="A94" s="44" t="s">
        <v>15082</v>
      </c>
      <c r="B94" s="44" t="s">
        <v>8193</v>
      </c>
      <c r="C94" s="44" t="s">
        <v>8194</v>
      </c>
      <c r="D94" s="44" t="s">
        <v>15083</v>
      </c>
      <c r="E94" s="44" t="s">
        <v>3578</v>
      </c>
      <c r="F94" s="44" t="s">
        <v>3579</v>
      </c>
      <c r="G94" s="44" t="s">
        <v>14871</v>
      </c>
      <c r="H94" s="44" t="s">
        <v>14872</v>
      </c>
      <c r="I94" s="44" t="s">
        <v>14886</v>
      </c>
      <c r="J94" s="44" t="s">
        <v>14874</v>
      </c>
      <c r="K94" s="44" t="s">
        <v>14875</v>
      </c>
      <c r="L94" s="44" t="s">
        <v>8200</v>
      </c>
      <c r="M94" s="44" t="s">
        <v>14876</v>
      </c>
    </row>
    <row r="95" customFormat="false" ht="22.35" hidden="false" customHeight="false" outlineLevel="0" collapsed="false">
      <c r="A95" s="44" t="s">
        <v>15084</v>
      </c>
      <c r="B95" s="44" t="s">
        <v>8193</v>
      </c>
      <c r="C95" s="44" t="s">
        <v>8194</v>
      </c>
      <c r="D95" s="44" t="s">
        <v>15085</v>
      </c>
      <c r="E95" s="44" t="s">
        <v>15086</v>
      </c>
      <c r="F95" s="44" t="s">
        <v>15087</v>
      </c>
      <c r="G95" s="44" t="s">
        <v>14871</v>
      </c>
      <c r="H95" s="44" t="s">
        <v>14872</v>
      </c>
      <c r="I95" s="44" t="s">
        <v>14873</v>
      </c>
      <c r="J95" s="44" t="s">
        <v>14874</v>
      </c>
      <c r="K95" s="44" t="s">
        <v>14875</v>
      </c>
      <c r="L95" s="44" t="s">
        <v>8200</v>
      </c>
      <c r="M95" s="44" t="s">
        <v>14876</v>
      </c>
    </row>
    <row r="96" customFormat="false" ht="22.35" hidden="false" customHeight="false" outlineLevel="0" collapsed="false">
      <c r="A96" s="44" t="s">
        <v>15088</v>
      </c>
      <c r="B96" s="44" t="s">
        <v>8193</v>
      </c>
      <c r="C96" s="44" t="s">
        <v>8194</v>
      </c>
      <c r="D96" s="44" t="s">
        <v>15089</v>
      </c>
      <c r="E96" s="44"/>
      <c r="F96" s="44"/>
      <c r="G96" s="44" t="s">
        <v>14882</v>
      </c>
      <c r="H96" s="44" t="s">
        <v>14872</v>
      </c>
      <c r="I96" s="44" t="s">
        <v>14883</v>
      </c>
      <c r="J96" s="44" t="s">
        <v>14874</v>
      </c>
      <c r="K96" s="44" t="s">
        <v>14875</v>
      </c>
      <c r="L96" s="44" t="s">
        <v>8200</v>
      </c>
      <c r="M96" s="44" t="s">
        <v>14876</v>
      </c>
    </row>
    <row r="97" customFormat="false" ht="22.35" hidden="false" customHeight="false" outlineLevel="0" collapsed="false">
      <c r="A97" s="44" t="s">
        <v>15090</v>
      </c>
      <c r="B97" s="44" t="s">
        <v>8193</v>
      </c>
      <c r="C97" s="44" t="s">
        <v>8194</v>
      </c>
      <c r="D97" s="44" t="s">
        <v>15073</v>
      </c>
      <c r="E97" s="44" t="s">
        <v>5289</v>
      </c>
      <c r="F97" s="44" t="s">
        <v>5290</v>
      </c>
      <c r="G97" s="44" t="s">
        <v>14871</v>
      </c>
      <c r="H97" s="44" t="s">
        <v>14872</v>
      </c>
      <c r="I97" s="44" t="s">
        <v>14879</v>
      </c>
      <c r="J97" s="44" t="s">
        <v>14874</v>
      </c>
      <c r="K97" s="44" t="s">
        <v>14875</v>
      </c>
      <c r="L97" s="44" t="s">
        <v>8200</v>
      </c>
      <c r="M97" s="44" t="s">
        <v>14876</v>
      </c>
    </row>
    <row r="98" customFormat="false" ht="22.35" hidden="false" customHeight="false" outlineLevel="0" collapsed="false">
      <c r="A98" s="44" t="s">
        <v>15091</v>
      </c>
      <c r="B98" s="44" t="s">
        <v>8193</v>
      </c>
      <c r="C98" s="44" t="s">
        <v>8194</v>
      </c>
      <c r="D98" s="44" t="s">
        <v>15092</v>
      </c>
      <c r="E98" s="44" t="s">
        <v>15093</v>
      </c>
      <c r="F98" s="44" t="s">
        <v>15094</v>
      </c>
      <c r="G98" s="44" t="s">
        <v>14871</v>
      </c>
      <c r="H98" s="44" t="s">
        <v>14872</v>
      </c>
      <c r="I98" s="44" t="s">
        <v>14873</v>
      </c>
      <c r="J98" s="44" t="s">
        <v>14874</v>
      </c>
      <c r="K98" s="44" t="s">
        <v>14875</v>
      </c>
      <c r="L98" s="44" t="s">
        <v>8200</v>
      </c>
      <c r="M98" s="44" t="s">
        <v>14876</v>
      </c>
    </row>
    <row r="99" customFormat="false" ht="22.35" hidden="false" customHeight="false" outlineLevel="0" collapsed="false">
      <c r="A99" s="44" t="s">
        <v>15095</v>
      </c>
      <c r="B99" s="44" t="s">
        <v>8201</v>
      </c>
      <c r="C99" s="44" t="s">
        <v>8202</v>
      </c>
      <c r="D99" s="44" t="s">
        <v>15096</v>
      </c>
      <c r="E99" s="44"/>
      <c r="F99" s="44"/>
      <c r="G99" s="44" t="s">
        <v>14882</v>
      </c>
      <c r="H99" s="44" t="s">
        <v>14872</v>
      </c>
      <c r="I99" s="44" t="s">
        <v>14883</v>
      </c>
      <c r="J99" s="44" t="s">
        <v>14874</v>
      </c>
      <c r="K99" s="44" t="s">
        <v>14875</v>
      </c>
      <c r="L99" s="44" t="s">
        <v>8209</v>
      </c>
      <c r="M99" s="44" t="s">
        <v>14876</v>
      </c>
    </row>
    <row r="100" customFormat="false" ht="22.35" hidden="false" customHeight="false" outlineLevel="0" collapsed="false">
      <c r="A100" s="44" t="s">
        <v>15097</v>
      </c>
      <c r="B100" s="44" t="s">
        <v>8201</v>
      </c>
      <c r="C100" s="44" t="s">
        <v>8202</v>
      </c>
      <c r="D100" s="44" t="s">
        <v>15026</v>
      </c>
      <c r="E100" s="44" t="s">
        <v>522</v>
      </c>
      <c r="F100" s="44" t="s">
        <v>523</v>
      </c>
      <c r="G100" s="44" t="s">
        <v>14871</v>
      </c>
      <c r="H100" s="44" t="s">
        <v>14872</v>
      </c>
      <c r="I100" s="44" t="s">
        <v>14879</v>
      </c>
      <c r="J100" s="44" t="s">
        <v>14874</v>
      </c>
      <c r="K100" s="44" t="s">
        <v>14875</v>
      </c>
      <c r="L100" s="44" t="s">
        <v>8209</v>
      </c>
      <c r="M100" s="44" t="s">
        <v>14876</v>
      </c>
    </row>
    <row r="101" customFormat="false" ht="22.35" hidden="false" customHeight="false" outlineLevel="0" collapsed="false">
      <c r="A101" s="44" t="s">
        <v>15098</v>
      </c>
      <c r="B101" s="44" t="s">
        <v>8201</v>
      </c>
      <c r="C101" s="44" t="s">
        <v>8202</v>
      </c>
      <c r="D101" s="44" t="s">
        <v>15099</v>
      </c>
      <c r="E101" s="44" t="s">
        <v>239</v>
      </c>
      <c r="F101" s="44" t="s">
        <v>240</v>
      </c>
      <c r="G101" s="44" t="s">
        <v>14871</v>
      </c>
      <c r="H101" s="44" t="s">
        <v>14872</v>
      </c>
      <c r="I101" s="44" t="s">
        <v>14873</v>
      </c>
      <c r="J101" s="44" t="s">
        <v>14874</v>
      </c>
      <c r="K101" s="44" t="s">
        <v>14875</v>
      </c>
      <c r="L101" s="44" t="s">
        <v>8209</v>
      </c>
      <c r="M101" s="44" t="s">
        <v>14876</v>
      </c>
    </row>
    <row r="102" customFormat="false" ht="22.35" hidden="false" customHeight="false" outlineLevel="0" collapsed="false">
      <c r="A102" s="44" t="s">
        <v>15100</v>
      </c>
      <c r="B102" s="44" t="s">
        <v>8201</v>
      </c>
      <c r="C102" s="44" t="s">
        <v>8202</v>
      </c>
      <c r="D102" s="44" t="s">
        <v>15101</v>
      </c>
      <c r="E102" s="44" t="s">
        <v>15102</v>
      </c>
      <c r="F102" s="44" t="s">
        <v>15103</v>
      </c>
      <c r="G102" s="44" t="s">
        <v>14871</v>
      </c>
      <c r="H102" s="44" t="s">
        <v>14872</v>
      </c>
      <c r="I102" s="44" t="s">
        <v>14886</v>
      </c>
      <c r="J102" s="44" t="s">
        <v>14874</v>
      </c>
      <c r="K102" s="44" t="s">
        <v>14875</v>
      </c>
      <c r="L102" s="44" t="s">
        <v>8209</v>
      </c>
      <c r="M102" s="44" t="s">
        <v>14876</v>
      </c>
    </row>
    <row r="103" customFormat="false" ht="22.35" hidden="false" customHeight="false" outlineLevel="0" collapsed="false">
      <c r="A103" s="44" t="s">
        <v>15104</v>
      </c>
      <c r="B103" s="44" t="s">
        <v>8201</v>
      </c>
      <c r="C103" s="44" t="s">
        <v>8202</v>
      </c>
      <c r="D103" s="44" t="s">
        <v>15105</v>
      </c>
      <c r="E103" s="44" t="s">
        <v>2057</v>
      </c>
      <c r="F103" s="44" t="s">
        <v>2058</v>
      </c>
      <c r="G103" s="44" t="s">
        <v>14871</v>
      </c>
      <c r="H103" s="44" t="s">
        <v>14872</v>
      </c>
      <c r="I103" s="44" t="s">
        <v>14879</v>
      </c>
      <c r="J103" s="44" t="s">
        <v>14874</v>
      </c>
      <c r="K103" s="44" t="s">
        <v>14875</v>
      </c>
      <c r="L103" s="44" t="s">
        <v>8209</v>
      </c>
      <c r="M103" s="44" t="s">
        <v>14876</v>
      </c>
    </row>
    <row r="104" customFormat="false" ht="22.35" hidden="false" customHeight="false" outlineLevel="0" collapsed="false">
      <c r="A104" s="44" t="s">
        <v>15106</v>
      </c>
      <c r="B104" s="44" t="s">
        <v>8201</v>
      </c>
      <c r="C104" s="44" t="s">
        <v>8202</v>
      </c>
      <c r="D104" s="44" t="s">
        <v>15107</v>
      </c>
      <c r="E104" s="44"/>
      <c r="F104" s="44"/>
      <c r="G104" s="44" t="s">
        <v>14882</v>
      </c>
      <c r="H104" s="44" t="s">
        <v>14872</v>
      </c>
      <c r="I104" s="44" t="s">
        <v>14883</v>
      </c>
      <c r="J104" s="44" t="s">
        <v>14874</v>
      </c>
      <c r="K104" s="44" t="s">
        <v>14875</v>
      </c>
      <c r="L104" s="44" t="s">
        <v>8209</v>
      </c>
      <c r="M104" s="44" t="s">
        <v>14876</v>
      </c>
    </row>
    <row r="105" customFormat="false" ht="22.35" hidden="false" customHeight="false" outlineLevel="0" collapsed="false">
      <c r="A105" s="44" t="s">
        <v>15108</v>
      </c>
      <c r="B105" s="44" t="s">
        <v>8210</v>
      </c>
      <c r="C105" s="44" t="s">
        <v>8211</v>
      </c>
      <c r="D105" s="44" t="s">
        <v>15109</v>
      </c>
      <c r="E105" s="44" t="s">
        <v>15110</v>
      </c>
      <c r="F105" s="44" t="s">
        <v>15111</v>
      </c>
      <c r="G105" s="44" t="s">
        <v>14871</v>
      </c>
      <c r="H105" s="44" t="s">
        <v>14872</v>
      </c>
      <c r="I105" s="44" t="s">
        <v>14873</v>
      </c>
      <c r="J105" s="44" t="s">
        <v>14874</v>
      </c>
      <c r="K105" s="44" t="s">
        <v>14875</v>
      </c>
      <c r="L105" s="44" t="s">
        <v>8214</v>
      </c>
      <c r="M105" s="44" t="s">
        <v>14876</v>
      </c>
    </row>
    <row r="106" customFormat="false" ht="22.35" hidden="false" customHeight="false" outlineLevel="0" collapsed="false">
      <c r="A106" s="44" t="s">
        <v>15112</v>
      </c>
      <c r="B106" s="44" t="s">
        <v>8210</v>
      </c>
      <c r="C106" s="44" t="s">
        <v>8211</v>
      </c>
      <c r="D106" s="44" t="s">
        <v>15113</v>
      </c>
      <c r="E106" s="44"/>
      <c r="F106" s="44"/>
      <c r="G106" s="44" t="s">
        <v>14882</v>
      </c>
      <c r="H106" s="44" t="s">
        <v>14872</v>
      </c>
      <c r="I106" s="44" t="s">
        <v>14883</v>
      </c>
      <c r="J106" s="44" t="s">
        <v>14874</v>
      </c>
      <c r="K106" s="44" t="s">
        <v>14875</v>
      </c>
      <c r="L106" s="44" t="s">
        <v>8214</v>
      </c>
      <c r="M106" s="44" t="s">
        <v>14876</v>
      </c>
    </row>
    <row r="107" customFormat="false" ht="22.35" hidden="false" customHeight="false" outlineLevel="0" collapsed="false">
      <c r="A107" s="44" t="s">
        <v>15114</v>
      </c>
      <c r="B107" s="44" t="s">
        <v>8210</v>
      </c>
      <c r="C107" s="44" t="s">
        <v>8211</v>
      </c>
      <c r="D107" s="44" t="s">
        <v>15115</v>
      </c>
      <c r="E107" s="44" t="s">
        <v>3451</v>
      </c>
      <c r="F107" s="44" t="s">
        <v>3452</v>
      </c>
      <c r="G107" s="44" t="s">
        <v>14871</v>
      </c>
      <c r="H107" s="44" t="s">
        <v>14872</v>
      </c>
      <c r="I107" s="44" t="s">
        <v>14873</v>
      </c>
      <c r="J107" s="44" t="s">
        <v>14874</v>
      </c>
      <c r="K107" s="44" t="s">
        <v>14875</v>
      </c>
      <c r="L107" s="44" t="s">
        <v>8214</v>
      </c>
      <c r="M107" s="44" t="s">
        <v>14876</v>
      </c>
    </row>
    <row r="108" customFormat="false" ht="22.35" hidden="false" customHeight="false" outlineLevel="0" collapsed="false">
      <c r="A108" s="44" t="s">
        <v>15116</v>
      </c>
      <c r="B108" s="44" t="s">
        <v>8210</v>
      </c>
      <c r="C108" s="44" t="s">
        <v>8211</v>
      </c>
      <c r="D108" s="44" t="s">
        <v>14998</v>
      </c>
      <c r="E108" s="44" t="s">
        <v>14999</v>
      </c>
      <c r="F108" s="44" t="s">
        <v>15000</v>
      </c>
      <c r="G108" s="44" t="s">
        <v>14871</v>
      </c>
      <c r="H108" s="44" t="s">
        <v>14872</v>
      </c>
      <c r="I108" s="44" t="s">
        <v>14886</v>
      </c>
      <c r="J108" s="44" t="s">
        <v>14874</v>
      </c>
      <c r="K108" s="44" t="s">
        <v>14875</v>
      </c>
      <c r="L108" s="44" t="s">
        <v>8214</v>
      </c>
      <c r="M108" s="44" t="s">
        <v>14876</v>
      </c>
    </row>
    <row r="109" customFormat="false" ht="22.35" hidden="false" customHeight="false" outlineLevel="0" collapsed="false">
      <c r="A109" s="44" t="s">
        <v>15117</v>
      </c>
      <c r="B109" s="44" t="s">
        <v>8210</v>
      </c>
      <c r="C109" s="44" t="s">
        <v>8211</v>
      </c>
      <c r="D109" s="44" t="s">
        <v>15118</v>
      </c>
      <c r="E109" s="44" t="s">
        <v>5289</v>
      </c>
      <c r="F109" s="44" t="s">
        <v>5290</v>
      </c>
      <c r="G109" s="44" t="s">
        <v>14871</v>
      </c>
      <c r="H109" s="44" t="s">
        <v>14872</v>
      </c>
      <c r="I109" s="44" t="s">
        <v>14879</v>
      </c>
      <c r="J109" s="44" t="s">
        <v>14874</v>
      </c>
      <c r="K109" s="44" t="s">
        <v>14875</v>
      </c>
      <c r="L109" s="44" t="s">
        <v>8214</v>
      </c>
      <c r="M109" s="44" t="s">
        <v>14876</v>
      </c>
    </row>
    <row r="110" customFormat="false" ht="22.35" hidden="false" customHeight="false" outlineLevel="0" collapsed="false">
      <c r="A110" s="44" t="s">
        <v>15119</v>
      </c>
      <c r="B110" s="44" t="s">
        <v>8210</v>
      </c>
      <c r="C110" s="44" t="s">
        <v>8211</v>
      </c>
      <c r="D110" s="44" t="s">
        <v>15120</v>
      </c>
      <c r="E110" s="44"/>
      <c r="F110" s="44"/>
      <c r="G110" s="44" t="s">
        <v>14882</v>
      </c>
      <c r="H110" s="44" t="s">
        <v>14872</v>
      </c>
      <c r="I110" s="44" t="s">
        <v>14883</v>
      </c>
      <c r="J110" s="44" t="s">
        <v>14874</v>
      </c>
      <c r="K110" s="44" t="s">
        <v>14875</v>
      </c>
      <c r="L110" s="44" t="s">
        <v>8214</v>
      </c>
      <c r="M110" s="44" t="s">
        <v>14876</v>
      </c>
    </row>
    <row r="111" customFormat="false" ht="22.35" hidden="false" customHeight="false" outlineLevel="0" collapsed="false">
      <c r="A111" s="44" t="s">
        <v>15121</v>
      </c>
      <c r="B111" s="44" t="s">
        <v>8215</v>
      </c>
      <c r="C111" s="44" t="s">
        <v>8216</v>
      </c>
      <c r="D111" s="44" t="s">
        <v>15122</v>
      </c>
      <c r="E111" s="44" t="s">
        <v>2057</v>
      </c>
      <c r="F111" s="44" t="s">
        <v>2058</v>
      </c>
      <c r="G111" s="44" t="s">
        <v>14871</v>
      </c>
      <c r="H111" s="44" t="s">
        <v>14872</v>
      </c>
      <c r="I111" s="44" t="s">
        <v>14879</v>
      </c>
      <c r="J111" s="44" t="s">
        <v>14874</v>
      </c>
      <c r="K111" s="44" t="s">
        <v>14875</v>
      </c>
      <c r="L111" s="44" t="s">
        <v>8222</v>
      </c>
      <c r="M111" s="44" t="s">
        <v>14876</v>
      </c>
    </row>
    <row r="112" customFormat="false" ht="22.35" hidden="false" customHeight="false" outlineLevel="0" collapsed="false">
      <c r="A112" s="44" t="s">
        <v>15123</v>
      </c>
      <c r="B112" s="44" t="s">
        <v>8215</v>
      </c>
      <c r="C112" s="44" t="s">
        <v>8216</v>
      </c>
      <c r="D112" s="44" t="s">
        <v>15115</v>
      </c>
      <c r="E112" s="44" t="s">
        <v>3451</v>
      </c>
      <c r="F112" s="44" t="s">
        <v>3452</v>
      </c>
      <c r="G112" s="44" t="s">
        <v>14871</v>
      </c>
      <c r="H112" s="44" t="s">
        <v>14872</v>
      </c>
      <c r="I112" s="44" t="s">
        <v>14873</v>
      </c>
      <c r="J112" s="44" t="s">
        <v>14874</v>
      </c>
      <c r="K112" s="44" t="s">
        <v>14875</v>
      </c>
      <c r="L112" s="44" t="s">
        <v>8222</v>
      </c>
      <c r="M112" s="44" t="s">
        <v>14876</v>
      </c>
    </row>
    <row r="113" customFormat="false" ht="22.35" hidden="false" customHeight="false" outlineLevel="0" collapsed="false">
      <c r="A113" s="44" t="s">
        <v>15124</v>
      </c>
      <c r="B113" s="44" t="s">
        <v>8215</v>
      </c>
      <c r="C113" s="44" t="s">
        <v>8216</v>
      </c>
      <c r="D113" s="44" t="s">
        <v>15125</v>
      </c>
      <c r="E113" s="44" t="s">
        <v>2245</v>
      </c>
      <c r="F113" s="44" t="s">
        <v>2246</v>
      </c>
      <c r="G113" s="44" t="s">
        <v>14871</v>
      </c>
      <c r="H113" s="44" t="s">
        <v>14872</v>
      </c>
      <c r="I113" s="44" t="s">
        <v>14873</v>
      </c>
      <c r="J113" s="44" t="s">
        <v>14874</v>
      </c>
      <c r="K113" s="44" t="s">
        <v>14875</v>
      </c>
      <c r="L113" s="44" t="s">
        <v>8222</v>
      </c>
      <c r="M113" s="44" t="s">
        <v>14876</v>
      </c>
    </row>
    <row r="114" customFormat="false" ht="22.35" hidden="false" customHeight="false" outlineLevel="0" collapsed="false">
      <c r="A114" s="44" t="s">
        <v>15126</v>
      </c>
      <c r="B114" s="44" t="s">
        <v>8215</v>
      </c>
      <c r="C114" s="44" t="s">
        <v>8216</v>
      </c>
      <c r="D114" s="44" t="s">
        <v>14998</v>
      </c>
      <c r="E114" s="44" t="s">
        <v>14999</v>
      </c>
      <c r="F114" s="44" t="s">
        <v>15000</v>
      </c>
      <c r="G114" s="44" t="s">
        <v>14871</v>
      </c>
      <c r="H114" s="44" t="s">
        <v>14872</v>
      </c>
      <c r="I114" s="44" t="s">
        <v>14886</v>
      </c>
      <c r="J114" s="44" t="s">
        <v>14874</v>
      </c>
      <c r="K114" s="44" t="s">
        <v>14875</v>
      </c>
      <c r="L114" s="44" t="s">
        <v>8222</v>
      </c>
      <c r="M114" s="44" t="s">
        <v>14876</v>
      </c>
    </row>
    <row r="115" customFormat="false" ht="22.35" hidden="false" customHeight="false" outlineLevel="0" collapsed="false">
      <c r="A115" s="44" t="s">
        <v>15127</v>
      </c>
      <c r="B115" s="44" t="s">
        <v>8215</v>
      </c>
      <c r="C115" s="44" t="s">
        <v>8216</v>
      </c>
      <c r="D115" s="44" t="s">
        <v>15128</v>
      </c>
      <c r="E115" s="44" t="s">
        <v>1384</v>
      </c>
      <c r="F115" s="44" t="s">
        <v>1385</v>
      </c>
      <c r="G115" s="44" t="s">
        <v>14871</v>
      </c>
      <c r="H115" s="44" t="s">
        <v>14872</v>
      </c>
      <c r="I115" s="44" t="s">
        <v>14873</v>
      </c>
      <c r="J115" s="44" t="s">
        <v>14874</v>
      </c>
      <c r="K115" s="44" t="s">
        <v>14875</v>
      </c>
      <c r="L115" s="44" t="s">
        <v>8222</v>
      </c>
      <c r="M115" s="44" t="s">
        <v>14876</v>
      </c>
    </row>
    <row r="116" customFormat="false" ht="22.35" hidden="false" customHeight="false" outlineLevel="0" collapsed="false">
      <c r="A116" s="44" t="s">
        <v>15129</v>
      </c>
      <c r="B116" s="44" t="s">
        <v>8215</v>
      </c>
      <c r="C116" s="44" t="s">
        <v>8216</v>
      </c>
      <c r="D116" s="44" t="s">
        <v>15130</v>
      </c>
      <c r="E116" s="44" t="s">
        <v>2411</v>
      </c>
      <c r="F116" s="44" t="s">
        <v>2412</v>
      </c>
      <c r="G116" s="44" t="s">
        <v>14871</v>
      </c>
      <c r="H116" s="44" t="s">
        <v>14872</v>
      </c>
      <c r="I116" s="44" t="s">
        <v>14873</v>
      </c>
      <c r="J116" s="44" t="s">
        <v>14874</v>
      </c>
      <c r="K116" s="44" t="s">
        <v>14875</v>
      </c>
      <c r="L116" s="44" t="s">
        <v>8222</v>
      </c>
      <c r="M116" s="44" t="s">
        <v>14876</v>
      </c>
    </row>
    <row r="117" customFormat="false" ht="22.35" hidden="false" customHeight="false" outlineLevel="0" collapsed="false">
      <c r="A117" s="44" t="s">
        <v>15131</v>
      </c>
      <c r="B117" s="44" t="s">
        <v>8215</v>
      </c>
      <c r="C117" s="44" t="s">
        <v>8216</v>
      </c>
      <c r="D117" s="44" t="s">
        <v>15132</v>
      </c>
      <c r="E117" s="44"/>
      <c r="F117" s="44"/>
      <c r="G117" s="44" t="s">
        <v>14882</v>
      </c>
      <c r="H117" s="44" t="s">
        <v>14872</v>
      </c>
      <c r="I117" s="44" t="s">
        <v>14883</v>
      </c>
      <c r="J117" s="44" t="s">
        <v>14874</v>
      </c>
      <c r="K117" s="44" t="s">
        <v>14875</v>
      </c>
      <c r="L117" s="44" t="s">
        <v>8222</v>
      </c>
      <c r="M117" s="44" t="s">
        <v>14876</v>
      </c>
    </row>
    <row r="118" customFormat="false" ht="22.35" hidden="false" customHeight="false" outlineLevel="0" collapsed="false">
      <c r="A118" s="44" t="s">
        <v>15133</v>
      </c>
      <c r="B118" s="44" t="s">
        <v>8223</v>
      </c>
      <c r="C118" s="44" t="s">
        <v>8224</v>
      </c>
      <c r="D118" s="44" t="s">
        <v>15134</v>
      </c>
      <c r="E118" s="44" t="s">
        <v>207</v>
      </c>
      <c r="F118" s="44" t="s">
        <v>208</v>
      </c>
      <c r="G118" s="44" t="s">
        <v>14871</v>
      </c>
      <c r="H118" s="44" t="s">
        <v>14872</v>
      </c>
      <c r="I118" s="44" t="s">
        <v>14873</v>
      </c>
      <c r="J118" s="44" t="s">
        <v>14874</v>
      </c>
      <c r="K118" s="44" t="s">
        <v>14875</v>
      </c>
      <c r="L118" s="44" t="s">
        <v>8229</v>
      </c>
      <c r="M118" s="44" t="s">
        <v>14876</v>
      </c>
    </row>
    <row r="119" customFormat="false" ht="22.35" hidden="false" customHeight="false" outlineLevel="0" collapsed="false">
      <c r="A119" s="44" t="s">
        <v>15135</v>
      </c>
      <c r="B119" s="44" t="s">
        <v>8223</v>
      </c>
      <c r="C119" s="44" t="s">
        <v>8224</v>
      </c>
      <c r="D119" s="44" t="s">
        <v>15136</v>
      </c>
      <c r="E119" s="44" t="s">
        <v>207</v>
      </c>
      <c r="F119" s="44" t="s">
        <v>208</v>
      </c>
      <c r="G119" s="44" t="s">
        <v>14871</v>
      </c>
      <c r="H119" s="44" t="s">
        <v>14872</v>
      </c>
      <c r="I119" s="44" t="s">
        <v>14873</v>
      </c>
      <c r="J119" s="44" t="s">
        <v>14874</v>
      </c>
      <c r="K119" s="44" t="s">
        <v>14875</v>
      </c>
      <c r="L119" s="44" t="s">
        <v>8229</v>
      </c>
      <c r="M119" s="44" t="s">
        <v>14876</v>
      </c>
    </row>
    <row r="120" customFormat="false" ht="22.35" hidden="false" customHeight="false" outlineLevel="0" collapsed="false">
      <c r="A120" s="44" t="s">
        <v>15137</v>
      </c>
      <c r="B120" s="44" t="s">
        <v>8223</v>
      </c>
      <c r="C120" s="44" t="s">
        <v>8224</v>
      </c>
      <c r="D120" s="44" t="s">
        <v>15138</v>
      </c>
      <c r="E120" s="44" t="s">
        <v>522</v>
      </c>
      <c r="F120" s="44" t="s">
        <v>523</v>
      </c>
      <c r="G120" s="44" t="s">
        <v>14871</v>
      </c>
      <c r="H120" s="44" t="s">
        <v>14872</v>
      </c>
      <c r="I120" s="44" t="s">
        <v>14873</v>
      </c>
      <c r="J120" s="44" t="s">
        <v>14874</v>
      </c>
      <c r="K120" s="44" t="s">
        <v>14875</v>
      </c>
      <c r="L120" s="44" t="s">
        <v>8229</v>
      </c>
      <c r="M120" s="44" t="s">
        <v>14876</v>
      </c>
    </row>
    <row r="121" customFormat="false" ht="22.35" hidden="false" customHeight="false" outlineLevel="0" collapsed="false">
      <c r="A121" s="44" t="s">
        <v>15139</v>
      </c>
      <c r="B121" s="44" t="s">
        <v>8223</v>
      </c>
      <c r="C121" s="44" t="s">
        <v>8224</v>
      </c>
      <c r="D121" s="44" t="s">
        <v>15140</v>
      </c>
      <c r="E121" s="44" t="s">
        <v>239</v>
      </c>
      <c r="F121" s="44" t="s">
        <v>240</v>
      </c>
      <c r="G121" s="44" t="s">
        <v>14871</v>
      </c>
      <c r="H121" s="44" t="s">
        <v>14872</v>
      </c>
      <c r="I121" s="44" t="s">
        <v>14873</v>
      </c>
      <c r="J121" s="44" t="s">
        <v>14874</v>
      </c>
      <c r="K121" s="44" t="s">
        <v>14875</v>
      </c>
      <c r="L121" s="44" t="s">
        <v>8229</v>
      </c>
      <c r="M121" s="44" t="s">
        <v>14876</v>
      </c>
    </row>
    <row r="122" customFormat="false" ht="22.35" hidden="false" customHeight="false" outlineLevel="0" collapsed="false">
      <c r="A122" s="44" t="s">
        <v>15141</v>
      </c>
      <c r="B122" s="44" t="s">
        <v>8223</v>
      </c>
      <c r="C122" s="44" t="s">
        <v>8224</v>
      </c>
      <c r="D122" s="44" t="s">
        <v>15142</v>
      </c>
      <c r="E122" s="44" t="s">
        <v>239</v>
      </c>
      <c r="F122" s="44" t="s">
        <v>240</v>
      </c>
      <c r="G122" s="44" t="s">
        <v>14871</v>
      </c>
      <c r="H122" s="44" t="s">
        <v>14872</v>
      </c>
      <c r="I122" s="44" t="s">
        <v>14873</v>
      </c>
      <c r="J122" s="44" t="s">
        <v>14874</v>
      </c>
      <c r="K122" s="44" t="s">
        <v>14875</v>
      </c>
      <c r="L122" s="44" t="s">
        <v>8229</v>
      </c>
      <c r="M122" s="44" t="s">
        <v>14876</v>
      </c>
    </row>
    <row r="123" customFormat="false" ht="22.35" hidden="false" customHeight="false" outlineLevel="0" collapsed="false">
      <c r="A123" s="44" t="s">
        <v>15143</v>
      </c>
      <c r="B123" s="44" t="s">
        <v>8223</v>
      </c>
      <c r="C123" s="44" t="s">
        <v>8224</v>
      </c>
      <c r="D123" s="44" t="s">
        <v>15144</v>
      </c>
      <c r="E123" s="44" t="s">
        <v>227</v>
      </c>
      <c r="F123" s="44" t="s">
        <v>228</v>
      </c>
      <c r="G123" s="44" t="s">
        <v>14871</v>
      </c>
      <c r="H123" s="44" t="s">
        <v>14872</v>
      </c>
      <c r="I123" s="44" t="s">
        <v>14873</v>
      </c>
      <c r="J123" s="44" t="s">
        <v>14874</v>
      </c>
      <c r="K123" s="44" t="s">
        <v>14875</v>
      </c>
      <c r="L123" s="44" t="s">
        <v>8229</v>
      </c>
      <c r="M123" s="44" t="s">
        <v>14876</v>
      </c>
    </row>
    <row r="124" customFormat="false" ht="22.35" hidden="false" customHeight="false" outlineLevel="0" collapsed="false">
      <c r="A124" s="44" t="s">
        <v>15145</v>
      </c>
      <c r="B124" s="44" t="s">
        <v>8223</v>
      </c>
      <c r="C124" s="44" t="s">
        <v>8224</v>
      </c>
      <c r="D124" s="44" t="s">
        <v>15146</v>
      </c>
      <c r="E124" s="44" t="s">
        <v>1465</v>
      </c>
      <c r="F124" s="44" t="s">
        <v>1466</v>
      </c>
      <c r="G124" s="44" t="s">
        <v>14871</v>
      </c>
      <c r="H124" s="44" t="s">
        <v>14872</v>
      </c>
      <c r="I124" s="44" t="s">
        <v>14873</v>
      </c>
      <c r="J124" s="44" t="s">
        <v>14874</v>
      </c>
      <c r="K124" s="44" t="s">
        <v>14875</v>
      </c>
      <c r="L124" s="44" t="s">
        <v>8229</v>
      </c>
      <c r="M124" s="44" t="s">
        <v>14876</v>
      </c>
    </row>
    <row r="125" customFormat="false" ht="22.35" hidden="false" customHeight="false" outlineLevel="0" collapsed="false">
      <c r="A125" s="44" t="s">
        <v>15147</v>
      </c>
      <c r="B125" s="44" t="s">
        <v>8223</v>
      </c>
      <c r="C125" s="44" t="s">
        <v>8224</v>
      </c>
      <c r="D125" s="44" t="s">
        <v>15148</v>
      </c>
      <c r="E125" s="44" t="s">
        <v>1259</v>
      </c>
      <c r="F125" s="44" t="s">
        <v>1260</v>
      </c>
      <c r="G125" s="44" t="s">
        <v>14871</v>
      </c>
      <c r="H125" s="44" t="s">
        <v>14872</v>
      </c>
      <c r="I125" s="44" t="s">
        <v>14879</v>
      </c>
      <c r="J125" s="44" t="s">
        <v>14874</v>
      </c>
      <c r="K125" s="44" t="s">
        <v>14875</v>
      </c>
      <c r="L125" s="44" t="s">
        <v>8229</v>
      </c>
      <c r="M125" s="44" t="s">
        <v>14876</v>
      </c>
    </row>
    <row r="126" customFormat="false" ht="22.35" hidden="false" customHeight="false" outlineLevel="0" collapsed="false">
      <c r="A126" s="44" t="s">
        <v>15149</v>
      </c>
      <c r="B126" s="44" t="s">
        <v>8230</v>
      </c>
      <c r="C126" s="44" t="s">
        <v>8231</v>
      </c>
      <c r="D126" s="44" t="s">
        <v>15150</v>
      </c>
      <c r="E126" s="44" t="s">
        <v>239</v>
      </c>
      <c r="F126" s="44" t="s">
        <v>240</v>
      </c>
      <c r="G126" s="44" t="s">
        <v>14871</v>
      </c>
      <c r="H126" s="44" t="s">
        <v>14872</v>
      </c>
      <c r="I126" s="44" t="s">
        <v>14873</v>
      </c>
      <c r="J126" s="44" t="s">
        <v>14874</v>
      </c>
      <c r="K126" s="44" t="s">
        <v>14875</v>
      </c>
      <c r="L126" s="44" t="s">
        <v>8234</v>
      </c>
      <c r="M126" s="44" t="s">
        <v>14876</v>
      </c>
    </row>
    <row r="127" customFormat="false" ht="22.35" hidden="false" customHeight="false" outlineLevel="0" collapsed="false">
      <c r="A127" s="44" t="s">
        <v>15151</v>
      </c>
      <c r="B127" s="44" t="s">
        <v>8230</v>
      </c>
      <c r="C127" s="44" t="s">
        <v>8231</v>
      </c>
      <c r="D127" s="44" t="s">
        <v>15152</v>
      </c>
      <c r="E127" s="44"/>
      <c r="F127" s="44"/>
      <c r="G127" s="44" t="s">
        <v>14882</v>
      </c>
      <c r="H127" s="44" t="s">
        <v>14872</v>
      </c>
      <c r="I127" s="44" t="s">
        <v>14883</v>
      </c>
      <c r="J127" s="44" t="s">
        <v>14874</v>
      </c>
      <c r="K127" s="44" t="s">
        <v>14875</v>
      </c>
      <c r="L127" s="44" t="s">
        <v>8234</v>
      </c>
      <c r="M127" s="44" t="s">
        <v>14876</v>
      </c>
    </row>
    <row r="128" customFormat="false" ht="22.35" hidden="false" customHeight="false" outlineLevel="0" collapsed="false">
      <c r="A128" s="44" t="s">
        <v>15153</v>
      </c>
      <c r="B128" s="44" t="s">
        <v>8230</v>
      </c>
      <c r="C128" s="44" t="s">
        <v>8231</v>
      </c>
      <c r="D128" s="44" t="s">
        <v>15154</v>
      </c>
      <c r="E128" s="44" t="s">
        <v>211</v>
      </c>
      <c r="F128" s="44" t="s">
        <v>212</v>
      </c>
      <c r="G128" s="44" t="s">
        <v>14871</v>
      </c>
      <c r="H128" s="44" t="s">
        <v>14872</v>
      </c>
      <c r="I128" s="44" t="s">
        <v>14873</v>
      </c>
      <c r="J128" s="44" t="s">
        <v>14874</v>
      </c>
      <c r="K128" s="44" t="s">
        <v>14875</v>
      </c>
      <c r="L128" s="44" t="s">
        <v>8234</v>
      </c>
      <c r="M128" s="44" t="s">
        <v>14876</v>
      </c>
    </row>
    <row r="129" customFormat="false" ht="22.35" hidden="false" customHeight="false" outlineLevel="0" collapsed="false">
      <c r="A129" s="44" t="s">
        <v>15155</v>
      </c>
      <c r="B129" s="44" t="s">
        <v>8230</v>
      </c>
      <c r="C129" s="44" t="s">
        <v>8231</v>
      </c>
      <c r="D129" s="44" t="s">
        <v>15156</v>
      </c>
      <c r="E129" s="44" t="s">
        <v>1561</v>
      </c>
      <c r="F129" s="44" t="s">
        <v>1562</v>
      </c>
      <c r="G129" s="44" t="s">
        <v>14871</v>
      </c>
      <c r="H129" s="44" t="s">
        <v>14872</v>
      </c>
      <c r="I129" s="44" t="s">
        <v>14879</v>
      </c>
      <c r="J129" s="44" t="s">
        <v>14874</v>
      </c>
      <c r="K129" s="44" t="s">
        <v>14875</v>
      </c>
      <c r="L129" s="44" t="s">
        <v>8234</v>
      </c>
      <c r="M129" s="44" t="s">
        <v>14876</v>
      </c>
    </row>
    <row r="130" customFormat="false" ht="22.35" hidden="false" customHeight="false" outlineLevel="0" collapsed="false">
      <c r="A130" s="44" t="s">
        <v>15157</v>
      </c>
      <c r="B130" s="44" t="s">
        <v>8230</v>
      </c>
      <c r="C130" s="44" t="s">
        <v>8231</v>
      </c>
      <c r="D130" s="44" t="s">
        <v>14890</v>
      </c>
      <c r="E130" s="44" t="s">
        <v>14891</v>
      </c>
      <c r="F130" s="44" t="s">
        <v>14892</v>
      </c>
      <c r="G130" s="44" t="s">
        <v>14871</v>
      </c>
      <c r="H130" s="44" t="s">
        <v>14872</v>
      </c>
      <c r="I130" s="44" t="s">
        <v>14873</v>
      </c>
      <c r="J130" s="44" t="s">
        <v>14874</v>
      </c>
      <c r="K130" s="44" t="s">
        <v>14875</v>
      </c>
      <c r="L130" s="44" t="s">
        <v>8234</v>
      </c>
      <c r="M130" s="44" t="s">
        <v>14876</v>
      </c>
    </row>
    <row r="131" customFormat="false" ht="22.35" hidden="false" customHeight="false" outlineLevel="0" collapsed="false">
      <c r="A131" s="44" t="s">
        <v>15158</v>
      </c>
      <c r="B131" s="44" t="s">
        <v>8230</v>
      </c>
      <c r="C131" s="44" t="s">
        <v>8231</v>
      </c>
      <c r="D131" s="44" t="s">
        <v>15159</v>
      </c>
      <c r="E131" s="44" t="s">
        <v>15160</v>
      </c>
      <c r="F131" s="44" t="s">
        <v>15161</v>
      </c>
      <c r="G131" s="44" t="s">
        <v>14871</v>
      </c>
      <c r="H131" s="44" t="s">
        <v>14872</v>
      </c>
      <c r="I131" s="44" t="s">
        <v>14873</v>
      </c>
      <c r="J131" s="44" t="s">
        <v>14874</v>
      </c>
      <c r="K131" s="44" t="s">
        <v>14875</v>
      </c>
      <c r="L131" s="44" t="s">
        <v>8234</v>
      </c>
      <c r="M131" s="44" t="s">
        <v>14876</v>
      </c>
    </row>
    <row r="132" customFormat="false" ht="22.35" hidden="false" customHeight="false" outlineLevel="0" collapsed="false">
      <c r="A132" s="44" t="s">
        <v>15162</v>
      </c>
      <c r="B132" s="44" t="s">
        <v>8235</v>
      </c>
      <c r="C132" s="44" t="s">
        <v>8236</v>
      </c>
      <c r="D132" s="44" t="s">
        <v>15163</v>
      </c>
      <c r="E132" s="44" t="s">
        <v>3578</v>
      </c>
      <c r="F132" s="44" t="s">
        <v>3579</v>
      </c>
      <c r="G132" s="44" t="s">
        <v>14871</v>
      </c>
      <c r="H132" s="44" t="s">
        <v>14872</v>
      </c>
      <c r="I132" s="44" t="s">
        <v>14886</v>
      </c>
      <c r="J132" s="44" t="s">
        <v>14874</v>
      </c>
      <c r="K132" s="44" t="s">
        <v>14875</v>
      </c>
      <c r="L132" s="44" t="s">
        <v>8243</v>
      </c>
      <c r="M132" s="44" t="s">
        <v>14876</v>
      </c>
    </row>
    <row r="133" customFormat="false" ht="22.35" hidden="false" customHeight="false" outlineLevel="0" collapsed="false">
      <c r="A133" s="44" t="s">
        <v>15164</v>
      </c>
      <c r="B133" s="44" t="s">
        <v>8235</v>
      </c>
      <c r="C133" s="44" t="s">
        <v>8236</v>
      </c>
      <c r="D133" s="44" t="s">
        <v>15165</v>
      </c>
      <c r="E133" s="44" t="s">
        <v>14891</v>
      </c>
      <c r="F133" s="44" t="s">
        <v>14892</v>
      </c>
      <c r="G133" s="44" t="s">
        <v>14871</v>
      </c>
      <c r="H133" s="44" t="s">
        <v>14872</v>
      </c>
      <c r="I133" s="44" t="s">
        <v>14873</v>
      </c>
      <c r="J133" s="44" t="s">
        <v>14874</v>
      </c>
      <c r="K133" s="44" t="s">
        <v>14875</v>
      </c>
      <c r="L133" s="44" t="s">
        <v>8243</v>
      </c>
      <c r="M133" s="44" t="s">
        <v>14876</v>
      </c>
    </row>
    <row r="134" customFormat="false" ht="22.35" hidden="false" customHeight="false" outlineLevel="0" collapsed="false">
      <c r="A134" s="44" t="s">
        <v>15166</v>
      </c>
      <c r="B134" s="44" t="s">
        <v>8235</v>
      </c>
      <c r="C134" s="44" t="s">
        <v>8236</v>
      </c>
      <c r="D134" s="44" t="s">
        <v>15167</v>
      </c>
      <c r="E134" s="44"/>
      <c r="F134" s="44"/>
      <c r="G134" s="44" t="s">
        <v>14882</v>
      </c>
      <c r="H134" s="44" t="s">
        <v>14872</v>
      </c>
      <c r="I134" s="44" t="s">
        <v>14883</v>
      </c>
      <c r="J134" s="44" t="s">
        <v>14874</v>
      </c>
      <c r="K134" s="44" t="s">
        <v>14875</v>
      </c>
      <c r="L134" s="44" t="s">
        <v>8243</v>
      </c>
      <c r="M134" s="44" t="s">
        <v>14876</v>
      </c>
    </row>
    <row r="135" customFormat="false" ht="22.35" hidden="false" customHeight="false" outlineLevel="0" collapsed="false">
      <c r="A135" s="44" t="s">
        <v>15168</v>
      </c>
      <c r="B135" s="44" t="s">
        <v>8235</v>
      </c>
      <c r="C135" s="44" t="s">
        <v>8236</v>
      </c>
      <c r="D135" s="44" t="s">
        <v>15169</v>
      </c>
      <c r="E135" s="44"/>
      <c r="F135" s="44"/>
      <c r="G135" s="44" t="s">
        <v>14882</v>
      </c>
      <c r="H135" s="44" t="s">
        <v>14872</v>
      </c>
      <c r="I135" s="44" t="s">
        <v>14883</v>
      </c>
      <c r="J135" s="44" t="s">
        <v>14874</v>
      </c>
      <c r="K135" s="44" t="s">
        <v>14875</v>
      </c>
      <c r="L135" s="44" t="s">
        <v>8243</v>
      </c>
      <c r="M135" s="44" t="s">
        <v>14876</v>
      </c>
    </row>
    <row r="136" customFormat="false" ht="22.35" hidden="false" customHeight="false" outlineLevel="0" collapsed="false">
      <c r="A136" s="44" t="s">
        <v>15170</v>
      </c>
      <c r="B136" s="44" t="s">
        <v>8235</v>
      </c>
      <c r="C136" s="44" t="s">
        <v>8236</v>
      </c>
      <c r="D136" s="44" t="s">
        <v>15171</v>
      </c>
      <c r="E136" s="44" t="s">
        <v>2761</v>
      </c>
      <c r="F136" s="44" t="s">
        <v>2762</v>
      </c>
      <c r="G136" s="44" t="s">
        <v>14871</v>
      </c>
      <c r="H136" s="44" t="s">
        <v>14872</v>
      </c>
      <c r="I136" s="44" t="s">
        <v>14886</v>
      </c>
      <c r="J136" s="44" t="s">
        <v>14874</v>
      </c>
      <c r="K136" s="44" t="s">
        <v>14875</v>
      </c>
      <c r="L136" s="44" t="s">
        <v>8243</v>
      </c>
      <c r="M136" s="44" t="s">
        <v>14876</v>
      </c>
    </row>
    <row r="137" customFormat="false" ht="32.8" hidden="false" customHeight="false" outlineLevel="0" collapsed="false">
      <c r="A137" s="44" t="s">
        <v>15172</v>
      </c>
      <c r="B137" s="44" t="s">
        <v>8244</v>
      </c>
      <c r="C137" s="44" t="s">
        <v>8245</v>
      </c>
      <c r="D137" s="44" t="s">
        <v>15173</v>
      </c>
      <c r="E137" s="44"/>
      <c r="F137" s="44"/>
      <c r="G137" s="44" t="s">
        <v>14882</v>
      </c>
      <c r="H137" s="44" t="s">
        <v>14872</v>
      </c>
      <c r="I137" s="44" t="s">
        <v>14883</v>
      </c>
      <c r="J137" s="44" t="s">
        <v>14874</v>
      </c>
      <c r="K137" s="44" t="s">
        <v>14875</v>
      </c>
      <c r="L137" s="44" t="s">
        <v>8250</v>
      </c>
      <c r="M137" s="44" t="s">
        <v>14876</v>
      </c>
    </row>
    <row r="138" customFormat="false" ht="32.8" hidden="false" customHeight="false" outlineLevel="0" collapsed="false">
      <c r="A138" s="44" t="s">
        <v>15174</v>
      </c>
      <c r="B138" s="44" t="s">
        <v>8244</v>
      </c>
      <c r="C138" s="44" t="s">
        <v>8245</v>
      </c>
      <c r="D138" s="44" t="s">
        <v>15175</v>
      </c>
      <c r="E138" s="44" t="s">
        <v>15176</v>
      </c>
      <c r="F138" s="44" t="s">
        <v>15177</v>
      </c>
      <c r="G138" s="44" t="s">
        <v>14871</v>
      </c>
      <c r="H138" s="44" t="s">
        <v>14872</v>
      </c>
      <c r="I138" s="44" t="s">
        <v>14886</v>
      </c>
      <c r="J138" s="44" t="s">
        <v>14874</v>
      </c>
      <c r="K138" s="44" t="s">
        <v>14875</v>
      </c>
      <c r="L138" s="44" t="s">
        <v>8250</v>
      </c>
      <c r="M138" s="44" t="s">
        <v>14876</v>
      </c>
    </row>
    <row r="139" customFormat="false" ht="32.8" hidden="false" customHeight="false" outlineLevel="0" collapsed="false">
      <c r="A139" s="44" t="s">
        <v>15178</v>
      </c>
      <c r="B139" s="44" t="s">
        <v>8244</v>
      </c>
      <c r="C139" s="44" t="s">
        <v>8245</v>
      </c>
      <c r="D139" s="44" t="s">
        <v>15179</v>
      </c>
      <c r="E139" s="44"/>
      <c r="F139" s="44"/>
      <c r="G139" s="44" t="s">
        <v>14882</v>
      </c>
      <c r="H139" s="44" t="s">
        <v>14872</v>
      </c>
      <c r="I139" s="44" t="s">
        <v>14883</v>
      </c>
      <c r="J139" s="44" t="s">
        <v>14874</v>
      </c>
      <c r="K139" s="44" t="s">
        <v>14875</v>
      </c>
      <c r="L139" s="44" t="s">
        <v>8250</v>
      </c>
      <c r="M139" s="44" t="s">
        <v>14876</v>
      </c>
    </row>
    <row r="140" customFormat="false" ht="32.8" hidden="false" customHeight="false" outlineLevel="0" collapsed="false">
      <c r="A140" s="44" t="s">
        <v>15180</v>
      </c>
      <c r="B140" s="44" t="s">
        <v>8244</v>
      </c>
      <c r="C140" s="44" t="s">
        <v>8245</v>
      </c>
      <c r="D140" s="44" t="s">
        <v>15181</v>
      </c>
      <c r="E140" s="44" t="s">
        <v>1205</v>
      </c>
      <c r="F140" s="44" t="s">
        <v>1206</v>
      </c>
      <c r="G140" s="44" t="s">
        <v>14871</v>
      </c>
      <c r="H140" s="44" t="s">
        <v>14872</v>
      </c>
      <c r="I140" s="44" t="s">
        <v>14873</v>
      </c>
      <c r="J140" s="44" t="s">
        <v>14874</v>
      </c>
      <c r="K140" s="44" t="s">
        <v>14875</v>
      </c>
      <c r="L140" s="44" t="s">
        <v>8250</v>
      </c>
      <c r="M140" s="44" t="s">
        <v>14876</v>
      </c>
    </row>
    <row r="141" customFormat="false" ht="32.8" hidden="false" customHeight="false" outlineLevel="0" collapsed="false">
      <c r="A141" s="44" t="s">
        <v>15182</v>
      </c>
      <c r="B141" s="44" t="s">
        <v>8244</v>
      </c>
      <c r="C141" s="44" t="s">
        <v>8245</v>
      </c>
      <c r="D141" s="44" t="s">
        <v>15016</v>
      </c>
      <c r="E141" s="44" t="s">
        <v>2232</v>
      </c>
      <c r="F141" s="44" t="s">
        <v>2233</v>
      </c>
      <c r="G141" s="44" t="s">
        <v>14871</v>
      </c>
      <c r="H141" s="44" t="s">
        <v>14872</v>
      </c>
      <c r="I141" s="44" t="s">
        <v>14879</v>
      </c>
      <c r="J141" s="44" t="s">
        <v>14874</v>
      </c>
      <c r="K141" s="44" t="s">
        <v>14875</v>
      </c>
      <c r="L141" s="44" t="s">
        <v>8250</v>
      </c>
      <c r="M141" s="44" t="s">
        <v>14876</v>
      </c>
    </row>
    <row r="142" customFormat="false" ht="32.8" hidden="false" customHeight="false" outlineLevel="0" collapsed="false">
      <c r="A142" s="44" t="s">
        <v>15183</v>
      </c>
      <c r="B142" s="44" t="s">
        <v>8244</v>
      </c>
      <c r="C142" s="44" t="s">
        <v>8245</v>
      </c>
      <c r="D142" s="44" t="s">
        <v>15184</v>
      </c>
      <c r="E142" s="44" t="s">
        <v>6785</v>
      </c>
      <c r="F142" s="44" t="s">
        <v>6786</v>
      </c>
      <c r="G142" s="44" t="s">
        <v>14871</v>
      </c>
      <c r="H142" s="44" t="s">
        <v>14872</v>
      </c>
      <c r="I142" s="44" t="s">
        <v>14886</v>
      </c>
      <c r="J142" s="44" t="s">
        <v>14874</v>
      </c>
      <c r="K142" s="44" t="s">
        <v>14875</v>
      </c>
      <c r="L142" s="44" t="s">
        <v>8250</v>
      </c>
      <c r="M142" s="44" t="s">
        <v>14876</v>
      </c>
    </row>
    <row r="143" customFormat="false" ht="22.35" hidden="false" customHeight="false" outlineLevel="0" collapsed="false">
      <c r="A143" s="44" t="s">
        <v>15185</v>
      </c>
      <c r="B143" s="44" t="s">
        <v>8251</v>
      </c>
      <c r="C143" s="44" t="s">
        <v>8252</v>
      </c>
      <c r="D143" s="44" t="s">
        <v>15186</v>
      </c>
      <c r="E143" s="44" t="s">
        <v>15035</v>
      </c>
      <c r="F143" s="44" t="s">
        <v>15036</v>
      </c>
      <c r="G143" s="44" t="s">
        <v>14871</v>
      </c>
      <c r="H143" s="44" t="s">
        <v>14872</v>
      </c>
      <c r="I143" s="44" t="s">
        <v>14886</v>
      </c>
      <c r="J143" s="44" t="s">
        <v>14874</v>
      </c>
      <c r="K143" s="44" t="s">
        <v>14875</v>
      </c>
      <c r="L143" s="44" t="s">
        <v>8259</v>
      </c>
      <c r="M143" s="44" t="s">
        <v>14876</v>
      </c>
    </row>
    <row r="144" customFormat="false" ht="22.35" hidden="false" customHeight="false" outlineLevel="0" collapsed="false">
      <c r="A144" s="44" t="s">
        <v>15187</v>
      </c>
      <c r="B144" s="44" t="s">
        <v>8251</v>
      </c>
      <c r="C144" s="44" t="s">
        <v>8252</v>
      </c>
      <c r="D144" s="44" t="s">
        <v>15188</v>
      </c>
      <c r="E144" s="44" t="s">
        <v>1652</v>
      </c>
      <c r="F144" s="44" t="s">
        <v>1653</v>
      </c>
      <c r="G144" s="44" t="s">
        <v>14871</v>
      </c>
      <c r="H144" s="44" t="s">
        <v>14872</v>
      </c>
      <c r="I144" s="44" t="s">
        <v>14873</v>
      </c>
      <c r="J144" s="44" t="s">
        <v>14874</v>
      </c>
      <c r="K144" s="44" t="s">
        <v>14875</v>
      </c>
      <c r="L144" s="44" t="s">
        <v>8259</v>
      </c>
      <c r="M144" s="44" t="s">
        <v>14876</v>
      </c>
    </row>
    <row r="145" customFormat="false" ht="22.35" hidden="false" customHeight="false" outlineLevel="0" collapsed="false">
      <c r="A145" s="44" t="s">
        <v>15189</v>
      </c>
      <c r="B145" s="44" t="s">
        <v>8251</v>
      </c>
      <c r="C145" s="44" t="s">
        <v>8252</v>
      </c>
      <c r="D145" s="44" t="s">
        <v>15190</v>
      </c>
      <c r="E145" s="44" t="s">
        <v>1039</v>
      </c>
      <c r="F145" s="44" t="s">
        <v>1040</v>
      </c>
      <c r="G145" s="44" t="s">
        <v>14871</v>
      </c>
      <c r="H145" s="44" t="s">
        <v>14872</v>
      </c>
      <c r="I145" s="44" t="s">
        <v>14873</v>
      </c>
      <c r="J145" s="44" t="s">
        <v>14874</v>
      </c>
      <c r="K145" s="44" t="s">
        <v>14875</v>
      </c>
      <c r="L145" s="44" t="s">
        <v>8259</v>
      </c>
      <c r="M145" s="44" t="s">
        <v>14876</v>
      </c>
    </row>
    <row r="146" customFormat="false" ht="22.35" hidden="false" customHeight="false" outlineLevel="0" collapsed="false">
      <c r="A146" s="44" t="s">
        <v>15191</v>
      </c>
      <c r="B146" s="44" t="s">
        <v>8251</v>
      </c>
      <c r="C146" s="44" t="s">
        <v>8252</v>
      </c>
      <c r="D146" s="44" t="s">
        <v>14896</v>
      </c>
      <c r="E146" s="44" t="s">
        <v>2473</v>
      </c>
      <c r="F146" s="44" t="s">
        <v>2474</v>
      </c>
      <c r="G146" s="44" t="s">
        <v>14871</v>
      </c>
      <c r="H146" s="44" t="s">
        <v>14872</v>
      </c>
      <c r="I146" s="44" t="s">
        <v>14879</v>
      </c>
      <c r="J146" s="44" t="s">
        <v>14874</v>
      </c>
      <c r="K146" s="44" t="s">
        <v>14875</v>
      </c>
      <c r="L146" s="44" t="s">
        <v>8259</v>
      </c>
      <c r="M146" s="44" t="s">
        <v>14876</v>
      </c>
    </row>
    <row r="147" customFormat="false" ht="22.35" hidden="false" customHeight="false" outlineLevel="0" collapsed="false">
      <c r="A147" s="44" t="s">
        <v>15192</v>
      </c>
      <c r="B147" s="44" t="s">
        <v>8251</v>
      </c>
      <c r="C147" s="44" t="s">
        <v>8252</v>
      </c>
      <c r="D147" s="44" t="s">
        <v>15193</v>
      </c>
      <c r="E147" s="44" t="s">
        <v>3177</v>
      </c>
      <c r="F147" s="44" t="s">
        <v>3178</v>
      </c>
      <c r="G147" s="44" t="s">
        <v>14871</v>
      </c>
      <c r="H147" s="44" t="s">
        <v>14872</v>
      </c>
      <c r="I147" s="44" t="s">
        <v>14873</v>
      </c>
      <c r="J147" s="44" t="s">
        <v>14874</v>
      </c>
      <c r="K147" s="44" t="s">
        <v>14875</v>
      </c>
      <c r="L147" s="44" t="s">
        <v>8259</v>
      </c>
      <c r="M147" s="44" t="s">
        <v>14876</v>
      </c>
    </row>
    <row r="148" customFormat="false" ht="22.35" hidden="false" customHeight="false" outlineLevel="0" collapsed="false">
      <c r="A148" s="44" t="s">
        <v>15194</v>
      </c>
      <c r="B148" s="44" t="s">
        <v>8251</v>
      </c>
      <c r="C148" s="44" t="s">
        <v>8252</v>
      </c>
      <c r="D148" s="44" t="s">
        <v>15195</v>
      </c>
      <c r="E148" s="44"/>
      <c r="F148" s="44"/>
      <c r="G148" s="44" t="s">
        <v>14882</v>
      </c>
      <c r="H148" s="44" t="s">
        <v>14872</v>
      </c>
      <c r="I148" s="44" t="s">
        <v>14883</v>
      </c>
      <c r="J148" s="44" t="s">
        <v>14874</v>
      </c>
      <c r="K148" s="44" t="s">
        <v>14875</v>
      </c>
      <c r="L148" s="44" t="s">
        <v>8259</v>
      </c>
      <c r="M148" s="44" t="s">
        <v>14876</v>
      </c>
    </row>
    <row r="149" customFormat="false" ht="22.35" hidden="false" customHeight="false" outlineLevel="0" collapsed="false">
      <c r="A149" s="44" t="s">
        <v>15196</v>
      </c>
      <c r="B149" s="44" t="s">
        <v>8251</v>
      </c>
      <c r="C149" s="44" t="s">
        <v>8252</v>
      </c>
      <c r="D149" s="44" t="s">
        <v>15197</v>
      </c>
      <c r="E149" s="44" t="s">
        <v>4214</v>
      </c>
      <c r="F149" s="44" t="s">
        <v>4215</v>
      </c>
      <c r="G149" s="44" t="s">
        <v>14871</v>
      </c>
      <c r="H149" s="44" t="s">
        <v>14872</v>
      </c>
      <c r="I149" s="44" t="s">
        <v>14886</v>
      </c>
      <c r="J149" s="44" t="s">
        <v>14874</v>
      </c>
      <c r="K149" s="44" t="s">
        <v>14875</v>
      </c>
      <c r="L149" s="44" t="s">
        <v>8259</v>
      </c>
      <c r="M149" s="44" t="s">
        <v>14876</v>
      </c>
    </row>
    <row r="150" customFormat="false" ht="22.35" hidden="false" customHeight="false" outlineLevel="0" collapsed="false">
      <c r="A150" s="44" t="s">
        <v>15198</v>
      </c>
      <c r="B150" s="44" t="s">
        <v>8260</v>
      </c>
      <c r="C150" s="44" t="s">
        <v>8261</v>
      </c>
      <c r="D150" s="44" t="s">
        <v>15199</v>
      </c>
      <c r="E150" s="44" t="s">
        <v>196</v>
      </c>
      <c r="F150" s="44" t="s">
        <v>59</v>
      </c>
      <c r="G150" s="44" t="s">
        <v>14871</v>
      </c>
      <c r="H150" s="44" t="s">
        <v>14872</v>
      </c>
      <c r="I150" s="44" t="s">
        <v>14886</v>
      </c>
      <c r="J150" s="44" t="s">
        <v>14874</v>
      </c>
      <c r="K150" s="44" t="s">
        <v>14875</v>
      </c>
      <c r="L150" s="44" t="s">
        <v>8265</v>
      </c>
      <c r="M150" s="44" t="s">
        <v>14876</v>
      </c>
    </row>
    <row r="151" customFormat="false" ht="22.35" hidden="false" customHeight="false" outlineLevel="0" collapsed="false">
      <c r="A151" s="44" t="s">
        <v>15200</v>
      </c>
      <c r="B151" s="44" t="s">
        <v>8260</v>
      </c>
      <c r="C151" s="44" t="s">
        <v>8261</v>
      </c>
      <c r="D151" s="44" t="s">
        <v>15201</v>
      </c>
      <c r="E151" s="44"/>
      <c r="F151" s="44"/>
      <c r="G151" s="44" t="s">
        <v>14882</v>
      </c>
      <c r="H151" s="44" t="s">
        <v>14872</v>
      </c>
      <c r="I151" s="44" t="s">
        <v>14883</v>
      </c>
      <c r="J151" s="44" t="s">
        <v>14874</v>
      </c>
      <c r="K151" s="44" t="s">
        <v>14875</v>
      </c>
      <c r="L151" s="44" t="s">
        <v>8265</v>
      </c>
      <c r="M151" s="44" t="s">
        <v>14876</v>
      </c>
    </row>
    <row r="152" customFormat="false" ht="22.35" hidden="false" customHeight="false" outlineLevel="0" collapsed="false">
      <c r="A152" s="44" t="s">
        <v>15202</v>
      </c>
      <c r="B152" s="44" t="s">
        <v>8260</v>
      </c>
      <c r="C152" s="44" t="s">
        <v>8261</v>
      </c>
      <c r="D152" s="44" t="s">
        <v>15203</v>
      </c>
      <c r="E152" s="44"/>
      <c r="F152" s="44"/>
      <c r="G152" s="44" t="s">
        <v>14882</v>
      </c>
      <c r="H152" s="44" t="s">
        <v>14872</v>
      </c>
      <c r="I152" s="44" t="s">
        <v>14883</v>
      </c>
      <c r="J152" s="44" t="s">
        <v>14874</v>
      </c>
      <c r="K152" s="44" t="s">
        <v>14875</v>
      </c>
      <c r="L152" s="44" t="s">
        <v>8265</v>
      </c>
      <c r="M152" s="44" t="s">
        <v>14876</v>
      </c>
    </row>
    <row r="153" customFormat="false" ht="22.35" hidden="false" customHeight="false" outlineLevel="0" collapsed="false">
      <c r="A153" s="44" t="s">
        <v>15204</v>
      </c>
      <c r="B153" s="44" t="s">
        <v>8260</v>
      </c>
      <c r="C153" s="44" t="s">
        <v>8261</v>
      </c>
      <c r="D153" s="44" t="s">
        <v>15205</v>
      </c>
      <c r="E153" s="44" t="s">
        <v>6785</v>
      </c>
      <c r="F153" s="44" t="s">
        <v>6786</v>
      </c>
      <c r="G153" s="44" t="s">
        <v>14871</v>
      </c>
      <c r="H153" s="44" t="s">
        <v>14872</v>
      </c>
      <c r="I153" s="44" t="s">
        <v>14886</v>
      </c>
      <c r="J153" s="44" t="s">
        <v>14874</v>
      </c>
      <c r="K153" s="44" t="s">
        <v>14875</v>
      </c>
      <c r="L153" s="44" t="s">
        <v>8265</v>
      </c>
      <c r="M153" s="44" t="s">
        <v>14876</v>
      </c>
    </row>
    <row r="154" customFormat="false" ht="22.35" hidden="false" customHeight="false" outlineLevel="0" collapsed="false">
      <c r="A154" s="44" t="s">
        <v>15206</v>
      </c>
      <c r="B154" s="44" t="s">
        <v>8260</v>
      </c>
      <c r="C154" s="44" t="s">
        <v>8261</v>
      </c>
      <c r="D154" s="44" t="s">
        <v>15207</v>
      </c>
      <c r="E154" s="44" t="s">
        <v>5920</v>
      </c>
      <c r="F154" s="44" t="s">
        <v>5921</v>
      </c>
      <c r="G154" s="44" t="s">
        <v>14871</v>
      </c>
      <c r="H154" s="44" t="s">
        <v>14872</v>
      </c>
      <c r="I154" s="44" t="s">
        <v>14873</v>
      </c>
      <c r="J154" s="44" t="s">
        <v>14874</v>
      </c>
      <c r="K154" s="44" t="s">
        <v>14875</v>
      </c>
      <c r="L154" s="44" t="s">
        <v>8265</v>
      </c>
      <c r="M154" s="44" t="s">
        <v>14876</v>
      </c>
    </row>
    <row r="155" customFormat="false" ht="22.35" hidden="false" customHeight="false" outlineLevel="0" collapsed="false">
      <c r="A155" s="44" t="s">
        <v>15208</v>
      </c>
      <c r="B155" s="44" t="s">
        <v>8260</v>
      </c>
      <c r="C155" s="44" t="s">
        <v>8261</v>
      </c>
      <c r="D155" s="44" t="s">
        <v>14924</v>
      </c>
      <c r="E155" s="44" t="s">
        <v>2761</v>
      </c>
      <c r="F155" s="44" t="s">
        <v>2762</v>
      </c>
      <c r="G155" s="44" t="s">
        <v>14871</v>
      </c>
      <c r="H155" s="44" t="s">
        <v>14872</v>
      </c>
      <c r="I155" s="44" t="s">
        <v>14886</v>
      </c>
      <c r="J155" s="44" t="s">
        <v>14874</v>
      </c>
      <c r="K155" s="44" t="s">
        <v>14875</v>
      </c>
      <c r="L155" s="44" t="s">
        <v>8265</v>
      </c>
      <c r="M155" s="44" t="s">
        <v>14876</v>
      </c>
    </row>
    <row r="156" customFormat="false" ht="22.35" hidden="false" customHeight="false" outlineLevel="0" collapsed="false">
      <c r="A156" s="44" t="s">
        <v>15209</v>
      </c>
      <c r="B156" s="44" t="s">
        <v>8266</v>
      </c>
      <c r="C156" s="44" t="s">
        <v>8267</v>
      </c>
      <c r="D156" s="44" t="s">
        <v>15210</v>
      </c>
      <c r="E156" s="44" t="s">
        <v>15211</v>
      </c>
      <c r="F156" s="44" t="s">
        <v>15212</v>
      </c>
      <c r="G156" s="44" t="s">
        <v>14871</v>
      </c>
      <c r="H156" s="44" t="s">
        <v>14872</v>
      </c>
      <c r="I156" s="44" t="s">
        <v>14886</v>
      </c>
      <c r="J156" s="44" t="s">
        <v>14874</v>
      </c>
      <c r="K156" s="44" t="s">
        <v>14875</v>
      </c>
      <c r="L156" s="44" t="s">
        <v>8271</v>
      </c>
      <c r="M156" s="44" t="s">
        <v>14876</v>
      </c>
    </row>
    <row r="157" customFormat="false" ht="22.35" hidden="false" customHeight="false" outlineLevel="0" collapsed="false">
      <c r="A157" s="44" t="s">
        <v>15213</v>
      </c>
      <c r="B157" s="44" t="s">
        <v>8266</v>
      </c>
      <c r="C157" s="44" t="s">
        <v>8267</v>
      </c>
      <c r="D157" s="44" t="s">
        <v>15214</v>
      </c>
      <c r="E157" s="44"/>
      <c r="F157" s="44"/>
      <c r="G157" s="44" t="s">
        <v>14882</v>
      </c>
      <c r="H157" s="44" t="s">
        <v>14872</v>
      </c>
      <c r="I157" s="44" t="s">
        <v>14883</v>
      </c>
      <c r="J157" s="44" t="s">
        <v>14874</v>
      </c>
      <c r="K157" s="44" t="s">
        <v>14875</v>
      </c>
      <c r="L157" s="44" t="s">
        <v>8271</v>
      </c>
      <c r="M157" s="44" t="s">
        <v>14876</v>
      </c>
    </row>
    <row r="158" customFormat="false" ht="22.35" hidden="false" customHeight="false" outlineLevel="0" collapsed="false">
      <c r="A158" s="44" t="s">
        <v>15215</v>
      </c>
      <c r="B158" s="44" t="s">
        <v>8266</v>
      </c>
      <c r="C158" s="44" t="s">
        <v>8267</v>
      </c>
      <c r="D158" s="44" t="s">
        <v>14924</v>
      </c>
      <c r="E158" s="44" t="s">
        <v>2761</v>
      </c>
      <c r="F158" s="44" t="s">
        <v>2762</v>
      </c>
      <c r="G158" s="44" t="s">
        <v>14871</v>
      </c>
      <c r="H158" s="44" t="s">
        <v>14872</v>
      </c>
      <c r="I158" s="44" t="s">
        <v>14886</v>
      </c>
      <c r="J158" s="44" t="s">
        <v>14874</v>
      </c>
      <c r="K158" s="44" t="s">
        <v>14875</v>
      </c>
      <c r="L158" s="44" t="s">
        <v>8271</v>
      </c>
      <c r="M158" s="44" t="s">
        <v>14876</v>
      </c>
    </row>
    <row r="159" customFormat="false" ht="22.35" hidden="false" customHeight="false" outlineLevel="0" collapsed="false">
      <c r="A159" s="44" t="s">
        <v>15216</v>
      </c>
      <c r="B159" s="44" t="s">
        <v>8266</v>
      </c>
      <c r="C159" s="44" t="s">
        <v>8267</v>
      </c>
      <c r="D159" s="44" t="s">
        <v>15217</v>
      </c>
      <c r="E159" s="44"/>
      <c r="F159" s="44"/>
      <c r="G159" s="44" t="s">
        <v>14882</v>
      </c>
      <c r="H159" s="44" t="s">
        <v>14872</v>
      </c>
      <c r="I159" s="44" t="s">
        <v>14883</v>
      </c>
      <c r="J159" s="44" t="s">
        <v>14874</v>
      </c>
      <c r="K159" s="44" t="s">
        <v>14875</v>
      </c>
      <c r="L159" s="44" t="s">
        <v>8271</v>
      </c>
      <c r="M159" s="44" t="s">
        <v>14876</v>
      </c>
    </row>
    <row r="160" customFormat="false" ht="22.35" hidden="false" customHeight="false" outlineLevel="0" collapsed="false">
      <c r="A160" s="44" t="s">
        <v>15218</v>
      </c>
      <c r="B160" s="44" t="s">
        <v>8266</v>
      </c>
      <c r="C160" s="44" t="s">
        <v>8267</v>
      </c>
      <c r="D160" s="44" t="s">
        <v>15219</v>
      </c>
      <c r="E160" s="44"/>
      <c r="F160" s="44"/>
      <c r="G160" s="44" t="s">
        <v>14882</v>
      </c>
      <c r="H160" s="44" t="s">
        <v>14872</v>
      </c>
      <c r="I160" s="44" t="s">
        <v>14883</v>
      </c>
      <c r="J160" s="44" t="s">
        <v>14874</v>
      </c>
      <c r="K160" s="44" t="s">
        <v>14875</v>
      </c>
      <c r="L160" s="44" t="s">
        <v>8271</v>
      </c>
      <c r="M160" s="44" t="s">
        <v>14876</v>
      </c>
    </row>
    <row r="161" customFormat="false" ht="22.35" hidden="false" customHeight="false" outlineLevel="0" collapsed="false">
      <c r="A161" s="44" t="s">
        <v>15220</v>
      </c>
      <c r="B161" s="44" t="s">
        <v>8272</v>
      </c>
      <c r="C161" s="44" t="s">
        <v>8273</v>
      </c>
      <c r="D161" s="44" t="s">
        <v>15221</v>
      </c>
      <c r="E161" s="44" t="s">
        <v>200</v>
      </c>
      <c r="F161" s="44" t="s">
        <v>201</v>
      </c>
      <c r="G161" s="44" t="s">
        <v>14871</v>
      </c>
      <c r="H161" s="44" t="s">
        <v>14872</v>
      </c>
      <c r="I161" s="44" t="s">
        <v>14886</v>
      </c>
      <c r="J161" s="44" t="s">
        <v>14874</v>
      </c>
      <c r="K161" s="44" t="s">
        <v>14875</v>
      </c>
      <c r="L161" s="44" t="s">
        <v>8280</v>
      </c>
      <c r="M161" s="44" t="s">
        <v>14876</v>
      </c>
    </row>
    <row r="162" customFormat="false" ht="22.35" hidden="false" customHeight="false" outlineLevel="0" collapsed="false">
      <c r="A162" s="44" t="s">
        <v>15222</v>
      </c>
      <c r="B162" s="44" t="s">
        <v>8272</v>
      </c>
      <c r="C162" s="44" t="s">
        <v>8273</v>
      </c>
      <c r="D162" s="44" t="s">
        <v>15223</v>
      </c>
      <c r="E162" s="44"/>
      <c r="F162" s="44"/>
      <c r="G162" s="44" t="s">
        <v>14882</v>
      </c>
      <c r="H162" s="44" t="s">
        <v>14872</v>
      </c>
      <c r="I162" s="44" t="s">
        <v>14883</v>
      </c>
      <c r="J162" s="44" t="s">
        <v>14874</v>
      </c>
      <c r="K162" s="44" t="s">
        <v>14875</v>
      </c>
      <c r="L162" s="44" t="s">
        <v>8280</v>
      </c>
      <c r="M162" s="44" t="s">
        <v>14876</v>
      </c>
    </row>
    <row r="163" customFormat="false" ht="22.35" hidden="false" customHeight="false" outlineLevel="0" collapsed="false">
      <c r="A163" s="44" t="s">
        <v>15224</v>
      </c>
      <c r="B163" s="44" t="s">
        <v>8272</v>
      </c>
      <c r="C163" s="44" t="s">
        <v>8273</v>
      </c>
      <c r="D163" s="44" t="s">
        <v>15225</v>
      </c>
      <c r="E163" s="44"/>
      <c r="F163" s="44"/>
      <c r="G163" s="44" t="s">
        <v>14882</v>
      </c>
      <c r="H163" s="44" t="s">
        <v>14872</v>
      </c>
      <c r="I163" s="44" t="s">
        <v>14883</v>
      </c>
      <c r="J163" s="44" t="s">
        <v>14874</v>
      </c>
      <c r="K163" s="44" t="s">
        <v>14875</v>
      </c>
      <c r="L163" s="44" t="s">
        <v>8280</v>
      </c>
      <c r="M163" s="44" t="s">
        <v>14876</v>
      </c>
    </row>
    <row r="164" customFormat="false" ht="22.35" hidden="false" customHeight="false" outlineLevel="0" collapsed="false">
      <c r="A164" s="44" t="s">
        <v>15226</v>
      </c>
      <c r="B164" s="44" t="s">
        <v>8272</v>
      </c>
      <c r="C164" s="44" t="s">
        <v>8273</v>
      </c>
      <c r="D164" s="44" t="s">
        <v>15227</v>
      </c>
      <c r="E164" s="44" t="s">
        <v>4633</v>
      </c>
      <c r="F164" s="44" t="s">
        <v>4634</v>
      </c>
      <c r="G164" s="44" t="s">
        <v>14871</v>
      </c>
      <c r="H164" s="44" t="s">
        <v>14872</v>
      </c>
      <c r="I164" s="44" t="s">
        <v>14886</v>
      </c>
      <c r="J164" s="44" t="s">
        <v>14874</v>
      </c>
      <c r="K164" s="44" t="s">
        <v>14875</v>
      </c>
      <c r="L164" s="44" t="s">
        <v>8280</v>
      </c>
      <c r="M164" s="44" t="s">
        <v>14876</v>
      </c>
    </row>
    <row r="165" customFormat="false" ht="22.35" hidden="false" customHeight="false" outlineLevel="0" collapsed="false">
      <c r="A165" s="44" t="s">
        <v>15228</v>
      </c>
      <c r="B165" s="44" t="s">
        <v>8281</v>
      </c>
      <c r="C165" s="44" t="s">
        <v>8282</v>
      </c>
      <c r="D165" s="44" t="s">
        <v>15229</v>
      </c>
      <c r="E165" s="44" t="s">
        <v>15230</v>
      </c>
      <c r="F165" s="44" t="s">
        <v>15231</v>
      </c>
      <c r="G165" s="44" t="s">
        <v>14871</v>
      </c>
      <c r="H165" s="44" t="s">
        <v>14872</v>
      </c>
      <c r="I165" s="44" t="s">
        <v>14886</v>
      </c>
      <c r="J165" s="44" t="s">
        <v>14874</v>
      </c>
      <c r="K165" s="44" t="s">
        <v>14875</v>
      </c>
      <c r="L165" s="44" t="s">
        <v>8288</v>
      </c>
      <c r="M165" s="44" t="s">
        <v>14876</v>
      </c>
    </row>
    <row r="166" customFormat="false" ht="22.35" hidden="false" customHeight="false" outlineLevel="0" collapsed="false">
      <c r="A166" s="44" t="s">
        <v>15232</v>
      </c>
      <c r="B166" s="44" t="s">
        <v>8281</v>
      </c>
      <c r="C166" s="44" t="s">
        <v>8282</v>
      </c>
      <c r="D166" s="44" t="s">
        <v>15233</v>
      </c>
      <c r="E166" s="44" t="s">
        <v>196</v>
      </c>
      <c r="F166" s="44" t="s">
        <v>59</v>
      </c>
      <c r="G166" s="44" t="s">
        <v>14871</v>
      </c>
      <c r="H166" s="44" t="s">
        <v>14872</v>
      </c>
      <c r="I166" s="44" t="s">
        <v>14886</v>
      </c>
      <c r="J166" s="44" t="s">
        <v>14874</v>
      </c>
      <c r="K166" s="44" t="s">
        <v>14875</v>
      </c>
      <c r="L166" s="44" t="s">
        <v>8288</v>
      </c>
      <c r="M166" s="44" t="s">
        <v>14876</v>
      </c>
    </row>
    <row r="167" customFormat="false" ht="22.35" hidden="false" customHeight="false" outlineLevel="0" collapsed="false">
      <c r="A167" s="44" t="s">
        <v>15234</v>
      </c>
      <c r="B167" s="44" t="s">
        <v>8281</v>
      </c>
      <c r="C167" s="44" t="s">
        <v>8282</v>
      </c>
      <c r="D167" s="44" t="s">
        <v>14996</v>
      </c>
      <c r="E167" s="44" t="s">
        <v>1238</v>
      </c>
      <c r="F167" s="44" t="s">
        <v>1239</v>
      </c>
      <c r="G167" s="44" t="s">
        <v>14871</v>
      </c>
      <c r="H167" s="44" t="s">
        <v>14872</v>
      </c>
      <c r="I167" s="44" t="s">
        <v>14879</v>
      </c>
      <c r="J167" s="44" t="s">
        <v>14874</v>
      </c>
      <c r="K167" s="44" t="s">
        <v>14875</v>
      </c>
      <c r="L167" s="44" t="s">
        <v>8288</v>
      </c>
      <c r="M167" s="44" t="s">
        <v>14876</v>
      </c>
    </row>
    <row r="168" customFormat="false" ht="22.35" hidden="false" customHeight="false" outlineLevel="0" collapsed="false">
      <c r="A168" s="44" t="s">
        <v>15235</v>
      </c>
      <c r="B168" s="44" t="s">
        <v>8281</v>
      </c>
      <c r="C168" s="44" t="s">
        <v>8282</v>
      </c>
      <c r="D168" s="44" t="s">
        <v>14885</v>
      </c>
      <c r="E168" s="44" t="s">
        <v>180</v>
      </c>
      <c r="F168" s="44" t="s">
        <v>47</v>
      </c>
      <c r="G168" s="44" t="s">
        <v>14871</v>
      </c>
      <c r="H168" s="44" t="s">
        <v>14872</v>
      </c>
      <c r="I168" s="44" t="s">
        <v>14886</v>
      </c>
      <c r="J168" s="44" t="s">
        <v>14874</v>
      </c>
      <c r="K168" s="44" t="s">
        <v>14875</v>
      </c>
      <c r="L168" s="44" t="s">
        <v>8288</v>
      </c>
      <c r="M168" s="44" t="s">
        <v>14876</v>
      </c>
    </row>
    <row r="169" customFormat="false" ht="22.35" hidden="false" customHeight="false" outlineLevel="0" collapsed="false">
      <c r="A169" s="44" t="s">
        <v>15236</v>
      </c>
      <c r="B169" s="44" t="s">
        <v>8281</v>
      </c>
      <c r="C169" s="44" t="s">
        <v>8282</v>
      </c>
      <c r="D169" s="44" t="s">
        <v>15237</v>
      </c>
      <c r="E169" s="44"/>
      <c r="F169" s="44"/>
      <c r="G169" s="44" t="s">
        <v>14882</v>
      </c>
      <c r="H169" s="44" t="s">
        <v>14872</v>
      </c>
      <c r="I169" s="44" t="s">
        <v>14883</v>
      </c>
      <c r="J169" s="44" t="s">
        <v>14874</v>
      </c>
      <c r="K169" s="44" t="s">
        <v>14875</v>
      </c>
      <c r="L169" s="44" t="s">
        <v>8288</v>
      </c>
      <c r="M169" s="44" t="s">
        <v>14876</v>
      </c>
    </row>
    <row r="170" customFormat="false" ht="22.35" hidden="false" customHeight="false" outlineLevel="0" collapsed="false">
      <c r="A170" s="44" t="s">
        <v>15238</v>
      </c>
      <c r="B170" s="44" t="s">
        <v>8289</v>
      </c>
      <c r="C170" s="44" t="s">
        <v>8290</v>
      </c>
      <c r="D170" s="44" t="s">
        <v>15239</v>
      </c>
      <c r="E170" s="44" t="s">
        <v>15240</v>
      </c>
      <c r="F170" s="44" t="s">
        <v>15241</v>
      </c>
      <c r="G170" s="44" t="s">
        <v>14871</v>
      </c>
      <c r="H170" s="44" t="s">
        <v>14872</v>
      </c>
      <c r="I170" s="44" t="s">
        <v>14873</v>
      </c>
      <c r="J170" s="44" t="s">
        <v>14874</v>
      </c>
      <c r="K170" s="44" t="s">
        <v>14875</v>
      </c>
      <c r="L170" s="44" t="s">
        <v>8295</v>
      </c>
      <c r="M170" s="44" t="s">
        <v>14876</v>
      </c>
    </row>
    <row r="171" customFormat="false" ht="22.35" hidden="false" customHeight="false" outlineLevel="0" collapsed="false">
      <c r="A171" s="44" t="s">
        <v>15242</v>
      </c>
      <c r="B171" s="44" t="s">
        <v>8289</v>
      </c>
      <c r="C171" s="44" t="s">
        <v>8290</v>
      </c>
      <c r="D171" s="44" t="s">
        <v>15243</v>
      </c>
      <c r="E171" s="44" t="s">
        <v>4219</v>
      </c>
      <c r="F171" s="44" t="s">
        <v>4220</v>
      </c>
      <c r="G171" s="44" t="s">
        <v>14871</v>
      </c>
      <c r="H171" s="44" t="s">
        <v>14872</v>
      </c>
      <c r="I171" s="44" t="s">
        <v>14886</v>
      </c>
      <c r="J171" s="44" t="s">
        <v>14874</v>
      </c>
      <c r="K171" s="44" t="s">
        <v>14875</v>
      </c>
      <c r="L171" s="44" t="s">
        <v>8295</v>
      </c>
      <c r="M171" s="44" t="s">
        <v>14876</v>
      </c>
    </row>
    <row r="172" customFormat="false" ht="22.35" hidden="false" customHeight="false" outlineLevel="0" collapsed="false">
      <c r="A172" s="44" t="s">
        <v>15244</v>
      </c>
      <c r="B172" s="44" t="s">
        <v>8289</v>
      </c>
      <c r="C172" s="44" t="s">
        <v>8290</v>
      </c>
      <c r="D172" s="44" t="s">
        <v>15245</v>
      </c>
      <c r="E172" s="44" t="s">
        <v>1139</v>
      </c>
      <c r="F172" s="44" t="s">
        <v>1140</v>
      </c>
      <c r="G172" s="44" t="s">
        <v>14871</v>
      </c>
      <c r="H172" s="44" t="s">
        <v>14872</v>
      </c>
      <c r="I172" s="44" t="s">
        <v>14879</v>
      </c>
      <c r="J172" s="44" t="s">
        <v>14874</v>
      </c>
      <c r="K172" s="44" t="s">
        <v>14875</v>
      </c>
      <c r="L172" s="44" t="s">
        <v>8295</v>
      </c>
      <c r="M172" s="44" t="s">
        <v>14876</v>
      </c>
    </row>
    <row r="173" customFormat="false" ht="22.35" hidden="false" customHeight="false" outlineLevel="0" collapsed="false">
      <c r="A173" s="44" t="s">
        <v>15246</v>
      </c>
      <c r="B173" s="44" t="s">
        <v>8289</v>
      </c>
      <c r="C173" s="44" t="s">
        <v>8290</v>
      </c>
      <c r="D173" s="44" t="s">
        <v>15247</v>
      </c>
      <c r="E173" s="44"/>
      <c r="F173" s="44"/>
      <c r="G173" s="44" t="s">
        <v>14882</v>
      </c>
      <c r="H173" s="44" t="s">
        <v>14872</v>
      </c>
      <c r="I173" s="44" t="s">
        <v>14883</v>
      </c>
      <c r="J173" s="44" t="s">
        <v>14874</v>
      </c>
      <c r="K173" s="44" t="s">
        <v>14875</v>
      </c>
      <c r="L173" s="44" t="s">
        <v>8295</v>
      </c>
      <c r="M173" s="44" t="s">
        <v>14876</v>
      </c>
    </row>
    <row r="174" customFormat="false" ht="22.35" hidden="false" customHeight="false" outlineLevel="0" collapsed="false">
      <c r="A174" s="44" t="s">
        <v>15248</v>
      </c>
      <c r="B174" s="44" t="s">
        <v>8289</v>
      </c>
      <c r="C174" s="44" t="s">
        <v>8290</v>
      </c>
      <c r="D174" s="44" t="s">
        <v>15249</v>
      </c>
      <c r="E174" s="44"/>
      <c r="F174" s="44"/>
      <c r="G174" s="44" t="s">
        <v>14882</v>
      </c>
      <c r="H174" s="44" t="s">
        <v>14872</v>
      </c>
      <c r="I174" s="44" t="s">
        <v>14883</v>
      </c>
      <c r="J174" s="44" t="s">
        <v>14874</v>
      </c>
      <c r="K174" s="44" t="s">
        <v>14875</v>
      </c>
      <c r="L174" s="44" t="s">
        <v>8295</v>
      </c>
      <c r="M174" s="44" t="s">
        <v>14876</v>
      </c>
    </row>
    <row r="175" customFormat="false" ht="22.35" hidden="false" customHeight="false" outlineLevel="0" collapsed="false">
      <c r="A175" s="44" t="s">
        <v>15250</v>
      </c>
      <c r="B175" s="44" t="s">
        <v>8296</v>
      </c>
      <c r="C175" s="44" t="s">
        <v>8297</v>
      </c>
      <c r="D175" s="44" t="s">
        <v>15251</v>
      </c>
      <c r="E175" s="44"/>
      <c r="F175" s="44"/>
      <c r="G175" s="44" t="s">
        <v>14882</v>
      </c>
      <c r="H175" s="44" t="s">
        <v>14872</v>
      </c>
      <c r="I175" s="44" t="s">
        <v>14883</v>
      </c>
      <c r="J175" s="44" t="s">
        <v>14874</v>
      </c>
      <c r="K175" s="44" t="s">
        <v>14875</v>
      </c>
      <c r="L175" s="44" t="s">
        <v>8303</v>
      </c>
      <c r="M175" s="44" t="s">
        <v>14876</v>
      </c>
    </row>
    <row r="176" customFormat="false" ht="22.35" hidden="false" customHeight="false" outlineLevel="0" collapsed="false">
      <c r="A176" s="44" t="s">
        <v>15252</v>
      </c>
      <c r="B176" s="44" t="s">
        <v>8296</v>
      </c>
      <c r="C176" s="44" t="s">
        <v>8297</v>
      </c>
      <c r="D176" s="44" t="s">
        <v>15253</v>
      </c>
      <c r="E176" s="44"/>
      <c r="F176" s="44"/>
      <c r="G176" s="44" t="s">
        <v>14882</v>
      </c>
      <c r="H176" s="44" t="s">
        <v>14872</v>
      </c>
      <c r="I176" s="44" t="s">
        <v>14883</v>
      </c>
      <c r="J176" s="44" t="s">
        <v>14874</v>
      </c>
      <c r="K176" s="44" t="s">
        <v>14875</v>
      </c>
      <c r="L176" s="44" t="s">
        <v>8303</v>
      </c>
      <c r="M176" s="44" t="s">
        <v>14876</v>
      </c>
    </row>
    <row r="177" customFormat="false" ht="22.35" hidden="false" customHeight="false" outlineLevel="0" collapsed="false">
      <c r="A177" s="44" t="s">
        <v>15254</v>
      </c>
      <c r="B177" s="44" t="s">
        <v>8296</v>
      </c>
      <c r="C177" s="44" t="s">
        <v>8297</v>
      </c>
      <c r="D177" s="44" t="s">
        <v>15255</v>
      </c>
      <c r="E177" s="44" t="s">
        <v>200</v>
      </c>
      <c r="F177" s="44" t="s">
        <v>201</v>
      </c>
      <c r="G177" s="44" t="s">
        <v>14871</v>
      </c>
      <c r="H177" s="44" t="s">
        <v>14872</v>
      </c>
      <c r="I177" s="44" t="s">
        <v>14886</v>
      </c>
      <c r="J177" s="44" t="s">
        <v>14874</v>
      </c>
      <c r="K177" s="44" t="s">
        <v>14875</v>
      </c>
      <c r="L177" s="44" t="s">
        <v>8303</v>
      </c>
      <c r="M177" s="44" t="s">
        <v>14876</v>
      </c>
    </row>
    <row r="178" customFormat="false" ht="22.35" hidden="false" customHeight="false" outlineLevel="0" collapsed="false">
      <c r="A178" s="44" t="s">
        <v>15256</v>
      </c>
      <c r="B178" s="44" t="s">
        <v>8296</v>
      </c>
      <c r="C178" s="44" t="s">
        <v>8297</v>
      </c>
      <c r="D178" s="44" t="s">
        <v>15257</v>
      </c>
      <c r="E178" s="44" t="s">
        <v>1238</v>
      </c>
      <c r="F178" s="44" t="s">
        <v>1239</v>
      </c>
      <c r="G178" s="44" t="s">
        <v>14871</v>
      </c>
      <c r="H178" s="44" t="s">
        <v>14872</v>
      </c>
      <c r="I178" s="44" t="s">
        <v>14879</v>
      </c>
      <c r="J178" s="44" t="s">
        <v>14874</v>
      </c>
      <c r="K178" s="44" t="s">
        <v>14875</v>
      </c>
      <c r="L178" s="44" t="s">
        <v>8303</v>
      </c>
      <c r="M178" s="44" t="s">
        <v>14876</v>
      </c>
    </row>
    <row r="179" customFormat="false" ht="22.35" hidden="false" customHeight="false" outlineLevel="0" collapsed="false">
      <c r="A179" s="44" t="s">
        <v>15258</v>
      </c>
      <c r="B179" s="44" t="s">
        <v>8304</v>
      </c>
      <c r="C179" s="44" t="s">
        <v>8305</v>
      </c>
      <c r="D179" s="44" t="s">
        <v>15259</v>
      </c>
      <c r="E179" s="44" t="s">
        <v>4094</v>
      </c>
      <c r="F179" s="44" t="s">
        <v>4095</v>
      </c>
      <c r="G179" s="44" t="s">
        <v>14871</v>
      </c>
      <c r="H179" s="44" t="s">
        <v>14872</v>
      </c>
      <c r="I179" s="44" t="s">
        <v>14873</v>
      </c>
      <c r="J179" s="44" t="s">
        <v>14874</v>
      </c>
      <c r="K179" s="44" t="s">
        <v>14875</v>
      </c>
      <c r="L179" s="44" t="s">
        <v>8310</v>
      </c>
      <c r="M179" s="44" t="s">
        <v>14876</v>
      </c>
    </row>
    <row r="180" customFormat="false" ht="22.35" hidden="false" customHeight="false" outlineLevel="0" collapsed="false">
      <c r="A180" s="44" t="s">
        <v>15260</v>
      </c>
      <c r="B180" s="44" t="s">
        <v>8304</v>
      </c>
      <c r="C180" s="44" t="s">
        <v>8305</v>
      </c>
      <c r="D180" s="44" t="s">
        <v>15261</v>
      </c>
      <c r="E180" s="44" t="s">
        <v>15262</v>
      </c>
      <c r="F180" s="44" t="s">
        <v>15263</v>
      </c>
      <c r="G180" s="44" t="s">
        <v>14871</v>
      </c>
      <c r="H180" s="44" t="s">
        <v>14872</v>
      </c>
      <c r="I180" s="44" t="s">
        <v>14873</v>
      </c>
      <c r="J180" s="44" t="s">
        <v>14874</v>
      </c>
      <c r="K180" s="44" t="s">
        <v>14875</v>
      </c>
      <c r="L180" s="44" t="s">
        <v>8310</v>
      </c>
      <c r="M180" s="44" t="s">
        <v>14876</v>
      </c>
    </row>
    <row r="181" customFormat="false" ht="22.35" hidden="false" customHeight="false" outlineLevel="0" collapsed="false">
      <c r="A181" s="44" t="s">
        <v>15264</v>
      </c>
      <c r="B181" s="44" t="s">
        <v>8304</v>
      </c>
      <c r="C181" s="44" t="s">
        <v>8305</v>
      </c>
      <c r="D181" s="44" t="s">
        <v>15265</v>
      </c>
      <c r="E181" s="44"/>
      <c r="F181" s="44"/>
      <c r="G181" s="44" t="s">
        <v>14882</v>
      </c>
      <c r="H181" s="44" t="s">
        <v>14872</v>
      </c>
      <c r="I181" s="44" t="s">
        <v>14883</v>
      </c>
      <c r="J181" s="44" t="s">
        <v>14874</v>
      </c>
      <c r="K181" s="44" t="s">
        <v>14875</v>
      </c>
      <c r="L181" s="44" t="s">
        <v>8310</v>
      </c>
      <c r="M181" s="44" t="s">
        <v>14876</v>
      </c>
    </row>
    <row r="182" customFormat="false" ht="22.35" hidden="false" customHeight="false" outlineLevel="0" collapsed="false">
      <c r="A182" s="44" t="s">
        <v>15266</v>
      </c>
      <c r="B182" s="44" t="s">
        <v>8304</v>
      </c>
      <c r="C182" s="44" t="s">
        <v>8305</v>
      </c>
      <c r="D182" s="44" t="s">
        <v>15267</v>
      </c>
      <c r="E182" s="44"/>
      <c r="F182" s="44"/>
      <c r="G182" s="44" t="s">
        <v>14882</v>
      </c>
      <c r="H182" s="44" t="s">
        <v>14872</v>
      </c>
      <c r="I182" s="44" t="s">
        <v>14883</v>
      </c>
      <c r="J182" s="44" t="s">
        <v>14874</v>
      </c>
      <c r="K182" s="44" t="s">
        <v>14875</v>
      </c>
      <c r="L182" s="44" t="s">
        <v>8310</v>
      </c>
      <c r="M182" s="44" t="s">
        <v>14876</v>
      </c>
    </row>
    <row r="183" customFormat="false" ht="22.35" hidden="false" customHeight="false" outlineLevel="0" collapsed="false">
      <c r="A183" s="44" t="s">
        <v>15268</v>
      </c>
      <c r="B183" s="44" t="s">
        <v>8304</v>
      </c>
      <c r="C183" s="44" t="s">
        <v>8305</v>
      </c>
      <c r="D183" s="44" t="s">
        <v>15269</v>
      </c>
      <c r="E183" s="44"/>
      <c r="F183" s="44"/>
      <c r="G183" s="44" t="s">
        <v>14882</v>
      </c>
      <c r="H183" s="44" t="s">
        <v>14872</v>
      </c>
      <c r="I183" s="44" t="s">
        <v>14883</v>
      </c>
      <c r="J183" s="44" t="s">
        <v>14874</v>
      </c>
      <c r="K183" s="44" t="s">
        <v>14875</v>
      </c>
      <c r="L183" s="44" t="s">
        <v>8310</v>
      </c>
      <c r="M183" s="44" t="s">
        <v>14876</v>
      </c>
    </row>
    <row r="184" customFormat="false" ht="22.35" hidden="false" customHeight="false" outlineLevel="0" collapsed="false">
      <c r="A184" s="44" t="s">
        <v>15270</v>
      </c>
      <c r="B184" s="44" t="s">
        <v>8304</v>
      </c>
      <c r="C184" s="44" t="s">
        <v>8305</v>
      </c>
      <c r="D184" s="44" t="s">
        <v>15271</v>
      </c>
      <c r="E184" s="44" t="s">
        <v>3592</v>
      </c>
      <c r="F184" s="44" t="s">
        <v>3593</v>
      </c>
      <c r="G184" s="44" t="s">
        <v>14871</v>
      </c>
      <c r="H184" s="44" t="s">
        <v>14872</v>
      </c>
      <c r="I184" s="44" t="s">
        <v>14873</v>
      </c>
      <c r="J184" s="44" t="s">
        <v>14874</v>
      </c>
      <c r="K184" s="44" t="s">
        <v>14875</v>
      </c>
      <c r="L184" s="44" t="s">
        <v>8310</v>
      </c>
      <c r="M184" s="44" t="s">
        <v>14876</v>
      </c>
    </row>
    <row r="185" customFormat="false" ht="22.35" hidden="false" customHeight="false" outlineLevel="0" collapsed="false">
      <c r="A185" s="44" t="s">
        <v>15272</v>
      </c>
      <c r="B185" s="44" t="s">
        <v>8311</v>
      </c>
      <c r="C185" s="44" t="s">
        <v>8312</v>
      </c>
      <c r="D185" s="44" t="s">
        <v>15273</v>
      </c>
      <c r="E185" s="44" t="s">
        <v>15102</v>
      </c>
      <c r="F185" s="44" t="s">
        <v>15103</v>
      </c>
      <c r="G185" s="44" t="s">
        <v>14871</v>
      </c>
      <c r="H185" s="44" t="s">
        <v>14872</v>
      </c>
      <c r="I185" s="44" t="s">
        <v>14886</v>
      </c>
      <c r="J185" s="44" t="s">
        <v>14874</v>
      </c>
      <c r="K185" s="44" t="s">
        <v>14875</v>
      </c>
      <c r="L185" s="44" t="s">
        <v>8317</v>
      </c>
      <c r="M185" s="44" t="s">
        <v>14876</v>
      </c>
    </row>
    <row r="186" customFormat="false" ht="22.35" hidden="false" customHeight="false" outlineLevel="0" collapsed="false">
      <c r="A186" s="44" t="s">
        <v>15274</v>
      </c>
      <c r="B186" s="44" t="s">
        <v>8311</v>
      </c>
      <c r="C186" s="44" t="s">
        <v>8312</v>
      </c>
      <c r="D186" s="44" t="s">
        <v>15275</v>
      </c>
      <c r="E186" s="44" t="s">
        <v>4057</v>
      </c>
      <c r="F186" s="44" t="s">
        <v>4058</v>
      </c>
      <c r="G186" s="44" t="s">
        <v>14871</v>
      </c>
      <c r="H186" s="44" t="s">
        <v>14872</v>
      </c>
      <c r="I186" s="44" t="s">
        <v>14879</v>
      </c>
      <c r="J186" s="44" t="s">
        <v>14874</v>
      </c>
      <c r="K186" s="44" t="s">
        <v>14875</v>
      </c>
      <c r="L186" s="44" t="s">
        <v>8317</v>
      </c>
      <c r="M186" s="44" t="s">
        <v>14876</v>
      </c>
    </row>
    <row r="187" customFormat="false" ht="22.35" hidden="false" customHeight="false" outlineLevel="0" collapsed="false">
      <c r="A187" s="44" t="s">
        <v>15276</v>
      </c>
      <c r="B187" s="44" t="s">
        <v>8311</v>
      </c>
      <c r="C187" s="44" t="s">
        <v>8312</v>
      </c>
      <c r="D187" s="44" t="s">
        <v>15277</v>
      </c>
      <c r="E187" s="44" t="s">
        <v>15278</v>
      </c>
      <c r="F187" s="44" t="s">
        <v>15279</v>
      </c>
      <c r="G187" s="44" t="s">
        <v>14871</v>
      </c>
      <c r="H187" s="44" t="s">
        <v>14872</v>
      </c>
      <c r="I187" s="44" t="s">
        <v>14886</v>
      </c>
      <c r="J187" s="44" t="s">
        <v>14874</v>
      </c>
      <c r="K187" s="44" t="s">
        <v>14875</v>
      </c>
      <c r="L187" s="44" t="s">
        <v>8317</v>
      </c>
      <c r="M187" s="44" t="s">
        <v>14876</v>
      </c>
    </row>
    <row r="188" customFormat="false" ht="22.35" hidden="false" customHeight="false" outlineLevel="0" collapsed="false">
      <c r="A188" s="44" t="s">
        <v>15280</v>
      </c>
      <c r="B188" s="44" t="s">
        <v>8311</v>
      </c>
      <c r="C188" s="44" t="s">
        <v>8312</v>
      </c>
      <c r="D188" s="44" t="s">
        <v>15281</v>
      </c>
      <c r="E188" s="44" t="s">
        <v>3889</v>
      </c>
      <c r="F188" s="44" t="s">
        <v>3890</v>
      </c>
      <c r="G188" s="44" t="s">
        <v>14871</v>
      </c>
      <c r="H188" s="44" t="s">
        <v>14872</v>
      </c>
      <c r="I188" s="44" t="s">
        <v>14873</v>
      </c>
      <c r="J188" s="44" t="s">
        <v>14874</v>
      </c>
      <c r="K188" s="44" t="s">
        <v>14875</v>
      </c>
      <c r="L188" s="44" t="s">
        <v>8317</v>
      </c>
      <c r="M188" s="44" t="s">
        <v>14876</v>
      </c>
    </row>
    <row r="189" customFormat="false" ht="22.35" hidden="false" customHeight="false" outlineLevel="0" collapsed="false">
      <c r="A189" s="44" t="s">
        <v>15282</v>
      </c>
      <c r="B189" s="44" t="s">
        <v>8311</v>
      </c>
      <c r="C189" s="44" t="s">
        <v>8312</v>
      </c>
      <c r="D189" s="44" t="s">
        <v>15283</v>
      </c>
      <c r="E189" s="44" t="s">
        <v>15284</v>
      </c>
      <c r="F189" s="44" t="s">
        <v>15285</v>
      </c>
      <c r="G189" s="44" t="s">
        <v>14871</v>
      </c>
      <c r="H189" s="44" t="s">
        <v>14872</v>
      </c>
      <c r="I189" s="44" t="s">
        <v>14873</v>
      </c>
      <c r="J189" s="44" t="s">
        <v>14874</v>
      </c>
      <c r="K189" s="44" t="s">
        <v>14875</v>
      </c>
      <c r="L189" s="44" t="s">
        <v>8317</v>
      </c>
      <c r="M189" s="44" t="s">
        <v>14876</v>
      </c>
    </row>
    <row r="190" customFormat="false" ht="22.35" hidden="false" customHeight="false" outlineLevel="0" collapsed="false">
      <c r="A190" s="44" t="s">
        <v>15286</v>
      </c>
      <c r="B190" s="44" t="s">
        <v>8318</v>
      </c>
      <c r="C190" s="44" t="s">
        <v>8319</v>
      </c>
      <c r="D190" s="44" t="s">
        <v>15287</v>
      </c>
      <c r="E190" s="44" t="s">
        <v>196</v>
      </c>
      <c r="F190" s="44" t="s">
        <v>59</v>
      </c>
      <c r="G190" s="44" t="s">
        <v>14871</v>
      </c>
      <c r="H190" s="44" t="s">
        <v>14872</v>
      </c>
      <c r="I190" s="44" t="s">
        <v>14886</v>
      </c>
      <c r="J190" s="44" t="s">
        <v>14874</v>
      </c>
      <c r="K190" s="44" t="s">
        <v>14875</v>
      </c>
      <c r="L190" s="44" t="s">
        <v>8324</v>
      </c>
      <c r="M190" s="44" t="s">
        <v>14876</v>
      </c>
    </row>
    <row r="191" customFormat="false" ht="22.35" hidden="false" customHeight="false" outlineLevel="0" collapsed="false">
      <c r="A191" s="44" t="s">
        <v>15288</v>
      </c>
      <c r="B191" s="44" t="s">
        <v>8318</v>
      </c>
      <c r="C191" s="44" t="s">
        <v>8319</v>
      </c>
      <c r="D191" s="44" t="s">
        <v>15289</v>
      </c>
      <c r="E191" s="44"/>
      <c r="F191" s="44"/>
      <c r="G191" s="44" t="s">
        <v>14882</v>
      </c>
      <c r="H191" s="44" t="s">
        <v>14872</v>
      </c>
      <c r="I191" s="44" t="s">
        <v>14883</v>
      </c>
      <c r="J191" s="44" t="s">
        <v>14874</v>
      </c>
      <c r="K191" s="44" t="s">
        <v>14875</v>
      </c>
      <c r="L191" s="44" t="s">
        <v>8324</v>
      </c>
      <c r="M191" s="44" t="s">
        <v>14876</v>
      </c>
    </row>
    <row r="192" customFormat="false" ht="22.35" hidden="false" customHeight="false" outlineLevel="0" collapsed="false">
      <c r="A192" s="44" t="s">
        <v>15290</v>
      </c>
      <c r="B192" s="44" t="s">
        <v>8318</v>
      </c>
      <c r="C192" s="44" t="s">
        <v>8319</v>
      </c>
      <c r="D192" s="44" t="s">
        <v>15291</v>
      </c>
      <c r="E192" s="44" t="s">
        <v>3589</v>
      </c>
      <c r="F192" s="44" t="s">
        <v>3590</v>
      </c>
      <c r="G192" s="44" t="s">
        <v>14871</v>
      </c>
      <c r="H192" s="44" t="s">
        <v>14872</v>
      </c>
      <c r="I192" s="44" t="s">
        <v>14886</v>
      </c>
      <c r="J192" s="44" t="s">
        <v>14874</v>
      </c>
      <c r="K192" s="44" t="s">
        <v>14875</v>
      </c>
      <c r="L192" s="44" t="s">
        <v>8324</v>
      </c>
      <c r="M192" s="44" t="s">
        <v>14876</v>
      </c>
    </row>
    <row r="193" customFormat="false" ht="22.35" hidden="false" customHeight="false" outlineLevel="0" collapsed="false">
      <c r="A193" s="44" t="s">
        <v>15292</v>
      </c>
      <c r="B193" s="44" t="s">
        <v>8318</v>
      </c>
      <c r="C193" s="44" t="s">
        <v>8319</v>
      </c>
      <c r="D193" s="44" t="s">
        <v>15293</v>
      </c>
      <c r="E193" s="44"/>
      <c r="F193" s="44"/>
      <c r="G193" s="44" t="s">
        <v>14882</v>
      </c>
      <c r="H193" s="44" t="s">
        <v>14872</v>
      </c>
      <c r="I193" s="44" t="s">
        <v>14883</v>
      </c>
      <c r="J193" s="44" t="s">
        <v>14874</v>
      </c>
      <c r="K193" s="44" t="s">
        <v>14875</v>
      </c>
      <c r="L193" s="44" t="s">
        <v>8324</v>
      </c>
      <c r="M193" s="44" t="s">
        <v>14876</v>
      </c>
    </row>
    <row r="194" customFormat="false" ht="22.35" hidden="false" customHeight="false" outlineLevel="0" collapsed="false">
      <c r="A194" s="44" t="s">
        <v>15294</v>
      </c>
      <c r="B194" s="44" t="s">
        <v>8325</v>
      </c>
      <c r="C194" s="44" t="s">
        <v>8326</v>
      </c>
      <c r="D194" s="44" t="s">
        <v>15295</v>
      </c>
      <c r="E194" s="44" t="s">
        <v>15296</v>
      </c>
      <c r="F194" s="44" t="s">
        <v>15297</v>
      </c>
      <c r="G194" s="44" t="s">
        <v>14871</v>
      </c>
      <c r="H194" s="44" t="s">
        <v>14872</v>
      </c>
      <c r="I194" s="44" t="s">
        <v>14873</v>
      </c>
      <c r="J194" s="44" t="s">
        <v>14874</v>
      </c>
      <c r="K194" s="44" t="s">
        <v>14875</v>
      </c>
      <c r="L194" s="44" t="s">
        <v>8331</v>
      </c>
      <c r="M194" s="44" t="s">
        <v>14876</v>
      </c>
    </row>
    <row r="195" customFormat="false" ht="22.35" hidden="false" customHeight="false" outlineLevel="0" collapsed="false">
      <c r="A195" s="44" t="s">
        <v>15298</v>
      </c>
      <c r="B195" s="44" t="s">
        <v>8325</v>
      </c>
      <c r="C195" s="44" t="s">
        <v>8326</v>
      </c>
      <c r="D195" s="44" t="s">
        <v>15299</v>
      </c>
      <c r="E195" s="44"/>
      <c r="F195" s="44"/>
      <c r="G195" s="44" t="s">
        <v>14882</v>
      </c>
      <c r="H195" s="44" t="s">
        <v>14872</v>
      </c>
      <c r="I195" s="44" t="s">
        <v>14883</v>
      </c>
      <c r="J195" s="44" t="s">
        <v>14874</v>
      </c>
      <c r="K195" s="44" t="s">
        <v>14875</v>
      </c>
      <c r="L195" s="44" t="s">
        <v>8331</v>
      </c>
      <c r="M195" s="44" t="s">
        <v>14876</v>
      </c>
    </row>
    <row r="196" customFormat="false" ht="22.35" hidden="false" customHeight="false" outlineLevel="0" collapsed="false">
      <c r="A196" s="44" t="s">
        <v>15300</v>
      </c>
      <c r="B196" s="44" t="s">
        <v>8325</v>
      </c>
      <c r="C196" s="44" t="s">
        <v>8326</v>
      </c>
      <c r="D196" s="44" t="s">
        <v>15301</v>
      </c>
      <c r="E196" s="44" t="s">
        <v>994</v>
      </c>
      <c r="F196" s="44" t="s">
        <v>995</v>
      </c>
      <c r="G196" s="44" t="s">
        <v>14871</v>
      </c>
      <c r="H196" s="44" t="s">
        <v>14872</v>
      </c>
      <c r="I196" s="44" t="s">
        <v>14873</v>
      </c>
      <c r="J196" s="44" t="s">
        <v>14874</v>
      </c>
      <c r="K196" s="44" t="s">
        <v>14875</v>
      </c>
      <c r="L196" s="44" t="s">
        <v>8331</v>
      </c>
      <c r="M196" s="44" t="s">
        <v>14876</v>
      </c>
    </row>
    <row r="197" customFormat="false" ht="22.35" hidden="false" customHeight="false" outlineLevel="0" collapsed="false">
      <c r="A197" s="44" t="s">
        <v>15302</v>
      </c>
      <c r="B197" s="44" t="s">
        <v>8325</v>
      </c>
      <c r="C197" s="44" t="s">
        <v>8326</v>
      </c>
      <c r="D197" s="44" t="s">
        <v>15024</v>
      </c>
      <c r="E197" s="44" t="s">
        <v>925</v>
      </c>
      <c r="F197" s="44" t="s">
        <v>926</v>
      </c>
      <c r="G197" s="44" t="s">
        <v>14871</v>
      </c>
      <c r="H197" s="44" t="s">
        <v>14872</v>
      </c>
      <c r="I197" s="44" t="s">
        <v>14873</v>
      </c>
      <c r="J197" s="44" t="s">
        <v>14874</v>
      </c>
      <c r="K197" s="44" t="s">
        <v>14875</v>
      </c>
      <c r="L197" s="44" t="s">
        <v>8331</v>
      </c>
      <c r="M197" s="44" t="s">
        <v>14876</v>
      </c>
    </row>
    <row r="198" customFormat="false" ht="22.35" hidden="false" customHeight="false" outlineLevel="0" collapsed="false">
      <c r="A198" s="44" t="s">
        <v>15303</v>
      </c>
      <c r="B198" s="44" t="s">
        <v>8325</v>
      </c>
      <c r="C198" s="44" t="s">
        <v>8326</v>
      </c>
      <c r="D198" s="44" t="s">
        <v>15304</v>
      </c>
      <c r="E198" s="44" t="s">
        <v>3335</v>
      </c>
      <c r="F198" s="44" t="s">
        <v>3336</v>
      </c>
      <c r="G198" s="44" t="s">
        <v>14871</v>
      </c>
      <c r="H198" s="44" t="s">
        <v>14872</v>
      </c>
      <c r="I198" s="44" t="s">
        <v>14873</v>
      </c>
      <c r="J198" s="44" t="s">
        <v>14874</v>
      </c>
      <c r="K198" s="44" t="s">
        <v>14875</v>
      </c>
      <c r="L198" s="44" t="s">
        <v>8331</v>
      </c>
      <c r="M198" s="44" t="s">
        <v>14876</v>
      </c>
    </row>
    <row r="199" customFormat="false" ht="22.35" hidden="false" customHeight="false" outlineLevel="0" collapsed="false">
      <c r="A199" s="44" t="s">
        <v>15305</v>
      </c>
      <c r="B199" s="44" t="s">
        <v>8332</v>
      </c>
      <c r="C199" s="44" t="s">
        <v>8333</v>
      </c>
      <c r="D199" s="44" t="s">
        <v>15306</v>
      </c>
      <c r="E199" s="44" t="s">
        <v>3578</v>
      </c>
      <c r="F199" s="44" t="s">
        <v>3579</v>
      </c>
      <c r="G199" s="44" t="s">
        <v>14871</v>
      </c>
      <c r="H199" s="44" t="s">
        <v>14872</v>
      </c>
      <c r="I199" s="44" t="s">
        <v>14886</v>
      </c>
      <c r="J199" s="44" t="s">
        <v>14874</v>
      </c>
      <c r="K199" s="44" t="s">
        <v>14875</v>
      </c>
      <c r="L199" s="44" t="s">
        <v>8339</v>
      </c>
      <c r="M199" s="44" t="s">
        <v>14876</v>
      </c>
    </row>
    <row r="200" customFormat="false" ht="22.35" hidden="false" customHeight="false" outlineLevel="0" collapsed="false">
      <c r="A200" s="44" t="s">
        <v>15307</v>
      </c>
      <c r="B200" s="44" t="s">
        <v>8332</v>
      </c>
      <c r="C200" s="44" t="s">
        <v>8333</v>
      </c>
      <c r="D200" s="44" t="s">
        <v>15308</v>
      </c>
      <c r="E200" s="44" t="s">
        <v>1652</v>
      </c>
      <c r="F200" s="44" t="s">
        <v>1653</v>
      </c>
      <c r="G200" s="44" t="s">
        <v>14871</v>
      </c>
      <c r="H200" s="44" t="s">
        <v>14872</v>
      </c>
      <c r="I200" s="44" t="s">
        <v>14873</v>
      </c>
      <c r="J200" s="44" t="s">
        <v>14874</v>
      </c>
      <c r="K200" s="44" t="s">
        <v>14875</v>
      </c>
      <c r="L200" s="44" t="s">
        <v>8339</v>
      </c>
      <c r="M200" s="44" t="s">
        <v>14876</v>
      </c>
    </row>
    <row r="201" customFormat="false" ht="22.35" hidden="false" customHeight="false" outlineLevel="0" collapsed="false">
      <c r="A201" s="44" t="s">
        <v>15309</v>
      </c>
      <c r="B201" s="44" t="s">
        <v>8332</v>
      </c>
      <c r="C201" s="44" t="s">
        <v>8333</v>
      </c>
      <c r="D201" s="44" t="s">
        <v>15310</v>
      </c>
      <c r="E201" s="44" t="s">
        <v>1793</v>
      </c>
      <c r="F201" s="44" t="s">
        <v>1794</v>
      </c>
      <c r="G201" s="44" t="s">
        <v>14871</v>
      </c>
      <c r="H201" s="44" t="s">
        <v>14872</v>
      </c>
      <c r="I201" s="44" t="s">
        <v>14873</v>
      </c>
      <c r="J201" s="44" t="s">
        <v>14874</v>
      </c>
      <c r="K201" s="44" t="s">
        <v>14875</v>
      </c>
      <c r="L201" s="44" t="s">
        <v>8339</v>
      </c>
      <c r="M201" s="44" t="s">
        <v>14876</v>
      </c>
    </row>
    <row r="202" customFormat="false" ht="22.35" hidden="false" customHeight="false" outlineLevel="0" collapsed="false">
      <c r="A202" s="44" t="s">
        <v>15311</v>
      </c>
      <c r="B202" s="44" t="s">
        <v>8332</v>
      </c>
      <c r="C202" s="44" t="s">
        <v>8333</v>
      </c>
      <c r="D202" s="44" t="s">
        <v>15312</v>
      </c>
      <c r="E202" s="44" t="s">
        <v>223</v>
      </c>
      <c r="F202" s="44" t="s">
        <v>224</v>
      </c>
      <c r="G202" s="44" t="s">
        <v>14871</v>
      </c>
      <c r="H202" s="44" t="s">
        <v>14872</v>
      </c>
      <c r="I202" s="44" t="s">
        <v>14879</v>
      </c>
      <c r="J202" s="44" t="s">
        <v>14874</v>
      </c>
      <c r="K202" s="44" t="s">
        <v>14875</v>
      </c>
      <c r="L202" s="44" t="s">
        <v>8339</v>
      </c>
      <c r="M202" s="44" t="s">
        <v>14876</v>
      </c>
    </row>
    <row r="203" customFormat="false" ht="22.35" hidden="false" customHeight="false" outlineLevel="0" collapsed="false">
      <c r="A203" s="44" t="s">
        <v>15313</v>
      </c>
      <c r="B203" s="44" t="s">
        <v>8332</v>
      </c>
      <c r="C203" s="44" t="s">
        <v>8333</v>
      </c>
      <c r="D203" s="44" t="s">
        <v>15314</v>
      </c>
      <c r="E203" s="44"/>
      <c r="F203" s="44"/>
      <c r="G203" s="44" t="s">
        <v>14882</v>
      </c>
      <c r="H203" s="44" t="s">
        <v>14872</v>
      </c>
      <c r="I203" s="44" t="s">
        <v>14883</v>
      </c>
      <c r="J203" s="44" t="s">
        <v>14874</v>
      </c>
      <c r="K203" s="44" t="s">
        <v>14875</v>
      </c>
      <c r="L203" s="44" t="s">
        <v>8339</v>
      </c>
      <c r="M203" s="44" t="s">
        <v>14876</v>
      </c>
    </row>
    <row r="204" customFormat="false" ht="22.35" hidden="false" customHeight="false" outlineLevel="0" collapsed="false">
      <c r="A204" s="44" t="s">
        <v>15315</v>
      </c>
      <c r="B204" s="44" t="s">
        <v>8340</v>
      </c>
      <c r="C204" s="44" t="s">
        <v>8341</v>
      </c>
      <c r="D204" s="44" t="s">
        <v>15316</v>
      </c>
      <c r="E204" s="44" t="s">
        <v>2554</v>
      </c>
      <c r="F204" s="44" t="s">
        <v>2555</v>
      </c>
      <c r="G204" s="44" t="s">
        <v>14871</v>
      </c>
      <c r="H204" s="44" t="s">
        <v>14872</v>
      </c>
      <c r="I204" s="44" t="s">
        <v>14879</v>
      </c>
      <c r="J204" s="44" t="s">
        <v>14874</v>
      </c>
      <c r="K204" s="44" t="s">
        <v>14875</v>
      </c>
      <c r="L204" s="44" t="s">
        <v>8347</v>
      </c>
      <c r="M204" s="44" t="s">
        <v>14876</v>
      </c>
    </row>
    <row r="205" customFormat="false" ht="22.35" hidden="false" customHeight="false" outlineLevel="0" collapsed="false">
      <c r="A205" s="44" t="s">
        <v>15317</v>
      </c>
      <c r="B205" s="44" t="s">
        <v>8340</v>
      </c>
      <c r="C205" s="44" t="s">
        <v>8341</v>
      </c>
      <c r="D205" s="44" t="s">
        <v>15318</v>
      </c>
      <c r="E205" s="44" t="s">
        <v>15319</v>
      </c>
      <c r="F205" s="44" t="s">
        <v>15320</v>
      </c>
      <c r="G205" s="44" t="s">
        <v>14871</v>
      </c>
      <c r="H205" s="44" t="s">
        <v>14872</v>
      </c>
      <c r="I205" s="44" t="s">
        <v>14873</v>
      </c>
      <c r="J205" s="44" t="s">
        <v>14874</v>
      </c>
      <c r="K205" s="44" t="s">
        <v>14875</v>
      </c>
      <c r="L205" s="44" t="s">
        <v>8347</v>
      </c>
      <c r="M205" s="44" t="s">
        <v>14876</v>
      </c>
    </row>
    <row r="206" customFormat="false" ht="22.35" hidden="false" customHeight="false" outlineLevel="0" collapsed="false">
      <c r="A206" s="44" t="s">
        <v>15321</v>
      </c>
      <c r="B206" s="44" t="s">
        <v>8340</v>
      </c>
      <c r="C206" s="44" t="s">
        <v>8341</v>
      </c>
      <c r="D206" s="44" t="s">
        <v>15322</v>
      </c>
      <c r="E206" s="44" t="s">
        <v>6776</v>
      </c>
      <c r="F206" s="44" t="s">
        <v>6777</v>
      </c>
      <c r="G206" s="44" t="s">
        <v>14871</v>
      </c>
      <c r="H206" s="44" t="s">
        <v>14872</v>
      </c>
      <c r="I206" s="44" t="s">
        <v>14873</v>
      </c>
      <c r="J206" s="44" t="s">
        <v>14874</v>
      </c>
      <c r="K206" s="44" t="s">
        <v>14875</v>
      </c>
      <c r="L206" s="44" t="s">
        <v>8347</v>
      </c>
      <c r="M206" s="44" t="s">
        <v>14876</v>
      </c>
    </row>
    <row r="207" customFormat="false" ht="22.35" hidden="false" customHeight="false" outlineLevel="0" collapsed="false">
      <c r="A207" s="44" t="s">
        <v>15323</v>
      </c>
      <c r="B207" s="44" t="s">
        <v>8340</v>
      </c>
      <c r="C207" s="44" t="s">
        <v>8341</v>
      </c>
      <c r="D207" s="44" t="s">
        <v>15324</v>
      </c>
      <c r="E207" s="44"/>
      <c r="F207" s="44"/>
      <c r="G207" s="44" t="s">
        <v>14882</v>
      </c>
      <c r="H207" s="44" t="s">
        <v>14872</v>
      </c>
      <c r="I207" s="44" t="s">
        <v>14883</v>
      </c>
      <c r="J207" s="44" t="s">
        <v>14874</v>
      </c>
      <c r="K207" s="44" t="s">
        <v>14875</v>
      </c>
      <c r="L207" s="44" t="s">
        <v>8347</v>
      </c>
      <c r="M207" s="44" t="s">
        <v>14876</v>
      </c>
    </row>
    <row r="208" customFormat="false" ht="22.35" hidden="false" customHeight="false" outlineLevel="0" collapsed="false">
      <c r="A208" s="44" t="s">
        <v>15325</v>
      </c>
      <c r="B208" s="44" t="s">
        <v>8340</v>
      </c>
      <c r="C208" s="44" t="s">
        <v>8341</v>
      </c>
      <c r="D208" s="44" t="s">
        <v>15326</v>
      </c>
      <c r="E208" s="44" t="s">
        <v>196</v>
      </c>
      <c r="F208" s="44" t="s">
        <v>59</v>
      </c>
      <c r="G208" s="44" t="s">
        <v>14871</v>
      </c>
      <c r="H208" s="44" t="s">
        <v>14872</v>
      </c>
      <c r="I208" s="44" t="s">
        <v>14886</v>
      </c>
      <c r="J208" s="44" t="s">
        <v>14874</v>
      </c>
      <c r="K208" s="44" t="s">
        <v>14875</v>
      </c>
      <c r="L208" s="44" t="s">
        <v>8347</v>
      </c>
      <c r="M208" s="44" t="s">
        <v>14876</v>
      </c>
    </row>
    <row r="209" customFormat="false" ht="22.35" hidden="false" customHeight="false" outlineLevel="0" collapsed="false">
      <c r="A209" s="44" t="s">
        <v>15327</v>
      </c>
      <c r="B209" s="44" t="s">
        <v>8340</v>
      </c>
      <c r="C209" s="44" t="s">
        <v>8341</v>
      </c>
      <c r="D209" s="44" t="s">
        <v>14976</v>
      </c>
      <c r="E209" s="44" t="s">
        <v>231</v>
      </c>
      <c r="F209" s="44" t="s">
        <v>232</v>
      </c>
      <c r="G209" s="44" t="s">
        <v>14871</v>
      </c>
      <c r="H209" s="44" t="s">
        <v>14872</v>
      </c>
      <c r="I209" s="44" t="s">
        <v>14873</v>
      </c>
      <c r="J209" s="44" t="s">
        <v>14874</v>
      </c>
      <c r="K209" s="44" t="s">
        <v>14875</v>
      </c>
      <c r="L209" s="44" t="s">
        <v>8347</v>
      </c>
      <c r="M209" s="44" t="s">
        <v>14876</v>
      </c>
    </row>
    <row r="210" customFormat="false" ht="22.35" hidden="false" customHeight="false" outlineLevel="0" collapsed="false">
      <c r="A210" s="44" t="s">
        <v>15328</v>
      </c>
      <c r="B210" s="44" t="s">
        <v>8348</v>
      </c>
      <c r="C210" s="44" t="s">
        <v>8349</v>
      </c>
      <c r="D210" s="44" t="s">
        <v>15329</v>
      </c>
      <c r="E210" s="44" t="s">
        <v>15330</v>
      </c>
      <c r="F210" s="44" t="s">
        <v>15331</v>
      </c>
      <c r="G210" s="44" t="s">
        <v>14871</v>
      </c>
      <c r="H210" s="44" t="s">
        <v>14872</v>
      </c>
      <c r="I210" s="44" t="s">
        <v>14873</v>
      </c>
      <c r="J210" s="44" t="s">
        <v>14874</v>
      </c>
      <c r="K210" s="44" t="s">
        <v>14875</v>
      </c>
      <c r="L210" s="44" t="s">
        <v>8355</v>
      </c>
      <c r="M210" s="44" t="s">
        <v>14876</v>
      </c>
    </row>
    <row r="211" customFormat="false" ht="22.35" hidden="false" customHeight="false" outlineLevel="0" collapsed="false">
      <c r="A211" s="44" t="s">
        <v>15332</v>
      </c>
      <c r="B211" s="44" t="s">
        <v>8348</v>
      </c>
      <c r="C211" s="44" t="s">
        <v>8349</v>
      </c>
      <c r="D211" s="44" t="s">
        <v>15333</v>
      </c>
      <c r="E211" s="44" t="s">
        <v>5151</v>
      </c>
      <c r="F211" s="44" t="s">
        <v>5152</v>
      </c>
      <c r="G211" s="44" t="s">
        <v>14871</v>
      </c>
      <c r="H211" s="44" t="s">
        <v>14872</v>
      </c>
      <c r="I211" s="44" t="s">
        <v>14873</v>
      </c>
      <c r="J211" s="44" t="s">
        <v>14874</v>
      </c>
      <c r="K211" s="44" t="s">
        <v>14875</v>
      </c>
      <c r="L211" s="44" t="s">
        <v>8355</v>
      </c>
      <c r="M211" s="44" t="s">
        <v>14876</v>
      </c>
    </row>
    <row r="212" customFormat="false" ht="22.35" hidden="false" customHeight="false" outlineLevel="0" collapsed="false">
      <c r="A212" s="44" t="s">
        <v>15334</v>
      </c>
      <c r="B212" s="44" t="s">
        <v>8348</v>
      </c>
      <c r="C212" s="44" t="s">
        <v>8349</v>
      </c>
      <c r="D212" s="44" t="s">
        <v>15335</v>
      </c>
      <c r="E212" s="44" t="s">
        <v>15336</v>
      </c>
      <c r="F212" s="44" t="s">
        <v>15337</v>
      </c>
      <c r="G212" s="44" t="s">
        <v>14871</v>
      </c>
      <c r="H212" s="44" t="s">
        <v>14872</v>
      </c>
      <c r="I212" s="44" t="s">
        <v>14886</v>
      </c>
      <c r="J212" s="44" t="s">
        <v>14874</v>
      </c>
      <c r="K212" s="44" t="s">
        <v>14875</v>
      </c>
      <c r="L212" s="44" t="s">
        <v>8355</v>
      </c>
      <c r="M212" s="44" t="s">
        <v>14876</v>
      </c>
    </row>
    <row r="213" customFormat="false" ht="22.35" hidden="false" customHeight="false" outlineLevel="0" collapsed="false">
      <c r="A213" s="44" t="s">
        <v>15338</v>
      </c>
      <c r="B213" s="44" t="s">
        <v>8348</v>
      </c>
      <c r="C213" s="44" t="s">
        <v>8349</v>
      </c>
      <c r="D213" s="44" t="s">
        <v>15339</v>
      </c>
      <c r="E213" s="44" t="s">
        <v>3634</v>
      </c>
      <c r="F213" s="44" t="s">
        <v>3635</v>
      </c>
      <c r="G213" s="44" t="s">
        <v>14871</v>
      </c>
      <c r="H213" s="44" t="s">
        <v>14872</v>
      </c>
      <c r="I213" s="44" t="s">
        <v>14879</v>
      </c>
      <c r="J213" s="44" t="s">
        <v>14874</v>
      </c>
      <c r="K213" s="44" t="s">
        <v>14875</v>
      </c>
      <c r="L213" s="44" t="s">
        <v>8355</v>
      </c>
      <c r="M213" s="44" t="s">
        <v>14876</v>
      </c>
    </row>
    <row r="214" customFormat="false" ht="22.35" hidden="false" customHeight="false" outlineLevel="0" collapsed="false">
      <c r="A214" s="44" t="s">
        <v>15340</v>
      </c>
      <c r="B214" s="44" t="s">
        <v>8356</v>
      </c>
      <c r="C214" s="44" t="s">
        <v>8357</v>
      </c>
      <c r="D214" s="44" t="s">
        <v>15341</v>
      </c>
      <c r="E214" s="44" t="s">
        <v>3589</v>
      </c>
      <c r="F214" s="44" t="s">
        <v>3590</v>
      </c>
      <c r="G214" s="44" t="s">
        <v>14871</v>
      </c>
      <c r="H214" s="44" t="s">
        <v>14872</v>
      </c>
      <c r="I214" s="44" t="s">
        <v>14886</v>
      </c>
      <c r="J214" s="44" t="s">
        <v>14874</v>
      </c>
      <c r="K214" s="44" t="s">
        <v>14875</v>
      </c>
      <c r="L214" s="44" t="s">
        <v>8361</v>
      </c>
      <c r="M214" s="44" t="s">
        <v>14876</v>
      </c>
    </row>
    <row r="215" customFormat="false" ht="22.35" hidden="false" customHeight="false" outlineLevel="0" collapsed="false">
      <c r="A215" s="44" t="s">
        <v>15342</v>
      </c>
      <c r="B215" s="44" t="s">
        <v>8356</v>
      </c>
      <c r="C215" s="44" t="s">
        <v>8357</v>
      </c>
      <c r="D215" s="44" t="s">
        <v>15343</v>
      </c>
      <c r="E215" s="44"/>
      <c r="F215" s="44"/>
      <c r="G215" s="44" t="s">
        <v>14882</v>
      </c>
      <c r="H215" s="44" t="s">
        <v>14872</v>
      </c>
      <c r="I215" s="44" t="s">
        <v>14883</v>
      </c>
      <c r="J215" s="44" t="s">
        <v>14874</v>
      </c>
      <c r="K215" s="44" t="s">
        <v>14875</v>
      </c>
      <c r="L215" s="44" t="s">
        <v>8361</v>
      </c>
      <c r="M215" s="44" t="s">
        <v>14876</v>
      </c>
    </row>
    <row r="216" customFormat="false" ht="22.35" hidden="false" customHeight="false" outlineLevel="0" collapsed="false">
      <c r="A216" s="44" t="s">
        <v>15344</v>
      </c>
      <c r="B216" s="44" t="s">
        <v>8356</v>
      </c>
      <c r="C216" s="44" t="s">
        <v>8357</v>
      </c>
      <c r="D216" s="44" t="s">
        <v>14924</v>
      </c>
      <c r="E216" s="44" t="s">
        <v>2761</v>
      </c>
      <c r="F216" s="44" t="s">
        <v>2762</v>
      </c>
      <c r="G216" s="44" t="s">
        <v>14871</v>
      </c>
      <c r="H216" s="44" t="s">
        <v>14872</v>
      </c>
      <c r="I216" s="44" t="s">
        <v>14886</v>
      </c>
      <c r="J216" s="44" t="s">
        <v>14874</v>
      </c>
      <c r="K216" s="44" t="s">
        <v>14875</v>
      </c>
      <c r="L216" s="44" t="s">
        <v>8361</v>
      </c>
      <c r="M216" s="44" t="s">
        <v>14876</v>
      </c>
    </row>
    <row r="217" customFormat="false" ht="22.35" hidden="false" customHeight="false" outlineLevel="0" collapsed="false">
      <c r="A217" s="44" t="s">
        <v>15345</v>
      </c>
      <c r="B217" s="44" t="s">
        <v>8356</v>
      </c>
      <c r="C217" s="44" t="s">
        <v>8357</v>
      </c>
      <c r="D217" s="44" t="s">
        <v>15346</v>
      </c>
      <c r="E217" s="44"/>
      <c r="F217" s="44"/>
      <c r="G217" s="44" t="s">
        <v>14882</v>
      </c>
      <c r="H217" s="44" t="s">
        <v>14872</v>
      </c>
      <c r="I217" s="44" t="s">
        <v>14883</v>
      </c>
      <c r="J217" s="44" t="s">
        <v>14874</v>
      </c>
      <c r="K217" s="44" t="s">
        <v>14875</v>
      </c>
      <c r="L217" s="44" t="s">
        <v>8361</v>
      </c>
      <c r="M217" s="44" t="s">
        <v>14876</v>
      </c>
    </row>
    <row r="218" customFormat="false" ht="22.35" hidden="false" customHeight="false" outlineLevel="0" collapsed="false">
      <c r="A218" s="44" t="s">
        <v>15347</v>
      </c>
      <c r="B218" s="44" t="s">
        <v>8362</v>
      </c>
      <c r="C218" s="44" t="s">
        <v>8363</v>
      </c>
      <c r="D218" s="44" t="s">
        <v>15348</v>
      </c>
      <c r="E218" s="44" t="s">
        <v>15349</v>
      </c>
      <c r="F218" s="44" t="s">
        <v>15350</v>
      </c>
      <c r="G218" s="44" t="s">
        <v>14871</v>
      </c>
      <c r="H218" s="44" t="s">
        <v>14872</v>
      </c>
      <c r="I218" s="44" t="s">
        <v>14873</v>
      </c>
      <c r="J218" s="44" t="s">
        <v>14874</v>
      </c>
      <c r="K218" s="44" t="s">
        <v>14875</v>
      </c>
      <c r="L218" s="44" t="s">
        <v>8369</v>
      </c>
      <c r="M218" s="44" t="s">
        <v>14876</v>
      </c>
    </row>
    <row r="219" customFormat="false" ht="22.35" hidden="false" customHeight="false" outlineLevel="0" collapsed="false">
      <c r="A219" s="44" t="s">
        <v>15351</v>
      </c>
      <c r="B219" s="44" t="s">
        <v>8362</v>
      </c>
      <c r="C219" s="44" t="s">
        <v>8363</v>
      </c>
      <c r="D219" s="44" t="s">
        <v>15352</v>
      </c>
      <c r="E219" s="44" t="s">
        <v>4285</v>
      </c>
      <c r="F219" s="44" t="s">
        <v>4286</v>
      </c>
      <c r="G219" s="44" t="s">
        <v>14871</v>
      </c>
      <c r="H219" s="44" t="s">
        <v>14872</v>
      </c>
      <c r="I219" s="44" t="s">
        <v>14873</v>
      </c>
      <c r="J219" s="44" t="s">
        <v>14874</v>
      </c>
      <c r="K219" s="44" t="s">
        <v>14875</v>
      </c>
      <c r="L219" s="44" t="s">
        <v>8369</v>
      </c>
      <c r="M219" s="44" t="s">
        <v>14876</v>
      </c>
    </row>
    <row r="220" customFormat="false" ht="22.35" hidden="false" customHeight="false" outlineLevel="0" collapsed="false">
      <c r="A220" s="44" t="s">
        <v>15353</v>
      </c>
      <c r="B220" s="44" t="s">
        <v>8362</v>
      </c>
      <c r="C220" s="44" t="s">
        <v>8363</v>
      </c>
      <c r="D220" s="44" t="s">
        <v>15354</v>
      </c>
      <c r="E220" s="44"/>
      <c r="F220" s="44"/>
      <c r="G220" s="44" t="s">
        <v>14882</v>
      </c>
      <c r="H220" s="44" t="s">
        <v>14872</v>
      </c>
      <c r="I220" s="44" t="s">
        <v>14883</v>
      </c>
      <c r="J220" s="44" t="s">
        <v>14874</v>
      </c>
      <c r="K220" s="44" t="s">
        <v>14875</v>
      </c>
      <c r="L220" s="44" t="s">
        <v>8369</v>
      </c>
      <c r="M220" s="44" t="s">
        <v>14876</v>
      </c>
    </row>
    <row r="221" customFormat="false" ht="22.35" hidden="false" customHeight="false" outlineLevel="0" collapsed="false">
      <c r="A221" s="44" t="s">
        <v>15355</v>
      </c>
      <c r="B221" s="44" t="s">
        <v>8362</v>
      </c>
      <c r="C221" s="44" t="s">
        <v>8363</v>
      </c>
      <c r="D221" s="44" t="s">
        <v>15356</v>
      </c>
      <c r="E221" s="44" t="s">
        <v>4476</v>
      </c>
      <c r="F221" s="44" t="s">
        <v>4477</v>
      </c>
      <c r="G221" s="44" t="s">
        <v>14871</v>
      </c>
      <c r="H221" s="44" t="s">
        <v>14872</v>
      </c>
      <c r="I221" s="44" t="s">
        <v>14873</v>
      </c>
      <c r="J221" s="44" t="s">
        <v>14874</v>
      </c>
      <c r="K221" s="44" t="s">
        <v>14875</v>
      </c>
      <c r="L221" s="44" t="s">
        <v>8369</v>
      </c>
      <c r="M221" s="44" t="s">
        <v>14876</v>
      </c>
    </row>
    <row r="222" customFormat="false" ht="22.35" hidden="false" customHeight="false" outlineLevel="0" collapsed="false">
      <c r="A222" s="44" t="s">
        <v>15357</v>
      </c>
      <c r="B222" s="44" t="s">
        <v>8370</v>
      </c>
      <c r="C222" s="44" t="s">
        <v>8371</v>
      </c>
      <c r="D222" s="44" t="s">
        <v>15358</v>
      </c>
      <c r="E222" s="44" t="s">
        <v>5917</v>
      </c>
      <c r="F222" s="44" t="s">
        <v>5918</v>
      </c>
      <c r="G222" s="44" t="s">
        <v>14871</v>
      </c>
      <c r="H222" s="44" t="s">
        <v>14872</v>
      </c>
      <c r="I222" s="44" t="s">
        <v>14873</v>
      </c>
      <c r="J222" s="44" t="s">
        <v>14874</v>
      </c>
      <c r="K222" s="44" t="s">
        <v>14875</v>
      </c>
      <c r="L222" s="44" t="s">
        <v>8376</v>
      </c>
      <c r="M222" s="44" t="s">
        <v>14876</v>
      </c>
    </row>
    <row r="223" customFormat="false" ht="22.35" hidden="false" customHeight="false" outlineLevel="0" collapsed="false">
      <c r="A223" s="44" t="s">
        <v>15359</v>
      </c>
      <c r="B223" s="44" t="s">
        <v>8370</v>
      </c>
      <c r="C223" s="44" t="s">
        <v>8371</v>
      </c>
      <c r="D223" s="44" t="s">
        <v>15360</v>
      </c>
      <c r="E223" s="44"/>
      <c r="F223" s="44"/>
      <c r="G223" s="44" t="s">
        <v>14882</v>
      </c>
      <c r="H223" s="44" t="s">
        <v>14872</v>
      </c>
      <c r="I223" s="44" t="s">
        <v>14883</v>
      </c>
      <c r="J223" s="44" t="s">
        <v>14874</v>
      </c>
      <c r="K223" s="44" t="s">
        <v>14875</v>
      </c>
      <c r="L223" s="44" t="s">
        <v>8376</v>
      </c>
      <c r="M223" s="44" t="s">
        <v>14876</v>
      </c>
    </row>
    <row r="224" customFormat="false" ht="22.35" hidden="false" customHeight="false" outlineLevel="0" collapsed="false">
      <c r="A224" s="44" t="s">
        <v>15361</v>
      </c>
      <c r="B224" s="44" t="s">
        <v>8370</v>
      </c>
      <c r="C224" s="44" t="s">
        <v>8371</v>
      </c>
      <c r="D224" s="44" t="s">
        <v>15362</v>
      </c>
      <c r="E224" s="44" t="s">
        <v>925</v>
      </c>
      <c r="F224" s="44" t="s">
        <v>926</v>
      </c>
      <c r="G224" s="44" t="s">
        <v>14871</v>
      </c>
      <c r="H224" s="44" t="s">
        <v>14872</v>
      </c>
      <c r="I224" s="44" t="s">
        <v>14873</v>
      </c>
      <c r="J224" s="44" t="s">
        <v>14874</v>
      </c>
      <c r="K224" s="44" t="s">
        <v>14875</v>
      </c>
      <c r="L224" s="44" t="s">
        <v>8376</v>
      </c>
      <c r="M224" s="44" t="s">
        <v>14876</v>
      </c>
    </row>
    <row r="225" customFormat="false" ht="22.35" hidden="false" customHeight="false" outlineLevel="0" collapsed="false">
      <c r="A225" s="44" t="s">
        <v>15363</v>
      </c>
      <c r="B225" s="44" t="s">
        <v>8370</v>
      </c>
      <c r="C225" s="44" t="s">
        <v>8371</v>
      </c>
      <c r="D225" s="44" t="s">
        <v>15364</v>
      </c>
      <c r="E225" s="44" t="s">
        <v>3257</v>
      </c>
      <c r="F225" s="44" t="s">
        <v>3258</v>
      </c>
      <c r="G225" s="44" t="s">
        <v>14871</v>
      </c>
      <c r="H225" s="44" t="s">
        <v>14872</v>
      </c>
      <c r="I225" s="44" t="s">
        <v>14873</v>
      </c>
      <c r="J225" s="44" t="s">
        <v>14874</v>
      </c>
      <c r="K225" s="44" t="s">
        <v>14875</v>
      </c>
      <c r="L225" s="44" t="s">
        <v>8376</v>
      </c>
      <c r="M225" s="44" t="s">
        <v>14876</v>
      </c>
    </row>
    <row r="226" customFormat="false" ht="22.35" hidden="false" customHeight="false" outlineLevel="0" collapsed="false">
      <c r="A226" s="44" t="s">
        <v>15365</v>
      </c>
      <c r="B226" s="44" t="s">
        <v>8370</v>
      </c>
      <c r="C226" s="44" t="s">
        <v>8371</v>
      </c>
      <c r="D226" s="44" t="s">
        <v>15366</v>
      </c>
      <c r="E226" s="44"/>
      <c r="F226" s="44"/>
      <c r="G226" s="44" t="s">
        <v>14882</v>
      </c>
      <c r="H226" s="44" t="s">
        <v>14872</v>
      </c>
      <c r="I226" s="44" t="s">
        <v>14883</v>
      </c>
      <c r="J226" s="44" t="s">
        <v>14874</v>
      </c>
      <c r="K226" s="44" t="s">
        <v>14875</v>
      </c>
      <c r="L226" s="44" t="s">
        <v>8376</v>
      </c>
      <c r="M226" s="44" t="s">
        <v>14876</v>
      </c>
    </row>
    <row r="227" customFormat="false" ht="22.35" hidden="false" customHeight="false" outlineLevel="0" collapsed="false">
      <c r="A227" s="44" t="s">
        <v>15367</v>
      </c>
      <c r="B227" s="44" t="s">
        <v>8377</v>
      </c>
      <c r="C227" s="44" t="s">
        <v>8378</v>
      </c>
      <c r="D227" s="44" t="s">
        <v>15368</v>
      </c>
      <c r="E227" s="44" t="s">
        <v>1083</v>
      </c>
      <c r="F227" s="44" t="s">
        <v>1084</v>
      </c>
      <c r="G227" s="44" t="s">
        <v>14871</v>
      </c>
      <c r="H227" s="44" t="s">
        <v>14872</v>
      </c>
      <c r="I227" s="44" t="s">
        <v>14879</v>
      </c>
      <c r="J227" s="44" t="s">
        <v>14874</v>
      </c>
      <c r="K227" s="44" t="s">
        <v>14875</v>
      </c>
      <c r="L227" s="44" t="s">
        <v>8384</v>
      </c>
      <c r="M227" s="44" t="s">
        <v>14876</v>
      </c>
    </row>
    <row r="228" customFormat="false" ht="22.35" hidden="false" customHeight="false" outlineLevel="0" collapsed="false">
      <c r="A228" s="44" t="s">
        <v>15369</v>
      </c>
      <c r="B228" s="44" t="s">
        <v>8377</v>
      </c>
      <c r="C228" s="44" t="s">
        <v>8378</v>
      </c>
      <c r="D228" s="44" t="s">
        <v>15370</v>
      </c>
      <c r="E228" s="44" t="s">
        <v>934</v>
      </c>
      <c r="F228" s="44" t="s">
        <v>935</v>
      </c>
      <c r="G228" s="44" t="s">
        <v>14871</v>
      </c>
      <c r="H228" s="44" t="s">
        <v>14872</v>
      </c>
      <c r="I228" s="44" t="s">
        <v>14873</v>
      </c>
      <c r="J228" s="44" t="s">
        <v>14874</v>
      </c>
      <c r="K228" s="44" t="s">
        <v>14875</v>
      </c>
      <c r="L228" s="44" t="s">
        <v>8384</v>
      </c>
      <c r="M228" s="44" t="s">
        <v>14876</v>
      </c>
    </row>
    <row r="229" customFormat="false" ht="22.35" hidden="false" customHeight="false" outlineLevel="0" collapsed="false">
      <c r="A229" s="44" t="s">
        <v>15371</v>
      </c>
      <c r="B229" s="44" t="s">
        <v>8377</v>
      </c>
      <c r="C229" s="44" t="s">
        <v>8378</v>
      </c>
      <c r="D229" s="44" t="s">
        <v>15372</v>
      </c>
      <c r="E229" s="44" t="s">
        <v>1238</v>
      </c>
      <c r="F229" s="44" t="s">
        <v>1239</v>
      </c>
      <c r="G229" s="44" t="s">
        <v>14871</v>
      </c>
      <c r="H229" s="44" t="s">
        <v>14872</v>
      </c>
      <c r="I229" s="44" t="s">
        <v>14879</v>
      </c>
      <c r="J229" s="44" t="s">
        <v>14874</v>
      </c>
      <c r="K229" s="44" t="s">
        <v>14875</v>
      </c>
      <c r="L229" s="44" t="s">
        <v>8384</v>
      </c>
      <c r="M229" s="44" t="s">
        <v>14876</v>
      </c>
    </row>
    <row r="230" customFormat="false" ht="22.35" hidden="false" customHeight="false" outlineLevel="0" collapsed="false">
      <c r="A230" s="44" t="s">
        <v>15373</v>
      </c>
      <c r="B230" s="44" t="s">
        <v>8377</v>
      </c>
      <c r="C230" s="44" t="s">
        <v>8378</v>
      </c>
      <c r="D230" s="44" t="s">
        <v>15374</v>
      </c>
      <c r="E230" s="44"/>
      <c r="F230" s="44"/>
      <c r="G230" s="44" t="s">
        <v>14882</v>
      </c>
      <c r="H230" s="44" t="s">
        <v>14872</v>
      </c>
      <c r="I230" s="44" t="s">
        <v>14883</v>
      </c>
      <c r="J230" s="44" t="s">
        <v>14874</v>
      </c>
      <c r="K230" s="44" t="s">
        <v>14875</v>
      </c>
      <c r="L230" s="44" t="s">
        <v>8384</v>
      </c>
      <c r="M230" s="44" t="s">
        <v>14876</v>
      </c>
    </row>
    <row r="231" customFormat="false" ht="22.35" hidden="false" customHeight="false" outlineLevel="0" collapsed="false">
      <c r="A231" s="44" t="s">
        <v>15375</v>
      </c>
      <c r="B231" s="44" t="s">
        <v>8377</v>
      </c>
      <c r="C231" s="44" t="s">
        <v>8378</v>
      </c>
      <c r="D231" s="44" t="s">
        <v>15376</v>
      </c>
      <c r="E231" s="44" t="s">
        <v>1652</v>
      </c>
      <c r="F231" s="44" t="s">
        <v>1653</v>
      </c>
      <c r="G231" s="44" t="s">
        <v>14871</v>
      </c>
      <c r="H231" s="44" t="s">
        <v>14872</v>
      </c>
      <c r="I231" s="44" t="s">
        <v>14873</v>
      </c>
      <c r="J231" s="44" t="s">
        <v>14874</v>
      </c>
      <c r="K231" s="44" t="s">
        <v>14875</v>
      </c>
      <c r="L231" s="44" t="s">
        <v>8384</v>
      </c>
      <c r="M231" s="44" t="s">
        <v>14876</v>
      </c>
    </row>
    <row r="232" customFormat="false" ht="22.35" hidden="false" customHeight="false" outlineLevel="0" collapsed="false">
      <c r="A232" s="44" t="s">
        <v>15377</v>
      </c>
      <c r="B232" s="44" t="s">
        <v>8385</v>
      </c>
      <c r="C232" s="44" t="s">
        <v>8386</v>
      </c>
      <c r="D232" s="44" t="s">
        <v>15378</v>
      </c>
      <c r="E232" s="44"/>
      <c r="F232" s="44"/>
      <c r="G232" s="44" t="s">
        <v>14882</v>
      </c>
      <c r="H232" s="44" t="s">
        <v>14872</v>
      </c>
      <c r="I232" s="44" t="s">
        <v>14883</v>
      </c>
      <c r="J232" s="44" t="s">
        <v>14874</v>
      </c>
      <c r="K232" s="44" t="s">
        <v>14875</v>
      </c>
      <c r="L232" s="44" t="s">
        <v>8391</v>
      </c>
      <c r="M232" s="44" t="s">
        <v>14876</v>
      </c>
    </row>
    <row r="233" customFormat="false" ht="22.35" hidden="false" customHeight="false" outlineLevel="0" collapsed="false">
      <c r="A233" s="44" t="s">
        <v>15379</v>
      </c>
      <c r="B233" s="44" t="s">
        <v>8385</v>
      </c>
      <c r="C233" s="44" t="s">
        <v>8386</v>
      </c>
      <c r="D233" s="44" t="s">
        <v>15380</v>
      </c>
      <c r="E233" s="44" t="s">
        <v>3438</v>
      </c>
      <c r="F233" s="44" t="s">
        <v>3439</v>
      </c>
      <c r="G233" s="44" t="s">
        <v>14871</v>
      </c>
      <c r="H233" s="44" t="s">
        <v>14872</v>
      </c>
      <c r="I233" s="44" t="s">
        <v>14873</v>
      </c>
      <c r="J233" s="44" t="s">
        <v>14874</v>
      </c>
      <c r="K233" s="44" t="s">
        <v>14875</v>
      </c>
      <c r="L233" s="44" t="s">
        <v>8391</v>
      </c>
      <c r="M233" s="44" t="s">
        <v>14876</v>
      </c>
    </row>
    <row r="234" customFormat="false" ht="22.35" hidden="false" customHeight="false" outlineLevel="0" collapsed="false">
      <c r="A234" s="44" t="s">
        <v>15381</v>
      </c>
      <c r="B234" s="44" t="s">
        <v>8385</v>
      </c>
      <c r="C234" s="44" t="s">
        <v>8386</v>
      </c>
      <c r="D234" s="44" t="s">
        <v>15382</v>
      </c>
      <c r="E234" s="44" t="s">
        <v>15383</v>
      </c>
      <c r="F234" s="44" t="s">
        <v>15384</v>
      </c>
      <c r="G234" s="44" t="s">
        <v>14871</v>
      </c>
      <c r="H234" s="44" t="s">
        <v>14872</v>
      </c>
      <c r="I234" s="44" t="s">
        <v>14886</v>
      </c>
      <c r="J234" s="44" t="s">
        <v>14874</v>
      </c>
      <c r="K234" s="44" t="s">
        <v>14875</v>
      </c>
      <c r="L234" s="44" t="s">
        <v>8391</v>
      </c>
      <c r="M234" s="44" t="s">
        <v>14876</v>
      </c>
    </row>
    <row r="235" customFormat="false" ht="22.35" hidden="false" customHeight="false" outlineLevel="0" collapsed="false">
      <c r="A235" s="44" t="s">
        <v>15385</v>
      </c>
      <c r="B235" s="44" t="s">
        <v>8385</v>
      </c>
      <c r="C235" s="44" t="s">
        <v>8386</v>
      </c>
      <c r="D235" s="44" t="s">
        <v>15386</v>
      </c>
      <c r="E235" s="44" t="s">
        <v>15387</v>
      </c>
      <c r="F235" s="44" t="s">
        <v>15388</v>
      </c>
      <c r="G235" s="44" t="s">
        <v>14871</v>
      </c>
      <c r="H235" s="44" t="s">
        <v>14872</v>
      </c>
      <c r="I235" s="44" t="s">
        <v>14879</v>
      </c>
      <c r="J235" s="44" t="s">
        <v>14874</v>
      </c>
      <c r="K235" s="44" t="s">
        <v>14875</v>
      </c>
      <c r="L235" s="44" t="s">
        <v>8391</v>
      </c>
      <c r="M235" s="44" t="s">
        <v>14876</v>
      </c>
    </row>
    <row r="236" customFormat="false" ht="22.35" hidden="false" customHeight="false" outlineLevel="0" collapsed="false">
      <c r="A236" s="44" t="s">
        <v>15389</v>
      </c>
      <c r="B236" s="44" t="s">
        <v>8385</v>
      </c>
      <c r="C236" s="44" t="s">
        <v>8386</v>
      </c>
      <c r="D236" s="44" t="s">
        <v>15390</v>
      </c>
      <c r="E236" s="44"/>
      <c r="F236" s="44"/>
      <c r="G236" s="44" t="s">
        <v>14882</v>
      </c>
      <c r="H236" s="44" t="s">
        <v>14872</v>
      </c>
      <c r="I236" s="44" t="s">
        <v>14883</v>
      </c>
      <c r="J236" s="44" t="s">
        <v>14874</v>
      </c>
      <c r="K236" s="44" t="s">
        <v>14875</v>
      </c>
      <c r="L236" s="44" t="s">
        <v>8391</v>
      </c>
      <c r="M236" s="44" t="s">
        <v>14876</v>
      </c>
    </row>
    <row r="237" customFormat="false" ht="22.35" hidden="false" customHeight="false" outlineLevel="0" collapsed="false">
      <c r="A237" s="44" t="s">
        <v>15391</v>
      </c>
      <c r="B237" s="44" t="s">
        <v>8392</v>
      </c>
      <c r="C237" s="44" t="s">
        <v>8393</v>
      </c>
      <c r="D237" s="44" t="s">
        <v>15392</v>
      </c>
      <c r="E237" s="44" t="s">
        <v>4895</v>
      </c>
      <c r="F237" s="44" t="s">
        <v>4896</v>
      </c>
      <c r="G237" s="44" t="s">
        <v>14871</v>
      </c>
      <c r="H237" s="44" t="s">
        <v>14872</v>
      </c>
      <c r="I237" s="44" t="s">
        <v>14886</v>
      </c>
      <c r="J237" s="44" t="s">
        <v>14874</v>
      </c>
      <c r="K237" s="44" t="s">
        <v>14875</v>
      </c>
      <c r="L237" s="44" t="s">
        <v>8398</v>
      </c>
      <c r="M237" s="44" t="s">
        <v>14876</v>
      </c>
    </row>
    <row r="238" customFormat="false" ht="22.35" hidden="false" customHeight="false" outlineLevel="0" collapsed="false">
      <c r="A238" s="44" t="s">
        <v>15393</v>
      </c>
      <c r="B238" s="44" t="s">
        <v>8392</v>
      </c>
      <c r="C238" s="44" t="s">
        <v>8393</v>
      </c>
      <c r="D238" s="44" t="s">
        <v>15394</v>
      </c>
      <c r="E238" s="44" t="s">
        <v>200</v>
      </c>
      <c r="F238" s="44" t="s">
        <v>201</v>
      </c>
      <c r="G238" s="44" t="s">
        <v>14871</v>
      </c>
      <c r="H238" s="44" t="s">
        <v>14872</v>
      </c>
      <c r="I238" s="44" t="s">
        <v>14886</v>
      </c>
      <c r="J238" s="44" t="s">
        <v>14874</v>
      </c>
      <c r="K238" s="44" t="s">
        <v>14875</v>
      </c>
      <c r="L238" s="44" t="s">
        <v>8398</v>
      </c>
      <c r="M238" s="44" t="s">
        <v>14876</v>
      </c>
    </row>
    <row r="239" customFormat="false" ht="22.35" hidden="false" customHeight="false" outlineLevel="0" collapsed="false">
      <c r="A239" s="44" t="s">
        <v>15395</v>
      </c>
      <c r="B239" s="44" t="s">
        <v>8392</v>
      </c>
      <c r="C239" s="44" t="s">
        <v>8393</v>
      </c>
      <c r="D239" s="44" t="s">
        <v>15396</v>
      </c>
      <c r="E239" s="44"/>
      <c r="F239" s="44"/>
      <c r="G239" s="44" t="s">
        <v>14882</v>
      </c>
      <c r="H239" s="44" t="s">
        <v>14872</v>
      </c>
      <c r="I239" s="44" t="s">
        <v>14883</v>
      </c>
      <c r="J239" s="44" t="s">
        <v>14874</v>
      </c>
      <c r="K239" s="44" t="s">
        <v>14875</v>
      </c>
      <c r="L239" s="44" t="s">
        <v>8398</v>
      </c>
      <c r="M239" s="44" t="s">
        <v>14876</v>
      </c>
    </row>
    <row r="240" customFormat="false" ht="22.35" hidden="false" customHeight="false" outlineLevel="0" collapsed="false">
      <c r="A240" s="44" t="s">
        <v>15397</v>
      </c>
      <c r="B240" s="44" t="s">
        <v>8392</v>
      </c>
      <c r="C240" s="44" t="s">
        <v>8393</v>
      </c>
      <c r="D240" s="44" t="s">
        <v>15398</v>
      </c>
      <c r="E240" s="44"/>
      <c r="F240" s="44"/>
      <c r="G240" s="44" t="s">
        <v>14882</v>
      </c>
      <c r="H240" s="44" t="s">
        <v>14872</v>
      </c>
      <c r="I240" s="44" t="s">
        <v>14883</v>
      </c>
      <c r="J240" s="44" t="s">
        <v>14874</v>
      </c>
      <c r="K240" s="44" t="s">
        <v>14875</v>
      </c>
      <c r="L240" s="44" t="s">
        <v>8398</v>
      </c>
      <c r="M240" s="44" t="s">
        <v>14876</v>
      </c>
    </row>
    <row r="241" customFormat="false" ht="22.35" hidden="false" customHeight="false" outlineLevel="0" collapsed="false">
      <c r="A241" s="44" t="s">
        <v>15399</v>
      </c>
      <c r="B241" s="44" t="s">
        <v>8392</v>
      </c>
      <c r="C241" s="44" t="s">
        <v>8393</v>
      </c>
      <c r="D241" s="44" t="s">
        <v>14972</v>
      </c>
      <c r="E241" s="44" t="s">
        <v>1242</v>
      </c>
      <c r="F241" s="44" t="s">
        <v>1243</v>
      </c>
      <c r="G241" s="44" t="s">
        <v>14871</v>
      </c>
      <c r="H241" s="44" t="s">
        <v>14872</v>
      </c>
      <c r="I241" s="44" t="s">
        <v>14879</v>
      </c>
      <c r="J241" s="44" t="s">
        <v>14874</v>
      </c>
      <c r="K241" s="44" t="s">
        <v>14875</v>
      </c>
      <c r="L241" s="44" t="s">
        <v>8398</v>
      </c>
      <c r="M241" s="44" t="s">
        <v>14876</v>
      </c>
    </row>
    <row r="242" customFormat="false" ht="22.35" hidden="false" customHeight="false" outlineLevel="0" collapsed="false">
      <c r="A242" s="44" t="s">
        <v>15400</v>
      </c>
      <c r="B242" s="44" t="s">
        <v>8392</v>
      </c>
      <c r="C242" s="44" t="s">
        <v>8393</v>
      </c>
      <c r="D242" s="44" t="s">
        <v>15401</v>
      </c>
      <c r="E242" s="44"/>
      <c r="F242" s="44"/>
      <c r="G242" s="44" t="s">
        <v>14882</v>
      </c>
      <c r="H242" s="44" t="s">
        <v>14872</v>
      </c>
      <c r="I242" s="44" t="s">
        <v>14883</v>
      </c>
      <c r="J242" s="44" t="s">
        <v>14874</v>
      </c>
      <c r="K242" s="44" t="s">
        <v>14875</v>
      </c>
      <c r="L242" s="44" t="s">
        <v>8398</v>
      </c>
      <c r="M242" s="44" t="s">
        <v>14876</v>
      </c>
    </row>
    <row r="243" customFormat="false" ht="22.35" hidden="false" customHeight="false" outlineLevel="0" collapsed="false">
      <c r="A243" s="44" t="s">
        <v>15402</v>
      </c>
      <c r="B243" s="44" t="s">
        <v>8399</v>
      </c>
      <c r="C243" s="44" t="s">
        <v>8400</v>
      </c>
      <c r="D243" s="44" t="s">
        <v>15403</v>
      </c>
      <c r="E243" s="44"/>
      <c r="F243" s="44"/>
      <c r="G243" s="44" t="s">
        <v>14882</v>
      </c>
      <c r="H243" s="44" t="s">
        <v>14872</v>
      </c>
      <c r="I243" s="44" t="s">
        <v>14883</v>
      </c>
      <c r="J243" s="44" t="s">
        <v>14874</v>
      </c>
      <c r="K243" s="44" t="s">
        <v>14875</v>
      </c>
      <c r="L243" s="44" t="s">
        <v>8405</v>
      </c>
      <c r="M243" s="44" t="s">
        <v>14876</v>
      </c>
    </row>
    <row r="244" customFormat="false" ht="22.35" hidden="false" customHeight="false" outlineLevel="0" collapsed="false">
      <c r="A244" s="44" t="s">
        <v>15404</v>
      </c>
      <c r="B244" s="44" t="s">
        <v>8399</v>
      </c>
      <c r="C244" s="44" t="s">
        <v>8400</v>
      </c>
      <c r="D244" s="44" t="s">
        <v>15405</v>
      </c>
      <c r="E244" s="44" t="s">
        <v>200</v>
      </c>
      <c r="F244" s="44" t="s">
        <v>201</v>
      </c>
      <c r="G244" s="44" t="s">
        <v>14871</v>
      </c>
      <c r="H244" s="44" t="s">
        <v>14872</v>
      </c>
      <c r="I244" s="44" t="s">
        <v>14886</v>
      </c>
      <c r="J244" s="44" t="s">
        <v>14874</v>
      </c>
      <c r="K244" s="44" t="s">
        <v>14875</v>
      </c>
      <c r="L244" s="44" t="s">
        <v>8405</v>
      </c>
      <c r="M244" s="44" t="s">
        <v>14876</v>
      </c>
    </row>
    <row r="245" customFormat="false" ht="22.35" hidden="false" customHeight="false" outlineLevel="0" collapsed="false">
      <c r="A245" s="44" t="s">
        <v>15406</v>
      </c>
      <c r="B245" s="44" t="s">
        <v>8399</v>
      </c>
      <c r="C245" s="44" t="s">
        <v>8400</v>
      </c>
      <c r="D245" s="44" t="s">
        <v>15407</v>
      </c>
      <c r="E245" s="44" t="s">
        <v>3578</v>
      </c>
      <c r="F245" s="44" t="s">
        <v>3579</v>
      </c>
      <c r="G245" s="44" t="s">
        <v>14871</v>
      </c>
      <c r="H245" s="44" t="s">
        <v>14872</v>
      </c>
      <c r="I245" s="44" t="s">
        <v>14886</v>
      </c>
      <c r="J245" s="44" t="s">
        <v>14874</v>
      </c>
      <c r="K245" s="44" t="s">
        <v>14875</v>
      </c>
      <c r="L245" s="44" t="s">
        <v>8405</v>
      </c>
      <c r="M245" s="44" t="s">
        <v>14876</v>
      </c>
    </row>
    <row r="246" customFormat="false" ht="22.35" hidden="false" customHeight="false" outlineLevel="0" collapsed="false">
      <c r="A246" s="44" t="s">
        <v>15408</v>
      </c>
      <c r="B246" s="44" t="s">
        <v>8399</v>
      </c>
      <c r="C246" s="44" t="s">
        <v>8400</v>
      </c>
      <c r="D246" s="44" t="s">
        <v>15409</v>
      </c>
      <c r="E246" s="44"/>
      <c r="F246" s="44"/>
      <c r="G246" s="44" t="s">
        <v>14882</v>
      </c>
      <c r="H246" s="44" t="s">
        <v>14872</v>
      </c>
      <c r="I246" s="44" t="s">
        <v>14883</v>
      </c>
      <c r="J246" s="44" t="s">
        <v>14874</v>
      </c>
      <c r="K246" s="44" t="s">
        <v>14875</v>
      </c>
      <c r="L246" s="44" t="s">
        <v>8405</v>
      </c>
      <c r="M246" s="44" t="s">
        <v>14876</v>
      </c>
    </row>
    <row r="247" customFormat="false" ht="22.35" hidden="false" customHeight="false" outlineLevel="0" collapsed="false">
      <c r="A247" s="44" t="s">
        <v>15410</v>
      </c>
      <c r="B247" s="44" t="s">
        <v>8406</v>
      </c>
      <c r="C247" s="44" t="s">
        <v>8407</v>
      </c>
      <c r="D247" s="44" t="s">
        <v>15411</v>
      </c>
      <c r="E247" s="44"/>
      <c r="F247" s="44"/>
      <c r="G247" s="44" t="s">
        <v>14882</v>
      </c>
      <c r="H247" s="44" t="s">
        <v>14872</v>
      </c>
      <c r="I247" s="44" t="s">
        <v>14883</v>
      </c>
      <c r="J247" s="44" t="s">
        <v>14874</v>
      </c>
      <c r="K247" s="44" t="s">
        <v>14875</v>
      </c>
      <c r="L247" s="44" t="s">
        <v>8412</v>
      </c>
      <c r="M247" s="44" t="s">
        <v>14876</v>
      </c>
    </row>
    <row r="248" customFormat="false" ht="22.35" hidden="false" customHeight="false" outlineLevel="0" collapsed="false">
      <c r="A248" s="44" t="s">
        <v>15412</v>
      </c>
      <c r="B248" s="44" t="s">
        <v>8406</v>
      </c>
      <c r="C248" s="44" t="s">
        <v>8407</v>
      </c>
      <c r="D248" s="44" t="s">
        <v>15413</v>
      </c>
      <c r="E248" s="44" t="s">
        <v>3164</v>
      </c>
      <c r="F248" s="44" t="s">
        <v>3165</v>
      </c>
      <c r="G248" s="44" t="s">
        <v>14871</v>
      </c>
      <c r="H248" s="44" t="s">
        <v>14872</v>
      </c>
      <c r="I248" s="44" t="s">
        <v>14879</v>
      </c>
      <c r="J248" s="44" t="s">
        <v>14874</v>
      </c>
      <c r="K248" s="44" t="s">
        <v>14875</v>
      </c>
      <c r="L248" s="44" t="s">
        <v>8412</v>
      </c>
      <c r="M248" s="44" t="s">
        <v>14876</v>
      </c>
    </row>
    <row r="249" customFormat="false" ht="22.35" hidden="false" customHeight="false" outlineLevel="0" collapsed="false">
      <c r="A249" s="44" t="s">
        <v>15414</v>
      </c>
      <c r="B249" s="44" t="s">
        <v>8406</v>
      </c>
      <c r="C249" s="44" t="s">
        <v>8407</v>
      </c>
      <c r="D249" s="44" t="s">
        <v>15415</v>
      </c>
      <c r="E249" s="44" t="s">
        <v>4130</v>
      </c>
      <c r="F249" s="44" t="s">
        <v>4131</v>
      </c>
      <c r="G249" s="44" t="s">
        <v>14871</v>
      </c>
      <c r="H249" s="44" t="s">
        <v>14872</v>
      </c>
      <c r="I249" s="44" t="s">
        <v>14873</v>
      </c>
      <c r="J249" s="44" t="s">
        <v>14874</v>
      </c>
      <c r="K249" s="44" t="s">
        <v>14875</v>
      </c>
      <c r="L249" s="44" t="s">
        <v>8412</v>
      </c>
      <c r="M249" s="44" t="s">
        <v>14876</v>
      </c>
    </row>
    <row r="250" customFormat="false" ht="22.35" hidden="false" customHeight="false" outlineLevel="0" collapsed="false">
      <c r="A250" s="44" t="s">
        <v>15416</v>
      </c>
      <c r="B250" s="44" t="s">
        <v>8406</v>
      </c>
      <c r="C250" s="44" t="s">
        <v>8407</v>
      </c>
      <c r="D250" s="44" t="s">
        <v>15417</v>
      </c>
      <c r="E250" s="44" t="s">
        <v>196</v>
      </c>
      <c r="F250" s="44" t="s">
        <v>59</v>
      </c>
      <c r="G250" s="44" t="s">
        <v>14871</v>
      </c>
      <c r="H250" s="44" t="s">
        <v>14872</v>
      </c>
      <c r="I250" s="44" t="s">
        <v>14886</v>
      </c>
      <c r="J250" s="44" t="s">
        <v>14874</v>
      </c>
      <c r="K250" s="44" t="s">
        <v>14875</v>
      </c>
      <c r="L250" s="44" t="s">
        <v>8412</v>
      </c>
      <c r="M250" s="44" t="s">
        <v>14876</v>
      </c>
    </row>
    <row r="251" customFormat="false" ht="22.35" hidden="false" customHeight="false" outlineLevel="0" collapsed="false">
      <c r="A251" s="44" t="s">
        <v>15418</v>
      </c>
      <c r="B251" s="44" t="s">
        <v>8406</v>
      </c>
      <c r="C251" s="44" t="s">
        <v>8407</v>
      </c>
      <c r="D251" s="44" t="s">
        <v>15419</v>
      </c>
      <c r="E251" s="44"/>
      <c r="F251" s="44"/>
      <c r="G251" s="44" t="s">
        <v>14882</v>
      </c>
      <c r="H251" s="44" t="s">
        <v>14872</v>
      </c>
      <c r="I251" s="44" t="s">
        <v>14883</v>
      </c>
      <c r="J251" s="44" t="s">
        <v>14874</v>
      </c>
      <c r="K251" s="44" t="s">
        <v>14875</v>
      </c>
      <c r="L251" s="44" t="s">
        <v>8412</v>
      </c>
      <c r="M251" s="44" t="s">
        <v>14876</v>
      </c>
    </row>
    <row r="252" customFormat="false" ht="22.35" hidden="false" customHeight="false" outlineLevel="0" collapsed="false">
      <c r="A252" s="44" t="s">
        <v>15420</v>
      </c>
      <c r="B252" s="44" t="s">
        <v>8413</v>
      </c>
      <c r="C252" s="44" t="s">
        <v>8414</v>
      </c>
      <c r="D252" s="44" t="s">
        <v>15421</v>
      </c>
      <c r="E252" s="44"/>
      <c r="F252" s="44"/>
      <c r="G252" s="44" t="s">
        <v>14882</v>
      </c>
      <c r="H252" s="44" t="s">
        <v>14872</v>
      </c>
      <c r="I252" s="44" t="s">
        <v>14883</v>
      </c>
      <c r="J252" s="44" t="s">
        <v>14874</v>
      </c>
      <c r="K252" s="44" t="s">
        <v>14875</v>
      </c>
      <c r="L252" s="44" t="s">
        <v>8419</v>
      </c>
      <c r="M252" s="44" t="s">
        <v>14876</v>
      </c>
    </row>
    <row r="253" customFormat="false" ht="22.35" hidden="false" customHeight="false" outlineLevel="0" collapsed="false">
      <c r="A253" s="44" t="s">
        <v>15422</v>
      </c>
      <c r="B253" s="44" t="s">
        <v>8413</v>
      </c>
      <c r="C253" s="44" t="s">
        <v>8414</v>
      </c>
      <c r="D253" s="44" t="s">
        <v>15423</v>
      </c>
      <c r="E253" s="44"/>
      <c r="F253" s="44"/>
      <c r="G253" s="44" t="s">
        <v>14882</v>
      </c>
      <c r="H253" s="44" t="s">
        <v>14872</v>
      </c>
      <c r="I253" s="44" t="s">
        <v>14883</v>
      </c>
      <c r="J253" s="44" t="s">
        <v>14874</v>
      </c>
      <c r="K253" s="44" t="s">
        <v>14875</v>
      </c>
      <c r="L253" s="44" t="s">
        <v>8419</v>
      </c>
      <c r="M253" s="44" t="s">
        <v>14876</v>
      </c>
    </row>
    <row r="254" customFormat="false" ht="22.35" hidden="false" customHeight="false" outlineLevel="0" collapsed="false">
      <c r="A254" s="44" t="s">
        <v>15424</v>
      </c>
      <c r="B254" s="44" t="s">
        <v>8413</v>
      </c>
      <c r="C254" s="44" t="s">
        <v>8414</v>
      </c>
      <c r="D254" s="44" t="s">
        <v>14976</v>
      </c>
      <c r="E254" s="44" t="s">
        <v>231</v>
      </c>
      <c r="F254" s="44" t="s">
        <v>232</v>
      </c>
      <c r="G254" s="44" t="s">
        <v>14871</v>
      </c>
      <c r="H254" s="44" t="s">
        <v>14872</v>
      </c>
      <c r="I254" s="44" t="s">
        <v>14873</v>
      </c>
      <c r="J254" s="44" t="s">
        <v>14874</v>
      </c>
      <c r="K254" s="44" t="s">
        <v>14875</v>
      </c>
      <c r="L254" s="44" t="s">
        <v>8419</v>
      </c>
      <c r="M254" s="44" t="s">
        <v>14876</v>
      </c>
    </row>
    <row r="255" customFormat="false" ht="22.35" hidden="false" customHeight="false" outlineLevel="0" collapsed="false">
      <c r="A255" s="44" t="s">
        <v>15425</v>
      </c>
      <c r="B255" s="44" t="s">
        <v>8413</v>
      </c>
      <c r="C255" s="44" t="s">
        <v>8414</v>
      </c>
      <c r="D255" s="44" t="s">
        <v>15426</v>
      </c>
      <c r="E255" s="44" t="s">
        <v>1168</v>
      </c>
      <c r="F255" s="44" t="s">
        <v>1169</v>
      </c>
      <c r="G255" s="44" t="s">
        <v>14871</v>
      </c>
      <c r="H255" s="44" t="s">
        <v>14872</v>
      </c>
      <c r="I255" s="44" t="s">
        <v>14879</v>
      </c>
      <c r="J255" s="44" t="s">
        <v>14874</v>
      </c>
      <c r="K255" s="44" t="s">
        <v>14875</v>
      </c>
      <c r="L255" s="44" t="s">
        <v>8419</v>
      </c>
      <c r="M255" s="44" t="s">
        <v>14876</v>
      </c>
    </row>
    <row r="256" customFormat="false" ht="22.35" hidden="false" customHeight="false" outlineLevel="0" collapsed="false">
      <c r="A256" s="44" t="s">
        <v>15427</v>
      </c>
      <c r="B256" s="44" t="s">
        <v>8413</v>
      </c>
      <c r="C256" s="44" t="s">
        <v>8414</v>
      </c>
      <c r="D256" s="44" t="s">
        <v>15428</v>
      </c>
      <c r="E256" s="44"/>
      <c r="F256" s="44"/>
      <c r="G256" s="44" t="s">
        <v>14882</v>
      </c>
      <c r="H256" s="44" t="s">
        <v>14872</v>
      </c>
      <c r="I256" s="44" t="s">
        <v>14883</v>
      </c>
      <c r="J256" s="44" t="s">
        <v>14874</v>
      </c>
      <c r="K256" s="44" t="s">
        <v>14875</v>
      </c>
      <c r="L256" s="44" t="s">
        <v>8419</v>
      </c>
      <c r="M256" s="44" t="s">
        <v>14876</v>
      </c>
    </row>
    <row r="257" customFormat="false" ht="22.35" hidden="false" customHeight="false" outlineLevel="0" collapsed="false">
      <c r="A257" s="44" t="s">
        <v>15429</v>
      </c>
      <c r="B257" s="44" t="s">
        <v>8413</v>
      </c>
      <c r="C257" s="44" t="s">
        <v>8414</v>
      </c>
      <c r="D257" s="44" t="s">
        <v>15430</v>
      </c>
      <c r="E257" s="44"/>
      <c r="F257" s="44"/>
      <c r="G257" s="44" t="s">
        <v>14882</v>
      </c>
      <c r="H257" s="44" t="s">
        <v>14872</v>
      </c>
      <c r="I257" s="44" t="s">
        <v>14883</v>
      </c>
      <c r="J257" s="44" t="s">
        <v>14874</v>
      </c>
      <c r="K257" s="44" t="s">
        <v>14875</v>
      </c>
      <c r="L257" s="44" t="s">
        <v>8419</v>
      </c>
      <c r="M257" s="44" t="s">
        <v>14876</v>
      </c>
    </row>
    <row r="258" customFormat="false" ht="22.35" hidden="false" customHeight="false" outlineLevel="0" collapsed="false">
      <c r="A258" s="44" t="s">
        <v>15431</v>
      </c>
      <c r="B258" s="44" t="s">
        <v>8420</v>
      </c>
      <c r="C258" s="44" t="s">
        <v>8421</v>
      </c>
      <c r="D258" s="44" t="s">
        <v>15432</v>
      </c>
      <c r="E258" s="44"/>
      <c r="F258" s="44"/>
      <c r="G258" s="44" t="s">
        <v>14882</v>
      </c>
      <c r="H258" s="44" t="s">
        <v>14872</v>
      </c>
      <c r="I258" s="44" t="s">
        <v>14883</v>
      </c>
      <c r="J258" s="44" t="s">
        <v>14874</v>
      </c>
      <c r="K258" s="44" t="s">
        <v>14875</v>
      </c>
      <c r="L258" s="44" t="s">
        <v>8426</v>
      </c>
      <c r="M258" s="44" t="s">
        <v>14876</v>
      </c>
    </row>
    <row r="259" customFormat="false" ht="22.35" hidden="false" customHeight="false" outlineLevel="0" collapsed="false">
      <c r="A259" s="44" t="s">
        <v>15433</v>
      </c>
      <c r="B259" s="44" t="s">
        <v>8420</v>
      </c>
      <c r="C259" s="44" t="s">
        <v>8421</v>
      </c>
      <c r="D259" s="44" t="s">
        <v>15434</v>
      </c>
      <c r="E259" s="44" t="s">
        <v>3251</v>
      </c>
      <c r="F259" s="44" t="s">
        <v>3252</v>
      </c>
      <c r="G259" s="44" t="s">
        <v>14871</v>
      </c>
      <c r="H259" s="44" t="s">
        <v>14872</v>
      </c>
      <c r="I259" s="44" t="s">
        <v>14886</v>
      </c>
      <c r="J259" s="44" t="s">
        <v>14874</v>
      </c>
      <c r="K259" s="44" t="s">
        <v>14875</v>
      </c>
      <c r="L259" s="44" t="s">
        <v>8426</v>
      </c>
      <c r="M259" s="44" t="s">
        <v>14876</v>
      </c>
    </row>
    <row r="260" customFormat="false" ht="22.35" hidden="false" customHeight="false" outlineLevel="0" collapsed="false">
      <c r="A260" s="44" t="s">
        <v>15435</v>
      </c>
      <c r="B260" s="44" t="s">
        <v>8420</v>
      </c>
      <c r="C260" s="44" t="s">
        <v>8421</v>
      </c>
      <c r="D260" s="44" t="s">
        <v>15436</v>
      </c>
      <c r="E260" s="44"/>
      <c r="F260" s="44"/>
      <c r="G260" s="44" t="s">
        <v>14882</v>
      </c>
      <c r="H260" s="44" t="s">
        <v>14872</v>
      </c>
      <c r="I260" s="44" t="s">
        <v>14883</v>
      </c>
      <c r="J260" s="44" t="s">
        <v>14874</v>
      </c>
      <c r="K260" s="44" t="s">
        <v>14875</v>
      </c>
      <c r="L260" s="44" t="s">
        <v>8426</v>
      </c>
      <c r="M260" s="44" t="s">
        <v>14876</v>
      </c>
    </row>
    <row r="261" customFormat="false" ht="22.35" hidden="false" customHeight="false" outlineLevel="0" collapsed="false">
      <c r="A261" s="44" t="s">
        <v>15437</v>
      </c>
      <c r="B261" s="44" t="s">
        <v>8420</v>
      </c>
      <c r="C261" s="44" t="s">
        <v>8421</v>
      </c>
      <c r="D261" s="44" t="s">
        <v>14976</v>
      </c>
      <c r="E261" s="44" t="s">
        <v>231</v>
      </c>
      <c r="F261" s="44" t="s">
        <v>232</v>
      </c>
      <c r="G261" s="44" t="s">
        <v>14871</v>
      </c>
      <c r="H261" s="44" t="s">
        <v>14872</v>
      </c>
      <c r="I261" s="44" t="s">
        <v>14873</v>
      </c>
      <c r="J261" s="44" t="s">
        <v>14874</v>
      </c>
      <c r="K261" s="44" t="s">
        <v>14875</v>
      </c>
      <c r="L261" s="44" t="s">
        <v>8426</v>
      </c>
      <c r="M261" s="44" t="s">
        <v>14876</v>
      </c>
    </row>
    <row r="262" customFormat="false" ht="22.35" hidden="false" customHeight="false" outlineLevel="0" collapsed="false">
      <c r="A262" s="44" t="s">
        <v>15438</v>
      </c>
      <c r="B262" s="44" t="s">
        <v>8420</v>
      </c>
      <c r="C262" s="44" t="s">
        <v>8421</v>
      </c>
      <c r="D262" s="44" t="s">
        <v>15439</v>
      </c>
      <c r="E262" s="44" t="s">
        <v>223</v>
      </c>
      <c r="F262" s="44" t="s">
        <v>224</v>
      </c>
      <c r="G262" s="44" t="s">
        <v>14871</v>
      </c>
      <c r="H262" s="44" t="s">
        <v>14872</v>
      </c>
      <c r="I262" s="44" t="s">
        <v>14879</v>
      </c>
      <c r="J262" s="44" t="s">
        <v>14874</v>
      </c>
      <c r="K262" s="44" t="s">
        <v>14875</v>
      </c>
      <c r="L262" s="44" t="s">
        <v>8426</v>
      </c>
      <c r="M262" s="44" t="s">
        <v>14876</v>
      </c>
    </row>
    <row r="263" customFormat="false" ht="22.35" hidden="false" customHeight="false" outlineLevel="0" collapsed="false">
      <c r="A263" s="44" t="s">
        <v>15440</v>
      </c>
      <c r="B263" s="44" t="s">
        <v>8427</v>
      </c>
      <c r="C263" s="44" t="s">
        <v>8428</v>
      </c>
      <c r="D263" s="44" t="s">
        <v>15441</v>
      </c>
      <c r="E263" s="44" t="s">
        <v>15442</v>
      </c>
      <c r="F263" s="44" t="s">
        <v>15443</v>
      </c>
      <c r="G263" s="44" t="s">
        <v>14871</v>
      </c>
      <c r="H263" s="44" t="s">
        <v>14872</v>
      </c>
      <c r="I263" s="44" t="s">
        <v>14886</v>
      </c>
      <c r="J263" s="44" t="s">
        <v>14874</v>
      </c>
      <c r="K263" s="44" t="s">
        <v>14875</v>
      </c>
      <c r="L263" s="44" t="s">
        <v>8434</v>
      </c>
      <c r="M263" s="44" t="s">
        <v>14876</v>
      </c>
    </row>
    <row r="264" customFormat="false" ht="22.35" hidden="false" customHeight="false" outlineLevel="0" collapsed="false">
      <c r="A264" s="44" t="s">
        <v>15444</v>
      </c>
      <c r="B264" s="44" t="s">
        <v>8427</v>
      </c>
      <c r="C264" s="44" t="s">
        <v>8428</v>
      </c>
      <c r="D264" s="44" t="s">
        <v>15445</v>
      </c>
      <c r="E264" s="44" t="s">
        <v>2859</v>
      </c>
      <c r="F264" s="44" t="s">
        <v>2860</v>
      </c>
      <c r="G264" s="44" t="s">
        <v>14871</v>
      </c>
      <c r="H264" s="44" t="s">
        <v>14872</v>
      </c>
      <c r="I264" s="44" t="s">
        <v>14873</v>
      </c>
      <c r="J264" s="44" t="s">
        <v>14874</v>
      </c>
      <c r="K264" s="44" t="s">
        <v>14875</v>
      </c>
      <c r="L264" s="44" t="s">
        <v>8434</v>
      </c>
      <c r="M264" s="44" t="s">
        <v>14876</v>
      </c>
    </row>
    <row r="265" customFormat="false" ht="22.35" hidden="false" customHeight="false" outlineLevel="0" collapsed="false">
      <c r="A265" s="44" t="s">
        <v>15446</v>
      </c>
      <c r="B265" s="44" t="s">
        <v>8427</v>
      </c>
      <c r="C265" s="44" t="s">
        <v>8428</v>
      </c>
      <c r="D265" s="44" t="s">
        <v>15447</v>
      </c>
      <c r="E265" s="44" t="s">
        <v>180</v>
      </c>
      <c r="F265" s="44" t="s">
        <v>47</v>
      </c>
      <c r="G265" s="44" t="s">
        <v>14871</v>
      </c>
      <c r="H265" s="44" t="s">
        <v>14872</v>
      </c>
      <c r="I265" s="44" t="s">
        <v>14886</v>
      </c>
      <c r="J265" s="44" t="s">
        <v>14874</v>
      </c>
      <c r="K265" s="44" t="s">
        <v>14875</v>
      </c>
      <c r="L265" s="44" t="s">
        <v>8434</v>
      </c>
      <c r="M265" s="44" t="s">
        <v>14876</v>
      </c>
    </row>
    <row r="266" customFormat="false" ht="22.35" hidden="false" customHeight="false" outlineLevel="0" collapsed="false">
      <c r="A266" s="44" t="s">
        <v>15448</v>
      </c>
      <c r="B266" s="44" t="s">
        <v>8427</v>
      </c>
      <c r="C266" s="44" t="s">
        <v>8428</v>
      </c>
      <c r="D266" s="44" t="s">
        <v>15386</v>
      </c>
      <c r="E266" s="44" t="s">
        <v>15387</v>
      </c>
      <c r="F266" s="44" t="s">
        <v>15388</v>
      </c>
      <c r="G266" s="44" t="s">
        <v>14871</v>
      </c>
      <c r="H266" s="44" t="s">
        <v>14872</v>
      </c>
      <c r="I266" s="44" t="s">
        <v>14879</v>
      </c>
      <c r="J266" s="44" t="s">
        <v>14874</v>
      </c>
      <c r="K266" s="44" t="s">
        <v>14875</v>
      </c>
      <c r="L266" s="44" t="s">
        <v>8434</v>
      </c>
      <c r="M266" s="44" t="s">
        <v>14876</v>
      </c>
    </row>
    <row r="267" customFormat="false" ht="22.35" hidden="false" customHeight="false" outlineLevel="0" collapsed="false">
      <c r="A267" s="44" t="s">
        <v>15449</v>
      </c>
      <c r="B267" s="44" t="s">
        <v>8427</v>
      </c>
      <c r="C267" s="44" t="s">
        <v>8428</v>
      </c>
      <c r="D267" s="44" t="s">
        <v>14996</v>
      </c>
      <c r="E267" s="44" t="s">
        <v>1238</v>
      </c>
      <c r="F267" s="44" t="s">
        <v>1239</v>
      </c>
      <c r="G267" s="44" t="s">
        <v>14871</v>
      </c>
      <c r="H267" s="44" t="s">
        <v>14872</v>
      </c>
      <c r="I267" s="44" t="s">
        <v>14879</v>
      </c>
      <c r="J267" s="44" t="s">
        <v>14874</v>
      </c>
      <c r="K267" s="44" t="s">
        <v>14875</v>
      </c>
      <c r="L267" s="44" t="s">
        <v>8434</v>
      </c>
      <c r="M267" s="44" t="s">
        <v>14876</v>
      </c>
    </row>
    <row r="268" customFormat="false" ht="22.35" hidden="false" customHeight="false" outlineLevel="0" collapsed="false">
      <c r="A268" s="44" t="s">
        <v>15450</v>
      </c>
      <c r="B268" s="44" t="s">
        <v>8427</v>
      </c>
      <c r="C268" s="44" t="s">
        <v>8428</v>
      </c>
      <c r="D268" s="44" t="s">
        <v>15374</v>
      </c>
      <c r="E268" s="44"/>
      <c r="F268" s="44"/>
      <c r="G268" s="44" t="s">
        <v>14882</v>
      </c>
      <c r="H268" s="44" t="s">
        <v>14872</v>
      </c>
      <c r="I268" s="44" t="s">
        <v>14883</v>
      </c>
      <c r="J268" s="44" t="s">
        <v>14874</v>
      </c>
      <c r="K268" s="44" t="s">
        <v>14875</v>
      </c>
      <c r="L268" s="44" t="s">
        <v>8434</v>
      </c>
      <c r="M268" s="44" t="s">
        <v>14876</v>
      </c>
    </row>
    <row r="269" customFormat="false" ht="22.35" hidden="false" customHeight="false" outlineLevel="0" collapsed="false">
      <c r="A269" s="44" t="s">
        <v>15451</v>
      </c>
      <c r="B269" s="44" t="s">
        <v>8435</v>
      </c>
      <c r="C269" s="44" t="s">
        <v>8436</v>
      </c>
      <c r="D269" s="44" t="s">
        <v>15452</v>
      </c>
      <c r="E269" s="44"/>
      <c r="F269" s="44"/>
      <c r="G269" s="44" t="s">
        <v>14882</v>
      </c>
      <c r="H269" s="44" t="s">
        <v>14872</v>
      </c>
      <c r="I269" s="44" t="s">
        <v>14883</v>
      </c>
      <c r="J269" s="44" t="s">
        <v>14874</v>
      </c>
      <c r="K269" s="44" t="s">
        <v>14875</v>
      </c>
      <c r="L269" s="44" t="s">
        <v>8442</v>
      </c>
      <c r="M269" s="44" t="s">
        <v>14876</v>
      </c>
    </row>
    <row r="270" customFormat="false" ht="22.35" hidden="false" customHeight="false" outlineLevel="0" collapsed="false">
      <c r="A270" s="44" t="s">
        <v>15453</v>
      </c>
      <c r="B270" s="44" t="s">
        <v>8435</v>
      </c>
      <c r="C270" s="44" t="s">
        <v>8436</v>
      </c>
      <c r="D270" s="44" t="s">
        <v>15454</v>
      </c>
      <c r="E270" s="44" t="s">
        <v>215</v>
      </c>
      <c r="F270" s="44" t="s">
        <v>216</v>
      </c>
      <c r="G270" s="44" t="s">
        <v>14871</v>
      </c>
      <c r="H270" s="44" t="s">
        <v>14872</v>
      </c>
      <c r="I270" s="44" t="s">
        <v>14873</v>
      </c>
      <c r="J270" s="44" t="s">
        <v>14874</v>
      </c>
      <c r="K270" s="44" t="s">
        <v>14875</v>
      </c>
      <c r="L270" s="44" t="s">
        <v>8442</v>
      </c>
      <c r="M270" s="44" t="s">
        <v>14876</v>
      </c>
    </row>
    <row r="271" customFormat="false" ht="22.35" hidden="false" customHeight="false" outlineLevel="0" collapsed="false">
      <c r="A271" s="44" t="s">
        <v>15455</v>
      </c>
      <c r="B271" s="44" t="s">
        <v>8435</v>
      </c>
      <c r="C271" s="44" t="s">
        <v>8436</v>
      </c>
      <c r="D271" s="44" t="s">
        <v>15456</v>
      </c>
      <c r="E271" s="44" t="s">
        <v>200</v>
      </c>
      <c r="F271" s="44" t="s">
        <v>201</v>
      </c>
      <c r="G271" s="44" t="s">
        <v>14871</v>
      </c>
      <c r="H271" s="44" t="s">
        <v>14872</v>
      </c>
      <c r="I271" s="44" t="s">
        <v>14886</v>
      </c>
      <c r="J271" s="44" t="s">
        <v>14874</v>
      </c>
      <c r="K271" s="44" t="s">
        <v>14875</v>
      </c>
      <c r="L271" s="44" t="s">
        <v>8442</v>
      </c>
      <c r="M271" s="44" t="s">
        <v>14876</v>
      </c>
    </row>
    <row r="272" customFormat="false" ht="22.35" hidden="false" customHeight="false" outlineLevel="0" collapsed="false">
      <c r="A272" s="44" t="s">
        <v>15457</v>
      </c>
      <c r="B272" s="44" t="s">
        <v>8435</v>
      </c>
      <c r="C272" s="44" t="s">
        <v>8436</v>
      </c>
      <c r="D272" s="44" t="s">
        <v>15458</v>
      </c>
      <c r="E272" s="44" t="s">
        <v>3322</v>
      </c>
      <c r="F272" s="44" t="s">
        <v>3323</v>
      </c>
      <c r="G272" s="44" t="s">
        <v>14871</v>
      </c>
      <c r="H272" s="44" t="s">
        <v>14872</v>
      </c>
      <c r="I272" s="44" t="s">
        <v>14873</v>
      </c>
      <c r="J272" s="44" t="s">
        <v>14874</v>
      </c>
      <c r="K272" s="44" t="s">
        <v>14875</v>
      </c>
      <c r="L272" s="44" t="s">
        <v>8442</v>
      </c>
      <c r="M272" s="44" t="s">
        <v>14876</v>
      </c>
    </row>
    <row r="273" customFormat="false" ht="22.35" hidden="false" customHeight="false" outlineLevel="0" collapsed="false">
      <c r="A273" s="44" t="s">
        <v>15459</v>
      </c>
      <c r="B273" s="44" t="s">
        <v>8435</v>
      </c>
      <c r="C273" s="44" t="s">
        <v>8436</v>
      </c>
      <c r="D273" s="44" t="s">
        <v>15460</v>
      </c>
      <c r="E273" s="44"/>
      <c r="F273" s="44"/>
      <c r="G273" s="44" t="s">
        <v>14882</v>
      </c>
      <c r="H273" s="44" t="s">
        <v>14872</v>
      </c>
      <c r="I273" s="44" t="s">
        <v>14883</v>
      </c>
      <c r="J273" s="44" t="s">
        <v>14874</v>
      </c>
      <c r="K273" s="44" t="s">
        <v>14875</v>
      </c>
      <c r="L273" s="44" t="s">
        <v>8442</v>
      </c>
      <c r="M273" s="44" t="s">
        <v>14876</v>
      </c>
    </row>
    <row r="274" customFormat="false" ht="22.35" hidden="false" customHeight="false" outlineLevel="0" collapsed="false">
      <c r="A274" s="44" t="s">
        <v>15461</v>
      </c>
      <c r="B274" s="44" t="s">
        <v>8435</v>
      </c>
      <c r="C274" s="44" t="s">
        <v>8436</v>
      </c>
      <c r="D274" s="44" t="s">
        <v>15099</v>
      </c>
      <c r="E274" s="44" t="s">
        <v>239</v>
      </c>
      <c r="F274" s="44" t="s">
        <v>240</v>
      </c>
      <c r="G274" s="44" t="s">
        <v>14871</v>
      </c>
      <c r="H274" s="44" t="s">
        <v>14872</v>
      </c>
      <c r="I274" s="44" t="s">
        <v>14873</v>
      </c>
      <c r="J274" s="44" t="s">
        <v>14874</v>
      </c>
      <c r="K274" s="44" t="s">
        <v>14875</v>
      </c>
      <c r="L274" s="44" t="s">
        <v>8442</v>
      </c>
      <c r="M274" s="44" t="s">
        <v>14876</v>
      </c>
    </row>
    <row r="275" customFormat="false" ht="22.35" hidden="false" customHeight="false" outlineLevel="0" collapsed="false">
      <c r="A275" s="44" t="s">
        <v>15462</v>
      </c>
      <c r="B275" s="44" t="s">
        <v>8435</v>
      </c>
      <c r="C275" s="44" t="s">
        <v>8436</v>
      </c>
      <c r="D275" s="44" t="s">
        <v>15463</v>
      </c>
      <c r="E275" s="44" t="s">
        <v>5906</v>
      </c>
      <c r="F275" s="44" t="s">
        <v>130</v>
      </c>
      <c r="G275" s="44" t="s">
        <v>14871</v>
      </c>
      <c r="H275" s="44" t="s">
        <v>14872</v>
      </c>
      <c r="I275" s="44" t="s">
        <v>14886</v>
      </c>
      <c r="J275" s="44" t="s">
        <v>14874</v>
      </c>
      <c r="K275" s="44" t="s">
        <v>14875</v>
      </c>
      <c r="L275" s="44" t="s">
        <v>8442</v>
      </c>
      <c r="M275" s="44" t="s">
        <v>14876</v>
      </c>
    </row>
    <row r="276" customFormat="false" ht="22.35" hidden="false" customHeight="false" outlineLevel="0" collapsed="false">
      <c r="A276" s="44" t="s">
        <v>15464</v>
      </c>
      <c r="B276" s="44" t="s">
        <v>8443</v>
      </c>
      <c r="C276" s="44" t="s">
        <v>8444</v>
      </c>
      <c r="D276" s="44" t="s">
        <v>15465</v>
      </c>
      <c r="E276" s="44" t="s">
        <v>3583</v>
      </c>
      <c r="F276" s="44" t="s">
        <v>3584</v>
      </c>
      <c r="G276" s="44" t="s">
        <v>14871</v>
      </c>
      <c r="H276" s="44" t="s">
        <v>14872</v>
      </c>
      <c r="I276" s="44" t="s">
        <v>14886</v>
      </c>
      <c r="J276" s="44" t="s">
        <v>14874</v>
      </c>
      <c r="K276" s="44" t="s">
        <v>14875</v>
      </c>
      <c r="L276" s="44" t="s">
        <v>8448</v>
      </c>
      <c r="M276" s="44" t="s">
        <v>14876</v>
      </c>
    </row>
    <row r="277" customFormat="false" ht="22.35" hidden="false" customHeight="false" outlineLevel="0" collapsed="false">
      <c r="A277" s="44" t="s">
        <v>15466</v>
      </c>
      <c r="B277" s="44" t="s">
        <v>8443</v>
      </c>
      <c r="C277" s="44" t="s">
        <v>8444</v>
      </c>
      <c r="D277" s="44" t="s">
        <v>15467</v>
      </c>
      <c r="E277" s="44" t="s">
        <v>5917</v>
      </c>
      <c r="F277" s="44" t="s">
        <v>5918</v>
      </c>
      <c r="G277" s="44" t="s">
        <v>14871</v>
      </c>
      <c r="H277" s="44" t="s">
        <v>14872</v>
      </c>
      <c r="I277" s="44" t="s">
        <v>14873</v>
      </c>
      <c r="J277" s="44" t="s">
        <v>14874</v>
      </c>
      <c r="K277" s="44" t="s">
        <v>14875</v>
      </c>
      <c r="L277" s="44" t="s">
        <v>8448</v>
      </c>
      <c r="M277" s="44" t="s">
        <v>14876</v>
      </c>
    </row>
    <row r="278" customFormat="false" ht="22.35" hidden="false" customHeight="false" outlineLevel="0" collapsed="false">
      <c r="A278" s="44" t="s">
        <v>15468</v>
      </c>
      <c r="B278" s="44" t="s">
        <v>8443</v>
      </c>
      <c r="C278" s="44" t="s">
        <v>8444</v>
      </c>
      <c r="D278" s="44" t="s">
        <v>15469</v>
      </c>
      <c r="E278" s="44"/>
      <c r="F278" s="44"/>
      <c r="G278" s="44" t="s">
        <v>14882</v>
      </c>
      <c r="H278" s="44" t="s">
        <v>14872</v>
      </c>
      <c r="I278" s="44" t="s">
        <v>14883</v>
      </c>
      <c r="J278" s="44" t="s">
        <v>14874</v>
      </c>
      <c r="K278" s="44" t="s">
        <v>14875</v>
      </c>
      <c r="L278" s="44" t="s">
        <v>8448</v>
      </c>
      <c r="M278" s="44" t="s">
        <v>14876</v>
      </c>
    </row>
    <row r="279" customFormat="false" ht="22.35" hidden="false" customHeight="false" outlineLevel="0" collapsed="false">
      <c r="A279" s="44" t="s">
        <v>15470</v>
      </c>
      <c r="B279" s="44" t="s">
        <v>8443</v>
      </c>
      <c r="C279" s="44" t="s">
        <v>8444</v>
      </c>
      <c r="D279" s="44" t="s">
        <v>15471</v>
      </c>
      <c r="E279" s="44" t="s">
        <v>494</v>
      </c>
      <c r="F279" s="44" t="s">
        <v>495</v>
      </c>
      <c r="G279" s="44" t="s">
        <v>14871</v>
      </c>
      <c r="H279" s="44" t="s">
        <v>14872</v>
      </c>
      <c r="I279" s="44" t="s">
        <v>14879</v>
      </c>
      <c r="J279" s="44" t="s">
        <v>14874</v>
      </c>
      <c r="K279" s="44" t="s">
        <v>14875</v>
      </c>
      <c r="L279" s="44" t="s">
        <v>8448</v>
      </c>
      <c r="M279" s="44" t="s">
        <v>14876</v>
      </c>
    </row>
    <row r="280" customFormat="false" ht="22.35" hidden="false" customHeight="false" outlineLevel="0" collapsed="false">
      <c r="A280" s="44" t="s">
        <v>15472</v>
      </c>
      <c r="B280" s="44" t="s">
        <v>8443</v>
      </c>
      <c r="C280" s="44" t="s">
        <v>8444</v>
      </c>
      <c r="D280" s="44" t="s">
        <v>15473</v>
      </c>
      <c r="E280" s="44" t="s">
        <v>3254</v>
      </c>
      <c r="F280" s="44" t="s">
        <v>3255</v>
      </c>
      <c r="G280" s="44" t="s">
        <v>14871</v>
      </c>
      <c r="H280" s="44" t="s">
        <v>14872</v>
      </c>
      <c r="I280" s="44" t="s">
        <v>14886</v>
      </c>
      <c r="J280" s="44" t="s">
        <v>14874</v>
      </c>
      <c r="K280" s="44" t="s">
        <v>14875</v>
      </c>
      <c r="L280" s="44" t="s">
        <v>8448</v>
      </c>
      <c r="M280" s="44" t="s">
        <v>14876</v>
      </c>
    </row>
    <row r="281" customFormat="false" ht="22.35" hidden="false" customHeight="false" outlineLevel="0" collapsed="false">
      <c r="A281" s="44" t="s">
        <v>15474</v>
      </c>
      <c r="B281" s="44" t="s">
        <v>8443</v>
      </c>
      <c r="C281" s="44" t="s">
        <v>8444</v>
      </c>
      <c r="D281" s="44" t="s">
        <v>15475</v>
      </c>
      <c r="E281" s="44"/>
      <c r="F281" s="44"/>
      <c r="G281" s="44" t="s">
        <v>14882</v>
      </c>
      <c r="H281" s="44" t="s">
        <v>14872</v>
      </c>
      <c r="I281" s="44" t="s">
        <v>14883</v>
      </c>
      <c r="J281" s="44" t="s">
        <v>14874</v>
      </c>
      <c r="K281" s="44" t="s">
        <v>14875</v>
      </c>
      <c r="L281" s="44" t="s">
        <v>8448</v>
      </c>
      <c r="M281" s="44" t="s">
        <v>14876</v>
      </c>
    </row>
    <row r="282" customFormat="false" ht="22.35" hidden="false" customHeight="false" outlineLevel="0" collapsed="false">
      <c r="A282" s="44" t="s">
        <v>15476</v>
      </c>
      <c r="B282" s="44" t="s">
        <v>8449</v>
      </c>
      <c r="C282" s="44" t="s">
        <v>8450</v>
      </c>
      <c r="D282" s="44" t="s">
        <v>15477</v>
      </c>
      <c r="E282" s="44" t="s">
        <v>15478</v>
      </c>
      <c r="F282" s="44" t="s">
        <v>15479</v>
      </c>
      <c r="G282" s="44" t="s">
        <v>14871</v>
      </c>
      <c r="H282" s="44" t="s">
        <v>14872</v>
      </c>
      <c r="I282" s="44" t="s">
        <v>14886</v>
      </c>
      <c r="J282" s="44" t="s">
        <v>14874</v>
      </c>
      <c r="K282" s="44" t="s">
        <v>14875</v>
      </c>
      <c r="L282" s="44" t="s">
        <v>8456</v>
      </c>
      <c r="M282" s="44" t="s">
        <v>14876</v>
      </c>
    </row>
    <row r="283" customFormat="false" ht="22.35" hidden="false" customHeight="false" outlineLevel="0" collapsed="false">
      <c r="A283" s="44" t="s">
        <v>15480</v>
      </c>
      <c r="B283" s="44" t="s">
        <v>8449</v>
      </c>
      <c r="C283" s="44" t="s">
        <v>8450</v>
      </c>
      <c r="D283" s="44" t="s">
        <v>15481</v>
      </c>
      <c r="E283" s="44" t="s">
        <v>925</v>
      </c>
      <c r="F283" s="44" t="s">
        <v>926</v>
      </c>
      <c r="G283" s="44" t="s">
        <v>14871</v>
      </c>
      <c r="H283" s="44" t="s">
        <v>14872</v>
      </c>
      <c r="I283" s="44" t="s">
        <v>14873</v>
      </c>
      <c r="J283" s="44" t="s">
        <v>14874</v>
      </c>
      <c r="K283" s="44" t="s">
        <v>14875</v>
      </c>
      <c r="L283" s="44" t="s">
        <v>8456</v>
      </c>
      <c r="M283" s="44" t="s">
        <v>14876</v>
      </c>
    </row>
    <row r="284" customFormat="false" ht="22.35" hidden="false" customHeight="false" outlineLevel="0" collapsed="false">
      <c r="A284" s="44" t="s">
        <v>15482</v>
      </c>
      <c r="B284" s="44" t="s">
        <v>8449</v>
      </c>
      <c r="C284" s="44" t="s">
        <v>8450</v>
      </c>
      <c r="D284" s="44" t="s">
        <v>15483</v>
      </c>
      <c r="E284" s="44" t="s">
        <v>4476</v>
      </c>
      <c r="F284" s="44" t="s">
        <v>4477</v>
      </c>
      <c r="G284" s="44" t="s">
        <v>14871</v>
      </c>
      <c r="H284" s="44" t="s">
        <v>14872</v>
      </c>
      <c r="I284" s="44" t="s">
        <v>14873</v>
      </c>
      <c r="J284" s="44" t="s">
        <v>14874</v>
      </c>
      <c r="K284" s="44" t="s">
        <v>14875</v>
      </c>
      <c r="L284" s="44" t="s">
        <v>8456</v>
      </c>
      <c r="M284" s="44" t="s">
        <v>14876</v>
      </c>
    </row>
    <row r="285" customFormat="false" ht="22.35" hidden="false" customHeight="false" outlineLevel="0" collapsed="false">
      <c r="A285" s="44" t="s">
        <v>15484</v>
      </c>
      <c r="B285" s="44" t="s">
        <v>8449</v>
      </c>
      <c r="C285" s="44" t="s">
        <v>8450</v>
      </c>
      <c r="D285" s="44" t="s">
        <v>15485</v>
      </c>
      <c r="E285" s="44" t="s">
        <v>192</v>
      </c>
      <c r="F285" s="44" t="s">
        <v>55</v>
      </c>
      <c r="G285" s="44" t="s">
        <v>14871</v>
      </c>
      <c r="H285" s="44" t="s">
        <v>14872</v>
      </c>
      <c r="I285" s="44" t="s">
        <v>14886</v>
      </c>
      <c r="J285" s="44" t="s">
        <v>14874</v>
      </c>
      <c r="K285" s="44" t="s">
        <v>14875</v>
      </c>
      <c r="L285" s="44" t="s">
        <v>8456</v>
      </c>
      <c r="M285" s="44" t="s">
        <v>14876</v>
      </c>
    </row>
    <row r="286" customFormat="false" ht="22.35" hidden="false" customHeight="false" outlineLevel="0" collapsed="false">
      <c r="A286" s="44" t="s">
        <v>15486</v>
      </c>
      <c r="B286" s="44" t="s">
        <v>8449</v>
      </c>
      <c r="C286" s="44" t="s">
        <v>8450</v>
      </c>
      <c r="D286" s="44" t="s">
        <v>15487</v>
      </c>
      <c r="E286" s="44"/>
      <c r="F286" s="44"/>
      <c r="G286" s="44" t="s">
        <v>14882</v>
      </c>
      <c r="H286" s="44" t="s">
        <v>14872</v>
      </c>
      <c r="I286" s="44" t="s">
        <v>14883</v>
      </c>
      <c r="J286" s="44" t="s">
        <v>14874</v>
      </c>
      <c r="K286" s="44" t="s">
        <v>14875</v>
      </c>
      <c r="L286" s="44" t="s">
        <v>8456</v>
      </c>
      <c r="M286" s="44" t="s">
        <v>14876</v>
      </c>
    </row>
    <row r="287" customFormat="false" ht="22.35" hidden="false" customHeight="false" outlineLevel="0" collapsed="false">
      <c r="A287" s="44" t="s">
        <v>15488</v>
      </c>
      <c r="B287" s="44" t="s">
        <v>8457</v>
      </c>
      <c r="C287" s="44" t="s">
        <v>8458</v>
      </c>
      <c r="D287" s="44" t="s">
        <v>15489</v>
      </c>
      <c r="E287" s="44" t="s">
        <v>934</v>
      </c>
      <c r="F287" s="44" t="s">
        <v>935</v>
      </c>
      <c r="G287" s="44" t="s">
        <v>14871</v>
      </c>
      <c r="H287" s="44" t="s">
        <v>14872</v>
      </c>
      <c r="I287" s="44" t="s">
        <v>14873</v>
      </c>
      <c r="J287" s="44" t="s">
        <v>14874</v>
      </c>
      <c r="K287" s="44" t="s">
        <v>14875</v>
      </c>
      <c r="L287" s="44" t="s">
        <v>8463</v>
      </c>
      <c r="M287" s="44" t="s">
        <v>14876</v>
      </c>
    </row>
    <row r="288" customFormat="false" ht="22.35" hidden="false" customHeight="false" outlineLevel="0" collapsed="false">
      <c r="A288" s="44" t="s">
        <v>15490</v>
      </c>
      <c r="B288" s="44" t="s">
        <v>8457</v>
      </c>
      <c r="C288" s="44" t="s">
        <v>8458</v>
      </c>
      <c r="D288" s="44" t="s">
        <v>15491</v>
      </c>
      <c r="E288" s="44"/>
      <c r="F288" s="44"/>
      <c r="G288" s="44" t="s">
        <v>14882</v>
      </c>
      <c r="H288" s="44" t="s">
        <v>14872</v>
      </c>
      <c r="I288" s="44" t="s">
        <v>14883</v>
      </c>
      <c r="J288" s="44" t="s">
        <v>14874</v>
      </c>
      <c r="K288" s="44" t="s">
        <v>14875</v>
      </c>
      <c r="L288" s="44" t="s">
        <v>8463</v>
      </c>
      <c r="M288" s="44" t="s">
        <v>14876</v>
      </c>
    </row>
    <row r="289" customFormat="false" ht="22.35" hidden="false" customHeight="false" outlineLevel="0" collapsed="false">
      <c r="A289" s="44" t="s">
        <v>15492</v>
      </c>
      <c r="B289" s="44" t="s">
        <v>8457</v>
      </c>
      <c r="C289" s="44" t="s">
        <v>8458</v>
      </c>
      <c r="D289" s="44" t="s">
        <v>15493</v>
      </c>
      <c r="E289" s="44"/>
      <c r="F289" s="44"/>
      <c r="G289" s="44" t="s">
        <v>14882</v>
      </c>
      <c r="H289" s="44" t="s">
        <v>14872</v>
      </c>
      <c r="I289" s="44" t="s">
        <v>14883</v>
      </c>
      <c r="J289" s="44" t="s">
        <v>14874</v>
      </c>
      <c r="K289" s="44" t="s">
        <v>14875</v>
      </c>
      <c r="L289" s="44" t="s">
        <v>8463</v>
      </c>
      <c r="M289" s="44" t="s">
        <v>14876</v>
      </c>
    </row>
    <row r="290" customFormat="false" ht="22.35" hidden="false" customHeight="false" outlineLevel="0" collapsed="false">
      <c r="A290" s="44" t="s">
        <v>15494</v>
      </c>
      <c r="B290" s="44" t="s">
        <v>8457</v>
      </c>
      <c r="C290" s="44" t="s">
        <v>8458</v>
      </c>
      <c r="D290" s="44" t="s">
        <v>15495</v>
      </c>
      <c r="E290" s="44"/>
      <c r="F290" s="44"/>
      <c r="G290" s="44" t="s">
        <v>14882</v>
      </c>
      <c r="H290" s="44" t="s">
        <v>14872</v>
      </c>
      <c r="I290" s="44" t="s">
        <v>14883</v>
      </c>
      <c r="J290" s="44" t="s">
        <v>14874</v>
      </c>
      <c r="K290" s="44" t="s">
        <v>14875</v>
      </c>
      <c r="L290" s="44" t="s">
        <v>8463</v>
      </c>
      <c r="M290" s="44" t="s">
        <v>14876</v>
      </c>
    </row>
    <row r="291" customFormat="false" ht="22.35" hidden="false" customHeight="false" outlineLevel="0" collapsed="false">
      <c r="A291" s="44" t="s">
        <v>15496</v>
      </c>
      <c r="B291" s="44" t="s">
        <v>8457</v>
      </c>
      <c r="C291" s="44" t="s">
        <v>8458</v>
      </c>
      <c r="D291" s="44" t="s">
        <v>15396</v>
      </c>
      <c r="E291" s="44"/>
      <c r="F291" s="44"/>
      <c r="G291" s="44" t="s">
        <v>14882</v>
      </c>
      <c r="H291" s="44" t="s">
        <v>14872</v>
      </c>
      <c r="I291" s="44" t="s">
        <v>14883</v>
      </c>
      <c r="J291" s="44" t="s">
        <v>14874</v>
      </c>
      <c r="K291" s="44" t="s">
        <v>14875</v>
      </c>
      <c r="L291" s="44" t="s">
        <v>8463</v>
      </c>
      <c r="M291" s="44" t="s">
        <v>14876</v>
      </c>
    </row>
    <row r="292" customFormat="false" ht="22.35" hidden="false" customHeight="false" outlineLevel="0" collapsed="false">
      <c r="A292" s="44" t="s">
        <v>15497</v>
      </c>
      <c r="B292" s="44" t="s">
        <v>8464</v>
      </c>
      <c r="C292" s="44" t="s">
        <v>8465</v>
      </c>
      <c r="D292" s="44" t="s">
        <v>15498</v>
      </c>
      <c r="E292" s="44"/>
      <c r="F292" s="44"/>
      <c r="G292" s="44" t="s">
        <v>14882</v>
      </c>
      <c r="H292" s="44" t="s">
        <v>14872</v>
      </c>
      <c r="I292" s="44" t="s">
        <v>14883</v>
      </c>
      <c r="J292" s="44" t="s">
        <v>14874</v>
      </c>
      <c r="K292" s="44" t="s">
        <v>14875</v>
      </c>
      <c r="L292" s="44" t="s">
        <v>8469</v>
      </c>
      <c r="M292" s="44" t="s">
        <v>14876</v>
      </c>
    </row>
    <row r="293" customFormat="false" ht="22.35" hidden="false" customHeight="false" outlineLevel="0" collapsed="false">
      <c r="A293" s="44" t="s">
        <v>15499</v>
      </c>
      <c r="B293" s="44" t="s">
        <v>8464</v>
      </c>
      <c r="C293" s="44" t="s">
        <v>8465</v>
      </c>
      <c r="D293" s="44" t="s">
        <v>15500</v>
      </c>
      <c r="E293" s="44" t="s">
        <v>4285</v>
      </c>
      <c r="F293" s="44" t="s">
        <v>4286</v>
      </c>
      <c r="G293" s="44" t="s">
        <v>14871</v>
      </c>
      <c r="H293" s="44" t="s">
        <v>14872</v>
      </c>
      <c r="I293" s="44" t="s">
        <v>14873</v>
      </c>
      <c r="J293" s="44" t="s">
        <v>14874</v>
      </c>
      <c r="K293" s="44" t="s">
        <v>14875</v>
      </c>
      <c r="L293" s="44" t="s">
        <v>8469</v>
      </c>
      <c r="M293" s="44" t="s">
        <v>14876</v>
      </c>
    </row>
    <row r="294" customFormat="false" ht="22.35" hidden="false" customHeight="false" outlineLevel="0" collapsed="false">
      <c r="A294" s="44" t="s">
        <v>15501</v>
      </c>
      <c r="B294" s="44" t="s">
        <v>8464</v>
      </c>
      <c r="C294" s="44" t="s">
        <v>8465</v>
      </c>
      <c r="D294" s="44" t="s">
        <v>15502</v>
      </c>
      <c r="E294" s="44" t="s">
        <v>15503</v>
      </c>
      <c r="F294" s="44" t="s">
        <v>15504</v>
      </c>
      <c r="G294" s="44" t="s">
        <v>14871</v>
      </c>
      <c r="H294" s="44" t="s">
        <v>14872</v>
      </c>
      <c r="I294" s="44" t="s">
        <v>14886</v>
      </c>
      <c r="J294" s="44" t="s">
        <v>14874</v>
      </c>
      <c r="K294" s="44" t="s">
        <v>14875</v>
      </c>
      <c r="L294" s="44" t="s">
        <v>8469</v>
      </c>
      <c r="M294" s="44" t="s">
        <v>14876</v>
      </c>
    </row>
    <row r="295" customFormat="false" ht="22.35" hidden="false" customHeight="false" outlineLevel="0" collapsed="false">
      <c r="A295" s="44" t="s">
        <v>15505</v>
      </c>
      <c r="B295" s="44" t="s">
        <v>8464</v>
      </c>
      <c r="C295" s="44" t="s">
        <v>8465</v>
      </c>
      <c r="D295" s="44" t="s">
        <v>15506</v>
      </c>
      <c r="E295" s="44"/>
      <c r="F295" s="44"/>
      <c r="G295" s="44" t="s">
        <v>14882</v>
      </c>
      <c r="H295" s="44" t="s">
        <v>14872</v>
      </c>
      <c r="I295" s="44" t="s">
        <v>14883</v>
      </c>
      <c r="J295" s="44" t="s">
        <v>14874</v>
      </c>
      <c r="K295" s="44" t="s">
        <v>14875</v>
      </c>
      <c r="L295" s="44" t="s">
        <v>8469</v>
      </c>
      <c r="M295" s="44" t="s">
        <v>14876</v>
      </c>
    </row>
    <row r="296" customFormat="false" ht="22.35" hidden="false" customHeight="false" outlineLevel="0" collapsed="false">
      <c r="A296" s="44" t="s">
        <v>15507</v>
      </c>
      <c r="B296" s="44" t="s">
        <v>8464</v>
      </c>
      <c r="C296" s="44" t="s">
        <v>8465</v>
      </c>
      <c r="D296" s="44" t="s">
        <v>15508</v>
      </c>
      <c r="E296" s="44"/>
      <c r="F296" s="44"/>
      <c r="G296" s="44" t="s">
        <v>14882</v>
      </c>
      <c r="H296" s="44" t="s">
        <v>14872</v>
      </c>
      <c r="I296" s="44" t="s">
        <v>14883</v>
      </c>
      <c r="J296" s="44" t="s">
        <v>14874</v>
      </c>
      <c r="K296" s="44" t="s">
        <v>14875</v>
      </c>
      <c r="L296" s="44" t="s">
        <v>8469</v>
      </c>
      <c r="M296" s="44" t="s">
        <v>14876</v>
      </c>
    </row>
    <row r="297" customFormat="false" ht="22.35" hidden="false" customHeight="false" outlineLevel="0" collapsed="false">
      <c r="A297" s="44" t="s">
        <v>15509</v>
      </c>
      <c r="B297" s="44" t="s">
        <v>8470</v>
      </c>
      <c r="C297" s="44" t="s">
        <v>8471</v>
      </c>
      <c r="D297" s="44" t="s">
        <v>15510</v>
      </c>
      <c r="E297" s="44" t="s">
        <v>15511</v>
      </c>
      <c r="F297" s="44" t="s">
        <v>15512</v>
      </c>
      <c r="G297" s="44" t="s">
        <v>14871</v>
      </c>
      <c r="H297" s="44" t="s">
        <v>14872</v>
      </c>
      <c r="I297" s="44" t="s">
        <v>14886</v>
      </c>
      <c r="J297" s="44" t="s">
        <v>14874</v>
      </c>
      <c r="K297" s="44" t="s">
        <v>14875</v>
      </c>
      <c r="L297" s="44" t="s">
        <v>8474</v>
      </c>
      <c r="M297" s="44" t="s">
        <v>14876</v>
      </c>
    </row>
    <row r="298" customFormat="false" ht="22.35" hidden="false" customHeight="false" outlineLevel="0" collapsed="false">
      <c r="A298" s="44" t="s">
        <v>15513</v>
      </c>
      <c r="B298" s="44" t="s">
        <v>8470</v>
      </c>
      <c r="C298" s="44" t="s">
        <v>8471</v>
      </c>
      <c r="D298" s="44" t="s">
        <v>15514</v>
      </c>
      <c r="E298" s="44"/>
      <c r="F298" s="44"/>
      <c r="G298" s="44" t="s">
        <v>14882</v>
      </c>
      <c r="H298" s="44" t="s">
        <v>14872</v>
      </c>
      <c r="I298" s="44" t="s">
        <v>14883</v>
      </c>
      <c r="J298" s="44" t="s">
        <v>14874</v>
      </c>
      <c r="K298" s="44" t="s">
        <v>14875</v>
      </c>
      <c r="L298" s="44" t="s">
        <v>8474</v>
      </c>
      <c r="M298" s="44" t="s">
        <v>14876</v>
      </c>
    </row>
    <row r="299" customFormat="false" ht="22.35" hidden="false" customHeight="false" outlineLevel="0" collapsed="false">
      <c r="A299" s="44" t="s">
        <v>15515</v>
      </c>
      <c r="B299" s="44" t="s">
        <v>8470</v>
      </c>
      <c r="C299" s="44" t="s">
        <v>8471</v>
      </c>
      <c r="D299" s="44" t="s">
        <v>15516</v>
      </c>
      <c r="E299" s="44"/>
      <c r="F299" s="44"/>
      <c r="G299" s="44" t="s">
        <v>14882</v>
      </c>
      <c r="H299" s="44" t="s">
        <v>14872</v>
      </c>
      <c r="I299" s="44" t="s">
        <v>14883</v>
      </c>
      <c r="J299" s="44" t="s">
        <v>14874</v>
      </c>
      <c r="K299" s="44" t="s">
        <v>14875</v>
      </c>
      <c r="L299" s="44" t="s">
        <v>8474</v>
      </c>
      <c r="M299" s="44" t="s">
        <v>14876</v>
      </c>
    </row>
    <row r="300" customFormat="false" ht="22.35" hidden="false" customHeight="false" outlineLevel="0" collapsed="false">
      <c r="A300" s="44" t="s">
        <v>15517</v>
      </c>
      <c r="B300" s="44" t="s">
        <v>8470</v>
      </c>
      <c r="C300" s="44" t="s">
        <v>8471</v>
      </c>
      <c r="D300" s="44" t="s">
        <v>15518</v>
      </c>
      <c r="E300" s="44" t="s">
        <v>5151</v>
      </c>
      <c r="F300" s="44" t="s">
        <v>5152</v>
      </c>
      <c r="G300" s="44" t="s">
        <v>14871</v>
      </c>
      <c r="H300" s="44" t="s">
        <v>14872</v>
      </c>
      <c r="I300" s="44" t="s">
        <v>14873</v>
      </c>
      <c r="J300" s="44" t="s">
        <v>14874</v>
      </c>
      <c r="K300" s="44" t="s">
        <v>14875</v>
      </c>
      <c r="L300" s="44" t="s">
        <v>8474</v>
      </c>
      <c r="M300" s="44" t="s">
        <v>14876</v>
      </c>
    </row>
    <row r="301" customFormat="false" ht="22.35" hidden="false" customHeight="false" outlineLevel="0" collapsed="false">
      <c r="A301" s="44" t="s">
        <v>15519</v>
      </c>
      <c r="B301" s="44" t="s">
        <v>8470</v>
      </c>
      <c r="C301" s="44" t="s">
        <v>8471</v>
      </c>
      <c r="D301" s="44" t="s">
        <v>15417</v>
      </c>
      <c r="E301" s="44" t="s">
        <v>196</v>
      </c>
      <c r="F301" s="44" t="s">
        <v>59</v>
      </c>
      <c r="G301" s="44" t="s">
        <v>14871</v>
      </c>
      <c r="H301" s="44" t="s">
        <v>14872</v>
      </c>
      <c r="I301" s="44" t="s">
        <v>14886</v>
      </c>
      <c r="J301" s="44" t="s">
        <v>14874</v>
      </c>
      <c r="K301" s="44" t="s">
        <v>14875</v>
      </c>
      <c r="L301" s="44" t="s">
        <v>8474</v>
      </c>
      <c r="M301" s="44" t="s">
        <v>14876</v>
      </c>
    </row>
    <row r="302" customFormat="false" ht="22.35" hidden="false" customHeight="false" outlineLevel="0" collapsed="false">
      <c r="A302" s="44" t="s">
        <v>15520</v>
      </c>
      <c r="B302" s="44" t="s">
        <v>8470</v>
      </c>
      <c r="C302" s="44" t="s">
        <v>8471</v>
      </c>
      <c r="D302" s="44" t="s">
        <v>15521</v>
      </c>
      <c r="E302" s="44"/>
      <c r="F302" s="44"/>
      <c r="G302" s="44" t="s">
        <v>14882</v>
      </c>
      <c r="H302" s="44" t="s">
        <v>14872</v>
      </c>
      <c r="I302" s="44" t="s">
        <v>14883</v>
      </c>
      <c r="J302" s="44" t="s">
        <v>14874</v>
      </c>
      <c r="K302" s="44" t="s">
        <v>14875</v>
      </c>
      <c r="L302" s="44" t="s">
        <v>8474</v>
      </c>
      <c r="M302" s="44" t="s">
        <v>14876</v>
      </c>
    </row>
    <row r="303" customFormat="false" ht="22.35" hidden="false" customHeight="false" outlineLevel="0" collapsed="false">
      <c r="A303" s="44" t="s">
        <v>15522</v>
      </c>
      <c r="B303" s="44" t="s">
        <v>8475</v>
      </c>
      <c r="C303" s="44" t="s">
        <v>8476</v>
      </c>
      <c r="D303" s="44" t="s">
        <v>15523</v>
      </c>
      <c r="E303" s="44" t="s">
        <v>3438</v>
      </c>
      <c r="F303" s="44" t="s">
        <v>3439</v>
      </c>
      <c r="G303" s="44" t="s">
        <v>14871</v>
      </c>
      <c r="H303" s="44" t="s">
        <v>14872</v>
      </c>
      <c r="I303" s="44" t="s">
        <v>14873</v>
      </c>
      <c r="J303" s="44" t="s">
        <v>14874</v>
      </c>
      <c r="K303" s="44" t="s">
        <v>14875</v>
      </c>
      <c r="L303" s="44" t="s">
        <v>8481</v>
      </c>
      <c r="M303" s="44" t="s">
        <v>14876</v>
      </c>
    </row>
    <row r="304" customFormat="false" ht="22.35" hidden="false" customHeight="false" outlineLevel="0" collapsed="false">
      <c r="A304" s="44" t="s">
        <v>15524</v>
      </c>
      <c r="B304" s="44" t="s">
        <v>8475</v>
      </c>
      <c r="C304" s="44" t="s">
        <v>8476</v>
      </c>
      <c r="D304" s="44" t="s">
        <v>15525</v>
      </c>
      <c r="E304" s="44" t="s">
        <v>2554</v>
      </c>
      <c r="F304" s="44" t="s">
        <v>2555</v>
      </c>
      <c r="G304" s="44" t="s">
        <v>14871</v>
      </c>
      <c r="H304" s="44" t="s">
        <v>14872</v>
      </c>
      <c r="I304" s="44" t="s">
        <v>14879</v>
      </c>
      <c r="J304" s="44" t="s">
        <v>14874</v>
      </c>
      <c r="K304" s="44" t="s">
        <v>14875</v>
      </c>
      <c r="L304" s="44" t="s">
        <v>8481</v>
      </c>
      <c r="M304" s="44" t="s">
        <v>14876</v>
      </c>
    </row>
    <row r="305" customFormat="false" ht="22.35" hidden="false" customHeight="false" outlineLevel="0" collapsed="false">
      <c r="A305" s="44" t="s">
        <v>15526</v>
      </c>
      <c r="B305" s="44" t="s">
        <v>8475</v>
      </c>
      <c r="C305" s="44" t="s">
        <v>8476</v>
      </c>
      <c r="D305" s="44" t="s">
        <v>15527</v>
      </c>
      <c r="E305" s="44"/>
      <c r="F305" s="44"/>
      <c r="G305" s="44" t="s">
        <v>14882</v>
      </c>
      <c r="H305" s="44" t="s">
        <v>14872</v>
      </c>
      <c r="I305" s="44" t="s">
        <v>14883</v>
      </c>
      <c r="J305" s="44" t="s">
        <v>14874</v>
      </c>
      <c r="K305" s="44" t="s">
        <v>14875</v>
      </c>
      <c r="L305" s="44" t="s">
        <v>8481</v>
      </c>
      <c r="M305" s="44" t="s">
        <v>14876</v>
      </c>
    </row>
    <row r="306" customFormat="false" ht="22.35" hidden="false" customHeight="false" outlineLevel="0" collapsed="false">
      <c r="A306" s="44" t="s">
        <v>15528</v>
      </c>
      <c r="B306" s="44" t="s">
        <v>8475</v>
      </c>
      <c r="C306" s="44" t="s">
        <v>8476</v>
      </c>
      <c r="D306" s="44" t="s">
        <v>15529</v>
      </c>
      <c r="E306" s="44" t="s">
        <v>15530</v>
      </c>
      <c r="F306" s="44" t="s">
        <v>15531</v>
      </c>
      <c r="G306" s="44" t="s">
        <v>14871</v>
      </c>
      <c r="H306" s="44" t="s">
        <v>14872</v>
      </c>
      <c r="I306" s="44" t="s">
        <v>14886</v>
      </c>
      <c r="J306" s="44" t="s">
        <v>14874</v>
      </c>
      <c r="K306" s="44" t="s">
        <v>14875</v>
      </c>
      <c r="L306" s="44" t="s">
        <v>8481</v>
      </c>
      <c r="M306" s="44" t="s">
        <v>14876</v>
      </c>
    </row>
    <row r="307" customFormat="false" ht="22.35" hidden="false" customHeight="false" outlineLevel="0" collapsed="false">
      <c r="A307" s="44" t="s">
        <v>15532</v>
      </c>
      <c r="B307" s="44" t="s">
        <v>8475</v>
      </c>
      <c r="C307" s="44" t="s">
        <v>8476</v>
      </c>
      <c r="D307" s="44" t="s">
        <v>15533</v>
      </c>
      <c r="E307" s="44"/>
      <c r="F307" s="44"/>
      <c r="G307" s="44" t="s">
        <v>14882</v>
      </c>
      <c r="H307" s="44" t="s">
        <v>14872</v>
      </c>
      <c r="I307" s="44" t="s">
        <v>14883</v>
      </c>
      <c r="J307" s="44" t="s">
        <v>14874</v>
      </c>
      <c r="K307" s="44" t="s">
        <v>14875</v>
      </c>
      <c r="L307" s="44" t="s">
        <v>8481</v>
      </c>
      <c r="M307" s="44" t="s">
        <v>14876</v>
      </c>
    </row>
    <row r="308" customFormat="false" ht="22.35" hidden="false" customHeight="false" outlineLevel="0" collapsed="false">
      <c r="A308" s="44" t="s">
        <v>15534</v>
      </c>
      <c r="B308" s="44" t="s">
        <v>8482</v>
      </c>
      <c r="C308" s="44" t="s">
        <v>8483</v>
      </c>
      <c r="D308" s="44" t="s">
        <v>15535</v>
      </c>
      <c r="E308" s="44" t="s">
        <v>1205</v>
      </c>
      <c r="F308" s="44" t="s">
        <v>1206</v>
      </c>
      <c r="G308" s="44" t="s">
        <v>14871</v>
      </c>
      <c r="H308" s="44" t="s">
        <v>14872</v>
      </c>
      <c r="I308" s="44" t="s">
        <v>14873</v>
      </c>
      <c r="J308" s="44" t="s">
        <v>14874</v>
      </c>
      <c r="K308" s="44" t="s">
        <v>14875</v>
      </c>
      <c r="L308" s="44" t="s">
        <v>8486</v>
      </c>
      <c r="M308" s="44" t="s">
        <v>14876</v>
      </c>
    </row>
    <row r="309" customFormat="false" ht="22.35" hidden="false" customHeight="false" outlineLevel="0" collapsed="false">
      <c r="A309" s="44" t="s">
        <v>15536</v>
      </c>
      <c r="B309" s="44" t="s">
        <v>8482</v>
      </c>
      <c r="C309" s="44" t="s">
        <v>8483</v>
      </c>
      <c r="D309" s="44" t="s">
        <v>15245</v>
      </c>
      <c r="E309" s="44" t="s">
        <v>1139</v>
      </c>
      <c r="F309" s="44" t="s">
        <v>1140</v>
      </c>
      <c r="G309" s="44" t="s">
        <v>14871</v>
      </c>
      <c r="H309" s="44" t="s">
        <v>14872</v>
      </c>
      <c r="I309" s="44" t="s">
        <v>14879</v>
      </c>
      <c r="J309" s="44" t="s">
        <v>14874</v>
      </c>
      <c r="K309" s="44" t="s">
        <v>14875</v>
      </c>
      <c r="L309" s="44" t="s">
        <v>8486</v>
      </c>
      <c r="M309" s="44" t="s">
        <v>14876</v>
      </c>
    </row>
    <row r="310" customFormat="false" ht="22.35" hidden="false" customHeight="false" outlineLevel="0" collapsed="false">
      <c r="A310" s="44" t="s">
        <v>15537</v>
      </c>
      <c r="B310" s="44" t="s">
        <v>8482</v>
      </c>
      <c r="C310" s="44" t="s">
        <v>8483</v>
      </c>
      <c r="D310" s="44" t="s">
        <v>15485</v>
      </c>
      <c r="E310" s="44" t="s">
        <v>192</v>
      </c>
      <c r="F310" s="44" t="s">
        <v>55</v>
      </c>
      <c r="G310" s="44" t="s">
        <v>14871</v>
      </c>
      <c r="H310" s="44" t="s">
        <v>14872</v>
      </c>
      <c r="I310" s="44" t="s">
        <v>14886</v>
      </c>
      <c r="J310" s="44" t="s">
        <v>14874</v>
      </c>
      <c r="K310" s="44" t="s">
        <v>14875</v>
      </c>
      <c r="L310" s="44" t="s">
        <v>8486</v>
      </c>
      <c r="M310" s="44" t="s">
        <v>14876</v>
      </c>
    </row>
    <row r="311" customFormat="false" ht="22.35" hidden="false" customHeight="false" outlineLevel="0" collapsed="false">
      <c r="A311" s="44" t="s">
        <v>15538</v>
      </c>
      <c r="B311" s="44" t="s">
        <v>8482</v>
      </c>
      <c r="C311" s="44" t="s">
        <v>8483</v>
      </c>
      <c r="D311" s="44" t="s">
        <v>15539</v>
      </c>
      <c r="E311" s="44" t="s">
        <v>4186</v>
      </c>
      <c r="F311" s="44" t="s">
        <v>4187</v>
      </c>
      <c r="G311" s="44" t="s">
        <v>14871</v>
      </c>
      <c r="H311" s="44" t="s">
        <v>14872</v>
      </c>
      <c r="I311" s="44" t="s">
        <v>14879</v>
      </c>
      <c r="J311" s="44" t="s">
        <v>14874</v>
      </c>
      <c r="K311" s="44" t="s">
        <v>14875</v>
      </c>
      <c r="L311" s="44" t="s">
        <v>8486</v>
      </c>
      <c r="M311" s="44" t="s">
        <v>14876</v>
      </c>
    </row>
    <row r="312" customFormat="false" ht="22.35" hidden="false" customHeight="false" outlineLevel="0" collapsed="false">
      <c r="A312" s="44" t="s">
        <v>15540</v>
      </c>
      <c r="B312" s="44" t="s">
        <v>8482</v>
      </c>
      <c r="C312" s="44" t="s">
        <v>8483</v>
      </c>
      <c r="D312" s="44" t="s">
        <v>15541</v>
      </c>
      <c r="E312" s="44"/>
      <c r="F312" s="44"/>
      <c r="G312" s="44" t="s">
        <v>14882</v>
      </c>
      <c r="H312" s="44" t="s">
        <v>14872</v>
      </c>
      <c r="I312" s="44" t="s">
        <v>14883</v>
      </c>
      <c r="J312" s="44" t="s">
        <v>14874</v>
      </c>
      <c r="K312" s="44" t="s">
        <v>14875</v>
      </c>
      <c r="L312" s="44" t="s">
        <v>8486</v>
      </c>
      <c r="M312" s="44" t="s">
        <v>14876</v>
      </c>
    </row>
    <row r="313" customFormat="false" ht="22.35" hidden="false" customHeight="false" outlineLevel="0" collapsed="false">
      <c r="A313" s="44" t="s">
        <v>15542</v>
      </c>
      <c r="B313" s="44" t="s">
        <v>8482</v>
      </c>
      <c r="C313" s="44" t="s">
        <v>8483</v>
      </c>
      <c r="D313" s="44" t="s">
        <v>15543</v>
      </c>
      <c r="E313" s="44"/>
      <c r="F313" s="44"/>
      <c r="G313" s="44" t="s">
        <v>14882</v>
      </c>
      <c r="H313" s="44" t="s">
        <v>14872</v>
      </c>
      <c r="I313" s="44" t="s">
        <v>14883</v>
      </c>
      <c r="J313" s="44" t="s">
        <v>14874</v>
      </c>
      <c r="K313" s="44" t="s">
        <v>14875</v>
      </c>
      <c r="L313" s="44" t="s">
        <v>8486</v>
      </c>
      <c r="M313" s="44" t="s">
        <v>14876</v>
      </c>
    </row>
    <row r="314" customFormat="false" ht="22.35" hidden="false" customHeight="false" outlineLevel="0" collapsed="false">
      <c r="A314" s="44" t="s">
        <v>15544</v>
      </c>
      <c r="B314" s="44" t="s">
        <v>8487</v>
      </c>
      <c r="C314" s="44" t="s">
        <v>8488</v>
      </c>
      <c r="D314" s="44" t="s">
        <v>15545</v>
      </c>
      <c r="E314" s="44" t="s">
        <v>2294</v>
      </c>
      <c r="F314" s="44" t="s">
        <v>2295</v>
      </c>
      <c r="G314" s="44" t="s">
        <v>14871</v>
      </c>
      <c r="H314" s="44" t="s">
        <v>14872</v>
      </c>
      <c r="I314" s="44" t="s">
        <v>14879</v>
      </c>
      <c r="J314" s="44" t="s">
        <v>14874</v>
      </c>
      <c r="K314" s="44" t="s">
        <v>14875</v>
      </c>
      <c r="L314" s="44" t="s">
        <v>8493</v>
      </c>
      <c r="M314" s="44" t="s">
        <v>14876</v>
      </c>
    </row>
    <row r="315" customFormat="false" ht="22.35" hidden="false" customHeight="false" outlineLevel="0" collapsed="false">
      <c r="A315" s="44" t="s">
        <v>15546</v>
      </c>
      <c r="B315" s="44" t="s">
        <v>8487</v>
      </c>
      <c r="C315" s="44" t="s">
        <v>8488</v>
      </c>
      <c r="D315" s="44" t="s">
        <v>15547</v>
      </c>
      <c r="E315" s="44" t="s">
        <v>4285</v>
      </c>
      <c r="F315" s="44" t="s">
        <v>4286</v>
      </c>
      <c r="G315" s="44" t="s">
        <v>14871</v>
      </c>
      <c r="H315" s="44" t="s">
        <v>14872</v>
      </c>
      <c r="I315" s="44" t="s">
        <v>14873</v>
      </c>
      <c r="J315" s="44" t="s">
        <v>14874</v>
      </c>
      <c r="K315" s="44" t="s">
        <v>14875</v>
      </c>
      <c r="L315" s="44" t="s">
        <v>8493</v>
      </c>
      <c r="M315" s="44" t="s">
        <v>14876</v>
      </c>
    </row>
    <row r="316" customFormat="false" ht="22.35" hidden="false" customHeight="false" outlineLevel="0" collapsed="false">
      <c r="A316" s="44" t="s">
        <v>15548</v>
      </c>
      <c r="B316" s="44" t="s">
        <v>8487</v>
      </c>
      <c r="C316" s="44" t="s">
        <v>8488</v>
      </c>
      <c r="D316" s="44" t="s">
        <v>15549</v>
      </c>
      <c r="E316" s="44" t="s">
        <v>15550</v>
      </c>
      <c r="F316" s="44" t="s">
        <v>15551</v>
      </c>
      <c r="G316" s="44" t="s">
        <v>14871</v>
      </c>
      <c r="H316" s="44" t="s">
        <v>14872</v>
      </c>
      <c r="I316" s="44" t="s">
        <v>14873</v>
      </c>
      <c r="J316" s="44" t="s">
        <v>14874</v>
      </c>
      <c r="K316" s="44" t="s">
        <v>14875</v>
      </c>
      <c r="L316" s="44" t="s">
        <v>8493</v>
      </c>
      <c r="M316" s="44" t="s">
        <v>14876</v>
      </c>
    </row>
    <row r="317" customFormat="false" ht="22.35" hidden="false" customHeight="false" outlineLevel="0" collapsed="false">
      <c r="A317" s="44" t="s">
        <v>15552</v>
      </c>
      <c r="B317" s="44" t="s">
        <v>8487</v>
      </c>
      <c r="C317" s="44" t="s">
        <v>8488</v>
      </c>
      <c r="D317" s="44" t="s">
        <v>15553</v>
      </c>
      <c r="E317" s="44"/>
      <c r="F317" s="44"/>
      <c r="G317" s="44" t="s">
        <v>14882</v>
      </c>
      <c r="H317" s="44" t="s">
        <v>14872</v>
      </c>
      <c r="I317" s="44" t="s">
        <v>14883</v>
      </c>
      <c r="J317" s="44" t="s">
        <v>14874</v>
      </c>
      <c r="K317" s="44" t="s">
        <v>14875</v>
      </c>
      <c r="L317" s="44" t="s">
        <v>8493</v>
      </c>
      <c r="M317" s="44" t="s">
        <v>14876</v>
      </c>
    </row>
    <row r="318" customFormat="false" ht="22.35" hidden="false" customHeight="false" outlineLevel="0" collapsed="false">
      <c r="A318" s="44" t="s">
        <v>15554</v>
      </c>
      <c r="B318" s="44" t="s">
        <v>8487</v>
      </c>
      <c r="C318" s="44" t="s">
        <v>8488</v>
      </c>
      <c r="D318" s="44" t="s">
        <v>15555</v>
      </c>
      <c r="E318" s="44" t="s">
        <v>15556</v>
      </c>
      <c r="F318" s="44" t="s">
        <v>15557</v>
      </c>
      <c r="G318" s="44" t="s">
        <v>14871</v>
      </c>
      <c r="H318" s="44" t="s">
        <v>14872</v>
      </c>
      <c r="I318" s="44" t="s">
        <v>14886</v>
      </c>
      <c r="J318" s="44" t="s">
        <v>14874</v>
      </c>
      <c r="K318" s="44" t="s">
        <v>14875</v>
      </c>
      <c r="L318" s="44" t="s">
        <v>8493</v>
      </c>
      <c r="M318" s="44" t="s">
        <v>14876</v>
      </c>
    </row>
    <row r="319" customFormat="false" ht="22.35" hidden="false" customHeight="false" outlineLevel="0" collapsed="false">
      <c r="A319" s="44" t="s">
        <v>15558</v>
      </c>
      <c r="B319" s="44" t="s">
        <v>8494</v>
      </c>
      <c r="C319" s="44" t="s">
        <v>8495</v>
      </c>
      <c r="D319" s="44" t="s">
        <v>15559</v>
      </c>
      <c r="E319" s="44" t="s">
        <v>3438</v>
      </c>
      <c r="F319" s="44" t="s">
        <v>3439</v>
      </c>
      <c r="G319" s="44" t="s">
        <v>14871</v>
      </c>
      <c r="H319" s="44" t="s">
        <v>14872</v>
      </c>
      <c r="I319" s="44" t="s">
        <v>14873</v>
      </c>
      <c r="J319" s="44" t="s">
        <v>14874</v>
      </c>
      <c r="K319" s="44" t="s">
        <v>14875</v>
      </c>
      <c r="L319" s="44" t="s">
        <v>8500</v>
      </c>
      <c r="M319" s="44" t="s">
        <v>14876</v>
      </c>
    </row>
    <row r="320" customFormat="false" ht="22.35" hidden="false" customHeight="false" outlineLevel="0" collapsed="false">
      <c r="A320" s="44" t="s">
        <v>15560</v>
      </c>
      <c r="B320" s="44" t="s">
        <v>8494</v>
      </c>
      <c r="C320" s="44" t="s">
        <v>8495</v>
      </c>
      <c r="D320" s="44" t="s">
        <v>15561</v>
      </c>
      <c r="E320" s="44" t="s">
        <v>1561</v>
      </c>
      <c r="F320" s="44" t="s">
        <v>1562</v>
      </c>
      <c r="G320" s="44" t="s">
        <v>14871</v>
      </c>
      <c r="H320" s="44" t="s">
        <v>14872</v>
      </c>
      <c r="I320" s="44" t="s">
        <v>14879</v>
      </c>
      <c r="J320" s="44" t="s">
        <v>14874</v>
      </c>
      <c r="K320" s="44" t="s">
        <v>14875</v>
      </c>
      <c r="L320" s="44" t="s">
        <v>8500</v>
      </c>
      <c r="M320" s="44" t="s">
        <v>14876</v>
      </c>
    </row>
    <row r="321" customFormat="false" ht="22.35" hidden="false" customHeight="false" outlineLevel="0" collapsed="false">
      <c r="A321" s="44" t="s">
        <v>15562</v>
      </c>
      <c r="B321" s="44" t="s">
        <v>8494</v>
      </c>
      <c r="C321" s="44" t="s">
        <v>8495</v>
      </c>
      <c r="D321" s="44" t="s">
        <v>15563</v>
      </c>
      <c r="E321" s="44" t="s">
        <v>4214</v>
      </c>
      <c r="F321" s="44" t="s">
        <v>4215</v>
      </c>
      <c r="G321" s="44" t="s">
        <v>14871</v>
      </c>
      <c r="H321" s="44" t="s">
        <v>14872</v>
      </c>
      <c r="I321" s="44" t="s">
        <v>14886</v>
      </c>
      <c r="J321" s="44" t="s">
        <v>14874</v>
      </c>
      <c r="K321" s="44" t="s">
        <v>14875</v>
      </c>
      <c r="L321" s="44" t="s">
        <v>8500</v>
      </c>
      <c r="M321" s="44" t="s">
        <v>14876</v>
      </c>
    </row>
    <row r="322" customFormat="false" ht="22.35" hidden="false" customHeight="false" outlineLevel="0" collapsed="false">
      <c r="A322" s="44" t="s">
        <v>15564</v>
      </c>
      <c r="B322" s="44" t="s">
        <v>8494</v>
      </c>
      <c r="C322" s="44" t="s">
        <v>8495</v>
      </c>
      <c r="D322" s="44" t="s">
        <v>15565</v>
      </c>
      <c r="E322" s="44"/>
      <c r="F322" s="44"/>
      <c r="G322" s="44" t="s">
        <v>14882</v>
      </c>
      <c r="H322" s="44" t="s">
        <v>14872</v>
      </c>
      <c r="I322" s="44" t="s">
        <v>14883</v>
      </c>
      <c r="J322" s="44" t="s">
        <v>14874</v>
      </c>
      <c r="K322" s="44" t="s">
        <v>14875</v>
      </c>
      <c r="L322" s="44" t="s">
        <v>8500</v>
      </c>
      <c r="M322" s="44" t="s">
        <v>14876</v>
      </c>
    </row>
    <row r="323" customFormat="false" ht="22.35" hidden="false" customHeight="false" outlineLevel="0" collapsed="false">
      <c r="A323" s="44" t="s">
        <v>15566</v>
      </c>
      <c r="B323" s="44" t="s">
        <v>8494</v>
      </c>
      <c r="C323" s="44" t="s">
        <v>8495</v>
      </c>
      <c r="D323" s="44" t="s">
        <v>15567</v>
      </c>
      <c r="E323" s="44" t="s">
        <v>15568</v>
      </c>
      <c r="F323" s="44" t="s">
        <v>15569</v>
      </c>
      <c r="G323" s="44" t="s">
        <v>14871</v>
      </c>
      <c r="H323" s="44" t="s">
        <v>14872</v>
      </c>
      <c r="I323" s="44" t="s">
        <v>14873</v>
      </c>
      <c r="J323" s="44" t="s">
        <v>14874</v>
      </c>
      <c r="K323" s="44" t="s">
        <v>14875</v>
      </c>
      <c r="L323" s="44" t="s">
        <v>8500</v>
      </c>
      <c r="M323" s="44" t="s">
        <v>14876</v>
      </c>
    </row>
    <row r="324" customFormat="false" ht="22.35" hidden="false" customHeight="false" outlineLevel="0" collapsed="false">
      <c r="A324" s="44" t="s">
        <v>15570</v>
      </c>
      <c r="B324" s="44" t="s">
        <v>8501</v>
      </c>
      <c r="C324" s="44" t="s">
        <v>8502</v>
      </c>
      <c r="D324" s="44" t="s">
        <v>15571</v>
      </c>
      <c r="E324" s="44" t="s">
        <v>15572</v>
      </c>
      <c r="F324" s="44" t="s">
        <v>15573</v>
      </c>
      <c r="G324" s="44" t="s">
        <v>14871</v>
      </c>
      <c r="H324" s="44" t="s">
        <v>14872</v>
      </c>
      <c r="I324" s="44" t="s">
        <v>14886</v>
      </c>
      <c r="J324" s="44" t="s">
        <v>14874</v>
      </c>
      <c r="K324" s="44" t="s">
        <v>14875</v>
      </c>
      <c r="L324" s="44" t="s">
        <v>8507</v>
      </c>
      <c r="M324" s="44" t="s">
        <v>14876</v>
      </c>
    </row>
    <row r="325" customFormat="false" ht="22.35" hidden="false" customHeight="false" outlineLevel="0" collapsed="false">
      <c r="A325" s="44" t="s">
        <v>15574</v>
      </c>
      <c r="B325" s="44" t="s">
        <v>8501</v>
      </c>
      <c r="C325" s="44" t="s">
        <v>8502</v>
      </c>
      <c r="D325" s="44" t="s">
        <v>15575</v>
      </c>
      <c r="E325" s="44"/>
      <c r="F325" s="44"/>
      <c r="G325" s="44" t="s">
        <v>14882</v>
      </c>
      <c r="H325" s="44" t="s">
        <v>14872</v>
      </c>
      <c r="I325" s="44" t="s">
        <v>14883</v>
      </c>
      <c r="J325" s="44" t="s">
        <v>14874</v>
      </c>
      <c r="K325" s="44" t="s">
        <v>14875</v>
      </c>
      <c r="L325" s="44" t="s">
        <v>8507</v>
      </c>
      <c r="M325" s="44" t="s">
        <v>14876</v>
      </c>
    </row>
    <row r="326" customFormat="false" ht="22.35" hidden="false" customHeight="false" outlineLevel="0" collapsed="false">
      <c r="A326" s="44" t="s">
        <v>15576</v>
      </c>
      <c r="B326" s="44" t="s">
        <v>8501</v>
      </c>
      <c r="C326" s="44" t="s">
        <v>8502</v>
      </c>
      <c r="D326" s="44" t="s">
        <v>15577</v>
      </c>
      <c r="E326" s="44" t="s">
        <v>3257</v>
      </c>
      <c r="F326" s="44" t="s">
        <v>3258</v>
      </c>
      <c r="G326" s="44" t="s">
        <v>14871</v>
      </c>
      <c r="H326" s="44" t="s">
        <v>14872</v>
      </c>
      <c r="I326" s="44" t="s">
        <v>14873</v>
      </c>
      <c r="J326" s="44" t="s">
        <v>14874</v>
      </c>
      <c r="K326" s="44" t="s">
        <v>14875</v>
      </c>
      <c r="L326" s="44" t="s">
        <v>8507</v>
      </c>
      <c r="M326" s="44" t="s">
        <v>14876</v>
      </c>
    </row>
    <row r="327" customFormat="false" ht="22.35" hidden="false" customHeight="false" outlineLevel="0" collapsed="false">
      <c r="A327" s="44" t="s">
        <v>15578</v>
      </c>
      <c r="B327" s="44" t="s">
        <v>8501</v>
      </c>
      <c r="C327" s="44" t="s">
        <v>8502</v>
      </c>
      <c r="D327" s="44" t="s">
        <v>15579</v>
      </c>
      <c r="E327" s="44"/>
      <c r="F327" s="44"/>
      <c r="G327" s="44" t="s">
        <v>14882</v>
      </c>
      <c r="H327" s="44" t="s">
        <v>14872</v>
      </c>
      <c r="I327" s="44" t="s">
        <v>14883</v>
      </c>
      <c r="J327" s="44" t="s">
        <v>14874</v>
      </c>
      <c r="K327" s="44" t="s">
        <v>14875</v>
      </c>
      <c r="L327" s="44" t="s">
        <v>8507</v>
      </c>
      <c r="M327" s="44" t="s">
        <v>14876</v>
      </c>
    </row>
    <row r="328" customFormat="false" ht="22.35" hidden="false" customHeight="false" outlineLevel="0" collapsed="false">
      <c r="A328" s="44" t="s">
        <v>15580</v>
      </c>
      <c r="B328" s="44" t="s">
        <v>8501</v>
      </c>
      <c r="C328" s="44" t="s">
        <v>8502</v>
      </c>
      <c r="D328" s="44" t="s">
        <v>15581</v>
      </c>
      <c r="E328" s="44" t="s">
        <v>3451</v>
      </c>
      <c r="F328" s="44" t="s">
        <v>3452</v>
      </c>
      <c r="G328" s="44" t="s">
        <v>14871</v>
      </c>
      <c r="H328" s="44" t="s">
        <v>14872</v>
      </c>
      <c r="I328" s="44" t="s">
        <v>14873</v>
      </c>
      <c r="J328" s="44" t="s">
        <v>14874</v>
      </c>
      <c r="K328" s="44" t="s">
        <v>14875</v>
      </c>
      <c r="L328" s="44" t="s">
        <v>8507</v>
      </c>
      <c r="M328" s="44" t="s">
        <v>14876</v>
      </c>
    </row>
    <row r="329" customFormat="false" ht="22.35" hidden="false" customHeight="false" outlineLevel="0" collapsed="false">
      <c r="A329" s="44" t="s">
        <v>15582</v>
      </c>
      <c r="B329" s="44" t="s">
        <v>8501</v>
      </c>
      <c r="C329" s="44" t="s">
        <v>8502</v>
      </c>
      <c r="D329" s="44" t="s">
        <v>15583</v>
      </c>
      <c r="E329" s="44" t="s">
        <v>200</v>
      </c>
      <c r="F329" s="44" t="s">
        <v>201</v>
      </c>
      <c r="G329" s="44" t="s">
        <v>14871</v>
      </c>
      <c r="H329" s="44" t="s">
        <v>14872</v>
      </c>
      <c r="I329" s="44" t="s">
        <v>14886</v>
      </c>
      <c r="J329" s="44" t="s">
        <v>14874</v>
      </c>
      <c r="K329" s="44" t="s">
        <v>14875</v>
      </c>
      <c r="L329" s="44" t="s">
        <v>8507</v>
      </c>
      <c r="M329" s="44" t="s">
        <v>14876</v>
      </c>
    </row>
    <row r="330" customFormat="false" ht="22.35" hidden="false" customHeight="false" outlineLevel="0" collapsed="false">
      <c r="A330" s="44" t="s">
        <v>15584</v>
      </c>
      <c r="B330" s="44" t="s">
        <v>8508</v>
      </c>
      <c r="C330" s="44" t="s">
        <v>8509</v>
      </c>
      <c r="D330" s="44" t="s">
        <v>15585</v>
      </c>
      <c r="E330" s="44" t="s">
        <v>3257</v>
      </c>
      <c r="F330" s="44" t="s">
        <v>3258</v>
      </c>
      <c r="G330" s="44" t="s">
        <v>14871</v>
      </c>
      <c r="H330" s="44" t="s">
        <v>14872</v>
      </c>
      <c r="I330" s="44" t="s">
        <v>14873</v>
      </c>
      <c r="J330" s="44" t="s">
        <v>14874</v>
      </c>
      <c r="K330" s="44" t="s">
        <v>14875</v>
      </c>
      <c r="L330" s="44" t="s">
        <v>8513</v>
      </c>
      <c r="M330" s="44" t="s">
        <v>14876</v>
      </c>
    </row>
    <row r="331" customFormat="false" ht="22.35" hidden="false" customHeight="false" outlineLevel="0" collapsed="false">
      <c r="A331" s="44" t="s">
        <v>15586</v>
      </c>
      <c r="B331" s="44" t="s">
        <v>8508</v>
      </c>
      <c r="C331" s="44" t="s">
        <v>8509</v>
      </c>
      <c r="D331" s="44" t="s">
        <v>15587</v>
      </c>
      <c r="E331" s="44" t="s">
        <v>934</v>
      </c>
      <c r="F331" s="44" t="s">
        <v>935</v>
      </c>
      <c r="G331" s="44" t="s">
        <v>14871</v>
      </c>
      <c r="H331" s="44" t="s">
        <v>14872</v>
      </c>
      <c r="I331" s="44" t="s">
        <v>14873</v>
      </c>
      <c r="J331" s="44" t="s">
        <v>14874</v>
      </c>
      <c r="K331" s="44" t="s">
        <v>14875</v>
      </c>
      <c r="L331" s="44" t="s">
        <v>8513</v>
      </c>
      <c r="M331" s="44" t="s">
        <v>14876</v>
      </c>
    </row>
    <row r="332" customFormat="false" ht="22.35" hidden="false" customHeight="false" outlineLevel="0" collapsed="false">
      <c r="A332" s="44" t="s">
        <v>15588</v>
      </c>
      <c r="B332" s="44" t="s">
        <v>8508</v>
      </c>
      <c r="C332" s="44" t="s">
        <v>8509</v>
      </c>
      <c r="D332" s="44" t="s">
        <v>15589</v>
      </c>
      <c r="E332" s="44" t="s">
        <v>196</v>
      </c>
      <c r="F332" s="44" t="s">
        <v>59</v>
      </c>
      <c r="G332" s="44" t="s">
        <v>14871</v>
      </c>
      <c r="H332" s="44" t="s">
        <v>14872</v>
      </c>
      <c r="I332" s="44" t="s">
        <v>14886</v>
      </c>
      <c r="J332" s="44" t="s">
        <v>14874</v>
      </c>
      <c r="K332" s="44" t="s">
        <v>14875</v>
      </c>
      <c r="L332" s="44" t="s">
        <v>8513</v>
      </c>
      <c r="M332" s="44" t="s">
        <v>14876</v>
      </c>
    </row>
    <row r="333" customFormat="false" ht="22.35" hidden="false" customHeight="false" outlineLevel="0" collapsed="false">
      <c r="A333" s="44" t="s">
        <v>15590</v>
      </c>
      <c r="B333" s="44" t="s">
        <v>8508</v>
      </c>
      <c r="C333" s="44" t="s">
        <v>8509</v>
      </c>
      <c r="D333" s="44" t="s">
        <v>15591</v>
      </c>
      <c r="E333" s="44"/>
      <c r="F333" s="44"/>
      <c r="G333" s="44" t="s">
        <v>14882</v>
      </c>
      <c r="H333" s="44" t="s">
        <v>14872</v>
      </c>
      <c r="I333" s="44" t="s">
        <v>14883</v>
      </c>
      <c r="J333" s="44" t="s">
        <v>14874</v>
      </c>
      <c r="K333" s="44" t="s">
        <v>14875</v>
      </c>
      <c r="L333" s="44" t="s">
        <v>8513</v>
      </c>
      <c r="M333" s="44" t="s">
        <v>14876</v>
      </c>
    </row>
    <row r="334" customFormat="false" ht="22.35" hidden="false" customHeight="false" outlineLevel="0" collapsed="false">
      <c r="A334" s="44" t="s">
        <v>15592</v>
      </c>
      <c r="B334" s="44" t="s">
        <v>8514</v>
      </c>
      <c r="C334" s="44" t="s">
        <v>8515</v>
      </c>
      <c r="D334" s="44" t="s">
        <v>15593</v>
      </c>
      <c r="E334" s="44" t="s">
        <v>231</v>
      </c>
      <c r="F334" s="44" t="s">
        <v>232</v>
      </c>
      <c r="G334" s="44" t="s">
        <v>14871</v>
      </c>
      <c r="H334" s="44" t="s">
        <v>14872</v>
      </c>
      <c r="I334" s="44" t="s">
        <v>14873</v>
      </c>
      <c r="J334" s="44" t="s">
        <v>14874</v>
      </c>
      <c r="K334" s="44" t="s">
        <v>14875</v>
      </c>
      <c r="L334" s="44" t="s">
        <v>8520</v>
      </c>
      <c r="M334" s="44" t="s">
        <v>14876</v>
      </c>
    </row>
    <row r="335" customFormat="false" ht="22.35" hidden="false" customHeight="false" outlineLevel="0" collapsed="false">
      <c r="A335" s="44" t="s">
        <v>15594</v>
      </c>
      <c r="B335" s="44" t="s">
        <v>8514</v>
      </c>
      <c r="C335" s="44" t="s">
        <v>8515</v>
      </c>
      <c r="D335" s="44" t="s">
        <v>15595</v>
      </c>
      <c r="E335" s="44" t="s">
        <v>925</v>
      </c>
      <c r="F335" s="44" t="s">
        <v>926</v>
      </c>
      <c r="G335" s="44" t="s">
        <v>14871</v>
      </c>
      <c r="H335" s="44" t="s">
        <v>14872</v>
      </c>
      <c r="I335" s="44" t="s">
        <v>14873</v>
      </c>
      <c r="J335" s="44" t="s">
        <v>14874</v>
      </c>
      <c r="K335" s="44" t="s">
        <v>14875</v>
      </c>
      <c r="L335" s="44" t="s">
        <v>8520</v>
      </c>
      <c r="M335" s="44" t="s">
        <v>14876</v>
      </c>
    </row>
    <row r="336" customFormat="false" ht="22.35" hidden="false" customHeight="false" outlineLevel="0" collapsed="false">
      <c r="A336" s="44" t="s">
        <v>15596</v>
      </c>
      <c r="B336" s="44" t="s">
        <v>8514</v>
      </c>
      <c r="C336" s="44" t="s">
        <v>8515</v>
      </c>
      <c r="D336" s="44" t="s">
        <v>15597</v>
      </c>
      <c r="E336" s="44" t="s">
        <v>3251</v>
      </c>
      <c r="F336" s="44" t="s">
        <v>3252</v>
      </c>
      <c r="G336" s="44" t="s">
        <v>14871</v>
      </c>
      <c r="H336" s="44" t="s">
        <v>14872</v>
      </c>
      <c r="I336" s="44" t="s">
        <v>14886</v>
      </c>
      <c r="J336" s="44" t="s">
        <v>14874</v>
      </c>
      <c r="K336" s="44" t="s">
        <v>14875</v>
      </c>
      <c r="L336" s="44" t="s">
        <v>8520</v>
      </c>
      <c r="M336" s="44" t="s">
        <v>14876</v>
      </c>
    </row>
    <row r="337" customFormat="false" ht="22.35" hidden="false" customHeight="false" outlineLevel="0" collapsed="false">
      <c r="A337" s="44" t="s">
        <v>15598</v>
      </c>
      <c r="B337" s="44" t="s">
        <v>8514</v>
      </c>
      <c r="C337" s="44" t="s">
        <v>8515</v>
      </c>
      <c r="D337" s="44" t="s">
        <v>15599</v>
      </c>
      <c r="E337" s="44" t="s">
        <v>5906</v>
      </c>
      <c r="F337" s="44" t="s">
        <v>130</v>
      </c>
      <c r="G337" s="44" t="s">
        <v>14871</v>
      </c>
      <c r="H337" s="44" t="s">
        <v>14872</v>
      </c>
      <c r="I337" s="44" t="s">
        <v>14886</v>
      </c>
      <c r="J337" s="44" t="s">
        <v>14874</v>
      </c>
      <c r="K337" s="44" t="s">
        <v>14875</v>
      </c>
      <c r="L337" s="44" t="s">
        <v>8520</v>
      </c>
      <c r="M337" s="44" t="s">
        <v>14876</v>
      </c>
    </row>
    <row r="338" customFormat="false" ht="22.35" hidden="false" customHeight="false" outlineLevel="0" collapsed="false">
      <c r="A338" s="44" t="s">
        <v>15600</v>
      </c>
      <c r="B338" s="44" t="s">
        <v>8514</v>
      </c>
      <c r="C338" s="44" t="s">
        <v>8515</v>
      </c>
      <c r="D338" s="44" t="s">
        <v>15601</v>
      </c>
      <c r="E338" s="44"/>
      <c r="F338" s="44"/>
      <c r="G338" s="44" t="s">
        <v>14882</v>
      </c>
      <c r="H338" s="44" t="s">
        <v>14872</v>
      </c>
      <c r="I338" s="44" t="s">
        <v>14883</v>
      </c>
      <c r="J338" s="44" t="s">
        <v>14874</v>
      </c>
      <c r="K338" s="44" t="s">
        <v>14875</v>
      </c>
      <c r="L338" s="44" t="s">
        <v>8520</v>
      </c>
      <c r="M338" s="44" t="s">
        <v>14876</v>
      </c>
    </row>
    <row r="339" customFormat="false" ht="22.35" hidden="false" customHeight="false" outlineLevel="0" collapsed="false">
      <c r="A339" s="44" t="s">
        <v>15602</v>
      </c>
      <c r="B339" s="44" t="s">
        <v>8521</v>
      </c>
      <c r="C339" s="44" t="s">
        <v>8522</v>
      </c>
      <c r="D339" s="44" t="s">
        <v>15603</v>
      </c>
      <c r="E339" s="44" t="s">
        <v>15604</v>
      </c>
      <c r="F339" s="44" t="s">
        <v>15605</v>
      </c>
      <c r="G339" s="44" t="s">
        <v>14871</v>
      </c>
      <c r="H339" s="44" t="s">
        <v>14872</v>
      </c>
      <c r="I339" s="44" t="s">
        <v>14873</v>
      </c>
      <c r="J339" s="44" t="s">
        <v>14874</v>
      </c>
      <c r="K339" s="44" t="s">
        <v>14875</v>
      </c>
      <c r="L339" s="44" t="s">
        <v>8526</v>
      </c>
      <c r="M339" s="44" t="s">
        <v>14876</v>
      </c>
    </row>
    <row r="340" customFormat="false" ht="22.35" hidden="false" customHeight="false" outlineLevel="0" collapsed="false">
      <c r="A340" s="44" t="s">
        <v>15606</v>
      </c>
      <c r="B340" s="44" t="s">
        <v>8521</v>
      </c>
      <c r="C340" s="44" t="s">
        <v>8522</v>
      </c>
      <c r="D340" s="44" t="s">
        <v>15607</v>
      </c>
      <c r="E340" s="44"/>
      <c r="F340" s="44"/>
      <c r="G340" s="44" t="s">
        <v>14882</v>
      </c>
      <c r="H340" s="44" t="s">
        <v>14872</v>
      </c>
      <c r="I340" s="44" t="s">
        <v>14883</v>
      </c>
      <c r="J340" s="44" t="s">
        <v>14874</v>
      </c>
      <c r="K340" s="44" t="s">
        <v>14875</v>
      </c>
      <c r="L340" s="44" t="s">
        <v>8526</v>
      </c>
      <c r="M340" s="44" t="s">
        <v>14876</v>
      </c>
    </row>
    <row r="341" customFormat="false" ht="22.35" hidden="false" customHeight="false" outlineLevel="0" collapsed="false">
      <c r="A341" s="44" t="s">
        <v>15608</v>
      </c>
      <c r="B341" s="44" t="s">
        <v>8521</v>
      </c>
      <c r="C341" s="44" t="s">
        <v>8522</v>
      </c>
      <c r="D341" s="44" t="s">
        <v>15609</v>
      </c>
      <c r="E341" s="44" t="s">
        <v>15610</v>
      </c>
      <c r="F341" s="44" t="s">
        <v>15611</v>
      </c>
      <c r="G341" s="44" t="s">
        <v>14871</v>
      </c>
      <c r="H341" s="44" t="s">
        <v>14872</v>
      </c>
      <c r="I341" s="44" t="s">
        <v>14886</v>
      </c>
      <c r="J341" s="44" t="s">
        <v>14874</v>
      </c>
      <c r="K341" s="44" t="s">
        <v>14875</v>
      </c>
      <c r="L341" s="44" t="s">
        <v>8526</v>
      </c>
      <c r="M341" s="44" t="s">
        <v>14876</v>
      </c>
    </row>
    <row r="342" customFormat="false" ht="22.35" hidden="false" customHeight="false" outlineLevel="0" collapsed="false">
      <c r="A342" s="44" t="s">
        <v>15612</v>
      </c>
      <c r="B342" s="44" t="s">
        <v>8521</v>
      </c>
      <c r="C342" s="44" t="s">
        <v>8522</v>
      </c>
      <c r="D342" s="44" t="s">
        <v>15613</v>
      </c>
      <c r="E342" s="44" t="s">
        <v>2375</v>
      </c>
      <c r="F342" s="44" t="s">
        <v>2376</v>
      </c>
      <c r="G342" s="44" t="s">
        <v>14871</v>
      </c>
      <c r="H342" s="44" t="s">
        <v>14872</v>
      </c>
      <c r="I342" s="44" t="s">
        <v>14873</v>
      </c>
      <c r="J342" s="44" t="s">
        <v>14874</v>
      </c>
      <c r="K342" s="44" t="s">
        <v>14875</v>
      </c>
      <c r="L342" s="44" t="s">
        <v>8526</v>
      </c>
      <c r="M342" s="44" t="s">
        <v>14876</v>
      </c>
    </row>
    <row r="343" customFormat="false" ht="22.35" hidden="false" customHeight="false" outlineLevel="0" collapsed="false">
      <c r="A343" s="44" t="s">
        <v>15614</v>
      </c>
      <c r="B343" s="44" t="s">
        <v>8521</v>
      </c>
      <c r="C343" s="44" t="s">
        <v>8522</v>
      </c>
      <c r="D343" s="44" t="s">
        <v>15615</v>
      </c>
      <c r="E343" s="44"/>
      <c r="F343" s="44"/>
      <c r="G343" s="44" t="s">
        <v>14882</v>
      </c>
      <c r="H343" s="44" t="s">
        <v>14872</v>
      </c>
      <c r="I343" s="44" t="s">
        <v>14883</v>
      </c>
      <c r="J343" s="44" t="s">
        <v>14874</v>
      </c>
      <c r="K343" s="44" t="s">
        <v>14875</v>
      </c>
      <c r="L343" s="44" t="s">
        <v>8526</v>
      </c>
      <c r="M343" s="44" t="s">
        <v>14876</v>
      </c>
    </row>
    <row r="344" customFormat="false" ht="22.35" hidden="false" customHeight="false" outlineLevel="0" collapsed="false">
      <c r="A344" s="44" t="s">
        <v>15616</v>
      </c>
      <c r="B344" s="44" t="s">
        <v>8527</v>
      </c>
      <c r="C344" s="44" t="s">
        <v>8528</v>
      </c>
      <c r="D344" s="44" t="s">
        <v>15617</v>
      </c>
      <c r="E344" s="44" t="s">
        <v>3246</v>
      </c>
      <c r="F344" s="44" t="s">
        <v>3247</v>
      </c>
      <c r="G344" s="44" t="s">
        <v>14871</v>
      </c>
      <c r="H344" s="44" t="s">
        <v>14872</v>
      </c>
      <c r="I344" s="44" t="s">
        <v>14873</v>
      </c>
      <c r="J344" s="44" t="s">
        <v>14874</v>
      </c>
      <c r="K344" s="44" t="s">
        <v>14875</v>
      </c>
      <c r="L344" s="44" t="s">
        <v>8533</v>
      </c>
      <c r="M344" s="44" t="s">
        <v>14876</v>
      </c>
    </row>
    <row r="345" customFormat="false" ht="22.35" hidden="false" customHeight="false" outlineLevel="0" collapsed="false">
      <c r="A345" s="44" t="s">
        <v>15618</v>
      </c>
      <c r="B345" s="44" t="s">
        <v>8527</v>
      </c>
      <c r="C345" s="44" t="s">
        <v>8528</v>
      </c>
      <c r="D345" s="44" t="s">
        <v>15619</v>
      </c>
      <c r="E345" s="44"/>
      <c r="F345" s="44"/>
      <c r="G345" s="44" t="s">
        <v>14882</v>
      </c>
      <c r="H345" s="44" t="s">
        <v>14872</v>
      </c>
      <c r="I345" s="44" t="s">
        <v>14883</v>
      </c>
      <c r="J345" s="44" t="s">
        <v>14874</v>
      </c>
      <c r="K345" s="44" t="s">
        <v>14875</v>
      </c>
      <c r="L345" s="44" t="s">
        <v>8533</v>
      </c>
      <c r="M345" s="44" t="s">
        <v>14876</v>
      </c>
    </row>
    <row r="346" customFormat="false" ht="22.35" hidden="false" customHeight="false" outlineLevel="0" collapsed="false">
      <c r="A346" s="44" t="s">
        <v>15620</v>
      </c>
      <c r="B346" s="44" t="s">
        <v>8527</v>
      </c>
      <c r="C346" s="44" t="s">
        <v>8528</v>
      </c>
      <c r="D346" s="44" t="s">
        <v>15621</v>
      </c>
      <c r="E346" s="44" t="s">
        <v>5145</v>
      </c>
      <c r="F346" s="44" t="s">
        <v>5146</v>
      </c>
      <c r="G346" s="44" t="s">
        <v>14871</v>
      </c>
      <c r="H346" s="44" t="s">
        <v>14872</v>
      </c>
      <c r="I346" s="44" t="s">
        <v>14886</v>
      </c>
      <c r="J346" s="44" t="s">
        <v>14874</v>
      </c>
      <c r="K346" s="44" t="s">
        <v>14875</v>
      </c>
      <c r="L346" s="44" t="s">
        <v>8533</v>
      </c>
      <c r="M346" s="44" t="s">
        <v>14876</v>
      </c>
    </row>
    <row r="347" customFormat="false" ht="22.35" hidden="false" customHeight="false" outlineLevel="0" collapsed="false">
      <c r="A347" s="44" t="s">
        <v>15622</v>
      </c>
      <c r="B347" s="44" t="s">
        <v>8527</v>
      </c>
      <c r="C347" s="44" t="s">
        <v>8528</v>
      </c>
      <c r="D347" s="44" t="s">
        <v>15623</v>
      </c>
      <c r="E347" s="44" t="s">
        <v>4525</v>
      </c>
      <c r="F347" s="44" t="s">
        <v>4526</v>
      </c>
      <c r="G347" s="44" t="s">
        <v>14871</v>
      </c>
      <c r="H347" s="44" t="s">
        <v>14872</v>
      </c>
      <c r="I347" s="44" t="s">
        <v>14873</v>
      </c>
      <c r="J347" s="44" t="s">
        <v>14874</v>
      </c>
      <c r="K347" s="44" t="s">
        <v>14875</v>
      </c>
      <c r="L347" s="44" t="s">
        <v>8533</v>
      </c>
      <c r="M347" s="44" t="s">
        <v>14876</v>
      </c>
    </row>
    <row r="348" customFormat="false" ht="22.35" hidden="false" customHeight="false" outlineLevel="0" collapsed="false">
      <c r="A348" s="44" t="s">
        <v>15624</v>
      </c>
      <c r="B348" s="44" t="s">
        <v>8534</v>
      </c>
      <c r="C348" s="44" t="s">
        <v>8535</v>
      </c>
      <c r="D348" s="44" t="s">
        <v>15625</v>
      </c>
      <c r="E348" s="44" t="s">
        <v>15626</v>
      </c>
      <c r="F348" s="44" t="s">
        <v>15627</v>
      </c>
      <c r="G348" s="44" t="s">
        <v>14871</v>
      </c>
      <c r="H348" s="44" t="s">
        <v>14872</v>
      </c>
      <c r="I348" s="44" t="s">
        <v>14873</v>
      </c>
      <c r="J348" s="44" t="s">
        <v>14874</v>
      </c>
      <c r="K348" s="44" t="s">
        <v>14875</v>
      </c>
      <c r="L348" s="44" t="s">
        <v>8541</v>
      </c>
      <c r="M348" s="44" t="s">
        <v>14876</v>
      </c>
    </row>
    <row r="349" customFormat="false" ht="22.35" hidden="false" customHeight="false" outlineLevel="0" collapsed="false">
      <c r="A349" s="44" t="s">
        <v>15628</v>
      </c>
      <c r="B349" s="44" t="s">
        <v>8534</v>
      </c>
      <c r="C349" s="44" t="s">
        <v>8535</v>
      </c>
      <c r="D349" s="44" t="s">
        <v>15629</v>
      </c>
      <c r="E349" s="44"/>
      <c r="F349" s="44"/>
      <c r="G349" s="44" t="s">
        <v>14882</v>
      </c>
      <c r="H349" s="44" t="s">
        <v>14872</v>
      </c>
      <c r="I349" s="44" t="s">
        <v>14883</v>
      </c>
      <c r="J349" s="44" t="s">
        <v>14874</v>
      </c>
      <c r="K349" s="44" t="s">
        <v>14875</v>
      </c>
      <c r="L349" s="44" t="s">
        <v>8541</v>
      </c>
      <c r="M349" s="44" t="s">
        <v>14876</v>
      </c>
    </row>
    <row r="350" customFormat="false" ht="22.35" hidden="false" customHeight="false" outlineLevel="0" collapsed="false">
      <c r="A350" s="44" t="s">
        <v>15630</v>
      </c>
      <c r="B350" s="44" t="s">
        <v>8534</v>
      </c>
      <c r="C350" s="44" t="s">
        <v>8535</v>
      </c>
      <c r="D350" s="44" t="s">
        <v>15631</v>
      </c>
      <c r="E350" s="44" t="s">
        <v>2375</v>
      </c>
      <c r="F350" s="44" t="s">
        <v>2376</v>
      </c>
      <c r="G350" s="44" t="s">
        <v>14871</v>
      </c>
      <c r="H350" s="44" t="s">
        <v>14872</v>
      </c>
      <c r="I350" s="44" t="s">
        <v>14873</v>
      </c>
      <c r="J350" s="44" t="s">
        <v>14874</v>
      </c>
      <c r="K350" s="44" t="s">
        <v>14875</v>
      </c>
      <c r="L350" s="44" t="s">
        <v>8541</v>
      </c>
      <c r="M350" s="44" t="s">
        <v>14876</v>
      </c>
    </row>
    <row r="351" customFormat="false" ht="22.35" hidden="false" customHeight="false" outlineLevel="0" collapsed="false">
      <c r="A351" s="44" t="s">
        <v>15632</v>
      </c>
      <c r="B351" s="44" t="s">
        <v>8534</v>
      </c>
      <c r="C351" s="44" t="s">
        <v>8535</v>
      </c>
      <c r="D351" s="44" t="s">
        <v>15633</v>
      </c>
      <c r="E351" s="44" t="s">
        <v>4214</v>
      </c>
      <c r="F351" s="44" t="s">
        <v>4215</v>
      </c>
      <c r="G351" s="44" t="s">
        <v>14871</v>
      </c>
      <c r="H351" s="44" t="s">
        <v>14872</v>
      </c>
      <c r="I351" s="44" t="s">
        <v>14886</v>
      </c>
      <c r="J351" s="44" t="s">
        <v>14874</v>
      </c>
      <c r="K351" s="44" t="s">
        <v>14875</v>
      </c>
      <c r="L351" s="44" t="s">
        <v>8541</v>
      </c>
      <c r="M351" s="44" t="s">
        <v>14876</v>
      </c>
    </row>
    <row r="352" customFormat="false" ht="22.35" hidden="false" customHeight="false" outlineLevel="0" collapsed="false">
      <c r="A352" s="44" t="s">
        <v>15634</v>
      </c>
      <c r="B352" s="44" t="s">
        <v>8542</v>
      </c>
      <c r="C352" s="44" t="s">
        <v>8543</v>
      </c>
      <c r="D352" s="44" t="s">
        <v>15635</v>
      </c>
      <c r="E352" s="44" t="s">
        <v>1233</v>
      </c>
      <c r="F352" s="44" t="s">
        <v>1234</v>
      </c>
      <c r="G352" s="44" t="s">
        <v>14871</v>
      </c>
      <c r="H352" s="44" t="s">
        <v>14872</v>
      </c>
      <c r="I352" s="44" t="s">
        <v>14873</v>
      </c>
      <c r="J352" s="44" t="s">
        <v>14874</v>
      </c>
      <c r="K352" s="44" t="s">
        <v>14875</v>
      </c>
      <c r="L352" s="44" t="s">
        <v>8548</v>
      </c>
      <c r="M352" s="44" t="s">
        <v>14876</v>
      </c>
    </row>
    <row r="353" customFormat="false" ht="22.35" hidden="false" customHeight="false" outlineLevel="0" collapsed="false">
      <c r="A353" s="44" t="s">
        <v>15636</v>
      </c>
      <c r="B353" s="44" t="s">
        <v>8542</v>
      </c>
      <c r="C353" s="44" t="s">
        <v>8543</v>
      </c>
      <c r="D353" s="44" t="s">
        <v>15637</v>
      </c>
      <c r="E353" s="44" t="s">
        <v>4895</v>
      </c>
      <c r="F353" s="44" t="s">
        <v>4896</v>
      </c>
      <c r="G353" s="44" t="s">
        <v>14871</v>
      </c>
      <c r="H353" s="44" t="s">
        <v>14872</v>
      </c>
      <c r="I353" s="44" t="s">
        <v>14886</v>
      </c>
      <c r="J353" s="44" t="s">
        <v>14874</v>
      </c>
      <c r="K353" s="44" t="s">
        <v>14875</v>
      </c>
      <c r="L353" s="44" t="s">
        <v>8548</v>
      </c>
      <c r="M353" s="44" t="s">
        <v>14876</v>
      </c>
    </row>
    <row r="354" customFormat="false" ht="22.35" hidden="false" customHeight="false" outlineLevel="0" collapsed="false">
      <c r="A354" s="44" t="s">
        <v>15638</v>
      </c>
      <c r="B354" s="44" t="s">
        <v>8542</v>
      </c>
      <c r="C354" s="44" t="s">
        <v>8543</v>
      </c>
      <c r="D354" s="44" t="s">
        <v>15454</v>
      </c>
      <c r="E354" s="44" t="s">
        <v>215</v>
      </c>
      <c r="F354" s="44" t="s">
        <v>216</v>
      </c>
      <c r="G354" s="44" t="s">
        <v>14871</v>
      </c>
      <c r="H354" s="44" t="s">
        <v>14872</v>
      </c>
      <c r="I354" s="44" t="s">
        <v>14873</v>
      </c>
      <c r="J354" s="44" t="s">
        <v>14874</v>
      </c>
      <c r="K354" s="44" t="s">
        <v>14875</v>
      </c>
      <c r="L354" s="44" t="s">
        <v>8548</v>
      </c>
      <c r="M354" s="44" t="s">
        <v>14876</v>
      </c>
    </row>
    <row r="355" customFormat="false" ht="22.35" hidden="false" customHeight="false" outlineLevel="0" collapsed="false">
      <c r="A355" s="44" t="s">
        <v>15639</v>
      </c>
      <c r="B355" s="44" t="s">
        <v>8542</v>
      </c>
      <c r="C355" s="44" t="s">
        <v>8543</v>
      </c>
      <c r="D355" s="44" t="s">
        <v>15640</v>
      </c>
      <c r="E355" s="44" t="s">
        <v>2761</v>
      </c>
      <c r="F355" s="44" t="s">
        <v>2762</v>
      </c>
      <c r="G355" s="44" t="s">
        <v>14871</v>
      </c>
      <c r="H355" s="44" t="s">
        <v>14872</v>
      </c>
      <c r="I355" s="44" t="s">
        <v>14886</v>
      </c>
      <c r="J355" s="44" t="s">
        <v>14874</v>
      </c>
      <c r="K355" s="44" t="s">
        <v>14875</v>
      </c>
      <c r="L355" s="44" t="s">
        <v>8548</v>
      </c>
      <c r="M355" s="44" t="s">
        <v>14876</v>
      </c>
    </row>
    <row r="356" customFormat="false" ht="22.35" hidden="false" customHeight="false" outlineLevel="0" collapsed="false">
      <c r="A356" s="44" t="s">
        <v>15641</v>
      </c>
      <c r="B356" s="44" t="s">
        <v>8542</v>
      </c>
      <c r="C356" s="44" t="s">
        <v>8543</v>
      </c>
      <c r="D356" s="44" t="s">
        <v>15642</v>
      </c>
      <c r="E356" s="44"/>
      <c r="F356" s="44"/>
      <c r="G356" s="44" t="s">
        <v>14882</v>
      </c>
      <c r="H356" s="44" t="s">
        <v>14872</v>
      </c>
      <c r="I356" s="44" t="s">
        <v>14883</v>
      </c>
      <c r="J356" s="44" t="s">
        <v>14874</v>
      </c>
      <c r="K356" s="44" t="s">
        <v>14875</v>
      </c>
      <c r="L356" s="44" t="s">
        <v>8548</v>
      </c>
      <c r="M356" s="44" t="s">
        <v>14876</v>
      </c>
    </row>
    <row r="357" customFormat="false" ht="22.35" hidden="false" customHeight="false" outlineLevel="0" collapsed="false">
      <c r="A357" s="44" t="s">
        <v>15643</v>
      </c>
      <c r="B357" s="44" t="s">
        <v>8549</v>
      </c>
      <c r="C357" s="44" t="s">
        <v>8550</v>
      </c>
      <c r="D357" s="44" t="s">
        <v>15644</v>
      </c>
      <c r="E357" s="44"/>
      <c r="F357" s="44"/>
      <c r="G357" s="44" t="s">
        <v>14882</v>
      </c>
      <c r="H357" s="44" t="s">
        <v>14872</v>
      </c>
      <c r="I357" s="44" t="s">
        <v>14883</v>
      </c>
      <c r="J357" s="44" t="s">
        <v>14874</v>
      </c>
      <c r="K357" s="44" t="s">
        <v>14875</v>
      </c>
      <c r="L357" s="44" t="s">
        <v>8555</v>
      </c>
      <c r="M357" s="44" t="s">
        <v>14876</v>
      </c>
    </row>
    <row r="358" customFormat="false" ht="22.35" hidden="false" customHeight="false" outlineLevel="0" collapsed="false">
      <c r="A358" s="44" t="s">
        <v>15645</v>
      </c>
      <c r="B358" s="44" t="s">
        <v>8549</v>
      </c>
      <c r="C358" s="44" t="s">
        <v>8550</v>
      </c>
      <c r="D358" s="44" t="s">
        <v>15646</v>
      </c>
      <c r="E358" s="44" t="s">
        <v>1233</v>
      </c>
      <c r="F358" s="44" t="s">
        <v>1234</v>
      </c>
      <c r="G358" s="44" t="s">
        <v>14871</v>
      </c>
      <c r="H358" s="44" t="s">
        <v>14872</v>
      </c>
      <c r="I358" s="44" t="s">
        <v>14873</v>
      </c>
      <c r="J358" s="44" t="s">
        <v>14874</v>
      </c>
      <c r="K358" s="44" t="s">
        <v>14875</v>
      </c>
      <c r="L358" s="44" t="s">
        <v>8555</v>
      </c>
      <c r="M358" s="44" t="s">
        <v>14876</v>
      </c>
    </row>
    <row r="359" customFormat="false" ht="22.35" hidden="false" customHeight="false" outlineLevel="0" collapsed="false">
      <c r="A359" s="44" t="s">
        <v>15647</v>
      </c>
      <c r="B359" s="44" t="s">
        <v>8549</v>
      </c>
      <c r="C359" s="44" t="s">
        <v>8550</v>
      </c>
      <c r="D359" s="44" t="s">
        <v>15648</v>
      </c>
      <c r="E359" s="44" t="s">
        <v>2200</v>
      </c>
      <c r="F359" s="44" t="s">
        <v>2201</v>
      </c>
      <c r="G359" s="44" t="s">
        <v>14871</v>
      </c>
      <c r="H359" s="44" t="s">
        <v>14872</v>
      </c>
      <c r="I359" s="44" t="s">
        <v>14873</v>
      </c>
      <c r="J359" s="44" t="s">
        <v>14874</v>
      </c>
      <c r="K359" s="44" t="s">
        <v>14875</v>
      </c>
      <c r="L359" s="44" t="s">
        <v>8555</v>
      </c>
      <c r="M359" s="44" t="s">
        <v>14876</v>
      </c>
    </row>
    <row r="360" customFormat="false" ht="22.35" hidden="false" customHeight="false" outlineLevel="0" collapsed="false">
      <c r="A360" s="44" t="s">
        <v>15649</v>
      </c>
      <c r="B360" s="44" t="s">
        <v>8549</v>
      </c>
      <c r="C360" s="44" t="s">
        <v>8550</v>
      </c>
      <c r="D360" s="44" t="s">
        <v>15650</v>
      </c>
      <c r="E360" s="44" t="s">
        <v>922</v>
      </c>
      <c r="F360" s="44" t="s">
        <v>923</v>
      </c>
      <c r="G360" s="44" t="s">
        <v>14871</v>
      </c>
      <c r="H360" s="44" t="s">
        <v>14872</v>
      </c>
      <c r="I360" s="44" t="s">
        <v>14886</v>
      </c>
      <c r="J360" s="44" t="s">
        <v>14874</v>
      </c>
      <c r="K360" s="44" t="s">
        <v>14875</v>
      </c>
      <c r="L360" s="44" t="s">
        <v>8555</v>
      </c>
      <c r="M360" s="44" t="s">
        <v>14876</v>
      </c>
    </row>
    <row r="361" customFormat="false" ht="22.35" hidden="false" customHeight="false" outlineLevel="0" collapsed="false">
      <c r="A361" s="44" t="s">
        <v>15651</v>
      </c>
      <c r="B361" s="44" t="s">
        <v>8556</v>
      </c>
      <c r="C361" s="44" t="s">
        <v>8557</v>
      </c>
      <c r="D361" s="44" t="s">
        <v>15652</v>
      </c>
      <c r="E361" s="44" t="s">
        <v>6785</v>
      </c>
      <c r="F361" s="44" t="s">
        <v>6786</v>
      </c>
      <c r="G361" s="44" t="s">
        <v>14871</v>
      </c>
      <c r="H361" s="44" t="s">
        <v>14872</v>
      </c>
      <c r="I361" s="44" t="s">
        <v>14886</v>
      </c>
      <c r="J361" s="44" t="s">
        <v>14874</v>
      </c>
      <c r="K361" s="44" t="s">
        <v>14875</v>
      </c>
      <c r="L361" s="44" t="s">
        <v>8562</v>
      </c>
      <c r="M361" s="44" t="s">
        <v>14876</v>
      </c>
    </row>
    <row r="362" customFormat="false" ht="22.35" hidden="false" customHeight="false" outlineLevel="0" collapsed="false">
      <c r="A362" s="44" t="s">
        <v>15653</v>
      </c>
      <c r="B362" s="44" t="s">
        <v>8556</v>
      </c>
      <c r="C362" s="44" t="s">
        <v>8557</v>
      </c>
      <c r="D362" s="44" t="s">
        <v>15654</v>
      </c>
      <c r="E362" s="44"/>
      <c r="F362" s="44"/>
      <c r="G362" s="44" t="s">
        <v>14882</v>
      </c>
      <c r="H362" s="44" t="s">
        <v>14872</v>
      </c>
      <c r="I362" s="44" t="s">
        <v>14883</v>
      </c>
      <c r="J362" s="44" t="s">
        <v>14874</v>
      </c>
      <c r="K362" s="44" t="s">
        <v>14875</v>
      </c>
      <c r="L362" s="44" t="s">
        <v>8562</v>
      </c>
      <c r="M362" s="44" t="s">
        <v>14876</v>
      </c>
    </row>
    <row r="363" customFormat="false" ht="22.35" hidden="false" customHeight="false" outlineLevel="0" collapsed="false">
      <c r="A363" s="44" t="s">
        <v>15655</v>
      </c>
      <c r="B363" s="44" t="s">
        <v>8556</v>
      </c>
      <c r="C363" s="44" t="s">
        <v>8557</v>
      </c>
      <c r="D363" s="44" t="s">
        <v>15656</v>
      </c>
      <c r="E363" s="44"/>
      <c r="F363" s="44"/>
      <c r="G363" s="44" t="s">
        <v>14882</v>
      </c>
      <c r="H363" s="44" t="s">
        <v>14872</v>
      </c>
      <c r="I363" s="44" t="s">
        <v>14883</v>
      </c>
      <c r="J363" s="44" t="s">
        <v>14874</v>
      </c>
      <c r="K363" s="44" t="s">
        <v>14875</v>
      </c>
      <c r="L363" s="44" t="s">
        <v>8562</v>
      </c>
      <c r="M363" s="44" t="s">
        <v>14876</v>
      </c>
    </row>
    <row r="364" customFormat="false" ht="22.35" hidden="false" customHeight="false" outlineLevel="0" collapsed="false">
      <c r="A364" s="44" t="s">
        <v>15657</v>
      </c>
      <c r="B364" s="44" t="s">
        <v>8556</v>
      </c>
      <c r="C364" s="44" t="s">
        <v>8557</v>
      </c>
      <c r="D364" s="44" t="s">
        <v>15658</v>
      </c>
      <c r="E364" s="44" t="s">
        <v>3251</v>
      </c>
      <c r="F364" s="44" t="s">
        <v>3252</v>
      </c>
      <c r="G364" s="44" t="s">
        <v>14871</v>
      </c>
      <c r="H364" s="44" t="s">
        <v>14872</v>
      </c>
      <c r="I364" s="44" t="s">
        <v>14886</v>
      </c>
      <c r="J364" s="44" t="s">
        <v>14874</v>
      </c>
      <c r="K364" s="44" t="s">
        <v>14875</v>
      </c>
      <c r="L364" s="44" t="s">
        <v>8562</v>
      </c>
      <c r="M364" s="44" t="s">
        <v>14876</v>
      </c>
    </row>
    <row r="365" customFormat="false" ht="22.35" hidden="false" customHeight="false" outlineLevel="0" collapsed="false">
      <c r="A365" s="44" t="s">
        <v>15659</v>
      </c>
      <c r="B365" s="44" t="s">
        <v>8556</v>
      </c>
      <c r="C365" s="44" t="s">
        <v>8557</v>
      </c>
      <c r="D365" s="44" t="s">
        <v>15660</v>
      </c>
      <c r="E365" s="44"/>
      <c r="F365" s="44"/>
      <c r="G365" s="44" t="s">
        <v>14882</v>
      </c>
      <c r="H365" s="44" t="s">
        <v>14872</v>
      </c>
      <c r="I365" s="44" t="s">
        <v>14883</v>
      </c>
      <c r="J365" s="44" t="s">
        <v>14874</v>
      </c>
      <c r="K365" s="44" t="s">
        <v>14875</v>
      </c>
      <c r="L365" s="44" t="s">
        <v>8562</v>
      </c>
      <c r="M365" s="44" t="s">
        <v>14876</v>
      </c>
    </row>
    <row r="366" customFormat="false" ht="22.35" hidden="false" customHeight="false" outlineLevel="0" collapsed="false">
      <c r="A366" s="44" t="s">
        <v>15661</v>
      </c>
      <c r="B366" s="44" t="s">
        <v>8563</v>
      </c>
      <c r="C366" s="44" t="s">
        <v>8564</v>
      </c>
      <c r="D366" s="44" t="s">
        <v>15662</v>
      </c>
      <c r="E366" s="44"/>
      <c r="F366" s="44"/>
      <c r="G366" s="44" t="s">
        <v>14882</v>
      </c>
      <c r="H366" s="44" t="s">
        <v>14872</v>
      </c>
      <c r="I366" s="44" t="s">
        <v>14883</v>
      </c>
      <c r="J366" s="44" t="s">
        <v>14874</v>
      </c>
      <c r="K366" s="44" t="s">
        <v>14875</v>
      </c>
      <c r="L366" s="44" t="s">
        <v>8569</v>
      </c>
      <c r="M366" s="44" t="s">
        <v>14876</v>
      </c>
    </row>
    <row r="367" customFormat="false" ht="22.35" hidden="false" customHeight="false" outlineLevel="0" collapsed="false">
      <c r="A367" s="44" t="s">
        <v>15663</v>
      </c>
      <c r="B367" s="44" t="s">
        <v>8563</v>
      </c>
      <c r="C367" s="44" t="s">
        <v>8564</v>
      </c>
      <c r="D367" s="44" t="s">
        <v>15664</v>
      </c>
      <c r="E367" s="44"/>
      <c r="F367" s="44"/>
      <c r="G367" s="44" t="s">
        <v>14882</v>
      </c>
      <c r="H367" s="44" t="s">
        <v>14872</v>
      </c>
      <c r="I367" s="44" t="s">
        <v>14883</v>
      </c>
      <c r="J367" s="44" t="s">
        <v>14874</v>
      </c>
      <c r="K367" s="44" t="s">
        <v>14875</v>
      </c>
      <c r="L367" s="44" t="s">
        <v>8569</v>
      </c>
      <c r="M367" s="44" t="s">
        <v>14876</v>
      </c>
    </row>
    <row r="368" customFormat="false" ht="22.35" hidden="false" customHeight="false" outlineLevel="0" collapsed="false">
      <c r="A368" s="44" t="s">
        <v>15665</v>
      </c>
      <c r="B368" s="44" t="s">
        <v>8563</v>
      </c>
      <c r="C368" s="44" t="s">
        <v>8564</v>
      </c>
      <c r="D368" s="44" t="s">
        <v>15099</v>
      </c>
      <c r="E368" s="44" t="s">
        <v>239</v>
      </c>
      <c r="F368" s="44" t="s">
        <v>240</v>
      </c>
      <c r="G368" s="44" t="s">
        <v>14871</v>
      </c>
      <c r="H368" s="44" t="s">
        <v>14872</v>
      </c>
      <c r="I368" s="44" t="s">
        <v>14873</v>
      </c>
      <c r="J368" s="44" t="s">
        <v>14874</v>
      </c>
      <c r="K368" s="44" t="s">
        <v>14875</v>
      </c>
      <c r="L368" s="44" t="s">
        <v>8569</v>
      </c>
      <c r="M368" s="44" t="s">
        <v>14876</v>
      </c>
    </row>
    <row r="369" customFormat="false" ht="22.35" hidden="false" customHeight="false" outlineLevel="0" collapsed="false">
      <c r="A369" s="44" t="s">
        <v>15666</v>
      </c>
      <c r="B369" s="44" t="s">
        <v>8563</v>
      </c>
      <c r="C369" s="44" t="s">
        <v>8564</v>
      </c>
      <c r="D369" s="44" t="s">
        <v>15667</v>
      </c>
      <c r="E369" s="44"/>
      <c r="F369" s="44"/>
      <c r="G369" s="44" t="s">
        <v>14882</v>
      </c>
      <c r="H369" s="44" t="s">
        <v>14872</v>
      </c>
      <c r="I369" s="44" t="s">
        <v>14883</v>
      </c>
      <c r="J369" s="44" t="s">
        <v>14874</v>
      </c>
      <c r="K369" s="44" t="s">
        <v>14875</v>
      </c>
      <c r="L369" s="44" t="s">
        <v>8569</v>
      </c>
      <c r="M369" s="44" t="s">
        <v>14876</v>
      </c>
    </row>
    <row r="370" customFormat="false" ht="22.35" hidden="false" customHeight="false" outlineLevel="0" collapsed="false">
      <c r="A370" s="44" t="s">
        <v>15668</v>
      </c>
      <c r="B370" s="44" t="s">
        <v>8563</v>
      </c>
      <c r="C370" s="44" t="s">
        <v>8564</v>
      </c>
      <c r="D370" s="44" t="s">
        <v>15669</v>
      </c>
      <c r="E370" s="44" t="s">
        <v>3589</v>
      </c>
      <c r="F370" s="44" t="s">
        <v>3590</v>
      </c>
      <c r="G370" s="44" t="s">
        <v>14871</v>
      </c>
      <c r="H370" s="44" t="s">
        <v>14872</v>
      </c>
      <c r="I370" s="44" t="s">
        <v>14886</v>
      </c>
      <c r="J370" s="44" t="s">
        <v>14874</v>
      </c>
      <c r="K370" s="44" t="s">
        <v>14875</v>
      </c>
      <c r="L370" s="44" t="s">
        <v>8569</v>
      </c>
      <c r="M370" s="44" t="s">
        <v>14876</v>
      </c>
    </row>
    <row r="371" customFormat="false" ht="22.35" hidden="false" customHeight="false" outlineLevel="0" collapsed="false">
      <c r="A371" s="44" t="s">
        <v>15670</v>
      </c>
      <c r="B371" s="44" t="s">
        <v>8570</v>
      </c>
      <c r="C371" s="44" t="s">
        <v>8571</v>
      </c>
      <c r="D371" s="44" t="s">
        <v>15671</v>
      </c>
      <c r="E371" s="44"/>
      <c r="F371" s="44"/>
      <c r="G371" s="44" t="s">
        <v>14882</v>
      </c>
      <c r="H371" s="44" t="s">
        <v>14872</v>
      </c>
      <c r="I371" s="44" t="s">
        <v>14883</v>
      </c>
      <c r="J371" s="44" t="s">
        <v>14874</v>
      </c>
      <c r="K371" s="44" t="s">
        <v>14875</v>
      </c>
      <c r="L371" s="44" t="s">
        <v>8576</v>
      </c>
      <c r="M371" s="44" t="s">
        <v>14876</v>
      </c>
    </row>
    <row r="372" customFormat="false" ht="22.35" hidden="false" customHeight="false" outlineLevel="0" collapsed="false">
      <c r="A372" s="44" t="s">
        <v>15672</v>
      </c>
      <c r="B372" s="44" t="s">
        <v>8570</v>
      </c>
      <c r="C372" s="44" t="s">
        <v>8571</v>
      </c>
      <c r="D372" s="44" t="s">
        <v>14924</v>
      </c>
      <c r="E372" s="44" t="s">
        <v>2761</v>
      </c>
      <c r="F372" s="44" t="s">
        <v>2762</v>
      </c>
      <c r="G372" s="44" t="s">
        <v>14871</v>
      </c>
      <c r="H372" s="44" t="s">
        <v>14872</v>
      </c>
      <c r="I372" s="44" t="s">
        <v>14886</v>
      </c>
      <c r="J372" s="44" t="s">
        <v>14874</v>
      </c>
      <c r="K372" s="44" t="s">
        <v>14875</v>
      </c>
      <c r="L372" s="44" t="s">
        <v>8576</v>
      </c>
      <c r="M372" s="44" t="s">
        <v>14876</v>
      </c>
    </row>
    <row r="373" customFormat="false" ht="22.35" hidden="false" customHeight="false" outlineLevel="0" collapsed="false">
      <c r="A373" s="44" t="s">
        <v>15673</v>
      </c>
      <c r="B373" s="44" t="s">
        <v>8570</v>
      </c>
      <c r="C373" s="44" t="s">
        <v>8571</v>
      </c>
      <c r="D373" s="44" t="s">
        <v>15674</v>
      </c>
      <c r="E373" s="44"/>
      <c r="F373" s="44"/>
      <c r="G373" s="44" t="s">
        <v>14882</v>
      </c>
      <c r="H373" s="44" t="s">
        <v>14872</v>
      </c>
      <c r="I373" s="44" t="s">
        <v>14883</v>
      </c>
      <c r="J373" s="44" t="s">
        <v>14874</v>
      </c>
      <c r="K373" s="44" t="s">
        <v>14875</v>
      </c>
      <c r="L373" s="44" t="s">
        <v>8576</v>
      </c>
      <c r="M373" s="44" t="s">
        <v>14876</v>
      </c>
    </row>
    <row r="374" customFormat="false" ht="22.35" hidden="false" customHeight="false" outlineLevel="0" collapsed="false">
      <c r="A374" s="44" t="s">
        <v>15675</v>
      </c>
      <c r="B374" s="44" t="s">
        <v>8570</v>
      </c>
      <c r="C374" s="44" t="s">
        <v>8571</v>
      </c>
      <c r="D374" s="44" t="s">
        <v>14896</v>
      </c>
      <c r="E374" s="44" t="s">
        <v>2473</v>
      </c>
      <c r="F374" s="44" t="s">
        <v>2474</v>
      </c>
      <c r="G374" s="44" t="s">
        <v>14871</v>
      </c>
      <c r="H374" s="44" t="s">
        <v>14872</v>
      </c>
      <c r="I374" s="44" t="s">
        <v>14879</v>
      </c>
      <c r="J374" s="44" t="s">
        <v>14874</v>
      </c>
      <c r="K374" s="44" t="s">
        <v>14875</v>
      </c>
      <c r="L374" s="44" t="s">
        <v>8576</v>
      </c>
      <c r="M374" s="44" t="s">
        <v>14876</v>
      </c>
    </row>
    <row r="375" customFormat="false" ht="22.35" hidden="false" customHeight="false" outlineLevel="0" collapsed="false">
      <c r="A375" s="44" t="s">
        <v>15676</v>
      </c>
      <c r="B375" s="44" t="s">
        <v>8570</v>
      </c>
      <c r="C375" s="44" t="s">
        <v>8571</v>
      </c>
      <c r="D375" s="44" t="s">
        <v>15677</v>
      </c>
      <c r="E375" s="44" t="s">
        <v>15550</v>
      </c>
      <c r="F375" s="44" t="s">
        <v>15551</v>
      </c>
      <c r="G375" s="44" t="s">
        <v>14871</v>
      </c>
      <c r="H375" s="44" t="s">
        <v>14872</v>
      </c>
      <c r="I375" s="44" t="s">
        <v>14873</v>
      </c>
      <c r="J375" s="44" t="s">
        <v>14874</v>
      </c>
      <c r="K375" s="44" t="s">
        <v>14875</v>
      </c>
      <c r="L375" s="44" t="s">
        <v>8576</v>
      </c>
      <c r="M375" s="44" t="s">
        <v>14876</v>
      </c>
    </row>
    <row r="376" customFormat="false" ht="22.35" hidden="false" customHeight="false" outlineLevel="0" collapsed="false">
      <c r="A376" s="44" t="s">
        <v>15678</v>
      </c>
      <c r="B376" s="44" t="s">
        <v>8577</v>
      </c>
      <c r="C376" s="44" t="s">
        <v>8578</v>
      </c>
      <c r="D376" s="44" t="s">
        <v>15679</v>
      </c>
      <c r="E376" s="44" t="s">
        <v>196</v>
      </c>
      <c r="F376" s="44" t="s">
        <v>59</v>
      </c>
      <c r="G376" s="44" t="s">
        <v>14871</v>
      </c>
      <c r="H376" s="44" t="s">
        <v>14872</v>
      </c>
      <c r="I376" s="44" t="s">
        <v>14886</v>
      </c>
      <c r="J376" s="44" t="s">
        <v>14874</v>
      </c>
      <c r="K376" s="44" t="s">
        <v>14875</v>
      </c>
      <c r="L376" s="44" t="s">
        <v>8581</v>
      </c>
      <c r="M376" s="44" t="s">
        <v>14876</v>
      </c>
    </row>
    <row r="377" customFormat="false" ht="22.35" hidden="false" customHeight="false" outlineLevel="0" collapsed="false">
      <c r="A377" s="44" t="s">
        <v>15680</v>
      </c>
      <c r="B377" s="44" t="s">
        <v>8577</v>
      </c>
      <c r="C377" s="44" t="s">
        <v>8578</v>
      </c>
      <c r="D377" s="44" t="s">
        <v>15681</v>
      </c>
      <c r="E377" s="44" t="s">
        <v>211</v>
      </c>
      <c r="F377" s="44" t="s">
        <v>212</v>
      </c>
      <c r="G377" s="44" t="s">
        <v>14871</v>
      </c>
      <c r="H377" s="44" t="s">
        <v>14872</v>
      </c>
      <c r="I377" s="44" t="s">
        <v>14873</v>
      </c>
      <c r="J377" s="44" t="s">
        <v>14874</v>
      </c>
      <c r="K377" s="44" t="s">
        <v>14875</v>
      </c>
      <c r="L377" s="44" t="s">
        <v>8581</v>
      </c>
      <c r="M377" s="44" t="s">
        <v>14876</v>
      </c>
    </row>
    <row r="378" customFormat="false" ht="22.35" hidden="false" customHeight="false" outlineLevel="0" collapsed="false">
      <c r="A378" s="44" t="s">
        <v>15682</v>
      </c>
      <c r="B378" s="44" t="s">
        <v>8577</v>
      </c>
      <c r="C378" s="44" t="s">
        <v>8578</v>
      </c>
      <c r="D378" s="44" t="s">
        <v>15683</v>
      </c>
      <c r="E378" s="44"/>
      <c r="F378" s="44"/>
      <c r="G378" s="44" t="s">
        <v>14882</v>
      </c>
      <c r="H378" s="44" t="s">
        <v>14872</v>
      </c>
      <c r="I378" s="44" t="s">
        <v>14883</v>
      </c>
      <c r="J378" s="44" t="s">
        <v>14874</v>
      </c>
      <c r="K378" s="44" t="s">
        <v>14875</v>
      </c>
      <c r="L378" s="44" t="s">
        <v>8581</v>
      </c>
      <c r="M378" s="44" t="s">
        <v>14876</v>
      </c>
    </row>
    <row r="379" customFormat="false" ht="22.35" hidden="false" customHeight="false" outlineLevel="0" collapsed="false">
      <c r="A379" s="44" t="s">
        <v>15684</v>
      </c>
      <c r="B379" s="44" t="s">
        <v>8577</v>
      </c>
      <c r="C379" s="44" t="s">
        <v>8578</v>
      </c>
      <c r="D379" s="44" t="s">
        <v>15685</v>
      </c>
      <c r="E379" s="44"/>
      <c r="F379" s="44"/>
      <c r="G379" s="44" t="s">
        <v>14882</v>
      </c>
      <c r="H379" s="44" t="s">
        <v>14872</v>
      </c>
      <c r="I379" s="44" t="s">
        <v>14883</v>
      </c>
      <c r="J379" s="44" t="s">
        <v>14874</v>
      </c>
      <c r="K379" s="44" t="s">
        <v>14875</v>
      </c>
      <c r="L379" s="44" t="s">
        <v>8581</v>
      </c>
      <c r="M379" s="44" t="s">
        <v>14876</v>
      </c>
    </row>
    <row r="380" customFormat="false" ht="22.35" hidden="false" customHeight="false" outlineLevel="0" collapsed="false">
      <c r="A380" s="44" t="s">
        <v>15686</v>
      </c>
      <c r="B380" s="44" t="s">
        <v>8577</v>
      </c>
      <c r="C380" s="44" t="s">
        <v>8578</v>
      </c>
      <c r="D380" s="44" t="s">
        <v>15687</v>
      </c>
      <c r="E380" s="44"/>
      <c r="F380" s="44"/>
      <c r="G380" s="44" t="s">
        <v>14882</v>
      </c>
      <c r="H380" s="44" t="s">
        <v>14872</v>
      </c>
      <c r="I380" s="44" t="s">
        <v>14883</v>
      </c>
      <c r="J380" s="44" t="s">
        <v>14874</v>
      </c>
      <c r="K380" s="44" t="s">
        <v>14875</v>
      </c>
      <c r="L380" s="44" t="s">
        <v>8581</v>
      </c>
      <c r="M380" s="44" t="s">
        <v>14876</v>
      </c>
    </row>
    <row r="381" customFormat="false" ht="22.35" hidden="false" customHeight="false" outlineLevel="0" collapsed="false">
      <c r="A381" s="44" t="s">
        <v>15688</v>
      </c>
      <c r="B381" s="44" t="s">
        <v>8582</v>
      </c>
      <c r="C381" s="44" t="s">
        <v>8583</v>
      </c>
      <c r="D381" s="44" t="s">
        <v>15689</v>
      </c>
      <c r="E381" s="44" t="s">
        <v>4285</v>
      </c>
      <c r="F381" s="44" t="s">
        <v>4286</v>
      </c>
      <c r="G381" s="44" t="s">
        <v>14871</v>
      </c>
      <c r="H381" s="44" t="s">
        <v>14872</v>
      </c>
      <c r="I381" s="44" t="s">
        <v>14873</v>
      </c>
      <c r="J381" s="44" t="s">
        <v>14874</v>
      </c>
      <c r="K381" s="44" t="s">
        <v>14875</v>
      </c>
      <c r="L381" s="44" t="s">
        <v>8588</v>
      </c>
      <c r="M381" s="44" t="s">
        <v>14876</v>
      </c>
    </row>
    <row r="382" customFormat="false" ht="22.35" hidden="false" customHeight="false" outlineLevel="0" collapsed="false">
      <c r="A382" s="44" t="s">
        <v>15690</v>
      </c>
      <c r="B382" s="44" t="s">
        <v>8582</v>
      </c>
      <c r="C382" s="44" t="s">
        <v>8583</v>
      </c>
      <c r="D382" s="44" t="s">
        <v>15691</v>
      </c>
      <c r="E382" s="44"/>
      <c r="F382" s="44"/>
      <c r="G382" s="44" t="s">
        <v>14882</v>
      </c>
      <c r="H382" s="44" t="s">
        <v>14872</v>
      </c>
      <c r="I382" s="44" t="s">
        <v>14883</v>
      </c>
      <c r="J382" s="44" t="s">
        <v>14874</v>
      </c>
      <c r="K382" s="44" t="s">
        <v>14875</v>
      </c>
      <c r="L382" s="44" t="s">
        <v>8588</v>
      </c>
      <c r="M382" s="44" t="s">
        <v>14876</v>
      </c>
    </row>
    <row r="383" customFormat="false" ht="22.35" hidden="false" customHeight="false" outlineLevel="0" collapsed="false">
      <c r="A383" s="44" t="s">
        <v>15692</v>
      </c>
      <c r="B383" s="44" t="s">
        <v>8582</v>
      </c>
      <c r="C383" s="44" t="s">
        <v>8583</v>
      </c>
      <c r="D383" s="44" t="s">
        <v>15693</v>
      </c>
      <c r="E383" s="44" t="s">
        <v>2196</v>
      </c>
      <c r="F383" s="44" t="s">
        <v>2197</v>
      </c>
      <c r="G383" s="44" t="s">
        <v>14871</v>
      </c>
      <c r="H383" s="44" t="s">
        <v>14872</v>
      </c>
      <c r="I383" s="44" t="s">
        <v>14873</v>
      </c>
      <c r="J383" s="44" t="s">
        <v>14874</v>
      </c>
      <c r="K383" s="44" t="s">
        <v>14875</v>
      </c>
      <c r="L383" s="44" t="s">
        <v>8588</v>
      </c>
      <c r="M383" s="44" t="s">
        <v>14876</v>
      </c>
    </row>
    <row r="384" customFormat="false" ht="22.35" hidden="false" customHeight="false" outlineLevel="0" collapsed="false">
      <c r="A384" s="44" t="s">
        <v>15694</v>
      </c>
      <c r="B384" s="44" t="s">
        <v>8582</v>
      </c>
      <c r="C384" s="44" t="s">
        <v>8583</v>
      </c>
      <c r="D384" s="44" t="s">
        <v>15695</v>
      </c>
      <c r="E384" s="44"/>
      <c r="F384" s="44"/>
      <c r="G384" s="44" t="s">
        <v>14882</v>
      </c>
      <c r="H384" s="44" t="s">
        <v>14872</v>
      </c>
      <c r="I384" s="44" t="s">
        <v>14883</v>
      </c>
      <c r="J384" s="44" t="s">
        <v>14874</v>
      </c>
      <c r="K384" s="44" t="s">
        <v>14875</v>
      </c>
      <c r="L384" s="44" t="s">
        <v>8588</v>
      </c>
      <c r="M384" s="44" t="s">
        <v>14876</v>
      </c>
    </row>
    <row r="385" customFormat="false" ht="22.35" hidden="false" customHeight="false" outlineLevel="0" collapsed="false">
      <c r="A385" s="44" t="s">
        <v>15696</v>
      </c>
      <c r="B385" s="44" t="s">
        <v>8582</v>
      </c>
      <c r="C385" s="44" t="s">
        <v>8583</v>
      </c>
      <c r="D385" s="44" t="s">
        <v>15697</v>
      </c>
      <c r="E385" s="44" t="s">
        <v>925</v>
      </c>
      <c r="F385" s="44" t="s">
        <v>926</v>
      </c>
      <c r="G385" s="44" t="s">
        <v>14871</v>
      </c>
      <c r="H385" s="44" t="s">
        <v>14872</v>
      </c>
      <c r="I385" s="44" t="s">
        <v>14873</v>
      </c>
      <c r="J385" s="44" t="s">
        <v>14874</v>
      </c>
      <c r="K385" s="44" t="s">
        <v>14875</v>
      </c>
      <c r="L385" s="44" t="s">
        <v>8588</v>
      </c>
      <c r="M385" s="44" t="s">
        <v>14876</v>
      </c>
    </row>
    <row r="386" customFormat="false" ht="22.35" hidden="false" customHeight="false" outlineLevel="0" collapsed="false">
      <c r="A386" s="44" t="s">
        <v>15698</v>
      </c>
      <c r="B386" s="44" t="s">
        <v>8589</v>
      </c>
      <c r="C386" s="44" t="s">
        <v>8590</v>
      </c>
      <c r="D386" s="44" t="s">
        <v>15699</v>
      </c>
      <c r="E386" s="44" t="s">
        <v>200</v>
      </c>
      <c r="F386" s="44" t="s">
        <v>201</v>
      </c>
      <c r="G386" s="44" t="s">
        <v>14871</v>
      </c>
      <c r="H386" s="44" t="s">
        <v>14872</v>
      </c>
      <c r="I386" s="44" t="s">
        <v>14886</v>
      </c>
      <c r="J386" s="44" t="s">
        <v>14874</v>
      </c>
      <c r="K386" s="44" t="s">
        <v>14875</v>
      </c>
      <c r="L386" s="44" t="s">
        <v>8596</v>
      </c>
      <c r="M386" s="44" t="s">
        <v>14876</v>
      </c>
    </row>
    <row r="387" customFormat="false" ht="22.35" hidden="false" customHeight="false" outlineLevel="0" collapsed="false">
      <c r="A387" s="44" t="s">
        <v>15700</v>
      </c>
      <c r="B387" s="44" t="s">
        <v>8589</v>
      </c>
      <c r="C387" s="44" t="s">
        <v>8590</v>
      </c>
      <c r="D387" s="44" t="s">
        <v>15701</v>
      </c>
      <c r="E387" s="44" t="s">
        <v>3583</v>
      </c>
      <c r="F387" s="44" t="s">
        <v>3584</v>
      </c>
      <c r="G387" s="44" t="s">
        <v>14871</v>
      </c>
      <c r="H387" s="44" t="s">
        <v>14872</v>
      </c>
      <c r="I387" s="44" t="s">
        <v>14886</v>
      </c>
      <c r="J387" s="44" t="s">
        <v>14874</v>
      </c>
      <c r="K387" s="44" t="s">
        <v>14875</v>
      </c>
      <c r="L387" s="44" t="s">
        <v>8596</v>
      </c>
      <c r="M387" s="44" t="s">
        <v>14876</v>
      </c>
    </row>
    <row r="388" customFormat="false" ht="22.35" hidden="false" customHeight="false" outlineLevel="0" collapsed="false">
      <c r="A388" s="44" t="s">
        <v>15702</v>
      </c>
      <c r="B388" s="44" t="s">
        <v>8589</v>
      </c>
      <c r="C388" s="44" t="s">
        <v>8590</v>
      </c>
      <c r="D388" s="44" t="s">
        <v>15703</v>
      </c>
      <c r="E388" s="44" t="s">
        <v>4633</v>
      </c>
      <c r="F388" s="44" t="s">
        <v>4634</v>
      </c>
      <c r="G388" s="44" t="s">
        <v>14871</v>
      </c>
      <c r="H388" s="44" t="s">
        <v>14872</v>
      </c>
      <c r="I388" s="44" t="s">
        <v>14886</v>
      </c>
      <c r="J388" s="44" t="s">
        <v>14874</v>
      </c>
      <c r="K388" s="44" t="s">
        <v>14875</v>
      </c>
      <c r="L388" s="44" t="s">
        <v>8596</v>
      </c>
      <c r="M388" s="44" t="s">
        <v>14876</v>
      </c>
    </row>
    <row r="389" customFormat="false" ht="22.35" hidden="false" customHeight="false" outlineLevel="0" collapsed="false">
      <c r="A389" s="44" t="s">
        <v>15704</v>
      </c>
      <c r="B389" s="44" t="s">
        <v>8589</v>
      </c>
      <c r="C389" s="44" t="s">
        <v>8590</v>
      </c>
      <c r="D389" s="44" t="s">
        <v>15454</v>
      </c>
      <c r="E389" s="44" t="s">
        <v>215</v>
      </c>
      <c r="F389" s="44" t="s">
        <v>216</v>
      </c>
      <c r="G389" s="44" t="s">
        <v>14871</v>
      </c>
      <c r="H389" s="44" t="s">
        <v>14872</v>
      </c>
      <c r="I389" s="44" t="s">
        <v>14873</v>
      </c>
      <c r="J389" s="44" t="s">
        <v>14874</v>
      </c>
      <c r="K389" s="44" t="s">
        <v>14875</v>
      </c>
      <c r="L389" s="44" t="s">
        <v>8596</v>
      </c>
      <c r="M389" s="44" t="s">
        <v>14876</v>
      </c>
    </row>
    <row r="390" customFormat="false" ht="22.35" hidden="false" customHeight="false" outlineLevel="0" collapsed="false">
      <c r="A390" s="44" t="s">
        <v>15705</v>
      </c>
      <c r="B390" s="44" t="s">
        <v>8597</v>
      </c>
      <c r="C390" s="44" t="s">
        <v>8598</v>
      </c>
      <c r="D390" s="44" t="s">
        <v>15706</v>
      </c>
      <c r="E390" s="44" t="s">
        <v>4094</v>
      </c>
      <c r="F390" s="44" t="s">
        <v>4095</v>
      </c>
      <c r="G390" s="44" t="s">
        <v>14871</v>
      </c>
      <c r="H390" s="44" t="s">
        <v>14872</v>
      </c>
      <c r="I390" s="44" t="s">
        <v>14873</v>
      </c>
      <c r="J390" s="44" t="s">
        <v>14874</v>
      </c>
      <c r="K390" s="44" t="s">
        <v>14875</v>
      </c>
      <c r="L390" s="44" t="s">
        <v>8604</v>
      </c>
      <c r="M390" s="44" t="s">
        <v>14876</v>
      </c>
    </row>
    <row r="391" customFormat="false" ht="22.35" hidden="false" customHeight="false" outlineLevel="0" collapsed="false">
      <c r="A391" s="44" t="s">
        <v>15707</v>
      </c>
      <c r="B391" s="44" t="s">
        <v>8597</v>
      </c>
      <c r="C391" s="44" t="s">
        <v>8598</v>
      </c>
      <c r="D391" s="44" t="s">
        <v>15708</v>
      </c>
      <c r="E391" s="44"/>
      <c r="F391" s="44"/>
      <c r="G391" s="44" t="s">
        <v>14882</v>
      </c>
      <c r="H391" s="44" t="s">
        <v>14872</v>
      </c>
      <c r="I391" s="44" t="s">
        <v>14883</v>
      </c>
      <c r="J391" s="44" t="s">
        <v>14874</v>
      </c>
      <c r="K391" s="44" t="s">
        <v>14875</v>
      </c>
      <c r="L391" s="44" t="s">
        <v>8604</v>
      </c>
      <c r="M391" s="44" t="s">
        <v>14876</v>
      </c>
    </row>
    <row r="392" customFormat="false" ht="22.35" hidden="false" customHeight="false" outlineLevel="0" collapsed="false">
      <c r="A392" s="44" t="s">
        <v>15709</v>
      </c>
      <c r="B392" s="44" t="s">
        <v>8597</v>
      </c>
      <c r="C392" s="44" t="s">
        <v>8598</v>
      </c>
      <c r="D392" s="44" t="s">
        <v>15710</v>
      </c>
      <c r="E392" s="44"/>
      <c r="F392" s="44"/>
      <c r="G392" s="44" t="s">
        <v>14882</v>
      </c>
      <c r="H392" s="44" t="s">
        <v>14872</v>
      </c>
      <c r="I392" s="44" t="s">
        <v>14883</v>
      </c>
      <c r="J392" s="44" t="s">
        <v>14874</v>
      </c>
      <c r="K392" s="44" t="s">
        <v>14875</v>
      </c>
      <c r="L392" s="44" t="s">
        <v>8604</v>
      </c>
      <c r="M392" s="44" t="s">
        <v>14876</v>
      </c>
    </row>
    <row r="393" customFormat="false" ht="22.35" hidden="false" customHeight="false" outlineLevel="0" collapsed="false">
      <c r="A393" s="44" t="s">
        <v>15711</v>
      </c>
      <c r="B393" s="44" t="s">
        <v>8597</v>
      </c>
      <c r="C393" s="44" t="s">
        <v>8598</v>
      </c>
      <c r="D393" s="44" t="s">
        <v>15712</v>
      </c>
      <c r="E393" s="44"/>
      <c r="F393" s="44"/>
      <c r="G393" s="44" t="s">
        <v>14882</v>
      </c>
      <c r="H393" s="44" t="s">
        <v>14872</v>
      </c>
      <c r="I393" s="44" t="s">
        <v>14883</v>
      </c>
      <c r="J393" s="44" t="s">
        <v>14874</v>
      </c>
      <c r="K393" s="44" t="s">
        <v>14875</v>
      </c>
      <c r="L393" s="44" t="s">
        <v>8604</v>
      </c>
      <c r="M393" s="44" t="s">
        <v>14876</v>
      </c>
    </row>
    <row r="394" customFormat="false" ht="22.35" hidden="false" customHeight="false" outlineLevel="0" collapsed="false">
      <c r="A394" s="44" t="s">
        <v>15713</v>
      </c>
      <c r="B394" s="44" t="s">
        <v>8597</v>
      </c>
      <c r="C394" s="44" t="s">
        <v>8598</v>
      </c>
      <c r="D394" s="44" t="s">
        <v>15714</v>
      </c>
      <c r="E394" s="44" t="s">
        <v>15383</v>
      </c>
      <c r="F394" s="44" t="s">
        <v>15384</v>
      </c>
      <c r="G394" s="44" t="s">
        <v>14871</v>
      </c>
      <c r="H394" s="44" t="s">
        <v>14872</v>
      </c>
      <c r="I394" s="44" t="s">
        <v>14886</v>
      </c>
      <c r="J394" s="44" t="s">
        <v>14874</v>
      </c>
      <c r="K394" s="44" t="s">
        <v>14875</v>
      </c>
      <c r="L394" s="44" t="s">
        <v>8604</v>
      </c>
      <c r="M394" s="44" t="s">
        <v>14876</v>
      </c>
    </row>
    <row r="395" customFormat="false" ht="22.35" hidden="false" customHeight="false" outlineLevel="0" collapsed="false">
      <c r="A395" s="44" t="s">
        <v>15715</v>
      </c>
      <c r="B395" s="44" t="s">
        <v>8605</v>
      </c>
      <c r="C395" s="44" t="s">
        <v>8606</v>
      </c>
      <c r="D395" s="44" t="s">
        <v>15716</v>
      </c>
      <c r="E395" s="44" t="s">
        <v>934</v>
      </c>
      <c r="F395" s="44" t="s">
        <v>935</v>
      </c>
      <c r="G395" s="44" t="s">
        <v>14871</v>
      </c>
      <c r="H395" s="44" t="s">
        <v>14872</v>
      </c>
      <c r="I395" s="44" t="s">
        <v>14873</v>
      </c>
      <c r="J395" s="44" t="s">
        <v>14874</v>
      </c>
      <c r="K395" s="44" t="s">
        <v>14875</v>
      </c>
      <c r="L395" s="44" t="s">
        <v>8612</v>
      </c>
      <c r="M395" s="44" t="s">
        <v>14876</v>
      </c>
    </row>
    <row r="396" customFormat="false" ht="22.35" hidden="false" customHeight="false" outlineLevel="0" collapsed="false">
      <c r="A396" s="44" t="s">
        <v>15717</v>
      </c>
      <c r="B396" s="44" t="s">
        <v>8605</v>
      </c>
      <c r="C396" s="44" t="s">
        <v>8606</v>
      </c>
      <c r="D396" s="44" t="s">
        <v>15382</v>
      </c>
      <c r="E396" s="44" t="s">
        <v>15383</v>
      </c>
      <c r="F396" s="44" t="s">
        <v>15384</v>
      </c>
      <c r="G396" s="44" t="s">
        <v>14871</v>
      </c>
      <c r="H396" s="44" t="s">
        <v>14872</v>
      </c>
      <c r="I396" s="44" t="s">
        <v>14886</v>
      </c>
      <c r="J396" s="44" t="s">
        <v>14874</v>
      </c>
      <c r="K396" s="44" t="s">
        <v>14875</v>
      </c>
      <c r="L396" s="44" t="s">
        <v>8612</v>
      </c>
      <c r="M396" s="44" t="s">
        <v>14876</v>
      </c>
    </row>
    <row r="397" customFormat="false" ht="22.35" hidden="false" customHeight="false" outlineLevel="0" collapsed="false">
      <c r="A397" s="44" t="s">
        <v>15718</v>
      </c>
      <c r="B397" s="44" t="s">
        <v>8605</v>
      </c>
      <c r="C397" s="44" t="s">
        <v>8606</v>
      </c>
      <c r="D397" s="44" t="s">
        <v>15195</v>
      </c>
      <c r="E397" s="44"/>
      <c r="F397" s="44"/>
      <c r="G397" s="44" t="s">
        <v>14882</v>
      </c>
      <c r="H397" s="44" t="s">
        <v>14872</v>
      </c>
      <c r="I397" s="44" t="s">
        <v>14883</v>
      </c>
      <c r="J397" s="44" t="s">
        <v>14874</v>
      </c>
      <c r="K397" s="44" t="s">
        <v>14875</v>
      </c>
      <c r="L397" s="44" t="s">
        <v>8612</v>
      </c>
      <c r="M397" s="44" t="s">
        <v>14876</v>
      </c>
    </row>
    <row r="398" customFormat="false" ht="22.35" hidden="false" customHeight="false" outlineLevel="0" collapsed="false">
      <c r="A398" s="44" t="s">
        <v>15719</v>
      </c>
      <c r="B398" s="44" t="s">
        <v>8605</v>
      </c>
      <c r="C398" s="44" t="s">
        <v>8606</v>
      </c>
      <c r="D398" s="44" t="s">
        <v>15720</v>
      </c>
      <c r="E398" s="44"/>
      <c r="F398" s="44"/>
      <c r="G398" s="44" t="s">
        <v>14882</v>
      </c>
      <c r="H398" s="44" t="s">
        <v>14872</v>
      </c>
      <c r="I398" s="44" t="s">
        <v>14883</v>
      </c>
      <c r="J398" s="44" t="s">
        <v>14874</v>
      </c>
      <c r="K398" s="44" t="s">
        <v>14875</v>
      </c>
      <c r="L398" s="44" t="s">
        <v>8612</v>
      </c>
      <c r="M398" s="44" t="s">
        <v>14876</v>
      </c>
    </row>
    <row r="399" customFormat="false" ht="22.35" hidden="false" customHeight="false" outlineLevel="0" collapsed="false">
      <c r="A399" s="44" t="s">
        <v>15721</v>
      </c>
      <c r="B399" s="44" t="s">
        <v>8605</v>
      </c>
      <c r="C399" s="44" t="s">
        <v>8606</v>
      </c>
      <c r="D399" s="44" t="s">
        <v>15722</v>
      </c>
      <c r="E399" s="44"/>
      <c r="F399" s="44"/>
      <c r="G399" s="44" t="s">
        <v>14882</v>
      </c>
      <c r="H399" s="44" t="s">
        <v>14872</v>
      </c>
      <c r="I399" s="44" t="s">
        <v>14883</v>
      </c>
      <c r="J399" s="44" t="s">
        <v>14874</v>
      </c>
      <c r="K399" s="44" t="s">
        <v>14875</v>
      </c>
      <c r="L399" s="44" t="s">
        <v>8612</v>
      </c>
      <c r="M399" s="44" t="s">
        <v>14876</v>
      </c>
    </row>
    <row r="400" customFormat="false" ht="22.35" hidden="false" customHeight="false" outlineLevel="0" collapsed="false">
      <c r="A400" s="44" t="s">
        <v>15723</v>
      </c>
      <c r="B400" s="44" t="s">
        <v>8605</v>
      </c>
      <c r="C400" s="44" t="s">
        <v>8606</v>
      </c>
      <c r="D400" s="44" t="s">
        <v>15724</v>
      </c>
      <c r="E400" s="44"/>
      <c r="F400" s="44"/>
      <c r="G400" s="44" t="s">
        <v>14882</v>
      </c>
      <c r="H400" s="44" t="s">
        <v>14872</v>
      </c>
      <c r="I400" s="44" t="s">
        <v>14883</v>
      </c>
      <c r="J400" s="44" t="s">
        <v>14874</v>
      </c>
      <c r="K400" s="44" t="s">
        <v>14875</v>
      </c>
      <c r="L400" s="44" t="s">
        <v>8612</v>
      </c>
      <c r="M400" s="44" t="s">
        <v>14876</v>
      </c>
    </row>
    <row r="401" customFormat="false" ht="22.35" hidden="false" customHeight="false" outlineLevel="0" collapsed="false">
      <c r="A401" s="44" t="s">
        <v>15725</v>
      </c>
      <c r="B401" s="44" t="s">
        <v>8613</v>
      </c>
      <c r="C401" s="44" t="s">
        <v>8614</v>
      </c>
      <c r="D401" s="44" t="s">
        <v>15726</v>
      </c>
      <c r="E401" s="44" t="s">
        <v>15727</v>
      </c>
      <c r="F401" s="44" t="s">
        <v>15728</v>
      </c>
      <c r="G401" s="44" t="s">
        <v>14871</v>
      </c>
      <c r="H401" s="44" t="s">
        <v>14872</v>
      </c>
      <c r="I401" s="44" t="s">
        <v>14873</v>
      </c>
      <c r="J401" s="44" t="s">
        <v>14874</v>
      </c>
      <c r="K401" s="44" t="s">
        <v>14875</v>
      </c>
      <c r="L401" s="44" t="s">
        <v>8617</v>
      </c>
      <c r="M401" s="44" t="s">
        <v>14876</v>
      </c>
    </row>
    <row r="402" customFormat="false" ht="22.35" hidden="false" customHeight="false" outlineLevel="0" collapsed="false">
      <c r="A402" s="44" t="s">
        <v>15729</v>
      </c>
      <c r="B402" s="44" t="s">
        <v>8613</v>
      </c>
      <c r="C402" s="44" t="s">
        <v>8614</v>
      </c>
      <c r="D402" s="44" t="s">
        <v>15730</v>
      </c>
      <c r="E402" s="44" t="s">
        <v>211</v>
      </c>
      <c r="F402" s="44" t="s">
        <v>212</v>
      </c>
      <c r="G402" s="44" t="s">
        <v>14871</v>
      </c>
      <c r="H402" s="44" t="s">
        <v>14872</v>
      </c>
      <c r="I402" s="44" t="s">
        <v>14873</v>
      </c>
      <c r="J402" s="44" t="s">
        <v>14874</v>
      </c>
      <c r="K402" s="44" t="s">
        <v>14875</v>
      </c>
      <c r="L402" s="44" t="s">
        <v>8617</v>
      </c>
      <c r="M402" s="44" t="s">
        <v>14876</v>
      </c>
    </row>
    <row r="403" customFormat="false" ht="22.35" hidden="false" customHeight="false" outlineLevel="0" collapsed="false">
      <c r="A403" s="44" t="s">
        <v>15731</v>
      </c>
      <c r="B403" s="44" t="s">
        <v>8613</v>
      </c>
      <c r="C403" s="44" t="s">
        <v>8614</v>
      </c>
      <c r="D403" s="44" t="s">
        <v>15732</v>
      </c>
      <c r="E403" s="44"/>
      <c r="F403" s="44"/>
      <c r="G403" s="44" t="s">
        <v>14882</v>
      </c>
      <c r="H403" s="44" t="s">
        <v>14872</v>
      </c>
      <c r="I403" s="44" t="s">
        <v>14883</v>
      </c>
      <c r="J403" s="44" t="s">
        <v>14874</v>
      </c>
      <c r="K403" s="44" t="s">
        <v>14875</v>
      </c>
      <c r="L403" s="44" t="s">
        <v>8617</v>
      </c>
      <c r="M403" s="44" t="s">
        <v>14876</v>
      </c>
    </row>
    <row r="404" customFormat="false" ht="22.35" hidden="false" customHeight="false" outlineLevel="0" collapsed="false">
      <c r="A404" s="44" t="s">
        <v>15733</v>
      </c>
      <c r="B404" s="44" t="s">
        <v>8613</v>
      </c>
      <c r="C404" s="44" t="s">
        <v>8614</v>
      </c>
      <c r="D404" s="44" t="s">
        <v>15734</v>
      </c>
      <c r="E404" s="44" t="s">
        <v>5917</v>
      </c>
      <c r="F404" s="44" t="s">
        <v>5918</v>
      </c>
      <c r="G404" s="44" t="s">
        <v>14871</v>
      </c>
      <c r="H404" s="44" t="s">
        <v>14872</v>
      </c>
      <c r="I404" s="44" t="s">
        <v>14873</v>
      </c>
      <c r="J404" s="44" t="s">
        <v>14874</v>
      </c>
      <c r="K404" s="44" t="s">
        <v>14875</v>
      </c>
      <c r="L404" s="44" t="s">
        <v>8617</v>
      </c>
      <c r="M404" s="44" t="s">
        <v>14876</v>
      </c>
    </row>
    <row r="405" customFormat="false" ht="22.35" hidden="false" customHeight="false" outlineLevel="0" collapsed="false">
      <c r="A405" s="44" t="s">
        <v>15735</v>
      </c>
      <c r="B405" s="44" t="s">
        <v>8613</v>
      </c>
      <c r="C405" s="44" t="s">
        <v>8614</v>
      </c>
      <c r="D405" s="44" t="s">
        <v>15736</v>
      </c>
      <c r="E405" s="44"/>
      <c r="F405" s="44"/>
      <c r="G405" s="44" t="s">
        <v>14882</v>
      </c>
      <c r="H405" s="44" t="s">
        <v>14872</v>
      </c>
      <c r="I405" s="44" t="s">
        <v>14883</v>
      </c>
      <c r="J405" s="44" t="s">
        <v>14874</v>
      </c>
      <c r="K405" s="44" t="s">
        <v>14875</v>
      </c>
      <c r="L405" s="44" t="s">
        <v>8617</v>
      </c>
      <c r="M405" s="44" t="s">
        <v>14876</v>
      </c>
    </row>
    <row r="406" customFormat="false" ht="22.35" hidden="false" customHeight="false" outlineLevel="0" collapsed="false">
      <c r="A406" s="44" t="s">
        <v>15737</v>
      </c>
      <c r="B406" s="44" t="s">
        <v>8618</v>
      </c>
      <c r="C406" s="44" t="s">
        <v>8619</v>
      </c>
      <c r="D406" s="44" t="s">
        <v>15738</v>
      </c>
      <c r="E406" s="44"/>
      <c r="F406" s="44"/>
      <c r="G406" s="44" t="s">
        <v>14882</v>
      </c>
      <c r="H406" s="44" t="s">
        <v>14872</v>
      </c>
      <c r="I406" s="44" t="s">
        <v>14883</v>
      </c>
      <c r="J406" s="44" t="s">
        <v>14874</v>
      </c>
      <c r="K406" s="44" t="s">
        <v>14875</v>
      </c>
      <c r="L406" s="44" t="s">
        <v>8625</v>
      </c>
      <c r="M406" s="44" t="s">
        <v>14876</v>
      </c>
    </row>
    <row r="407" customFormat="false" ht="22.35" hidden="false" customHeight="false" outlineLevel="0" collapsed="false">
      <c r="A407" s="44" t="s">
        <v>15739</v>
      </c>
      <c r="B407" s="44" t="s">
        <v>8618</v>
      </c>
      <c r="C407" s="44" t="s">
        <v>8619</v>
      </c>
      <c r="D407" s="44" t="s">
        <v>15740</v>
      </c>
      <c r="E407" s="44" t="s">
        <v>15741</v>
      </c>
      <c r="F407" s="44" t="s">
        <v>15742</v>
      </c>
      <c r="G407" s="44" t="s">
        <v>14871</v>
      </c>
      <c r="H407" s="44" t="s">
        <v>14872</v>
      </c>
      <c r="I407" s="44" t="s">
        <v>14886</v>
      </c>
      <c r="J407" s="44" t="s">
        <v>14874</v>
      </c>
      <c r="K407" s="44" t="s">
        <v>14875</v>
      </c>
      <c r="L407" s="44" t="s">
        <v>8625</v>
      </c>
      <c r="M407" s="44" t="s">
        <v>14876</v>
      </c>
    </row>
    <row r="408" customFormat="false" ht="22.35" hidden="false" customHeight="false" outlineLevel="0" collapsed="false">
      <c r="A408" s="44" t="s">
        <v>15743</v>
      </c>
      <c r="B408" s="44" t="s">
        <v>8618</v>
      </c>
      <c r="C408" s="44" t="s">
        <v>8619</v>
      </c>
      <c r="D408" s="44" t="s">
        <v>15744</v>
      </c>
      <c r="E408" s="44" t="s">
        <v>254</v>
      </c>
      <c r="F408" s="44" t="s">
        <v>255</v>
      </c>
      <c r="G408" s="44" t="s">
        <v>14871</v>
      </c>
      <c r="H408" s="44" t="s">
        <v>14872</v>
      </c>
      <c r="I408" s="44" t="s">
        <v>14879</v>
      </c>
      <c r="J408" s="44" t="s">
        <v>14874</v>
      </c>
      <c r="K408" s="44" t="s">
        <v>14875</v>
      </c>
      <c r="L408" s="44" t="s">
        <v>8625</v>
      </c>
      <c r="M408" s="44" t="s">
        <v>14876</v>
      </c>
    </row>
    <row r="409" customFormat="false" ht="22.35" hidden="false" customHeight="false" outlineLevel="0" collapsed="false">
      <c r="A409" s="44" t="s">
        <v>15745</v>
      </c>
      <c r="B409" s="44" t="s">
        <v>8618</v>
      </c>
      <c r="C409" s="44" t="s">
        <v>8619</v>
      </c>
      <c r="D409" s="44" t="s">
        <v>15746</v>
      </c>
      <c r="E409" s="44" t="s">
        <v>15747</v>
      </c>
      <c r="F409" s="44" t="s">
        <v>15748</v>
      </c>
      <c r="G409" s="44" t="s">
        <v>14871</v>
      </c>
      <c r="H409" s="44" t="s">
        <v>14872</v>
      </c>
      <c r="I409" s="44" t="s">
        <v>14886</v>
      </c>
      <c r="J409" s="44" t="s">
        <v>14874</v>
      </c>
      <c r="K409" s="44" t="s">
        <v>14875</v>
      </c>
      <c r="L409" s="44" t="s">
        <v>8625</v>
      </c>
      <c r="M409" s="44" t="s">
        <v>14876</v>
      </c>
    </row>
    <row r="410" customFormat="false" ht="22.35" hidden="false" customHeight="false" outlineLevel="0" collapsed="false">
      <c r="A410" s="44" t="s">
        <v>15749</v>
      </c>
      <c r="B410" s="44" t="s">
        <v>8626</v>
      </c>
      <c r="C410" s="44" t="s">
        <v>8627</v>
      </c>
      <c r="D410" s="44" t="s">
        <v>15750</v>
      </c>
      <c r="E410" s="44" t="s">
        <v>15751</v>
      </c>
      <c r="F410" s="44" t="s">
        <v>15752</v>
      </c>
      <c r="G410" s="44" t="s">
        <v>14871</v>
      </c>
      <c r="H410" s="44" t="s">
        <v>14872</v>
      </c>
      <c r="I410" s="44" t="s">
        <v>14873</v>
      </c>
      <c r="J410" s="44" t="s">
        <v>14874</v>
      </c>
      <c r="K410" s="44" t="s">
        <v>14875</v>
      </c>
      <c r="L410" s="44" t="s">
        <v>8633</v>
      </c>
      <c r="M410" s="44" t="s">
        <v>14876</v>
      </c>
    </row>
    <row r="411" customFormat="false" ht="22.35" hidden="false" customHeight="false" outlineLevel="0" collapsed="false">
      <c r="A411" s="44" t="s">
        <v>15753</v>
      </c>
      <c r="B411" s="44" t="s">
        <v>8626</v>
      </c>
      <c r="C411" s="44" t="s">
        <v>8627</v>
      </c>
      <c r="D411" s="44" t="s">
        <v>15754</v>
      </c>
      <c r="E411" s="44" t="s">
        <v>15755</v>
      </c>
      <c r="F411" s="44" t="s">
        <v>15756</v>
      </c>
      <c r="G411" s="44" t="s">
        <v>14871</v>
      </c>
      <c r="H411" s="44" t="s">
        <v>14872</v>
      </c>
      <c r="I411" s="44" t="s">
        <v>14873</v>
      </c>
      <c r="J411" s="44" t="s">
        <v>14874</v>
      </c>
      <c r="K411" s="44" t="s">
        <v>14875</v>
      </c>
      <c r="L411" s="44" t="s">
        <v>8633</v>
      </c>
      <c r="M411" s="44" t="s">
        <v>14876</v>
      </c>
    </row>
    <row r="412" customFormat="false" ht="22.35" hidden="false" customHeight="false" outlineLevel="0" collapsed="false">
      <c r="A412" s="44" t="s">
        <v>15757</v>
      </c>
      <c r="B412" s="44" t="s">
        <v>8626</v>
      </c>
      <c r="C412" s="44" t="s">
        <v>8627</v>
      </c>
      <c r="D412" s="44" t="s">
        <v>15758</v>
      </c>
      <c r="E412" s="44"/>
      <c r="F412" s="44"/>
      <c r="G412" s="44" t="s">
        <v>14882</v>
      </c>
      <c r="H412" s="44" t="s">
        <v>14872</v>
      </c>
      <c r="I412" s="44" t="s">
        <v>14883</v>
      </c>
      <c r="J412" s="44" t="s">
        <v>14874</v>
      </c>
      <c r="K412" s="44" t="s">
        <v>14875</v>
      </c>
      <c r="L412" s="44" t="s">
        <v>8633</v>
      </c>
      <c r="M412" s="44" t="s">
        <v>14876</v>
      </c>
    </row>
    <row r="413" customFormat="false" ht="22.35" hidden="false" customHeight="false" outlineLevel="0" collapsed="false">
      <c r="A413" s="44" t="s">
        <v>15759</v>
      </c>
      <c r="B413" s="44" t="s">
        <v>8626</v>
      </c>
      <c r="C413" s="44" t="s">
        <v>8627</v>
      </c>
      <c r="D413" s="44" t="s">
        <v>15760</v>
      </c>
      <c r="E413" s="44" t="s">
        <v>3583</v>
      </c>
      <c r="F413" s="44" t="s">
        <v>3584</v>
      </c>
      <c r="G413" s="44" t="s">
        <v>14871</v>
      </c>
      <c r="H413" s="44" t="s">
        <v>14872</v>
      </c>
      <c r="I413" s="44" t="s">
        <v>14886</v>
      </c>
      <c r="J413" s="44" t="s">
        <v>14874</v>
      </c>
      <c r="K413" s="44" t="s">
        <v>14875</v>
      </c>
      <c r="L413" s="44" t="s">
        <v>8633</v>
      </c>
      <c r="M413" s="44" t="s">
        <v>14876</v>
      </c>
    </row>
    <row r="414" customFormat="false" ht="22.35" hidden="false" customHeight="false" outlineLevel="0" collapsed="false">
      <c r="A414" s="44" t="s">
        <v>15761</v>
      </c>
      <c r="B414" s="44" t="s">
        <v>8634</v>
      </c>
      <c r="C414" s="44" t="s">
        <v>8635</v>
      </c>
      <c r="D414" s="44" t="s">
        <v>15762</v>
      </c>
      <c r="E414" s="44" t="s">
        <v>2057</v>
      </c>
      <c r="F414" s="44" t="s">
        <v>2058</v>
      </c>
      <c r="G414" s="44" t="s">
        <v>14871</v>
      </c>
      <c r="H414" s="44" t="s">
        <v>14872</v>
      </c>
      <c r="I414" s="44" t="s">
        <v>14879</v>
      </c>
      <c r="J414" s="44" t="s">
        <v>14874</v>
      </c>
      <c r="K414" s="44" t="s">
        <v>14875</v>
      </c>
      <c r="L414" s="44" t="s">
        <v>8641</v>
      </c>
      <c r="M414" s="44" t="s">
        <v>14876</v>
      </c>
    </row>
    <row r="415" customFormat="false" ht="22.35" hidden="false" customHeight="false" outlineLevel="0" collapsed="false">
      <c r="A415" s="44" t="s">
        <v>15763</v>
      </c>
      <c r="B415" s="44" t="s">
        <v>8634</v>
      </c>
      <c r="C415" s="44" t="s">
        <v>8635</v>
      </c>
      <c r="D415" s="44" t="s">
        <v>15115</v>
      </c>
      <c r="E415" s="44" t="s">
        <v>3451</v>
      </c>
      <c r="F415" s="44" t="s">
        <v>3452</v>
      </c>
      <c r="G415" s="44" t="s">
        <v>14871</v>
      </c>
      <c r="H415" s="44" t="s">
        <v>14872</v>
      </c>
      <c r="I415" s="44" t="s">
        <v>14873</v>
      </c>
      <c r="J415" s="44" t="s">
        <v>14874</v>
      </c>
      <c r="K415" s="44" t="s">
        <v>14875</v>
      </c>
      <c r="L415" s="44" t="s">
        <v>8641</v>
      </c>
      <c r="M415" s="44" t="s">
        <v>14876</v>
      </c>
    </row>
    <row r="416" customFormat="false" ht="22.35" hidden="false" customHeight="false" outlineLevel="0" collapsed="false">
      <c r="A416" s="44" t="s">
        <v>15764</v>
      </c>
      <c r="B416" s="44" t="s">
        <v>8634</v>
      </c>
      <c r="C416" s="44" t="s">
        <v>8635</v>
      </c>
      <c r="D416" s="44" t="s">
        <v>14998</v>
      </c>
      <c r="E416" s="44" t="s">
        <v>14999</v>
      </c>
      <c r="F416" s="44" t="s">
        <v>15000</v>
      </c>
      <c r="G416" s="44" t="s">
        <v>14871</v>
      </c>
      <c r="H416" s="44" t="s">
        <v>14872</v>
      </c>
      <c r="I416" s="44" t="s">
        <v>14886</v>
      </c>
      <c r="J416" s="44" t="s">
        <v>14874</v>
      </c>
      <c r="K416" s="44" t="s">
        <v>14875</v>
      </c>
      <c r="L416" s="44" t="s">
        <v>8641</v>
      </c>
      <c r="M416" s="44" t="s">
        <v>14876</v>
      </c>
    </row>
    <row r="417" customFormat="false" ht="22.35" hidden="false" customHeight="false" outlineLevel="0" collapsed="false">
      <c r="A417" s="44" t="s">
        <v>15765</v>
      </c>
      <c r="B417" s="44" t="s">
        <v>8634</v>
      </c>
      <c r="C417" s="44" t="s">
        <v>8635</v>
      </c>
      <c r="D417" s="44" t="s">
        <v>15128</v>
      </c>
      <c r="E417" s="44" t="s">
        <v>1384</v>
      </c>
      <c r="F417" s="44" t="s">
        <v>1385</v>
      </c>
      <c r="G417" s="44" t="s">
        <v>14871</v>
      </c>
      <c r="H417" s="44" t="s">
        <v>14872</v>
      </c>
      <c r="I417" s="44" t="s">
        <v>14873</v>
      </c>
      <c r="J417" s="44" t="s">
        <v>14874</v>
      </c>
      <c r="K417" s="44" t="s">
        <v>14875</v>
      </c>
      <c r="L417" s="44" t="s">
        <v>8641</v>
      </c>
      <c r="M417" s="44" t="s">
        <v>14876</v>
      </c>
    </row>
    <row r="418" customFormat="false" ht="22.35" hidden="false" customHeight="false" outlineLevel="0" collapsed="false">
      <c r="A418" s="44" t="s">
        <v>15766</v>
      </c>
      <c r="B418" s="44" t="s">
        <v>8634</v>
      </c>
      <c r="C418" s="44" t="s">
        <v>8635</v>
      </c>
      <c r="D418" s="44" t="s">
        <v>15767</v>
      </c>
      <c r="E418" s="44" t="s">
        <v>211</v>
      </c>
      <c r="F418" s="44" t="s">
        <v>212</v>
      </c>
      <c r="G418" s="44" t="s">
        <v>14871</v>
      </c>
      <c r="H418" s="44" t="s">
        <v>14872</v>
      </c>
      <c r="I418" s="44" t="s">
        <v>14873</v>
      </c>
      <c r="J418" s="44" t="s">
        <v>14874</v>
      </c>
      <c r="K418" s="44" t="s">
        <v>14875</v>
      </c>
      <c r="L418" s="44" t="s">
        <v>8641</v>
      </c>
      <c r="M418" s="44" t="s">
        <v>14876</v>
      </c>
    </row>
    <row r="419" customFormat="false" ht="22.35" hidden="false" customHeight="false" outlineLevel="0" collapsed="false">
      <c r="A419" s="44" t="s">
        <v>15768</v>
      </c>
      <c r="B419" s="44" t="s">
        <v>8634</v>
      </c>
      <c r="C419" s="44" t="s">
        <v>8635</v>
      </c>
      <c r="D419" s="44" t="s">
        <v>15769</v>
      </c>
      <c r="E419" s="44" t="s">
        <v>4633</v>
      </c>
      <c r="F419" s="44" t="s">
        <v>4634</v>
      </c>
      <c r="G419" s="44" t="s">
        <v>14871</v>
      </c>
      <c r="H419" s="44" t="s">
        <v>14872</v>
      </c>
      <c r="I419" s="44" t="s">
        <v>14886</v>
      </c>
      <c r="J419" s="44" t="s">
        <v>14874</v>
      </c>
      <c r="K419" s="44" t="s">
        <v>14875</v>
      </c>
      <c r="L419" s="44" t="s">
        <v>8641</v>
      </c>
      <c r="M419" s="44" t="s">
        <v>14876</v>
      </c>
    </row>
    <row r="420" customFormat="false" ht="22.35" hidden="false" customHeight="false" outlineLevel="0" collapsed="false">
      <c r="A420" s="44" t="s">
        <v>15770</v>
      </c>
      <c r="B420" s="44" t="s">
        <v>8642</v>
      </c>
      <c r="C420" s="44" t="s">
        <v>8643</v>
      </c>
      <c r="D420" s="44" t="s">
        <v>15771</v>
      </c>
      <c r="E420" s="44" t="s">
        <v>15772</v>
      </c>
      <c r="F420" s="44" t="s">
        <v>15773</v>
      </c>
      <c r="G420" s="44" t="s">
        <v>14871</v>
      </c>
      <c r="H420" s="44" t="s">
        <v>14872</v>
      </c>
      <c r="I420" s="44" t="s">
        <v>14873</v>
      </c>
      <c r="J420" s="44" t="s">
        <v>14874</v>
      </c>
      <c r="K420" s="44" t="s">
        <v>14875</v>
      </c>
      <c r="L420" s="44" t="s">
        <v>8647</v>
      </c>
      <c r="M420" s="44" t="s">
        <v>14876</v>
      </c>
    </row>
    <row r="421" customFormat="false" ht="22.35" hidden="false" customHeight="false" outlineLevel="0" collapsed="false">
      <c r="A421" s="44" t="s">
        <v>15774</v>
      </c>
      <c r="B421" s="44" t="s">
        <v>8642</v>
      </c>
      <c r="C421" s="44" t="s">
        <v>8643</v>
      </c>
      <c r="D421" s="44" t="s">
        <v>15775</v>
      </c>
      <c r="E421" s="44" t="s">
        <v>2057</v>
      </c>
      <c r="F421" s="44" t="s">
        <v>2058</v>
      </c>
      <c r="G421" s="44" t="s">
        <v>14871</v>
      </c>
      <c r="H421" s="44" t="s">
        <v>14872</v>
      </c>
      <c r="I421" s="44" t="s">
        <v>14879</v>
      </c>
      <c r="J421" s="44" t="s">
        <v>14874</v>
      </c>
      <c r="K421" s="44" t="s">
        <v>14875</v>
      </c>
      <c r="L421" s="44" t="s">
        <v>8647</v>
      </c>
      <c r="M421" s="44" t="s">
        <v>14876</v>
      </c>
    </row>
    <row r="422" customFormat="false" ht="22.35" hidden="false" customHeight="false" outlineLevel="0" collapsed="false">
      <c r="A422" s="44" t="s">
        <v>15776</v>
      </c>
      <c r="B422" s="44" t="s">
        <v>8642</v>
      </c>
      <c r="C422" s="44" t="s">
        <v>8643</v>
      </c>
      <c r="D422" s="44" t="s">
        <v>15777</v>
      </c>
      <c r="E422" s="44" t="s">
        <v>2566</v>
      </c>
      <c r="F422" s="44" t="s">
        <v>2567</v>
      </c>
      <c r="G422" s="44" t="s">
        <v>14871</v>
      </c>
      <c r="H422" s="44" t="s">
        <v>14872</v>
      </c>
      <c r="I422" s="44" t="s">
        <v>14873</v>
      </c>
      <c r="J422" s="44" t="s">
        <v>14874</v>
      </c>
      <c r="K422" s="44" t="s">
        <v>14875</v>
      </c>
      <c r="L422" s="44" t="s">
        <v>8647</v>
      </c>
      <c r="M422" s="44" t="s">
        <v>14876</v>
      </c>
    </row>
    <row r="423" customFormat="false" ht="22.35" hidden="false" customHeight="false" outlineLevel="0" collapsed="false">
      <c r="A423" s="44" t="s">
        <v>15778</v>
      </c>
      <c r="B423" s="44" t="s">
        <v>8642</v>
      </c>
      <c r="C423" s="44" t="s">
        <v>8643</v>
      </c>
      <c r="D423" s="44" t="s">
        <v>15779</v>
      </c>
      <c r="E423" s="44"/>
      <c r="F423" s="44"/>
      <c r="G423" s="44" t="s">
        <v>14882</v>
      </c>
      <c r="H423" s="44" t="s">
        <v>14872</v>
      </c>
      <c r="I423" s="44" t="s">
        <v>14883</v>
      </c>
      <c r="J423" s="44" t="s">
        <v>14874</v>
      </c>
      <c r="K423" s="44" t="s">
        <v>14875</v>
      </c>
      <c r="L423" s="44" t="s">
        <v>8647</v>
      </c>
      <c r="M423" s="44" t="s">
        <v>14876</v>
      </c>
    </row>
    <row r="424" customFormat="false" ht="22.35" hidden="false" customHeight="false" outlineLevel="0" collapsed="false">
      <c r="A424" s="44" t="s">
        <v>15780</v>
      </c>
      <c r="B424" s="44" t="s">
        <v>8642</v>
      </c>
      <c r="C424" s="44" t="s">
        <v>8643</v>
      </c>
      <c r="D424" s="44" t="s">
        <v>15781</v>
      </c>
      <c r="E424" s="44" t="s">
        <v>3164</v>
      </c>
      <c r="F424" s="44" t="s">
        <v>3165</v>
      </c>
      <c r="G424" s="44" t="s">
        <v>14871</v>
      </c>
      <c r="H424" s="44" t="s">
        <v>14872</v>
      </c>
      <c r="I424" s="44" t="s">
        <v>14879</v>
      </c>
      <c r="J424" s="44" t="s">
        <v>14874</v>
      </c>
      <c r="K424" s="44" t="s">
        <v>14875</v>
      </c>
      <c r="L424" s="44" t="s">
        <v>8647</v>
      </c>
      <c r="M424" s="44" t="s">
        <v>14876</v>
      </c>
    </row>
    <row r="425" customFormat="false" ht="22.35" hidden="false" customHeight="false" outlineLevel="0" collapsed="false">
      <c r="A425" s="44" t="s">
        <v>15782</v>
      </c>
      <c r="B425" s="44" t="s">
        <v>8648</v>
      </c>
      <c r="C425" s="44" t="s">
        <v>8649</v>
      </c>
      <c r="D425" s="44" t="s">
        <v>15783</v>
      </c>
      <c r="E425" s="44" t="s">
        <v>3438</v>
      </c>
      <c r="F425" s="44" t="s">
        <v>3439</v>
      </c>
      <c r="G425" s="44" t="s">
        <v>14871</v>
      </c>
      <c r="H425" s="44" t="s">
        <v>14872</v>
      </c>
      <c r="I425" s="44" t="s">
        <v>14873</v>
      </c>
      <c r="J425" s="44" t="s">
        <v>14874</v>
      </c>
      <c r="K425" s="44" t="s">
        <v>14875</v>
      </c>
      <c r="L425" s="44" t="s">
        <v>8655</v>
      </c>
      <c r="M425" s="44" t="s">
        <v>14876</v>
      </c>
    </row>
    <row r="426" customFormat="false" ht="22.35" hidden="false" customHeight="false" outlineLevel="0" collapsed="false">
      <c r="A426" s="44" t="s">
        <v>15784</v>
      </c>
      <c r="B426" s="44" t="s">
        <v>8648</v>
      </c>
      <c r="C426" s="44" t="s">
        <v>8649</v>
      </c>
      <c r="D426" s="44" t="s">
        <v>15785</v>
      </c>
      <c r="E426" s="44"/>
      <c r="F426" s="44"/>
      <c r="G426" s="44" t="s">
        <v>14882</v>
      </c>
      <c r="H426" s="44" t="s">
        <v>14872</v>
      </c>
      <c r="I426" s="44" t="s">
        <v>14883</v>
      </c>
      <c r="J426" s="44" t="s">
        <v>14874</v>
      </c>
      <c r="K426" s="44" t="s">
        <v>14875</v>
      </c>
      <c r="L426" s="44" t="s">
        <v>8655</v>
      </c>
      <c r="M426" s="44" t="s">
        <v>14876</v>
      </c>
    </row>
    <row r="427" customFormat="false" ht="22.35" hidden="false" customHeight="false" outlineLevel="0" collapsed="false">
      <c r="A427" s="44" t="s">
        <v>15786</v>
      </c>
      <c r="B427" s="44" t="s">
        <v>8648</v>
      </c>
      <c r="C427" s="44" t="s">
        <v>8649</v>
      </c>
      <c r="D427" s="44" t="s">
        <v>15787</v>
      </c>
      <c r="E427" s="44" t="s">
        <v>1741</v>
      </c>
      <c r="F427" s="44" t="s">
        <v>1742</v>
      </c>
      <c r="G427" s="44" t="s">
        <v>14871</v>
      </c>
      <c r="H427" s="44" t="s">
        <v>14872</v>
      </c>
      <c r="I427" s="44" t="s">
        <v>14873</v>
      </c>
      <c r="J427" s="44" t="s">
        <v>14874</v>
      </c>
      <c r="K427" s="44" t="s">
        <v>14875</v>
      </c>
      <c r="L427" s="44" t="s">
        <v>8655</v>
      </c>
      <c r="M427" s="44" t="s">
        <v>14876</v>
      </c>
    </row>
    <row r="428" customFormat="false" ht="22.35" hidden="false" customHeight="false" outlineLevel="0" collapsed="false">
      <c r="A428" s="44" t="s">
        <v>15788</v>
      </c>
      <c r="B428" s="44" t="s">
        <v>8648</v>
      </c>
      <c r="C428" s="44" t="s">
        <v>8649</v>
      </c>
      <c r="D428" s="44" t="s">
        <v>15115</v>
      </c>
      <c r="E428" s="44" t="s">
        <v>3451</v>
      </c>
      <c r="F428" s="44" t="s">
        <v>3452</v>
      </c>
      <c r="G428" s="44" t="s">
        <v>14871</v>
      </c>
      <c r="H428" s="44" t="s">
        <v>14872</v>
      </c>
      <c r="I428" s="44" t="s">
        <v>14873</v>
      </c>
      <c r="J428" s="44" t="s">
        <v>14874</v>
      </c>
      <c r="K428" s="44" t="s">
        <v>14875</v>
      </c>
      <c r="L428" s="44" t="s">
        <v>8655</v>
      </c>
      <c r="M428" s="44" t="s">
        <v>14876</v>
      </c>
    </row>
    <row r="429" customFormat="false" ht="22.35" hidden="false" customHeight="false" outlineLevel="0" collapsed="false">
      <c r="A429" s="44" t="s">
        <v>15789</v>
      </c>
      <c r="B429" s="44" t="s">
        <v>8648</v>
      </c>
      <c r="C429" s="44" t="s">
        <v>8649</v>
      </c>
      <c r="D429" s="44" t="s">
        <v>15790</v>
      </c>
      <c r="E429" s="44" t="s">
        <v>994</v>
      </c>
      <c r="F429" s="44" t="s">
        <v>995</v>
      </c>
      <c r="G429" s="44" t="s">
        <v>14871</v>
      </c>
      <c r="H429" s="44" t="s">
        <v>14872</v>
      </c>
      <c r="I429" s="44" t="s">
        <v>14873</v>
      </c>
      <c r="J429" s="44" t="s">
        <v>14874</v>
      </c>
      <c r="K429" s="44" t="s">
        <v>14875</v>
      </c>
      <c r="L429" s="44" t="s">
        <v>8655</v>
      </c>
      <c r="M429" s="44" t="s">
        <v>14876</v>
      </c>
    </row>
    <row r="430" customFormat="false" ht="22.35" hidden="false" customHeight="false" outlineLevel="0" collapsed="false">
      <c r="A430" s="44" t="s">
        <v>15791</v>
      </c>
      <c r="B430" s="44" t="s">
        <v>8648</v>
      </c>
      <c r="C430" s="44" t="s">
        <v>8649</v>
      </c>
      <c r="D430" s="44" t="s">
        <v>15792</v>
      </c>
      <c r="E430" s="44"/>
      <c r="F430" s="44"/>
      <c r="G430" s="44" t="s">
        <v>14882</v>
      </c>
      <c r="H430" s="44" t="s">
        <v>14872</v>
      </c>
      <c r="I430" s="44" t="s">
        <v>14883</v>
      </c>
      <c r="J430" s="44" t="s">
        <v>14874</v>
      </c>
      <c r="K430" s="44" t="s">
        <v>14875</v>
      </c>
      <c r="L430" s="44" t="s">
        <v>8655</v>
      </c>
      <c r="M430" s="44" t="s">
        <v>14876</v>
      </c>
    </row>
    <row r="431" customFormat="false" ht="22.35" hidden="false" customHeight="false" outlineLevel="0" collapsed="false">
      <c r="A431" s="44" t="s">
        <v>15793</v>
      </c>
      <c r="B431" s="44" t="s">
        <v>8656</v>
      </c>
      <c r="C431" s="44" t="s">
        <v>8657</v>
      </c>
      <c r="D431" s="44" t="s">
        <v>15794</v>
      </c>
      <c r="E431" s="44" t="s">
        <v>4214</v>
      </c>
      <c r="F431" s="44" t="s">
        <v>4215</v>
      </c>
      <c r="G431" s="44" t="s">
        <v>14871</v>
      </c>
      <c r="H431" s="44" t="s">
        <v>14872</v>
      </c>
      <c r="I431" s="44" t="s">
        <v>14886</v>
      </c>
      <c r="J431" s="44" t="s">
        <v>14874</v>
      </c>
      <c r="K431" s="44" t="s">
        <v>14875</v>
      </c>
      <c r="L431" s="44" t="s">
        <v>8663</v>
      </c>
      <c r="M431" s="44" t="s">
        <v>14876</v>
      </c>
    </row>
    <row r="432" customFormat="false" ht="22.35" hidden="false" customHeight="false" outlineLevel="0" collapsed="false">
      <c r="A432" s="44" t="s">
        <v>15795</v>
      </c>
      <c r="B432" s="44" t="s">
        <v>8656</v>
      </c>
      <c r="C432" s="44" t="s">
        <v>8657</v>
      </c>
      <c r="D432" s="44" t="s">
        <v>15796</v>
      </c>
      <c r="E432" s="44" t="s">
        <v>1652</v>
      </c>
      <c r="F432" s="44" t="s">
        <v>1653</v>
      </c>
      <c r="G432" s="44" t="s">
        <v>14871</v>
      </c>
      <c r="H432" s="44" t="s">
        <v>14872</v>
      </c>
      <c r="I432" s="44" t="s">
        <v>14873</v>
      </c>
      <c r="J432" s="44" t="s">
        <v>14874</v>
      </c>
      <c r="K432" s="44" t="s">
        <v>14875</v>
      </c>
      <c r="L432" s="44" t="s">
        <v>8663</v>
      </c>
      <c r="M432" s="44" t="s">
        <v>14876</v>
      </c>
    </row>
    <row r="433" customFormat="false" ht="22.35" hidden="false" customHeight="false" outlineLevel="0" collapsed="false">
      <c r="A433" s="44" t="s">
        <v>15797</v>
      </c>
      <c r="B433" s="44" t="s">
        <v>8656</v>
      </c>
      <c r="C433" s="44" t="s">
        <v>8657</v>
      </c>
      <c r="D433" s="44" t="s">
        <v>15798</v>
      </c>
      <c r="E433" s="44" t="s">
        <v>196</v>
      </c>
      <c r="F433" s="44" t="s">
        <v>59</v>
      </c>
      <c r="G433" s="44" t="s">
        <v>14871</v>
      </c>
      <c r="H433" s="44" t="s">
        <v>14872</v>
      </c>
      <c r="I433" s="44" t="s">
        <v>14886</v>
      </c>
      <c r="J433" s="44" t="s">
        <v>14874</v>
      </c>
      <c r="K433" s="44" t="s">
        <v>14875</v>
      </c>
      <c r="L433" s="44" t="s">
        <v>8663</v>
      </c>
      <c r="M433" s="44" t="s">
        <v>14876</v>
      </c>
    </row>
    <row r="434" customFormat="false" ht="22.35" hidden="false" customHeight="false" outlineLevel="0" collapsed="false">
      <c r="A434" s="44" t="s">
        <v>15799</v>
      </c>
      <c r="B434" s="44" t="s">
        <v>8656</v>
      </c>
      <c r="C434" s="44" t="s">
        <v>8657</v>
      </c>
      <c r="D434" s="44" t="s">
        <v>15800</v>
      </c>
      <c r="E434" s="44"/>
      <c r="F434" s="44"/>
      <c r="G434" s="44" t="s">
        <v>14882</v>
      </c>
      <c r="H434" s="44" t="s">
        <v>14872</v>
      </c>
      <c r="I434" s="44" t="s">
        <v>14883</v>
      </c>
      <c r="J434" s="44" t="s">
        <v>14874</v>
      </c>
      <c r="K434" s="44" t="s">
        <v>14875</v>
      </c>
      <c r="L434" s="44" t="s">
        <v>8663</v>
      </c>
      <c r="M434" s="44" t="s">
        <v>14876</v>
      </c>
    </row>
    <row r="435" customFormat="false" ht="22.35" hidden="false" customHeight="false" outlineLevel="0" collapsed="false">
      <c r="A435" s="44" t="s">
        <v>15801</v>
      </c>
      <c r="B435" s="44" t="s">
        <v>8664</v>
      </c>
      <c r="C435" s="44" t="s">
        <v>8665</v>
      </c>
      <c r="D435" s="44" t="s">
        <v>15802</v>
      </c>
      <c r="E435" s="44" t="s">
        <v>15803</v>
      </c>
      <c r="F435" s="44" t="s">
        <v>15804</v>
      </c>
      <c r="G435" s="44" t="s">
        <v>14871</v>
      </c>
      <c r="H435" s="44" t="s">
        <v>14872</v>
      </c>
      <c r="I435" s="44" t="s">
        <v>14873</v>
      </c>
      <c r="J435" s="44" t="s">
        <v>14874</v>
      </c>
      <c r="K435" s="44" t="s">
        <v>14875</v>
      </c>
      <c r="L435" s="44" t="s">
        <v>8669</v>
      </c>
      <c r="M435" s="44" t="s">
        <v>14876</v>
      </c>
    </row>
    <row r="436" customFormat="false" ht="22.35" hidden="false" customHeight="false" outlineLevel="0" collapsed="false">
      <c r="A436" s="44" t="s">
        <v>15805</v>
      </c>
      <c r="B436" s="44" t="s">
        <v>8664</v>
      </c>
      <c r="C436" s="44" t="s">
        <v>8665</v>
      </c>
      <c r="D436" s="44" t="s">
        <v>15806</v>
      </c>
      <c r="E436" s="44"/>
      <c r="F436" s="44"/>
      <c r="G436" s="44" t="s">
        <v>14882</v>
      </c>
      <c r="H436" s="44" t="s">
        <v>14872</v>
      </c>
      <c r="I436" s="44" t="s">
        <v>14883</v>
      </c>
      <c r="J436" s="44" t="s">
        <v>14874</v>
      </c>
      <c r="K436" s="44" t="s">
        <v>14875</v>
      </c>
      <c r="L436" s="44" t="s">
        <v>8669</v>
      </c>
      <c r="M436" s="44" t="s">
        <v>14876</v>
      </c>
    </row>
    <row r="437" customFormat="false" ht="22.35" hidden="false" customHeight="false" outlineLevel="0" collapsed="false">
      <c r="A437" s="44" t="s">
        <v>15807</v>
      </c>
      <c r="B437" s="44" t="s">
        <v>8664</v>
      </c>
      <c r="C437" s="44" t="s">
        <v>8665</v>
      </c>
      <c r="D437" s="44" t="s">
        <v>15386</v>
      </c>
      <c r="E437" s="44" t="s">
        <v>15387</v>
      </c>
      <c r="F437" s="44" t="s">
        <v>15388</v>
      </c>
      <c r="G437" s="44" t="s">
        <v>14871</v>
      </c>
      <c r="H437" s="44" t="s">
        <v>14872</v>
      </c>
      <c r="I437" s="44" t="s">
        <v>14879</v>
      </c>
      <c r="J437" s="44" t="s">
        <v>14874</v>
      </c>
      <c r="K437" s="44" t="s">
        <v>14875</v>
      </c>
      <c r="L437" s="44" t="s">
        <v>8669</v>
      </c>
      <c r="M437" s="44" t="s">
        <v>14876</v>
      </c>
    </row>
    <row r="438" customFormat="false" ht="22.35" hidden="false" customHeight="false" outlineLevel="0" collapsed="false">
      <c r="A438" s="44" t="s">
        <v>15808</v>
      </c>
      <c r="B438" s="44" t="s">
        <v>8664</v>
      </c>
      <c r="C438" s="44" t="s">
        <v>8665</v>
      </c>
      <c r="D438" s="44" t="s">
        <v>15563</v>
      </c>
      <c r="E438" s="44" t="s">
        <v>4214</v>
      </c>
      <c r="F438" s="44" t="s">
        <v>4215</v>
      </c>
      <c r="G438" s="44" t="s">
        <v>14871</v>
      </c>
      <c r="H438" s="44" t="s">
        <v>14872</v>
      </c>
      <c r="I438" s="44" t="s">
        <v>14886</v>
      </c>
      <c r="J438" s="44" t="s">
        <v>14874</v>
      </c>
      <c r="K438" s="44" t="s">
        <v>14875</v>
      </c>
      <c r="L438" s="44" t="s">
        <v>8669</v>
      </c>
      <c r="M438" s="44" t="s">
        <v>14876</v>
      </c>
    </row>
    <row r="439" customFormat="false" ht="22.35" hidden="false" customHeight="false" outlineLevel="0" collapsed="false">
      <c r="A439" s="44" t="s">
        <v>15809</v>
      </c>
      <c r="B439" s="44" t="s">
        <v>8664</v>
      </c>
      <c r="C439" s="44" t="s">
        <v>8665</v>
      </c>
      <c r="D439" s="44" t="s">
        <v>15810</v>
      </c>
      <c r="E439" s="44" t="s">
        <v>3578</v>
      </c>
      <c r="F439" s="44" t="s">
        <v>3579</v>
      </c>
      <c r="G439" s="44" t="s">
        <v>14871</v>
      </c>
      <c r="H439" s="44" t="s">
        <v>14872</v>
      </c>
      <c r="I439" s="44" t="s">
        <v>14886</v>
      </c>
      <c r="J439" s="44" t="s">
        <v>14874</v>
      </c>
      <c r="K439" s="44" t="s">
        <v>14875</v>
      </c>
      <c r="L439" s="44" t="s">
        <v>8669</v>
      </c>
      <c r="M439" s="44" t="s">
        <v>14876</v>
      </c>
    </row>
    <row r="440" customFormat="false" ht="22.35" hidden="false" customHeight="false" outlineLevel="0" collapsed="false">
      <c r="A440" s="44" t="s">
        <v>15811</v>
      </c>
      <c r="B440" s="44" t="s">
        <v>8670</v>
      </c>
      <c r="C440" s="44" t="s">
        <v>8671</v>
      </c>
      <c r="D440" s="44" t="s">
        <v>15812</v>
      </c>
      <c r="E440" s="44" t="s">
        <v>15813</v>
      </c>
      <c r="F440" s="44" t="s">
        <v>15814</v>
      </c>
      <c r="G440" s="44" t="s">
        <v>14871</v>
      </c>
      <c r="H440" s="44" t="s">
        <v>14872</v>
      </c>
      <c r="I440" s="44" t="s">
        <v>14873</v>
      </c>
      <c r="J440" s="44" t="s">
        <v>14874</v>
      </c>
      <c r="K440" s="44" t="s">
        <v>14875</v>
      </c>
      <c r="L440" s="44" t="s">
        <v>8676</v>
      </c>
      <c r="M440" s="44" t="s">
        <v>14876</v>
      </c>
    </row>
    <row r="441" customFormat="false" ht="22.35" hidden="false" customHeight="false" outlineLevel="0" collapsed="false">
      <c r="A441" s="44" t="s">
        <v>15815</v>
      </c>
      <c r="B441" s="44" t="s">
        <v>8670</v>
      </c>
      <c r="C441" s="44" t="s">
        <v>8671</v>
      </c>
      <c r="D441" s="44" t="s">
        <v>15816</v>
      </c>
      <c r="E441" s="44"/>
      <c r="F441" s="44"/>
      <c r="G441" s="44" t="s">
        <v>14882</v>
      </c>
      <c r="H441" s="44" t="s">
        <v>14872</v>
      </c>
      <c r="I441" s="44" t="s">
        <v>14883</v>
      </c>
      <c r="J441" s="44" t="s">
        <v>14874</v>
      </c>
      <c r="K441" s="44" t="s">
        <v>14875</v>
      </c>
      <c r="L441" s="44" t="s">
        <v>8676</v>
      </c>
      <c r="M441" s="44" t="s">
        <v>14876</v>
      </c>
    </row>
    <row r="442" customFormat="false" ht="22.35" hidden="false" customHeight="false" outlineLevel="0" collapsed="false">
      <c r="A442" s="44" t="s">
        <v>15817</v>
      </c>
      <c r="B442" s="44" t="s">
        <v>8670</v>
      </c>
      <c r="C442" s="44" t="s">
        <v>8671</v>
      </c>
      <c r="D442" s="44" t="s">
        <v>15818</v>
      </c>
      <c r="E442" s="44" t="s">
        <v>4895</v>
      </c>
      <c r="F442" s="44" t="s">
        <v>4896</v>
      </c>
      <c r="G442" s="44" t="s">
        <v>14871</v>
      </c>
      <c r="H442" s="44" t="s">
        <v>14872</v>
      </c>
      <c r="I442" s="44" t="s">
        <v>14886</v>
      </c>
      <c r="J442" s="44" t="s">
        <v>14874</v>
      </c>
      <c r="K442" s="44" t="s">
        <v>14875</v>
      </c>
      <c r="L442" s="44" t="s">
        <v>8676</v>
      </c>
      <c r="M442" s="44" t="s">
        <v>14876</v>
      </c>
    </row>
    <row r="443" customFormat="false" ht="22.35" hidden="false" customHeight="false" outlineLevel="0" collapsed="false">
      <c r="A443" s="44" t="s">
        <v>15819</v>
      </c>
      <c r="B443" s="44" t="s">
        <v>8670</v>
      </c>
      <c r="C443" s="44" t="s">
        <v>8671</v>
      </c>
      <c r="D443" s="44" t="s">
        <v>15820</v>
      </c>
      <c r="E443" s="44" t="s">
        <v>6764</v>
      </c>
      <c r="F443" s="44" t="s">
        <v>6765</v>
      </c>
      <c r="G443" s="44" t="s">
        <v>14871</v>
      </c>
      <c r="H443" s="44" t="s">
        <v>14872</v>
      </c>
      <c r="I443" s="44" t="s">
        <v>14873</v>
      </c>
      <c r="J443" s="44" t="s">
        <v>14874</v>
      </c>
      <c r="K443" s="44" t="s">
        <v>14875</v>
      </c>
      <c r="L443" s="44" t="s">
        <v>8676</v>
      </c>
      <c r="M443" s="44" t="s">
        <v>14876</v>
      </c>
    </row>
    <row r="444" customFormat="false" ht="22.35" hidden="false" customHeight="false" outlineLevel="0" collapsed="false">
      <c r="A444" s="44" t="s">
        <v>15821</v>
      </c>
      <c r="B444" s="44" t="s">
        <v>8677</v>
      </c>
      <c r="C444" s="44" t="s">
        <v>8678</v>
      </c>
      <c r="D444" s="44" t="s">
        <v>15822</v>
      </c>
      <c r="E444" s="44" t="s">
        <v>200</v>
      </c>
      <c r="F444" s="44" t="s">
        <v>201</v>
      </c>
      <c r="G444" s="44" t="s">
        <v>14871</v>
      </c>
      <c r="H444" s="44" t="s">
        <v>14872</v>
      </c>
      <c r="I444" s="44" t="s">
        <v>14886</v>
      </c>
      <c r="J444" s="44" t="s">
        <v>14874</v>
      </c>
      <c r="K444" s="44" t="s">
        <v>14875</v>
      </c>
      <c r="L444" s="44" t="s">
        <v>8682</v>
      </c>
      <c r="M444" s="44" t="s">
        <v>14876</v>
      </c>
    </row>
    <row r="445" customFormat="false" ht="22.35" hidden="false" customHeight="false" outlineLevel="0" collapsed="false">
      <c r="A445" s="44" t="s">
        <v>15823</v>
      </c>
      <c r="B445" s="44" t="s">
        <v>8677</v>
      </c>
      <c r="C445" s="44" t="s">
        <v>8678</v>
      </c>
      <c r="D445" s="44" t="s">
        <v>15824</v>
      </c>
      <c r="E445" s="44"/>
      <c r="F445" s="44"/>
      <c r="G445" s="44" t="s">
        <v>14882</v>
      </c>
      <c r="H445" s="44" t="s">
        <v>14872</v>
      </c>
      <c r="I445" s="44" t="s">
        <v>14883</v>
      </c>
      <c r="J445" s="44" t="s">
        <v>14874</v>
      </c>
      <c r="K445" s="44" t="s">
        <v>14875</v>
      </c>
      <c r="L445" s="44" t="s">
        <v>8682</v>
      </c>
      <c r="M445" s="44" t="s">
        <v>14876</v>
      </c>
    </row>
    <row r="446" customFormat="false" ht="22.35" hidden="false" customHeight="false" outlineLevel="0" collapsed="false">
      <c r="A446" s="44" t="s">
        <v>15825</v>
      </c>
      <c r="B446" s="44" t="s">
        <v>8677</v>
      </c>
      <c r="C446" s="44" t="s">
        <v>8678</v>
      </c>
      <c r="D446" s="44" t="s">
        <v>15826</v>
      </c>
      <c r="E446" s="44" t="s">
        <v>3589</v>
      </c>
      <c r="F446" s="44" t="s">
        <v>3590</v>
      </c>
      <c r="G446" s="44" t="s">
        <v>14871</v>
      </c>
      <c r="H446" s="44" t="s">
        <v>14872</v>
      </c>
      <c r="I446" s="44" t="s">
        <v>14886</v>
      </c>
      <c r="J446" s="44" t="s">
        <v>14874</v>
      </c>
      <c r="K446" s="44" t="s">
        <v>14875</v>
      </c>
      <c r="L446" s="44" t="s">
        <v>8682</v>
      </c>
      <c r="M446" s="44" t="s">
        <v>14876</v>
      </c>
    </row>
    <row r="447" customFormat="false" ht="22.35" hidden="false" customHeight="false" outlineLevel="0" collapsed="false">
      <c r="A447" s="44" t="s">
        <v>15827</v>
      </c>
      <c r="B447" s="44" t="s">
        <v>8677</v>
      </c>
      <c r="C447" s="44" t="s">
        <v>8678</v>
      </c>
      <c r="D447" s="44" t="s">
        <v>15828</v>
      </c>
      <c r="E447" s="44"/>
      <c r="F447" s="44"/>
      <c r="G447" s="44" t="s">
        <v>14882</v>
      </c>
      <c r="H447" s="44" t="s">
        <v>14872</v>
      </c>
      <c r="I447" s="44" t="s">
        <v>14883</v>
      </c>
      <c r="J447" s="44" t="s">
        <v>14874</v>
      </c>
      <c r="K447" s="44" t="s">
        <v>14875</v>
      </c>
      <c r="L447" s="44" t="s">
        <v>8682</v>
      </c>
      <c r="M447" s="44" t="s">
        <v>14876</v>
      </c>
    </row>
    <row r="448" customFormat="false" ht="22.35" hidden="false" customHeight="false" outlineLevel="0" collapsed="false">
      <c r="A448" s="44" t="s">
        <v>15829</v>
      </c>
      <c r="B448" s="44" t="s">
        <v>8683</v>
      </c>
      <c r="C448" s="44" t="s">
        <v>8684</v>
      </c>
      <c r="D448" s="44" t="s">
        <v>15830</v>
      </c>
      <c r="E448" s="44"/>
      <c r="F448" s="44"/>
      <c r="G448" s="44" t="s">
        <v>14882</v>
      </c>
      <c r="H448" s="44" t="s">
        <v>14872</v>
      </c>
      <c r="I448" s="44" t="s">
        <v>14883</v>
      </c>
      <c r="J448" s="44" t="s">
        <v>14874</v>
      </c>
      <c r="K448" s="44" t="s">
        <v>14875</v>
      </c>
      <c r="L448" s="44" t="s">
        <v>8689</v>
      </c>
      <c r="M448" s="44" t="s">
        <v>14876</v>
      </c>
    </row>
    <row r="449" customFormat="false" ht="22.35" hidden="false" customHeight="false" outlineLevel="0" collapsed="false">
      <c r="A449" s="44" t="s">
        <v>15831</v>
      </c>
      <c r="B449" s="44" t="s">
        <v>8683</v>
      </c>
      <c r="C449" s="44" t="s">
        <v>8684</v>
      </c>
      <c r="D449" s="44" t="s">
        <v>15832</v>
      </c>
      <c r="E449" s="44" t="s">
        <v>934</v>
      </c>
      <c r="F449" s="44" t="s">
        <v>935</v>
      </c>
      <c r="G449" s="44" t="s">
        <v>14871</v>
      </c>
      <c r="H449" s="44" t="s">
        <v>14872</v>
      </c>
      <c r="I449" s="44" t="s">
        <v>14873</v>
      </c>
      <c r="J449" s="44" t="s">
        <v>14874</v>
      </c>
      <c r="K449" s="44" t="s">
        <v>14875</v>
      </c>
      <c r="L449" s="44" t="s">
        <v>8689</v>
      </c>
      <c r="M449" s="44" t="s">
        <v>14876</v>
      </c>
    </row>
    <row r="450" customFormat="false" ht="22.35" hidden="false" customHeight="false" outlineLevel="0" collapsed="false">
      <c r="A450" s="44" t="s">
        <v>15833</v>
      </c>
      <c r="B450" s="44" t="s">
        <v>8683</v>
      </c>
      <c r="C450" s="44" t="s">
        <v>8684</v>
      </c>
      <c r="D450" s="44" t="s">
        <v>15834</v>
      </c>
      <c r="E450" s="44" t="s">
        <v>1631</v>
      </c>
      <c r="F450" s="44" t="s">
        <v>1632</v>
      </c>
      <c r="G450" s="44" t="s">
        <v>14871</v>
      </c>
      <c r="H450" s="44" t="s">
        <v>14872</v>
      </c>
      <c r="I450" s="44" t="s">
        <v>14873</v>
      </c>
      <c r="J450" s="44" t="s">
        <v>14874</v>
      </c>
      <c r="K450" s="44" t="s">
        <v>14875</v>
      </c>
      <c r="L450" s="44" t="s">
        <v>8689</v>
      </c>
      <c r="M450" s="44" t="s">
        <v>14876</v>
      </c>
    </row>
    <row r="451" customFormat="false" ht="22.35" hidden="false" customHeight="false" outlineLevel="0" collapsed="false">
      <c r="A451" s="44" t="s">
        <v>15835</v>
      </c>
      <c r="B451" s="44" t="s">
        <v>8683</v>
      </c>
      <c r="C451" s="44" t="s">
        <v>8684</v>
      </c>
      <c r="D451" s="44" t="s">
        <v>15836</v>
      </c>
      <c r="E451" s="44"/>
      <c r="F451" s="44"/>
      <c r="G451" s="44" t="s">
        <v>14882</v>
      </c>
      <c r="H451" s="44" t="s">
        <v>14872</v>
      </c>
      <c r="I451" s="44" t="s">
        <v>14883</v>
      </c>
      <c r="J451" s="44" t="s">
        <v>14874</v>
      </c>
      <c r="K451" s="44" t="s">
        <v>14875</v>
      </c>
      <c r="L451" s="44" t="s">
        <v>8689</v>
      </c>
      <c r="M451" s="44" t="s">
        <v>14876</v>
      </c>
    </row>
    <row r="452" customFormat="false" ht="22.35" hidden="false" customHeight="false" outlineLevel="0" collapsed="false">
      <c r="A452" s="44" t="s">
        <v>15837</v>
      </c>
      <c r="B452" s="44" t="s">
        <v>8683</v>
      </c>
      <c r="C452" s="44" t="s">
        <v>8684</v>
      </c>
      <c r="D452" s="44" t="s">
        <v>15838</v>
      </c>
      <c r="E452" s="44"/>
      <c r="F452" s="44"/>
      <c r="G452" s="44" t="s">
        <v>14882</v>
      </c>
      <c r="H452" s="44" t="s">
        <v>14872</v>
      </c>
      <c r="I452" s="44" t="s">
        <v>14883</v>
      </c>
      <c r="J452" s="44" t="s">
        <v>14874</v>
      </c>
      <c r="K452" s="44" t="s">
        <v>14875</v>
      </c>
      <c r="L452" s="44" t="s">
        <v>8689</v>
      </c>
      <c r="M452" s="44" t="s">
        <v>14876</v>
      </c>
    </row>
    <row r="453" customFormat="false" ht="22.35" hidden="false" customHeight="false" outlineLevel="0" collapsed="false">
      <c r="A453" s="44" t="s">
        <v>15839</v>
      </c>
      <c r="B453" s="44" t="s">
        <v>8690</v>
      </c>
      <c r="C453" s="44" t="s">
        <v>8691</v>
      </c>
      <c r="D453" s="44" t="s">
        <v>15840</v>
      </c>
      <c r="E453" s="44" t="s">
        <v>2554</v>
      </c>
      <c r="F453" s="44" t="s">
        <v>2555</v>
      </c>
      <c r="G453" s="44" t="s">
        <v>14871</v>
      </c>
      <c r="H453" s="44" t="s">
        <v>14872</v>
      </c>
      <c r="I453" s="44" t="s">
        <v>14879</v>
      </c>
      <c r="J453" s="44" t="s">
        <v>14874</v>
      </c>
      <c r="K453" s="44" t="s">
        <v>14875</v>
      </c>
      <c r="L453" s="44" t="s">
        <v>8695</v>
      </c>
      <c r="M453" s="44" t="s">
        <v>14876</v>
      </c>
    </row>
    <row r="454" customFormat="false" ht="22.35" hidden="false" customHeight="false" outlineLevel="0" collapsed="false">
      <c r="A454" s="44" t="s">
        <v>15841</v>
      </c>
      <c r="B454" s="44" t="s">
        <v>8690</v>
      </c>
      <c r="C454" s="44" t="s">
        <v>8691</v>
      </c>
      <c r="D454" s="44" t="s">
        <v>15842</v>
      </c>
      <c r="E454" s="44" t="s">
        <v>1233</v>
      </c>
      <c r="F454" s="44" t="s">
        <v>1234</v>
      </c>
      <c r="G454" s="44" t="s">
        <v>14871</v>
      </c>
      <c r="H454" s="44" t="s">
        <v>14872</v>
      </c>
      <c r="I454" s="44" t="s">
        <v>14873</v>
      </c>
      <c r="J454" s="44" t="s">
        <v>14874</v>
      </c>
      <c r="K454" s="44" t="s">
        <v>14875</v>
      </c>
      <c r="L454" s="44" t="s">
        <v>8695</v>
      </c>
      <c r="M454" s="44" t="s">
        <v>14876</v>
      </c>
    </row>
    <row r="455" customFormat="false" ht="22.35" hidden="false" customHeight="false" outlineLevel="0" collapsed="false">
      <c r="A455" s="44" t="s">
        <v>15843</v>
      </c>
      <c r="B455" s="44" t="s">
        <v>8690</v>
      </c>
      <c r="C455" s="44" t="s">
        <v>8691</v>
      </c>
      <c r="D455" s="44" t="s">
        <v>15844</v>
      </c>
      <c r="E455" s="44"/>
      <c r="F455" s="44"/>
      <c r="G455" s="44" t="s">
        <v>14882</v>
      </c>
      <c r="H455" s="44" t="s">
        <v>14872</v>
      </c>
      <c r="I455" s="44" t="s">
        <v>14883</v>
      </c>
      <c r="J455" s="44" t="s">
        <v>14874</v>
      </c>
      <c r="K455" s="44" t="s">
        <v>14875</v>
      </c>
      <c r="L455" s="44" t="s">
        <v>8695</v>
      </c>
      <c r="M455" s="44" t="s">
        <v>14876</v>
      </c>
    </row>
    <row r="456" customFormat="false" ht="22.35" hidden="false" customHeight="false" outlineLevel="0" collapsed="false">
      <c r="A456" s="44" t="s">
        <v>15845</v>
      </c>
      <c r="B456" s="44" t="s">
        <v>8690</v>
      </c>
      <c r="C456" s="44" t="s">
        <v>8691</v>
      </c>
      <c r="D456" s="44" t="s">
        <v>14976</v>
      </c>
      <c r="E456" s="44" t="s">
        <v>231</v>
      </c>
      <c r="F456" s="44" t="s">
        <v>232</v>
      </c>
      <c r="G456" s="44" t="s">
        <v>14871</v>
      </c>
      <c r="H456" s="44" t="s">
        <v>14872</v>
      </c>
      <c r="I456" s="44" t="s">
        <v>14873</v>
      </c>
      <c r="J456" s="44" t="s">
        <v>14874</v>
      </c>
      <c r="K456" s="44" t="s">
        <v>14875</v>
      </c>
      <c r="L456" s="44" t="s">
        <v>8695</v>
      </c>
      <c r="M456" s="44" t="s">
        <v>14876</v>
      </c>
    </row>
    <row r="457" customFormat="false" ht="22.35" hidden="false" customHeight="false" outlineLevel="0" collapsed="false">
      <c r="A457" s="44" t="s">
        <v>15846</v>
      </c>
      <c r="B457" s="44" t="s">
        <v>8690</v>
      </c>
      <c r="C457" s="44" t="s">
        <v>8691</v>
      </c>
      <c r="D457" s="44" t="s">
        <v>15322</v>
      </c>
      <c r="E457" s="44" t="s">
        <v>6776</v>
      </c>
      <c r="F457" s="44" t="s">
        <v>6777</v>
      </c>
      <c r="G457" s="44" t="s">
        <v>14871</v>
      </c>
      <c r="H457" s="44" t="s">
        <v>14872</v>
      </c>
      <c r="I457" s="44" t="s">
        <v>14873</v>
      </c>
      <c r="J457" s="44" t="s">
        <v>14874</v>
      </c>
      <c r="K457" s="44" t="s">
        <v>14875</v>
      </c>
      <c r="L457" s="44" t="s">
        <v>8695</v>
      </c>
      <c r="M457" s="44" t="s">
        <v>14876</v>
      </c>
    </row>
    <row r="458" customFormat="false" ht="22.35" hidden="false" customHeight="false" outlineLevel="0" collapsed="false">
      <c r="A458" s="44" t="s">
        <v>15847</v>
      </c>
      <c r="B458" s="44" t="s">
        <v>8690</v>
      </c>
      <c r="C458" s="44" t="s">
        <v>8691</v>
      </c>
      <c r="D458" s="44" t="s">
        <v>15848</v>
      </c>
      <c r="E458" s="44" t="s">
        <v>196</v>
      </c>
      <c r="F458" s="44" t="s">
        <v>59</v>
      </c>
      <c r="G458" s="44" t="s">
        <v>14871</v>
      </c>
      <c r="H458" s="44" t="s">
        <v>14872</v>
      </c>
      <c r="I458" s="44" t="s">
        <v>14886</v>
      </c>
      <c r="J458" s="44" t="s">
        <v>14874</v>
      </c>
      <c r="K458" s="44" t="s">
        <v>14875</v>
      </c>
      <c r="L458" s="44" t="s">
        <v>8695</v>
      </c>
      <c r="M458" s="44" t="s">
        <v>14876</v>
      </c>
    </row>
    <row r="459" customFormat="false" ht="22.35" hidden="false" customHeight="false" outlineLevel="0" collapsed="false">
      <c r="A459" s="44" t="s">
        <v>15849</v>
      </c>
      <c r="B459" s="44" t="s">
        <v>8696</v>
      </c>
      <c r="C459" s="44" t="s">
        <v>8697</v>
      </c>
      <c r="D459" s="44" t="s">
        <v>15850</v>
      </c>
      <c r="E459" s="44" t="s">
        <v>3589</v>
      </c>
      <c r="F459" s="44" t="s">
        <v>3590</v>
      </c>
      <c r="G459" s="44" t="s">
        <v>14871</v>
      </c>
      <c r="H459" s="44" t="s">
        <v>14872</v>
      </c>
      <c r="I459" s="44" t="s">
        <v>14886</v>
      </c>
      <c r="J459" s="44" t="s">
        <v>14874</v>
      </c>
      <c r="K459" s="44" t="s">
        <v>14875</v>
      </c>
      <c r="L459" s="44" t="s">
        <v>8702</v>
      </c>
      <c r="M459" s="44" t="s">
        <v>14876</v>
      </c>
    </row>
    <row r="460" customFormat="false" ht="22.35" hidden="false" customHeight="false" outlineLevel="0" collapsed="false">
      <c r="A460" s="44" t="s">
        <v>15851</v>
      </c>
      <c r="B460" s="44" t="s">
        <v>8696</v>
      </c>
      <c r="C460" s="44" t="s">
        <v>8697</v>
      </c>
      <c r="D460" s="44" t="s">
        <v>15852</v>
      </c>
      <c r="E460" s="44"/>
      <c r="F460" s="44"/>
      <c r="G460" s="44" t="s">
        <v>14882</v>
      </c>
      <c r="H460" s="44" t="s">
        <v>14872</v>
      </c>
      <c r="I460" s="44" t="s">
        <v>14883</v>
      </c>
      <c r="J460" s="44" t="s">
        <v>14874</v>
      </c>
      <c r="K460" s="44" t="s">
        <v>14875</v>
      </c>
      <c r="L460" s="44" t="s">
        <v>8702</v>
      </c>
      <c r="M460" s="44" t="s">
        <v>14876</v>
      </c>
    </row>
    <row r="461" customFormat="false" ht="22.35" hidden="false" customHeight="false" outlineLevel="0" collapsed="false">
      <c r="A461" s="44" t="s">
        <v>15853</v>
      </c>
      <c r="B461" s="44" t="s">
        <v>8696</v>
      </c>
      <c r="C461" s="44" t="s">
        <v>8697</v>
      </c>
      <c r="D461" s="44" t="s">
        <v>15854</v>
      </c>
      <c r="E461" s="44"/>
      <c r="F461" s="44"/>
      <c r="G461" s="44" t="s">
        <v>14882</v>
      </c>
      <c r="H461" s="44" t="s">
        <v>14872</v>
      </c>
      <c r="I461" s="44" t="s">
        <v>14883</v>
      </c>
      <c r="J461" s="44" t="s">
        <v>14874</v>
      </c>
      <c r="K461" s="44" t="s">
        <v>14875</v>
      </c>
      <c r="L461" s="44" t="s">
        <v>8702</v>
      </c>
      <c r="M461" s="44" t="s">
        <v>14876</v>
      </c>
    </row>
    <row r="462" customFormat="false" ht="22.35" hidden="false" customHeight="false" outlineLevel="0" collapsed="false">
      <c r="A462" s="44" t="s">
        <v>15855</v>
      </c>
      <c r="B462" s="44" t="s">
        <v>8696</v>
      </c>
      <c r="C462" s="44" t="s">
        <v>8697</v>
      </c>
      <c r="D462" s="44" t="s">
        <v>15856</v>
      </c>
      <c r="E462" s="44" t="s">
        <v>4214</v>
      </c>
      <c r="F462" s="44" t="s">
        <v>4215</v>
      </c>
      <c r="G462" s="44" t="s">
        <v>14871</v>
      </c>
      <c r="H462" s="44" t="s">
        <v>14872</v>
      </c>
      <c r="I462" s="44" t="s">
        <v>14886</v>
      </c>
      <c r="J462" s="44" t="s">
        <v>14874</v>
      </c>
      <c r="K462" s="44" t="s">
        <v>14875</v>
      </c>
      <c r="L462" s="44" t="s">
        <v>8702</v>
      </c>
      <c r="M462" s="44" t="s">
        <v>14876</v>
      </c>
    </row>
    <row r="463" customFormat="false" ht="22.35" hidden="false" customHeight="false" outlineLevel="0" collapsed="false">
      <c r="A463" s="44" t="s">
        <v>15857</v>
      </c>
      <c r="B463" s="44" t="s">
        <v>8696</v>
      </c>
      <c r="C463" s="44" t="s">
        <v>8697</v>
      </c>
      <c r="D463" s="44" t="s">
        <v>15858</v>
      </c>
      <c r="E463" s="44"/>
      <c r="F463" s="44"/>
      <c r="G463" s="44" t="s">
        <v>14882</v>
      </c>
      <c r="H463" s="44" t="s">
        <v>14872</v>
      </c>
      <c r="I463" s="44" t="s">
        <v>14883</v>
      </c>
      <c r="J463" s="44" t="s">
        <v>14874</v>
      </c>
      <c r="K463" s="44" t="s">
        <v>14875</v>
      </c>
      <c r="L463" s="44" t="s">
        <v>8702</v>
      </c>
      <c r="M463" s="44" t="s">
        <v>14876</v>
      </c>
    </row>
    <row r="464" customFormat="false" ht="22.35" hidden="false" customHeight="false" outlineLevel="0" collapsed="false">
      <c r="A464" s="44" t="s">
        <v>15859</v>
      </c>
      <c r="B464" s="44" t="s">
        <v>8703</v>
      </c>
      <c r="C464" s="44" t="s">
        <v>8704</v>
      </c>
      <c r="D464" s="44" t="s">
        <v>15860</v>
      </c>
      <c r="E464" s="44"/>
      <c r="F464" s="44"/>
      <c r="G464" s="44" t="s">
        <v>14882</v>
      </c>
      <c r="H464" s="44" t="s">
        <v>14872</v>
      </c>
      <c r="I464" s="44" t="s">
        <v>14883</v>
      </c>
      <c r="J464" s="44" t="s">
        <v>14874</v>
      </c>
      <c r="K464" s="44" t="s">
        <v>14875</v>
      </c>
      <c r="L464" s="44" t="s">
        <v>8710</v>
      </c>
      <c r="M464" s="44" t="s">
        <v>14876</v>
      </c>
    </row>
    <row r="465" customFormat="false" ht="22.35" hidden="false" customHeight="false" outlineLevel="0" collapsed="false">
      <c r="A465" s="44" t="s">
        <v>15861</v>
      </c>
      <c r="B465" s="44" t="s">
        <v>8703</v>
      </c>
      <c r="C465" s="44" t="s">
        <v>8704</v>
      </c>
      <c r="D465" s="44" t="s">
        <v>15563</v>
      </c>
      <c r="E465" s="44" t="s">
        <v>4214</v>
      </c>
      <c r="F465" s="44" t="s">
        <v>4215</v>
      </c>
      <c r="G465" s="44" t="s">
        <v>14871</v>
      </c>
      <c r="H465" s="44" t="s">
        <v>14872</v>
      </c>
      <c r="I465" s="44" t="s">
        <v>14886</v>
      </c>
      <c r="J465" s="44" t="s">
        <v>14874</v>
      </c>
      <c r="K465" s="44" t="s">
        <v>14875</v>
      </c>
      <c r="L465" s="44" t="s">
        <v>8710</v>
      </c>
      <c r="M465" s="44" t="s">
        <v>14876</v>
      </c>
    </row>
    <row r="466" customFormat="false" ht="22.35" hidden="false" customHeight="false" outlineLevel="0" collapsed="false">
      <c r="A466" s="44" t="s">
        <v>15862</v>
      </c>
      <c r="B466" s="44" t="s">
        <v>8703</v>
      </c>
      <c r="C466" s="44" t="s">
        <v>8704</v>
      </c>
      <c r="D466" s="44" t="s">
        <v>15658</v>
      </c>
      <c r="E466" s="44" t="s">
        <v>3251</v>
      </c>
      <c r="F466" s="44" t="s">
        <v>3252</v>
      </c>
      <c r="G466" s="44" t="s">
        <v>14871</v>
      </c>
      <c r="H466" s="44" t="s">
        <v>14872</v>
      </c>
      <c r="I466" s="44" t="s">
        <v>14886</v>
      </c>
      <c r="J466" s="44" t="s">
        <v>14874</v>
      </c>
      <c r="K466" s="44" t="s">
        <v>14875</v>
      </c>
      <c r="L466" s="44" t="s">
        <v>8710</v>
      </c>
      <c r="M466" s="44" t="s">
        <v>14876</v>
      </c>
    </row>
    <row r="467" customFormat="false" ht="22.35" hidden="false" customHeight="false" outlineLevel="0" collapsed="false">
      <c r="A467" s="44" t="s">
        <v>15863</v>
      </c>
      <c r="B467" s="44" t="s">
        <v>8703</v>
      </c>
      <c r="C467" s="44" t="s">
        <v>8704</v>
      </c>
      <c r="D467" s="44" t="s">
        <v>15595</v>
      </c>
      <c r="E467" s="44" t="s">
        <v>925</v>
      </c>
      <c r="F467" s="44" t="s">
        <v>926</v>
      </c>
      <c r="G467" s="44" t="s">
        <v>14871</v>
      </c>
      <c r="H467" s="44" t="s">
        <v>14872</v>
      </c>
      <c r="I467" s="44" t="s">
        <v>14873</v>
      </c>
      <c r="J467" s="44" t="s">
        <v>14874</v>
      </c>
      <c r="K467" s="44" t="s">
        <v>14875</v>
      </c>
      <c r="L467" s="44" t="s">
        <v>8710</v>
      </c>
      <c r="M467" s="44" t="s">
        <v>14876</v>
      </c>
    </row>
    <row r="468" customFormat="false" ht="22.35" hidden="false" customHeight="false" outlineLevel="0" collapsed="false">
      <c r="A468" s="44" t="s">
        <v>15864</v>
      </c>
      <c r="B468" s="44" t="s">
        <v>8703</v>
      </c>
      <c r="C468" s="44" t="s">
        <v>8704</v>
      </c>
      <c r="D468" s="44" t="s">
        <v>15695</v>
      </c>
      <c r="E468" s="44"/>
      <c r="F468" s="44"/>
      <c r="G468" s="44" t="s">
        <v>14882</v>
      </c>
      <c r="H468" s="44" t="s">
        <v>14872</v>
      </c>
      <c r="I468" s="44" t="s">
        <v>14883</v>
      </c>
      <c r="J468" s="44" t="s">
        <v>14874</v>
      </c>
      <c r="K468" s="44" t="s">
        <v>14875</v>
      </c>
      <c r="L468" s="44" t="s">
        <v>8710</v>
      </c>
      <c r="M468" s="44" t="s">
        <v>14876</v>
      </c>
    </row>
    <row r="469" customFormat="false" ht="22.35" hidden="false" customHeight="false" outlineLevel="0" collapsed="false">
      <c r="A469" s="44" t="s">
        <v>15865</v>
      </c>
      <c r="B469" s="44" t="s">
        <v>8703</v>
      </c>
      <c r="C469" s="44" t="s">
        <v>8704</v>
      </c>
      <c r="D469" s="44" t="s">
        <v>15866</v>
      </c>
      <c r="E469" s="44"/>
      <c r="F469" s="44"/>
      <c r="G469" s="44" t="s">
        <v>14882</v>
      </c>
      <c r="H469" s="44" t="s">
        <v>14872</v>
      </c>
      <c r="I469" s="44" t="s">
        <v>14883</v>
      </c>
      <c r="J469" s="44" t="s">
        <v>14874</v>
      </c>
      <c r="K469" s="44" t="s">
        <v>14875</v>
      </c>
      <c r="L469" s="44" t="s">
        <v>8710</v>
      </c>
      <c r="M469" s="44" t="s">
        <v>14876</v>
      </c>
    </row>
    <row r="470" customFormat="false" ht="22.35" hidden="false" customHeight="false" outlineLevel="0" collapsed="false">
      <c r="A470" s="44" t="s">
        <v>15867</v>
      </c>
      <c r="B470" s="44" t="s">
        <v>8711</v>
      </c>
      <c r="C470" s="44" t="s">
        <v>8712</v>
      </c>
      <c r="D470" s="44" t="s">
        <v>15868</v>
      </c>
      <c r="E470" s="44" t="s">
        <v>1075</v>
      </c>
      <c r="F470" s="44" t="s">
        <v>1076</v>
      </c>
      <c r="G470" s="44" t="s">
        <v>14871</v>
      </c>
      <c r="H470" s="44" t="s">
        <v>14872</v>
      </c>
      <c r="I470" s="44" t="s">
        <v>14879</v>
      </c>
      <c r="J470" s="44" t="s">
        <v>14874</v>
      </c>
      <c r="K470" s="44" t="s">
        <v>14875</v>
      </c>
      <c r="L470" s="44" t="s">
        <v>8717</v>
      </c>
      <c r="M470" s="44" t="s">
        <v>14876</v>
      </c>
    </row>
    <row r="471" customFormat="false" ht="22.35" hidden="false" customHeight="false" outlineLevel="0" collapsed="false">
      <c r="A471" s="44" t="s">
        <v>15869</v>
      </c>
      <c r="B471" s="44" t="s">
        <v>8711</v>
      </c>
      <c r="C471" s="44" t="s">
        <v>8712</v>
      </c>
      <c r="D471" s="44" t="s">
        <v>15870</v>
      </c>
      <c r="E471" s="44" t="s">
        <v>388</v>
      </c>
      <c r="F471" s="44" t="s">
        <v>389</v>
      </c>
      <c r="G471" s="44" t="s">
        <v>14871</v>
      </c>
      <c r="H471" s="44" t="s">
        <v>14872</v>
      </c>
      <c r="I471" s="44" t="s">
        <v>14879</v>
      </c>
      <c r="J471" s="44" t="s">
        <v>14874</v>
      </c>
      <c r="K471" s="44" t="s">
        <v>14875</v>
      </c>
      <c r="L471" s="44" t="s">
        <v>8717</v>
      </c>
      <c r="M471" s="44" t="s">
        <v>14876</v>
      </c>
    </row>
    <row r="472" customFormat="false" ht="22.35" hidden="false" customHeight="false" outlineLevel="0" collapsed="false">
      <c r="A472" s="44" t="s">
        <v>15871</v>
      </c>
      <c r="B472" s="44" t="s">
        <v>8711</v>
      </c>
      <c r="C472" s="44" t="s">
        <v>8712</v>
      </c>
      <c r="D472" s="44" t="s">
        <v>15872</v>
      </c>
      <c r="E472" s="44" t="s">
        <v>1798</v>
      </c>
      <c r="F472" s="44" t="s">
        <v>1799</v>
      </c>
      <c r="G472" s="44" t="s">
        <v>14871</v>
      </c>
      <c r="H472" s="44" t="s">
        <v>14872</v>
      </c>
      <c r="I472" s="44" t="s">
        <v>14873</v>
      </c>
      <c r="J472" s="44" t="s">
        <v>14874</v>
      </c>
      <c r="K472" s="44" t="s">
        <v>14875</v>
      </c>
      <c r="L472" s="44" t="s">
        <v>8717</v>
      </c>
      <c r="M472" s="44" t="s">
        <v>14876</v>
      </c>
    </row>
    <row r="473" customFormat="false" ht="22.35" hidden="false" customHeight="false" outlineLevel="0" collapsed="false">
      <c r="A473" s="44" t="s">
        <v>15873</v>
      </c>
      <c r="B473" s="44" t="s">
        <v>8711</v>
      </c>
      <c r="C473" s="44" t="s">
        <v>8712</v>
      </c>
      <c r="D473" s="44" t="s">
        <v>15874</v>
      </c>
      <c r="E473" s="44" t="s">
        <v>2036</v>
      </c>
      <c r="F473" s="44" t="s">
        <v>2037</v>
      </c>
      <c r="G473" s="44" t="s">
        <v>14871</v>
      </c>
      <c r="H473" s="44" t="s">
        <v>14872</v>
      </c>
      <c r="I473" s="44" t="s">
        <v>14873</v>
      </c>
      <c r="J473" s="44" t="s">
        <v>14874</v>
      </c>
      <c r="K473" s="44" t="s">
        <v>14875</v>
      </c>
      <c r="L473" s="44" t="s">
        <v>8717</v>
      </c>
      <c r="M473" s="44" t="s">
        <v>14876</v>
      </c>
    </row>
    <row r="474" customFormat="false" ht="22.35" hidden="false" customHeight="false" outlineLevel="0" collapsed="false">
      <c r="A474" s="44" t="s">
        <v>15875</v>
      </c>
      <c r="B474" s="44" t="s">
        <v>8711</v>
      </c>
      <c r="C474" s="44" t="s">
        <v>8712</v>
      </c>
      <c r="D474" s="44" t="s">
        <v>15876</v>
      </c>
      <c r="E474" s="44"/>
      <c r="F474" s="44"/>
      <c r="G474" s="44" t="s">
        <v>14882</v>
      </c>
      <c r="H474" s="44" t="s">
        <v>14872</v>
      </c>
      <c r="I474" s="44" t="s">
        <v>14883</v>
      </c>
      <c r="J474" s="44" t="s">
        <v>14874</v>
      </c>
      <c r="K474" s="44" t="s">
        <v>14875</v>
      </c>
      <c r="L474" s="44" t="s">
        <v>8717</v>
      </c>
      <c r="M474" s="44" t="s">
        <v>14876</v>
      </c>
    </row>
    <row r="475" customFormat="false" ht="22.35" hidden="false" customHeight="false" outlineLevel="0" collapsed="false">
      <c r="A475" s="44" t="s">
        <v>15877</v>
      </c>
      <c r="B475" s="44" t="s">
        <v>8718</v>
      </c>
      <c r="C475" s="44" t="s">
        <v>8719</v>
      </c>
      <c r="D475" s="44" t="s">
        <v>15878</v>
      </c>
      <c r="E475" s="44" t="s">
        <v>15879</v>
      </c>
      <c r="F475" s="44" t="s">
        <v>15880</v>
      </c>
      <c r="G475" s="44" t="s">
        <v>14871</v>
      </c>
      <c r="H475" s="44" t="s">
        <v>14872</v>
      </c>
      <c r="I475" s="44" t="s">
        <v>14886</v>
      </c>
      <c r="J475" s="44" t="s">
        <v>14874</v>
      </c>
      <c r="K475" s="44" t="s">
        <v>14875</v>
      </c>
      <c r="L475" s="44" t="s">
        <v>8726</v>
      </c>
      <c r="M475" s="44" t="s">
        <v>14876</v>
      </c>
    </row>
    <row r="476" customFormat="false" ht="22.35" hidden="false" customHeight="false" outlineLevel="0" collapsed="false">
      <c r="A476" s="44" t="s">
        <v>15881</v>
      </c>
      <c r="B476" s="44" t="s">
        <v>8718</v>
      </c>
      <c r="C476" s="44" t="s">
        <v>8719</v>
      </c>
      <c r="D476" s="44" t="s">
        <v>15882</v>
      </c>
      <c r="E476" s="44" t="s">
        <v>4980</v>
      </c>
      <c r="F476" s="44" t="s">
        <v>4981</v>
      </c>
      <c r="G476" s="44" t="s">
        <v>14871</v>
      </c>
      <c r="H476" s="44" t="s">
        <v>14872</v>
      </c>
      <c r="I476" s="44" t="s">
        <v>14873</v>
      </c>
      <c r="J476" s="44" t="s">
        <v>14874</v>
      </c>
      <c r="K476" s="44" t="s">
        <v>14875</v>
      </c>
      <c r="L476" s="44" t="s">
        <v>8726</v>
      </c>
      <c r="M476" s="44" t="s">
        <v>14876</v>
      </c>
    </row>
    <row r="477" customFormat="false" ht="22.35" hidden="false" customHeight="false" outlineLevel="0" collapsed="false">
      <c r="A477" s="44" t="s">
        <v>15883</v>
      </c>
      <c r="B477" s="44" t="s">
        <v>8718</v>
      </c>
      <c r="C477" s="44" t="s">
        <v>8719</v>
      </c>
      <c r="D477" s="44" t="s">
        <v>15884</v>
      </c>
      <c r="E477" s="44" t="s">
        <v>180</v>
      </c>
      <c r="F477" s="44" t="s">
        <v>47</v>
      </c>
      <c r="G477" s="44" t="s">
        <v>14871</v>
      </c>
      <c r="H477" s="44" t="s">
        <v>14872</v>
      </c>
      <c r="I477" s="44" t="s">
        <v>14886</v>
      </c>
      <c r="J477" s="44" t="s">
        <v>14874</v>
      </c>
      <c r="K477" s="44" t="s">
        <v>14875</v>
      </c>
      <c r="L477" s="44" t="s">
        <v>8726</v>
      </c>
      <c r="M477" s="44" t="s">
        <v>14876</v>
      </c>
    </row>
    <row r="478" customFormat="false" ht="22.35" hidden="false" customHeight="false" outlineLevel="0" collapsed="false">
      <c r="A478" s="44" t="s">
        <v>15885</v>
      </c>
      <c r="B478" s="44" t="s">
        <v>8718</v>
      </c>
      <c r="C478" s="44" t="s">
        <v>8719</v>
      </c>
      <c r="D478" s="44" t="s">
        <v>15886</v>
      </c>
      <c r="E478" s="44" t="s">
        <v>3438</v>
      </c>
      <c r="F478" s="44" t="s">
        <v>3439</v>
      </c>
      <c r="G478" s="44" t="s">
        <v>14871</v>
      </c>
      <c r="H478" s="44" t="s">
        <v>14872</v>
      </c>
      <c r="I478" s="44" t="s">
        <v>14873</v>
      </c>
      <c r="J478" s="44" t="s">
        <v>14874</v>
      </c>
      <c r="K478" s="44" t="s">
        <v>14875</v>
      </c>
      <c r="L478" s="44" t="s">
        <v>8726</v>
      </c>
      <c r="M478" s="44" t="s">
        <v>14876</v>
      </c>
    </row>
    <row r="479" customFormat="false" ht="22.35" hidden="false" customHeight="false" outlineLevel="0" collapsed="false">
      <c r="A479" s="44" t="s">
        <v>15887</v>
      </c>
      <c r="B479" s="44" t="s">
        <v>8718</v>
      </c>
      <c r="C479" s="44" t="s">
        <v>8719</v>
      </c>
      <c r="D479" s="44" t="s">
        <v>15888</v>
      </c>
      <c r="E479" s="44" t="s">
        <v>3583</v>
      </c>
      <c r="F479" s="44" t="s">
        <v>3584</v>
      </c>
      <c r="G479" s="44" t="s">
        <v>14871</v>
      </c>
      <c r="H479" s="44" t="s">
        <v>14872</v>
      </c>
      <c r="I479" s="44" t="s">
        <v>14886</v>
      </c>
      <c r="J479" s="44" t="s">
        <v>14874</v>
      </c>
      <c r="K479" s="44" t="s">
        <v>14875</v>
      </c>
      <c r="L479" s="44" t="s">
        <v>8726</v>
      </c>
      <c r="M479" s="44" t="s">
        <v>14876</v>
      </c>
    </row>
    <row r="480" customFormat="false" ht="22.35" hidden="false" customHeight="false" outlineLevel="0" collapsed="false">
      <c r="A480" s="44" t="s">
        <v>15889</v>
      </c>
      <c r="B480" s="44" t="s">
        <v>8727</v>
      </c>
      <c r="C480" s="44" t="s">
        <v>8728</v>
      </c>
      <c r="D480" s="44" t="s">
        <v>15890</v>
      </c>
      <c r="E480" s="44" t="s">
        <v>200</v>
      </c>
      <c r="F480" s="44" t="s">
        <v>201</v>
      </c>
      <c r="G480" s="44" t="s">
        <v>14871</v>
      </c>
      <c r="H480" s="44" t="s">
        <v>14872</v>
      </c>
      <c r="I480" s="44" t="s">
        <v>14886</v>
      </c>
      <c r="J480" s="44" t="s">
        <v>14874</v>
      </c>
      <c r="K480" s="44" t="s">
        <v>14875</v>
      </c>
      <c r="L480" s="44" t="s">
        <v>8734</v>
      </c>
      <c r="M480" s="44" t="s">
        <v>14876</v>
      </c>
    </row>
    <row r="481" customFormat="false" ht="22.35" hidden="false" customHeight="false" outlineLevel="0" collapsed="false">
      <c r="A481" s="44" t="s">
        <v>15891</v>
      </c>
      <c r="B481" s="44" t="s">
        <v>8727</v>
      </c>
      <c r="C481" s="44" t="s">
        <v>8728</v>
      </c>
      <c r="D481" s="44" t="s">
        <v>15892</v>
      </c>
      <c r="E481" s="44" t="s">
        <v>4895</v>
      </c>
      <c r="F481" s="44" t="s">
        <v>4896</v>
      </c>
      <c r="G481" s="44" t="s">
        <v>14871</v>
      </c>
      <c r="H481" s="44" t="s">
        <v>14872</v>
      </c>
      <c r="I481" s="44" t="s">
        <v>14886</v>
      </c>
      <c r="J481" s="44" t="s">
        <v>14874</v>
      </c>
      <c r="K481" s="44" t="s">
        <v>14875</v>
      </c>
      <c r="L481" s="44" t="s">
        <v>8734</v>
      </c>
      <c r="M481" s="44" t="s">
        <v>14876</v>
      </c>
    </row>
    <row r="482" customFormat="false" ht="22.35" hidden="false" customHeight="false" outlineLevel="0" collapsed="false">
      <c r="A482" s="44" t="s">
        <v>15893</v>
      </c>
      <c r="B482" s="44" t="s">
        <v>8727</v>
      </c>
      <c r="C482" s="44" t="s">
        <v>8728</v>
      </c>
      <c r="D482" s="44" t="s">
        <v>15894</v>
      </c>
      <c r="E482" s="44" t="s">
        <v>215</v>
      </c>
      <c r="F482" s="44" t="s">
        <v>216</v>
      </c>
      <c r="G482" s="44" t="s">
        <v>14871</v>
      </c>
      <c r="H482" s="44" t="s">
        <v>14872</v>
      </c>
      <c r="I482" s="44" t="s">
        <v>14873</v>
      </c>
      <c r="J482" s="44" t="s">
        <v>14874</v>
      </c>
      <c r="K482" s="44" t="s">
        <v>14875</v>
      </c>
      <c r="L482" s="44" t="s">
        <v>8734</v>
      </c>
      <c r="M482" s="44" t="s">
        <v>14876</v>
      </c>
    </row>
    <row r="483" customFormat="false" ht="22.35" hidden="false" customHeight="false" outlineLevel="0" collapsed="false">
      <c r="A483" s="44" t="s">
        <v>15895</v>
      </c>
      <c r="B483" s="44" t="s">
        <v>8727</v>
      </c>
      <c r="C483" s="44" t="s">
        <v>8728</v>
      </c>
      <c r="D483" s="44" t="s">
        <v>15896</v>
      </c>
      <c r="E483" s="44" t="s">
        <v>192</v>
      </c>
      <c r="F483" s="44" t="s">
        <v>55</v>
      </c>
      <c r="G483" s="44" t="s">
        <v>14871</v>
      </c>
      <c r="H483" s="44" t="s">
        <v>14872</v>
      </c>
      <c r="I483" s="44" t="s">
        <v>14886</v>
      </c>
      <c r="J483" s="44" t="s">
        <v>14874</v>
      </c>
      <c r="K483" s="44" t="s">
        <v>14875</v>
      </c>
      <c r="L483" s="44" t="s">
        <v>8734</v>
      </c>
      <c r="M483" s="44" t="s">
        <v>14876</v>
      </c>
    </row>
    <row r="484" customFormat="false" ht="22.35" hidden="false" customHeight="false" outlineLevel="0" collapsed="false">
      <c r="A484" s="44" t="s">
        <v>15897</v>
      </c>
      <c r="B484" s="44" t="s">
        <v>8727</v>
      </c>
      <c r="C484" s="44" t="s">
        <v>8728</v>
      </c>
      <c r="D484" s="44" t="s">
        <v>15898</v>
      </c>
      <c r="E484" s="44" t="s">
        <v>196</v>
      </c>
      <c r="F484" s="44" t="s">
        <v>59</v>
      </c>
      <c r="G484" s="44" t="s">
        <v>14871</v>
      </c>
      <c r="H484" s="44" t="s">
        <v>14872</v>
      </c>
      <c r="I484" s="44" t="s">
        <v>14886</v>
      </c>
      <c r="J484" s="44" t="s">
        <v>14874</v>
      </c>
      <c r="K484" s="44" t="s">
        <v>14875</v>
      </c>
      <c r="L484" s="44" t="s">
        <v>8734</v>
      </c>
      <c r="M484" s="44" t="s">
        <v>14876</v>
      </c>
    </row>
    <row r="485" customFormat="false" ht="22.35" hidden="false" customHeight="false" outlineLevel="0" collapsed="false">
      <c r="A485" s="44" t="s">
        <v>15899</v>
      </c>
      <c r="B485" s="44" t="s">
        <v>8735</v>
      </c>
      <c r="C485" s="44" t="s">
        <v>8736</v>
      </c>
      <c r="D485" s="44" t="s">
        <v>15900</v>
      </c>
      <c r="E485" s="44" t="s">
        <v>4895</v>
      </c>
      <c r="F485" s="44" t="s">
        <v>4896</v>
      </c>
      <c r="G485" s="44" t="s">
        <v>14871</v>
      </c>
      <c r="H485" s="44" t="s">
        <v>14872</v>
      </c>
      <c r="I485" s="44" t="s">
        <v>14886</v>
      </c>
      <c r="J485" s="44" t="s">
        <v>14874</v>
      </c>
      <c r="K485" s="44" t="s">
        <v>14875</v>
      </c>
      <c r="L485" s="44" t="s">
        <v>8741</v>
      </c>
      <c r="M485" s="44" t="s">
        <v>14876</v>
      </c>
    </row>
    <row r="486" customFormat="false" ht="22.35" hidden="false" customHeight="false" outlineLevel="0" collapsed="false">
      <c r="A486" s="44" t="s">
        <v>15901</v>
      </c>
      <c r="B486" s="44" t="s">
        <v>8735</v>
      </c>
      <c r="C486" s="44" t="s">
        <v>8736</v>
      </c>
      <c r="D486" s="44" t="s">
        <v>15882</v>
      </c>
      <c r="E486" s="44" t="s">
        <v>4980</v>
      </c>
      <c r="F486" s="44" t="s">
        <v>4981</v>
      </c>
      <c r="G486" s="44" t="s">
        <v>14871</v>
      </c>
      <c r="H486" s="44" t="s">
        <v>14872</v>
      </c>
      <c r="I486" s="44" t="s">
        <v>14873</v>
      </c>
      <c r="J486" s="44" t="s">
        <v>14874</v>
      </c>
      <c r="K486" s="44" t="s">
        <v>14875</v>
      </c>
      <c r="L486" s="44" t="s">
        <v>8741</v>
      </c>
      <c r="M486" s="44" t="s">
        <v>14876</v>
      </c>
    </row>
    <row r="487" customFormat="false" ht="22.35" hidden="false" customHeight="false" outlineLevel="0" collapsed="false">
      <c r="A487" s="44" t="s">
        <v>15902</v>
      </c>
      <c r="B487" s="44" t="s">
        <v>8735</v>
      </c>
      <c r="C487" s="44" t="s">
        <v>8736</v>
      </c>
      <c r="D487" s="44" t="s">
        <v>14885</v>
      </c>
      <c r="E487" s="44" t="s">
        <v>180</v>
      </c>
      <c r="F487" s="44" t="s">
        <v>47</v>
      </c>
      <c r="G487" s="44" t="s">
        <v>14871</v>
      </c>
      <c r="H487" s="44" t="s">
        <v>14872</v>
      </c>
      <c r="I487" s="44" t="s">
        <v>14886</v>
      </c>
      <c r="J487" s="44" t="s">
        <v>14874</v>
      </c>
      <c r="K487" s="44" t="s">
        <v>14875</v>
      </c>
      <c r="L487" s="44" t="s">
        <v>8741</v>
      </c>
      <c r="M487" s="44" t="s">
        <v>14876</v>
      </c>
    </row>
    <row r="488" customFormat="false" ht="22.35" hidden="false" customHeight="false" outlineLevel="0" collapsed="false">
      <c r="A488" s="44" t="s">
        <v>15903</v>
      </c>
      <c r="B488" s="44" t="s">
        <v>8735</v>
      </c>
      <c r="C488" s="44" t="s">
        <v>8736</v>
      </c>
      <c r="D488" s="44" t="s">
        <v>15904</v>
      </c>
      <c r="E488" s="44"/>
      <c r="F488" s="44"/>
      <c r="G488" s="44" t="s">
        <v>14882</v>
      </c>
      <c r="H488" s="44" t="s">
        <v>14872</v>
      </c>
      <c r="I488" s="44" t="s">
        <v>14883</v>
      </c>
      <c r="J488" s="44" t="s">
        <v>14874</v>
      </c>
      <c r="K488" s="44" t="s">
        <v>14875</v>
      </c>
      <c r="L488" s="44" t="s">
        <v>8741</v>
      </c>
      <c r="M488" s="44" t="s">
        <v>14876</v>
      </c>
    </row>
    <row r="489" customFormat="false" ht="22.35" hidden="false" customHeight="false" outlineLevel="0" collapsed="false">
      <c r="A489" s="44" t="s">
        <v>15905</v>
      </c>
      <c r="B489" s="44" t="s">
        <v>8742</v>
      </c>
      <c r="C489" s="44" t="s">
        <v>8743</v>
      </c>
      <c r="D489" s="44" t="s">
        <v>15510</v>
      </c>
      <c r="E489" s="44" t="s">
        <v>15511</v>
      </c>
      <c r="F489" s="44" t="s">
        <v>15512</v>
      </c>
      <c r="G489" s="44" t="s">
        <v>14871</v>
      </c>
      <c r="H489" s="44" t="s">
        <v>14872</v>
      </c>
      <c r="I489" s="44" t="s">
        <v>14886</v>
      </c>
      <c r="J489" s="44" t="s">
        <v>14874</v>
      </c>
      <c r="K489" s="44" t="s">
        <v>14875</v>
      </c>
      <c r="L489" s="44" t="s">
        <v>8748</v>
      </c>
      <c r="M489" s="44" t="s">
        <v>14876</v>
      </c>
    </row>
    <row r="490" customFormat="false" ht="22.35" hidden="false" customHeight="false" outlineLevel="0" collapsed="false">
      <c r="A490" s="44" t="s">
        <v>15906</v>
      </c>
      <c r="B490" s="44" t="s">
        <v>8742</v>
      </c>
      <c r="C490" s="44" t="s">
        <v>8743</v>
      </c>
      <c r="D490" s="44" t="s">
        <v>15907</v>
      </c>
      <c r="E490" s="44" t="s">
        <v>1233</v>
      </c>
      <c r="F490" s="44" t="s">
        <v>1234</v>
      </c>
      <c r="G490" s="44" t="s">
        <v>14871</v>
      </c>
      <c r="H490" s="44" t="s">
        <v>14872</v>
      </c>
      <c r="I490" s="44" t="s">
        <v>14873</v>
      </c>
      <c r="J490" s="44" t="s">
        <v>14874</v>
      </c>
      <c r="K490" s="44" t="s">
        <v>14875</v>
      </c>
      <c r="L490" s="44" t="s">
        <v>8748</v>
      </c>
      <c r="M490" s="44" t="s">
        <v>14876</v>
      </c>
    </row>
    <row r="491" customFormat="false" ht="22.35" hidden="false" customHeight="false" outlineLevel="0" collapsed="false">
      <c r="A491" s="44" t="s">
        <v>15908</v>
      </c>
      <c r="B491" s="44" t="s">
        <v>8742</v>
      </c>
      <c r="C491" s="44" t="s">
        <v>8743</v>
      </c>
      <c r="D491" s="44" t="s">
        <v>15909</v>
      </c>
      <c r="E491" s="44" t="s">
        <v>263</v>
      </c>
      <c r="F491" s="44" t="s">
        <v>264</v>
      </c>
      <c r="G491" s="44" t="s">
        <v>14871</v>
      </c>
      <c r="H491" s="44" t="s">
        <v>14872</v>
      </c>
      <c r="I491" s="44" t="s">
        <v>14873</v>
      </c>
      <c r="J491" s="44" t="s">
        <v>14874</v>
      </c>
      <c r="K491" s="44" t="s">
        <v>14875</v>
      </c>
      <c r="L491" s="44" t="s">
        <v>8748</v>
      </c>
      <c r="M491" s="44" t="s">
        <v>14876</v>
      </c>
    </row>
    <row r="492" customFormat="false" ht="22.35" hidden="false" customHeight="false" outlineLevel="0" collapsed="false">
      <c r="A492" s="44" t="s">
        <v>15910</v>
      </c>
      <c r="B492" s="44" t="s">
        <v>8742</v>
      </c>
      <c r="C492" s="44" t="s">
        <v>8743</v>
      </c>
      <c r="D492" s="44" t="s">
        <v>15911</v>
      </c>
      <c r="E492" s="44"/>
      <c r="F492" s="44"/>
      <c r="G492" s="44" t="s">
        <v>14882</v>
      </c>
      <c r="H492" s="44" t="s">
        <v>14872</v>
      </c>
      <c r="I492" s="44" t="s">
        <v>14883</v>
      </c>
      <c r="J492" s="44" t="s">
        <v>14874</v>
      </c>
      <c r="K492" s="44" t="s">
        <v>14875</v>
      </c>
      <c r="L492" s="44" t="s">
        <v>8748</v>
      </c>
      <c r="M492" s="44" t="s">
        <v>14876</v>
      </c>
    </row>
    <row r="493" customFormat="false" ht="22.35" hidden="false" customHeight="false" outlineLevel="0" collapsed="false">
      <c r="A493" s="44" t="s">
        <v>15912</v>
      </c>
      <c r="B493" s="44" t="s">
        <v>8742</v>
      </c>
      <c r="C493" s="44" t="s">
        <v>8743</v>
      </c>
      <c r="D493" s="44" t="s">
        <v>15913</v>
      </c>
      <c r="E493" s="44" t="s">
        <v>15914</v>
      </c>
      <c r="F493" s="44" t="s">
        <v>15915</v>
      </c>
      <c r="G493" s="44" t="s">
        <v>14871</v>
      </c>
      <c r="H493" s="44" t="s">
        <v>14872</v>
      </c>
      <c r="I493" s="44" t="s">
        <v>14873</v>
      </c>
      <c r="J493" s="44" t="s">
        <v>14874</v>
      </c>
      <c r="K493" s="44" t="s">
        <v>14875</v>
      </c>
      <c r="L493" s="44" t="s">
        <v>8748</v>
      </c>
      <c r="M493" s="44" t="s">
        <v>14876</v>
      </c>
    </row>
    <row r="494" customFormat="false" ht="22.35" hidden="false" customHeight="false" outlineLevel="0" collapsed="false">
      <c r="A494" s="44" t="s">
        <v>15916</v>
      </c>
      <c r="B494" s="44" t="s">
        <v>8742</v>
      </c>
      <c r="C494" s="44" t="s">
        <v>8743</v>
      </c>
      <c r="D494" s="44" t="s">
        <v>15917</v>
      </c>
      <c r="E494" s="44"/>
      <c r="F494" s="44"/>
      <c r="G494" s="44" t="s">
        <v>14882</v>
      </c>
      <c r="H494" s="44" t="s">
        <v>14872</v>
      </c>
      <c r="I494" s="44" t="s">
        <v>14883</v>
      </c>
      <c r="J494" s="44" t="s">
        <v>14874</v>
      </c>
      <c r="K494" s="44" t="s">
        <v>14875</v>
      </c>
      <c r="L494" s="44" t="s">
        <v>8748</v>
      </c>
      <c r="M494" s="44" t="s">
        <v>14876</v>
      </c>
    </row>
    <row r="495" customFormat="false" ht="22.35" hidden="false" customHeight="false" outlineLevel="0" collapsed="false">
      <c r="A495" s="44" t="s">
        <v>15918</v>
      </c>
      <c r="B495" s="44" t="s">
        <v>8749</v>
      </c>
      <c r="C495" s="44" t="s">
        <v>8750</v>
      </c>
      <c r="D495" s="44" t="s">
        <v>15919</v>
      </c>
      <c r="E495" s="44"/>
      <c r="F495" s="44"/>
      <c r="G495" s="44" t="s">
        <v>14882</v>
      </c>
      <c r="H495" s="44" t="s">
        <v>14872</v>
      </c>
      <c r="I495" s="44" t="s">
        <v>14883</v>
      </c>
      <c r="J495" s="44" t="s">
        <v>14874</v>
      </c>
      <c r="K495" s="44" t="s">
        <v>14875</v>
      </c>
      <c r="L495" s="44" t="s">
        <v>8753</v>
      </c>
      <c r="M495" s="44" t="s">
        <v>14876</v>
      </c>
    </row>
    <row r="496" customFormat="false" ht="22.35" hidden="false" customHeight="false" outlineLevel="0" collapsed="false">
      <c r="A496" s="44" t="s">
        <v>15920</v>
      </c>
      <c r="B496" s="44" t="s">
        <v>8749</v>
      </c>
      <c r="C496" s="44" t="s">
        <v>8750</v>
      </c>
      <c r="D496" s="44" t="s">
        <v>15921</v>
      </c>
      <c r="E496" s="44" t="s">
        <v>231</v>
      </c>
      <c r="F496" s="44" t="s">
        <v>232</v>
      </c>
      <c r="G496" s="44" t="s">
        <v>14871</v>
      </c>
      <c r="H496" s="44" t="s">
        <v>14872</v>
      </c>
      <c r="I496" s="44" t="s">
        <v>14873</v>
      </c>
      <c r="J496" s="44" t="s">
        <v>14874</v>
      </c>
      <c r="K496" s="44" t="s">
        <v>14875</v>
      </c>
      <c r="L496" s="44" t="s">
        <v>8753</v>
      </c>
      <c r="M496" s="44" t="s">
        <v>14876</v>
      </c>
    </row>
    <row r="497" customFormat="false" ht="22.35" hidden="false" customHeight="false" outlineLevel="0" collapsed="false">
      <c r="A497" s="44" t="s">
        <v>15922</v>
      </c>
      <c r="B497" s="44" t="s">
        <v>8749</v>
      </c>
      <c r="C497" s="44" t="s">
        <v>8750</v>
      </c>
      <c r="D497" s="44" t="s">
        <v>15923</v>
      </c>
      <c r="E497" s="44"/>
      <c r="F497" s="44"/>
      <c r="G497" s="44" t="s">
        <v>14882</v>
      </c>
      <c r="H497" s="44" t="s">
        <v>14872</v>
      </c>
      <c r="I497" s="44" t="s">
        <v>14883</v>
      </c>
      <c r="J497" s="44" t="s">
        <v>14874</v>
      </c>
      <c r="K497" s="44" t="s">
        <v>14875</v>
      </c>
      <c r="L497" s="44" t="s">
        <v>8753</v>
      </c>
      <c r="M497" s="44" t="s">
        <v>14876</v>
      </c>
    </row>
    <row r="498" customFormat="false" ht="22.35" hidden="false" customHeight="false" outlineLevel="0" collapsed="false">
      <c r="A498" s="44" t="s">
        <v>15924</v>
      </c>
      <c r="B498" s="44" t="s">
        <v>8749</v>
      </c>
      <c r="C498" s="44" t="s">
        <v>8750</v>
      </c>
      <c r="D498" s="44" t="s">
        <v>15925</v>
      </c>
      <c r="E498" s="44" t="s">
        <v>4476</v>
      </c>
      <c r="F498" s="44" t="s">
        <v>4477</v>
      </c>
      <c r="G498" s="44" t="s">
        <v>14871</v>
      </c>
      <c r="H498" s="44" t="s">
        <v>14872</v>
      </c>
      <c r="I498" s="44" t="s">
        <v>14873</v>
      </c>
      <c r="J498" s="44" t="s">
        <v>14874</v>
      </c>
      <c r="K498" s="44" t="s">
        <v>14875</v>
      </c>
      <c r="L498" s="44" t="s">
        <v>8753</v>
      </c>
      <c r="M498" s="44" t="s">
        <v>14876</v>
      </c>
    </row>
    <row r="499" customFormat="false" ht="22.35" hidden="false" customHeight="false" outlineLevel="0" collapsed="false">
      <c r="A499" s="44" t="s">
        <v>15926</v>
      </c>
      <c r="B499" s="44" t="s">
        <v>8749</v>
      </c>
      <c r="C499" s="44" t="s">
        <v>8750</v>
      </c>
      <c r="D499" s="44" t="s">
        <v>15927</v>
      </c>
      <c r="E499" s="44"/>
      <c r="F499" s="44"/>
      <c r="G499" s="44" t="s">
        <v>14882</v>
      </c>
      <c r="H499" s="44" t="s">
        <v>14872</v>
      </c>
      <c r="I499" s="44" t="s">
        <v>14883</v>
      </c>
      <c r="J499" s="44" t="s">
        <v>14874</v>
      </c>
      <c r="K499" s="44" t="s">
        <v>14875</v>
      </c>
      <c r="L499" s="44" t="s">
        <v>8753</v>
      </c>
      <c r="M499" s="44" t="s">
        <v>14876</v>
      </c>
    </row>
    <row r="500" customFormat="false" ht="22.35" hidden="false" customHeight="false" outlineLevel="0" collapsed="false">
      <c r="A500" s="44" t="s">
        <v>15928</v>
      </c>
      <c r="B500" s="44" t="s">
        <v>8749</v>
      </c>
      <c r="C500" s="44" t="s">
        <v>8750</v>
      </c>
      <c r="D500" s="44" t="s">
        <v>15929</v>
      </c>
      <c r="E500" s="44" t="s">
        <v>4214</v>
      </c>
      <c r="F500" s="44" t="s">
        <v>4215</v>
      </c>
      <c r="G500" s="44" t="s">
        <v>14871</v>
      </c>
      <c r="H500" s="44" t="s">
        <v>14872</v>
      </c>
      <c r="I500" s="44" t="s">
        <v>14886</v>
      </c>
      <c r="J500" s="44" t="s">
        <v>14874</v>
      </c>
      <c r="K500" s="44" t="s">
        <v>14875</v>
      </c>
      <c r="L500" s="44" t="s">
        <v>8753</v>
      </c>
      <c r="M500" s="44" t="s">
        <v>14876</v>
      </c>
    </row>
    <row r="501" customFormat="false" ht="22.35" hidden="false" customHeight="false" outlineLevel="0" collapsed="false">
      <c r="A501" s="44" t="s">
        <v>15930</v>
      </c>
      <c r="B501" s="44" t="s">
        <v>8754</v>
      </c>
      <c r="C501" s="44" t="s">
        <v>8755</v>
      </c>
      <c r="D501" s="44" t="s">
        <v>15931</v>
      </c>
      <c r="E501" s="44" t="s">
        <v>15550</v>
      </c>
      <c r="F501" s="44" t="s">
        <v>15551</v>
      </c>
      <c r="G501" s="44" t="s">
        <v>14871</v>
      </c>
      <c r="H501" s="44" t="s">
        <v>14872</v>
      </c>
      <c r="I501" s="44" t="s">
        <v>14873</v>
      </c>
      <c r="J501" s="44" t="s">
        <v>14874</v>
      </c>
      <c r="K501" s="44" t="s">
        <v>14875</v>
      </c>
      <c r="L501" s="44" t="s">
        <v>8759</v>
      </c>
      <c r="M501" s="44" t="s">
        <v>14876</v>
      </c>
    </row>
    <row r="502" customFormat="false" ht="22.35" hidden="false" customHeight="false" outlineLevel="0" collapsed="false">
      <c r="A502" s="44" t="s">
        <v>15932</v>
      </c>
      <c r="B502" s="44" t="s">
        <v>8754</v>
      </c>
      <c r="C502" s="44" t="s">
        <v>8755</v>
      </c>
      <c r="D502" s="44" t="s">
        <v>15933</v>
      </c>
      <c r="E502" s="44" t="s">
        <v>2453</v>
      </c>
      <c r="F502" s="44" t="s">
        <v>2454</v>
      </c>
      <c r="G502" s="44" t="s">
        <v>14871</v>
      </c>
      <c r="H502" s="44" t="s">
        <v>14872</v>
      </c>
      <c r="I502" s="44" t="s">
        <v>14879</v>
      </c>
      <c r="J502" s="44" t="s">
        <v>14874</v>
      </c>
      <c r="K502" s="44" t="s">
        <v>14875</v>
      </c>
      <c r="L502" s="44" t="s">
        <v>8759</v>
      </c>
      <c r="M502" s="44" t="s">
        <v>14876</v>
      </c>
    </row>
    <row r="503" customFormat="false" ht="22.35" hidden="false" customHeight="false" outlineLevel="0" collapsed="false">
      <c r="A503" s="44" t="s">
        <v>15934</v>
      </c>
      <c r="B503" s="44" t="s">
        <v>8754</v>
      </c>
      <c r="C503" s="44" t="s">
        <v>8755</v>
      </c>
      <c r="D503" s="44" t="s">
        <v>15935</v>
      </c>
      <c r="E503" s="44" t="s">
        <v>15936</v>
      </c>
      <c r="F503" s="44" t="s">
        <v>15937</v>
      </c>
      <c r="G503" s="44" t="s">
        <v>14871</v>
      </c>
      <c r="H503" s="44" t="s">
        <v>14872</v>
      </c>
      <c r="I503" s="44" t="s">
        <v>14873</v>
      </c>
      <c r="J503" s="44" t="s">
        <v>14874</v>
      </c>
      <c r="K503" s="44" t="s">
        <v>14875</v>
      </c>
      <c r="L503" s="44" t="s">
        <v>8759</v>
      </c>
      <c r="M503" s="44" t="s">
        <v>14876</v>
      </c>
    </row>
    <row r="504" customFormat="false" ht="22.35" hidden="false" customHeight="false" outlineLevel="0" collapsed="false">
      <c r="A504" s="44" t="s">
        <v>15938</v>
      </c>
      <c r="B504" s="44" t="s">
        <v>8754</v>
      </c>
      <c r="C504" s="44" t="s">
        <v>8755</v>
      </c>
      <c r="D504" s="44" t="s">
        <v>15939</v>
      </c>
      <c r="E504" s="44" t="s">
        <v>200</v>
      </c>
      <c r="F504" s="44" t="s">
        <v>201</v>
      </c>
      <c r="G504" s="44" t="s">
        <v>14871</v>
      </c>
      <c r="H504" s="44" t="s">
        <v>14872</v>
      </c>
      <c r="I504" s="44" t="s">
        <v>14886</v>
      </c>
      <c r="J504" s="44" t="s">
        <v>14874</v>
      </c>
      <c r="K504" s="44" t="s">
        <v>14875</v>
      </c>
      <c r="L504" s="44" t="s">
        <v>8759</v>
      </c>
      <c r="M504" s="44" t="s">
        <v>14876</v>
      </c>
    </row>
    <row r="505" customFormat="false" ht="22.35" hidden="false" customHeight="false" outlineLevel="0" collapsed="false">
      <c r="A505" s="44" t="s">
        <v>15940</v>
      </c>
      <c r="B505" s="44" t="s">
        <v>8754</v>
      </c>
      <c r="C505" s="44" t="s">
        <v>8755</v>
      </c>
      <c r="D505" s="44" t="s">
        <v>15941</v>
      </c>
      <c r="E505" s="44" t="s">
        <v>4895</v>
      </c>
      <c r="F505" s="44" t="s">
        <v>4896</v>
      </c>
      <c r="G505" s="44" t="s">
        <v>14871</v>
      </c>
      <c r="H505" s="44" t="s">
        <v>14872</v>
      </c>
      <c r="I505" s="44" t="s">
        <v>14886</v>
      </c>
      <c r="J505" s="44" t="s">
        <v>14874</v>
      </c>
      <c r="K505" s="44" t="s">
        <v>14875</v>
      </c>
      <c r="L505" s="44" t="s">
        <v>8759</v>
      </c>
      <c r="M505" s="44" t="s">
        <v>14876</v>
      </c>
    </row>
    <row r="506" customFormat="false" ht="22.35" hidden="false" customHeight="false" outlineLevel="0" collapsed="false">
      <c r="A506" s="44" t="s">
        <v>15942</v>
      </c>
      <c r="B506" s="44" t="s">
        <v>8760</v>
      </c>
      <c r="C506" s="44" t="s">
        <v>8761</v>
      </c>
      <c r="D506" s="44" t="s">
        <v>15943</v>
      </c>
      <c r="E506" s="44" t="s">
        <v>200</v>
      </c>
      <c r="F506" s="44" t="s">
        <v>201</v>
      </c>
      <c r="G506" s="44" t="s">
        <v>14871</v>
      </c>
      <c r="H506" s="44" t="s">
        <v>14872</v>
      </c>
      <c r="I506" s="44" t="s">
        <v>14886</v>
      </c>
      <c r="J506" s="44" t="s">
        <v>14874</v>
      </c>
      <c r="K506" s="44" t="s">
        <v>14875</v>
      </c>
      <c r="L506" s="44" t="s">
        <v>8766</v>
      </c>
      <c r="M506" s="44" t="s">
        <v>14876</v>
      </c>
    </row>
    <row r="507" customFormat="false" ht="22.35" hidden="false" customHeight="false" outlineLevel="0" collapsed="false">
      <c r="A507" s="44" t="s">
        <v>15944</v>
      </c>
      <c r="B507" s="44" t="s">
        <v>8760</v>
      </c>
      <c r="C507" s="44" t="s">
        <v>8761</v>
      </c>
      <c r="D507" s="44" t="s">
        <v>15945</v>
      </c>
      <c r="E507" s="44" t="s">
        <v>15946</v>
      </c>
      <c r="F507" s="44" t="s">
        <v>15947</v>
      </c>
      <c r="G507" s="44" t="s">
        <v>14871</v>
      </c>
      <c r="H507" s="44" t="s">
        <v>14872</v>
      </c>
      <c r="I507" s="44" t="s">
        <v>14886</v>
      </c>
      <c r="J507" s="44" t="s">
        <v>14874</v>
      </c>
      <c r="K507" s="44" t="s">
        <v>14875</v>
      </c>
      <c r="L507" s="44" t="s">
        <v>8766</v>
      </c>
      <c r="M507" s="44" t="s">
        <v>14876</v>
      </c>
    </row>
    <row r="508" customFormat="false" ht="22.35" hidden="false" customHeight="false" outlineLevel="0" collapsed="false">
      <c r="A508" s="44" t="s">
        <v>15948</v>
      </c>
      <c r="B508" s="44" t="s">
        <v>8760</v>
      </c>
      <c r="C508" s="44" t="s">
        <v>8761</v>
      </c>
      <c r="D508" s="44" t="s">
        <v>15949</v>
      </c>
      <c r="E508" s="44" t="s">
        <v>15950</v>
      </c>
      <c r="F508" s="44" t="s">
        <v>15951</v>
      </c>
      <c r="G508" s="44" t="s">
        <v>14871</v>
      </c>
      <c r="H508" s="44" t="s">
        <v>14872</v>
      </c>
      <c r="I508" s="44" t="s">
        <v>14879</v>
      </c>
      <c r="J508" s="44" t="s">
        <v>14874</v>
      </c>
      <c r="K508" s="44" t="s">
        <v>14875</v>
      </c>
      <c r="L508" s="44" t="s">
        <v>8766</v>
      </c>
      <c r="M508" s="44" t="s">
        <v>14876</v>
      </c>
    </row>
    <row r="509" customFormat="false" ht="22.35" hidden="false" customHeight="false" outlineLevel="0" collapsed="false">
      <c r="A509" s="44" t="s">
        <v>15952</v>
      </c>
      <c r="B509" s="44" t="s">
        <v>8760</v>
      </c>
      <c r="C509" s="44" t="s">
        <v>8761</v>
      </c>
      <c r="D509" s="44" t="s">
        <v>15953</v>
      </c>
      <c r="E509" s="44"/>
      <c r="F509" s="44"/>
      <c r="G509" s="44" t="s">
        <v>14882</v>
      </c>
      <c r="H509" s="44" t="s">
        <v>14872</v>
      </c>
      <c r="I509" s="44" t="s">
        <v>14883</v>
      </c>
      <c r="J509" s="44" t="s">
        <v>14874</v>
      </c>
      <c r="K509" s="44" t="s">
        <v>14875</v>
      </c>
      <c r="L509" s="44" t="s">
        <v>8766</v>
      </c>
      <c r="M509" s="44" t="s">
        <v>14876</v>
      </c>
    </row>
    <row r="510" customFormat="false" ht="22.35" hidden="false" customHeight="false" outlineLevel="0" collapsed="false">
      <c r="A510" s="44" t="s">
        <v>15954</v>
      </c>
      <c r="B510" s="44" t="s">
        <v>8767</v>
      </c>
      <c r="C510" s="44" t="s">
        <v>8768</v>
      </c>
      <c r="D510" s="44" t="s">
        <v>15955</v>
      </c>
      <c r="E510" s="44"/>
      <c r="F510" s="44"/>
      <c r="G510" s="44" t="s">
        <v>14882</v>
      </c>
      <c r="H510" s="44" t="s">
        <v>14872</v>
      </c>
      <c r="I510" s="44" t="s">
        <v>14883</v>
      </c>
      <c r="J510" s="44" t="s">
        <v>14874</v>
      </c>
      <c r="K510" s="44" t="s">
        <v>14875</v>
      </c>
      <c r="L510" s="44" t="s">
        <v>8772</v>
      </c>
      <c r="M510" s="44" t="s">
        <v>14876</v>
      </c>
    </row>
    <row r="511" customFormat="false" ht="22.35" hidden="false" customHeight="false" outlineLevel="0" collapsed="false">
      <c r="A511" s="44" t="s">
        <v>15956</v>
      </c>
      <c r="B511" s="44" t="s">
        <v>8767</v>
      </c>
      <c r="C511" s="44" t="s">
        <v>8768</v>
      </c>
      <c r="D511" s="44" t="s">
        <v>15957</v>
      </c>
      <c r="E511" s="44" t="s">
        <v>180</v>
      </c>
      <c r="F511" s="44" t="s">
        <v>47</v>
      </c>
      <c r="G511" s="44" t="s">
        <v>14871</v>
      </c>
      <c r="H511" s="44" t="s">
        <v>14872</v>
      </c>
      <c r="I511" s="44" t="s">
        <v>14886</v>
      </c>
      <c r="J511" s="44" t="s">
        <v>14874</v>
      </c>
      <c r="K511" s="44" t="s">
        <v>14875</v>
      </c>
      <c r="L511" s="44" t="s">
        <v>8772</v>
      </c>
      <c r="M511" s="44" t="s">
        <v>14876</v>
      </c>
    </row>
    <row r="512" customFormat="false" ht="22.35" hidden="false" customHeight="false" outlineLevel="0" collapsed="false">
      <c r="A512" s="44" t="s">
        <v>15958</v>
      </c>
      <c r="B512" s="44" t="s">
        <v>8767</v>
      </c>
      <c r="C512" s="44" t="s">
        <v>8768</v>
      </c>
      <c r="D512" s="44" t="s">
        <v>14985</v>
      </c>
      <c r="E512" s="44" t="s">
        <v>14935</v>
      </c>
      <c r="F512" s="44" t="s">
        <v>14936</v>
      </c>
      <c r="G512" s="44" t="s">
        <v>14871</v>
      </c>
      <c r="H512" s="44" t="s">
        <v>14872</v>
      </c>
      <c r="I512" s="44" t="s">
        <v>14873</v>
      </c>
      <c r="J512" s="44" t="s">
        <v>14874</v>
      </c>
      <c r="K512" s="44" t="s">
        <v>14875</v>
      </c>
      <c r="L512" s="44" t="s">
        <v>8772</v>
      </c>
      <c r="M512" s="44" t="s">
        <v>14876</v>
      </c>
    </row>
    <row r="513" customFormat="false" ht="22.35" hidden="false" customHeight="false" outlineLevel="0" collapsed="false">
      <c r="A513" s="44" t="s">
        <v>15959</v>
      </c>
      <c r="B513" s="44" t="s">
        <v>8767</v>
      </c>
      <c r="C513" s="44" t="s">
        <v>8768</v>
      </c>
      <c r="D513" s="44" t="s">
        <v>15960</v>
      </c>
      <c r="E513" s="44"/>
      <c r="F513" s="44"/>
      <c r="G513" s="44" t="s">
        <v>14882</v>
      </c>
      <c r="H513" s="44" t="s">
        <v>14872</v>
      </c>
      <c r="I513" s="44" t="s">
        <v>14883</v>
      </c>
      <c r="J513" s="44" t="s">
        <v>14874</v>
      </c>
      <c r="K513" s="44" t="s">
        <v>14875</v>
      </c>
      <c r="L513" s="44" t="s">
        <v>8772</v>
      </c>
      <c r="M513" s="44" t="s">
        <v>14876</v>
      </c>
    </row>
    <row r="514" customFormat="false" ht="22.35" hidden="false" customHeight="false" outlineLevel="0" collapsed="false">
      <c r="A514" s="44" t="s">
        <v>15961</v>
      </c>
      <c r="B514" s="44" t="s">
        <v>8767</v>
      </c>
      <c r="C514" s="44" t="s">
        <v>8768</v>
      </c>
      <c r="D514" s="44" t="s">
        <v>15962</v>
      </c>
      <c r="E514" s="44" t="s">
        <v>2761</v>
      </c>
      <c r="F514" s="44" t="s">
        <v>2762</v>
      </c>
      <c r="G514" s="44" t="s">
        <v>14871</v>
      </c>
      <c r="H514" s="44" t="s">
        <v>14872</v>
      </c>
      <c r="I514" s="44" t="s">
        <v>14886</v>
      </c>
      <c r="J514" s="44" t="s">
        <v>14874</v>
      </c>
      <c r="K514" s="44" t="s">
        <v>14875</v>
      </c>
      <c r="L514" s="44" t="s">
        <v>8772</v>
      </c>
      <c r="M514" s="44" t="s">
        <v>14876</v>
      </c>
    </row>
    <row r="515" customFormat="false" ht="22.35" hidden="false" customHeight="false" outlineLevel="0" collapsed="false">
      <c r="A515" s="44" t="s">
        <v>15963</v>
      </c>
      <c r="B515" s="44" t="s">
        <v>8773</v>
      </c>
      <c r="C515" s="44" t="s">
        <v>8774</v>
      </c>
      <c r="D515" s="44" t="s">
        <v>15964</v>
      </c>
      <c r="E515" s="44" t="s">
        <v>200</v>
      </c>
      <c r="F515" s="44" t="s">
        <v>201</v>
      </c>
      <c r="G515" s="44" t="s">
        <v>14871</v>
      </c>
      <c r="H515" s="44" t="s">
        <v>14872</v>
      </c>
      <c r="I515" s="44" t="s">
        <v>14886</v>
      </c>
      <c r="J515" s="44" t="s">
        <v>14874</v>
      </c>
      <c r="K515" s="44" t="s">
        <v>14875</v>
      </c>
      <c r="L515" s="44" t="s">
        <v>8778</v>
      </c>
      <c r="M515" s="44" t="s">
        <v>14876</v>
      </c>
    </row>
    <row r="516" customFormat="false" ht="22.35" hidden="false" customHeight="false" outlineLevel="0" collapsed="false">
      <c r="A516" s="44" t="s">
        <v>15965</v>
      </c>
      <c r="B516" s="44" t="s">
        <v>8773</v>
      </c>
      <c r="C516" s="44" t="s">
        <v>8774</v>
      </c>
      <c r="D516" s="44" t="s">
        <v>15966</v>
      </c>
      <c r="E516" s="44" t="s">
        <v>5160</v>
      </c>
      <c r="F516" s="44" t="s">
        <v>5161</v>
      </c>
      <c r="G516" s="44" t="s">
        <v>14871</v>
      </c>
      <c r="H516" s="44" t="s">
        <v>14872</v>
      </c>
      <c r="I516" s="44" t="s">
        <v>14873</v>
      </c>
      <c r="J516" s="44" t="s">
        <v>14874</v>
      </c>
      <c r="K516" s="44" t="s">
        <v>14875</v>
      </c>
      <c r="L516" s="44" t="s">
        <v>8778</v>
      </c>
      <c r="M516" s="44" t="s">
        <v>14876</v>
      </c>
    </row>
    <row r="517" customFormat="false" ht="22.35" hidden="false" customHeight="false" outlineLevel="0" collapsed="false">
      <c r="A517" s="44" t="s">
        <v>15967</v>
      </c>
      <c r="B517" s="44" t="s">
        <v>8773</v>
      </c>
      <c r="C517" s="44" t="s">
        <v>8774</v>
      </c>
      <c r="D517" s="44" t="s">
        <v>15968</v>
      </c>
      <c r="E517" s="44" t="s">
        <v>5917</v>
      </c>
      <c r="F517" s="44" t="s">
        <v>5918</v>
      </c>
      <c r="G517" s="44" t="s">
        <v>14871</v>
      </c>
      <c r="H517" s="44" t="s">
        <v>14872</v>
      </c>
      <c r="I517" s="44" t="s">
        <v>14873</v>
      </c>
      <c r="J517" s="44" t="s">
        <v>14874</v>
      </c>
      <c r="K517" s="44" t="s">
        <v>14875</v>
      </c>
      <c r="L517" s="44" t="s">
        <v>8778</v>
      </c>
      <c r="M517" s="44" t="s">
        <v>14876</v>
      </c>
    </row>
    <row r="518" customFormat="false" ht="22.35" hidden="false" customHeight="false" outlineLevel="0" collapsed="false">
      <c r="A518" s="44" t="s">
        <v>15969</v>
      </c>
      <c r="B518" s="44" t="s">
        <v>8773</v>
      </c>
      <c r="C518" s="44" t="s">
        <v>8774</v>
      </c>
      <c r="D518" s="44" t="s">
        <v>15970</v>
      </c>
      <c r="E518" s="44" t="s">
        <v>4895</v>
      </c>
      <c r="F518" s="44" t="s">
        <v>4896</v>
      </c>
      <c r="G518" s="44" t="s">
        <v>14871</v>
      </c>
      <c r="H518" s="44" t="s">
        <v>14872</v>
      </c>
      <c r="I518" s="44" t="s">
        <v>14886</v>
      </c>
      <c r="J518" s="44" t="s">
        <v>14874</v>
      </c>
      <c r="K518" s="44" t="s">
        <v>14875</v>
      </c>
      <c r="L518" s="44" t="s">
        <v>8778</v>
      </c>
      <c r="M518" s="44" t="s">
        <v>14876</v>
      </c>
    </row>
    <row r="519" customFormat="false" ht="22.35" hidden="false" customHeight="false" outlineLevel="0" collapsed="false">
      <c r="A519" s="44" t="s">
        <v>15971</v>
      </c>
      <c r="B519" s="44" t="s">
        <v>8779</v>
      </c>
      <c r="C519" s="44" t="s">
        <v>8780</v>
      </c>
      <c r="D519" s="44" t="s">
        <v>15972</v>
      </c>
      <c r="E519" s="44" t="s">
        <v>200</v>
      </c>
      <c r="F519" s="44" t="s">
        <v>201</v>
      </c>
      <c r="G519" s="44" t="s">
        <v>14871</v>
      </c>
      <c r="H519" s="44" t="s">
        <v>14872</v>
      </c>
      <c r="I519" s="44" t="s">
        <v>14886</v>
      </c>
      <c r="J519" s="44" t="s">
        <v>14874</v>
      </c>
      <c r="K519" s="44" t="s">
        <v>14875</v>
      </c>
      <c r="L519" s="44" t="s">
        <v>8786</v>
      </c>
      <c r="M519" s="44" t="s">
        <v>14876</v>
      </c>
    </row>
    <row r="520" customFormat="false" ht="22.35" hidden="false" customHeight="false" outlineLevel="0" collapsed="false">
      <c r="A520" s="44" t="s">
        <v>15973</v>
      </c>
      <c r="B520" s="44" t="s">
        <v>8779</v>
      </c>
      <c r="C520" s="44" t="s">
        <v>8780</v>
      </c>
      <c r="D520" s="44" t="s">
        <v>15974</v>
      </c>
      <c r="E520" s="44"/>
      <c r="F520" s="44"/>
      <c r="G520" s="44" t="s">
        <v>14882</v>
      </c>
      <c r="H520" s="44" t="s">
        <v>14872</v>
      </c>
      <c r="I520" s="44" t="s">
        <v>14883</v>
      </c>
      <c r="J520" s="44" t="s">
        <v>14874</v>
      </c>
      <c r="K520" s="44" t="s">
        <v>14875</v>
      </c>
      <c r="L520" s="44" t="s">
        <v>8786</v>
      </c>
      <c r="M520" s="44" t="s">
        <v>14876</v>
      </c>
    </row>
    <row r="521" customFormat="false" ht="22.35" hidden="false" customHeight="false" outlineLevel="0" collapsed="false">
      <c r="A521" s="44" t="s">
        <v>15975</v>
      </c>
      <c r="B521" s="44" t="s">
        <v>8779</v>
      </c>
      <c r="C521" s="44" t="s">
        <v>8780</v>
      </c>
      <c r="D521" s="44" t="s">
        <v>15894</v>
      </c>
      <c r="E521" s="44" t="s">
        <v>215</v>
      </c>
      <c r="F521" s="44" t="s">
        <v>216</v>
      </c>
      <c r="G521" s="44" t="s">
        <v>14871</v>
      </c>
      <c r="H521" s="44" t="s">
        <v>14872</v>
      </c>
      <c r="I521" s="44" t="s">
        <v>14873</v>
      </c>
      <c r="J521" s="44" t="s">
        <v>14874</v>
      </c>
      <c r="K521" s="44" t="s">
        <v>14875</v>
      </c>
      <c r="L521" s="44" t="s">
        <v>8786</v>
      </c>
      <c r="M521" s="44" t="s">
        <v>14876</v>
      </c>
    </row>
    <row r="522" customFormat="false" ht="22.35" hidden="false" customHeight="false" outlineLevel="0" collapsed="false">
      <c r="A522" s="44" t="s">
        <v>15976</v>
      </c>
      <c r="B522" s="44" t="s">
        <v>8779</v>
      </c>
      <c r="C522" s="44" t="s">
        <v>8780</v>
      </c>
      <c r="D522" s="44" t="s">
        <v>15977</v>
      </c>
      <c r="E522" s="44"/>
      <c r="F522" s="44"/>
      <c r="G522" s="44" t="s">
        <v>14882</v>
      </c>
      <c r="H522" s="44" t="s">
        <v>14872</v>
      </c>
      <c r="I522" s="44" t="s">
        <v>14883</v>
      </c>
      <c r="J522" s="44" t="s">
        <v>14874</v>
      </c>
      <c r="K522" s="44" t="s">
        <v>14875</v>
      </c>
      <c r="L522" s="44" t="s">
        <v>8786</v>
      </c>
      <c r="M522" s="44" t="s">
        <v>14876</v>
      </c>
    </row>
    <row r="523" customFormat="false" ht="22.35" hidden="false" customHeight="false" outlineLevel="0" collapsed="false">
      <c r="A523" s="44" t="s">
        <v>15978</v>
      </c>
      <c r="B523" s="44" t="s">
        <v>8779</v>
      </c>
      <c r="C523" s="44" t="s">
        <v>8780</v>
      </c>
      <c r="D523" s="44" t="s">
        <v>14885</v>
      </c>
      <c r="E523" s="44" t="s">
        <v>180</v>
      </c>
      <c r="F523" s="44" t="s">
        <v>47</v>
      </c>
      <c r="G523" s="44" t="s">
        <v>14871</v>
      </c>
      <c r="H523" s="44" t="s">
        <v>14872</v>
      </c>
      <c r="I523" s="44" t="s">
        <v>14886</v>
      </c>
      <c r="J523" s="44" t="s">
        <v>14874</v>
      </c>
      <c r="K523" s="44" t="s">
        <v>14875</v>
      </c>
      <c r="L523" s="44" t="s">
        <v>8786</v>
      </c>
      <c r="M523" s="44" t="s">
        <v>14876</v>
      </c>
    </row>
    <row r="524" customFormat="false" ht="22.35" hidden="false" customHeight="false" outlineLevel="0" collapsed="false">
      <c r="A524" s="44" t="s">
        <v>15979</v>
      </c>
      <c r="B524" s="44" t="s">
        <v>8779</v>
      </c>
      <c r="C524" s="44" t="s">
        <v>8780</v>
      </c>
      <c r="D524" s="44" t="s">
        <v>15980</v>
      </c>
      <c r="E524" s="44"/>
      <c r="F524" s="44"/>
      <c r="G524" s="44" t="s">
        <v>14882</v>
      </c>
      <c r="H524" s="44" t="s">
        <v>14872</v>
      </c>
      <c r="I524" s="44" t="s">
        <v>14883</v>
      </c>
      <c r="J524" s="44" t="s">
        <v>14874</v>
      </c>
      <c r="K524" s="44" t="s">
        <v>14875</v>
      </c>
      <c r="L524" s="44" t="s">
        <v>8786</v>
      </c>
      <c r="M524" s="44" t="s">
        <v>14876</v>
      </c>
    </row>
    <row r="525" customFormat="false" ht="22.35" hidden="false" customHeight="false" outlineLevel="0" collapsed="false">
      <c r="A525" s="44" t="s">
        <v>15981</v>
      </c>
      <c r="B525" s="44" t="s">
        <v>8787</v>
      </c>
      <c r="C525" s="44" t="s">
        <v>8788</v>
      </c>
      <c r="D525" s="44" t="s">
        <v>15982</v>
      </c>
      <c r="E525" s="44"/>
      <c r="F525" s="44"/>
      <c r="G525" s="44" t="s">
        <v>14882</v>
      </c>
      <c r="H525" s="44" t="s">
        <v>14872</v>
      </c>
      <c r="I525" s="44" t="s">
        <v>14883</v>
      </c>
      <c r="J525" s="44" t="s">
        <v>14874</v>
      </c>
      <c r="K525" s="44" t="s">
        <v>14875</v>
      </c>
      <c r="L525" s="44" t="s">
        <v>8793</v>
      </c>
      <c r="M525" s="44" t="s">
        <v>14876</v>
      </c>
    </row>
    <row r="526" customFormat="false" ht="22.35" hidden="false" customHeight="false" outlineLevel="0" collapsed="false">
      <c r="A526" s="44" t="s">
        <v>15983</v>
      </c>
      <c r="B526" s="44" t="s">
        <v>8787</v>
      </c>
      <c r="C526" s="44" t="s">
        <v>8788</v>
      </c>
      <c r="D526" s="44" t="s">
        <v>15984</v>
      </c>
      <c r="E526" s="44"/>
      <c r="F526" s="44"/>
      <c r="G526" s="44" t="s">
        <v>14882</v>
      </c>
      <c r="H526" s="44" t="s">
        <v>14872</v>
      </c>
      <c r="I526" s="44" t="s">
        <v>14883</v>
      </c>
      <c r="J526" s="44" t="s">
        <v>14874</v>
      </c>
      <c r="K526" s="44" t="s">
        <v>14875</v>
      </c>
      <c r="L526" s="44" t="s">
        <v>8793</v>
      </c>
      <c r="M526" s="44" t="s">
        <v>14876</v>
      </c>
    </row>
    <row r="527" customFormat="false" ht="22.35" hidden="false" customHeight="false" outlineLevel="0" collapsed="false">
      <c r="A527" s="44" t="s">
        <v>15985</v>
      </c>
      <c r="B527" s="44" t="s">
        <v>8787</v>
      </c>
      <c r="C527" s="44" t="s">
        <v>8788</v>
      </c>
      <c r="D527" s="44" t="s">
        <v>15986</v>
      </c>
      <c r="E527" s="44" t="s">
        <v>2558</v>
      </c>
      <c r="F527" s="44" t="s">
        <v>2559</v>
      </c>
      <c r="G527" s="44" t="s">
        <v>14871</v>
      </c>
      <c r="H527" s="44" t="s">
        <v>14872</v>
      </c>
      <c r="I527" s="44" t="s">
        <v>14873</v>
      </c>
      <c r="J527" s="44" t="s">
        <v>14874</v>
      </c>
      <c r="K527" s="44" t="s">
        <v>14875</v>
      </c>
      <c r="L527" s="44" t="s">
        <v>8793</v>
      </c>
      <c r="M527" s="44" t="s">
        <v>14876</v>
      </c>
    </row>
    <row r="528" customFormat="false" ht="22.35" hidden="false" customHeight="false" outlineLevel="0" collapsed="false">
      <c r="A528" s="44" t="s">
        <v>15987</v>
      </c>
      <c r="B528" s="44" t="s">
        <v>8787</v>
      </c>
      <c r="C528" s="44" t="s">
        <v>8788</v>
      </c>
      <c r="D528" s="44" t="s">
        <v>15988</v>
      </c>
      <c r="E528" s="44" t="s">
        <v>15278</v>
      </c>
      <c r="F528" s="44" t="s">
        <v>15279</v>
      </c>
      <c r="G528" s="44" t="s">
        <v>14871</v>
      </c>
      <c r="H528" s="44" t="s">
        <v>14872</v>
      </c>
      <c r="I528" s="44" t="s">
        <v>14886</v>
      </c>
      <c r="J528" s="44" t="s">
        <v>14874</v>
      </c>
      <c r="K528" s="44" t="s">
        <v>14875</v>
      </c>
      <c r="L528" s="44" t="s">
        <v>8793</v>
      </c>
      <c r="M528" s="44" t="s">
        <v>14876</v>
      </c>
    </row>
    <row r="529" customFormat="false" ht="22.35" hidden="false" customHeight="false" outlineLevel="0" collapsed="false">
      <c r="A529" s="44" t="s">
        <v>15989</v>
      </c>
      <c r="B529" s="44" t="s">
        <v>8787</v>
      </c>
      <c r="C529" s="44" t="s">
        <v>8788</v>
      </c>
      <c r="D529" s="44" t="s">
        <v>15990</v>
      </c>
      <c r="E529" s="44" t="s">
        <v>3589</v>
      </c>
      <c r="F529" s="44" t="s">
        <v>3590</v>
      </c>
      <c r="G529" s="44" t="s">
        <v>14871</v>
      </c>
      <c r="H529" s="44" t="s">
        <v>14872</v>
      </c>
      <c r="I529" s="44" t="s">
        <v>14886</v>
      </c>
      <c r="J529" s="44" t="s">
        <v>14874</v>
      </c>
      <c r="K529" s="44" t="s">
        <v>14875</v>
      </c>
      <c r="L529" s="44" t="s">
        <v>8793</v>
      </c>
      <c r="M529" s="44" t="s">
        <v>14876</v>
      </c>
    </row>
    <row r="530" customFormat="false" ht="22.35" hidden="false" customHeight="false" outlineLevel="0" collapsed="false">
      <c r="A530" s="44" t="s">
        <v>15991</v>
      </c>
      <c r="B530" s="44" t="s">
        <v>8794</v>
      </c>
      <c r="C530" s="44" t="s">
        <v>8795</v>
      </c>
      <c r="D530" s="44" t="s">
        <v>15992</v>
      </c>
      <c r="E530" s="44"/>
      <c r="F530" s="44"/>
      <c r="G530" s="44" t="s">
        <v>14882</v>
      </c>
      <c r="H530" s="44" t="s">
        <v>14872</v>
      </c>
      <c r="I530" s="44" t="s">
        <v>14883</v>
      </c>
      <c r="J530" s="44" t="s">
        <v>14874</v>
      </c>
      <c r="K530" s="44" t="s">
        <v>14875</v>
      </c>
      <c r="L530" s="44" t="s">
        <v>8799</v>
      </c>
      <c r="M530" s="44" t="s">
        <v>14876</v>
      </c>
    </row>
    <row r="531" customFormat="false" ht="22.35" hidden="false" customHeight="false" outlineLevel="0" collapsed="false">
      <c r="A531" s="44" t="s">
        <v>15993</v>
      </c>
      <c r="B531" s="44" t="s">
        <v>8794</v>
      </c>
      <c r="C531" s="44" t="s">
        <v>8795</v>
      </c>
      <c r="D531" s="44" t="s">
        <v>15994</v>
      </c>
      <c r="E531" s="44" t="s">
        <v>4895</v>
      </c>
      <c r="F531" s="44" t="s">
        <v>4896</v>
      </c>
      <c r="G531" s="44" t="s">
        <v>14871</v>
      </c>
      <c r="H531" s="44" t="s">
        <v>14872</v>
      </c>
      <c r="I531" s="44" t="s">
        <v>14886</v>
      </c>
      <c r="J531" s="44" t="s">
        <v>14874</v>
      </c>
      <c r="K531" s="44" t="s">
        <v>14875</v>
      </c>
      <c r="L531" s="44" t="s">
        <v>8799</v>
      </c>
      <c r="M531" s="44" t="s">
        <v>14876</v>
      </c>
    </row>
    <row r="532" customFormat="false" ht="22.35" hidden="false" customHeight="false" outlineLevel="0" collapsed="false">
      <c r="A532" s="44" t="s">
        <v>15995</v>
      </c>
      <c r="B532" s="44" t="s">
        <v>8794</v>
      </c>
      <c r="C532" s="44" t="s">
        <v>8795</v>
      </c>
      <c r="D532" s="44" t="s">
        <v>15996</v>
      </c>
      <c r="E532" s="44" t="s">
        <v>2859</v>
      </c>
      <c r="F532" s="44" t="s">
        <v>2860</v>
      </c>
      <c r="G532" s="44" t="s">
        <v>14871</v>
      </c>
      <c r="H532" s="44" t="s">
        <v>14872</v>
      </c>
      <c r="I532" s="44" t="s">
        <v>14873</v>
      </c>
      <c r="J532" s="44" t="s">
        <v>14874</v>
      </c>
      <c r="K532" s="44" t="s">
        <v>14875</v>
      </c>
      <c r="L532" s="44" t="s">
        <v>8799</v>
      </c>
      <c r="M532" s="44" t="s">
        <v>14876</v>
      </c>
    </row>
    <row r="533" customFormat="false" ht="22.35" hidden="false" customHeight="false" outlineLevel="0" collapsed="false">
      <c r="A533" s="44" t="s">
        <v>15997</v>
      </c>
      <c r="B533" s="44" t="s">
        <v>8794</v>
      </c>
      <c r="C533" s="44" t="s">
        <v>8795</v>
      </c>
      <c r="D533" s="44" t="s">
        <v>15998</v>
      </c>
      <c r="E533" s="44" t="s">
        <v>200</v>
      </c>
      <c r="F533" s="44" t="s">
        <v>201</v>
      </c>
      <c r="G533" s="44" t="s">
        <v>14871</v>
      </c>
      <c r="H533" s="44" t="s">
        <v>14872</v>
      </c>
      <c r="I533" s="44" t="s">
        <v>14886</v>
      </c>
      <c r="J533" s="44" t="s">
        <v>14874</v>
      </c>
      <c r="K533" s="44" t="s">
        <v>14875</v>
      </c>
      <c r="L533" s="44" t="s">
        <v>8799</v>
      </c>
      <c r="M533" s="44" t="s">
        <v>14876</v>
      </c>
    </row>
    <row r="534" customFormat="false" ht="22.35" hidden="false" customHeight="false" outlineLevel="0" collapsed="false">
      <c r="A534" s="44" t="s">
        <v>15999</v>
      </c>
      <c r="B534" s="44" t="s">
        <v>8794</v>
      </c>
      <c r="C534" s="44" t="s">
        <v>8795</v>
      </c>
      <c r="D534" s="44" t="s">
        <v>15396</v>
      </c>
      <c r="E534" s="44"/>
      <c r="F534" s="44"/>
      <c r="G534" s="44" t="s">
        <v>14882</v>
      </c>
      <c r="H534" s="44" t="s">
        <v>14872</v>
      </c>
      <c r="I534" s="44" t="s">
        <v>14883</v>
      </c>
      <c r="J534" s="44" t="s">
        <v>14874</v>
      </c>
      <c r="K534" s="44" t="s">
        <v>14875</v>
      </c>
      <c r="L534" s="44" t="s">
        <v>8799</v>
      </c>
      <c r="M534" s="44" t="s">
        <v>14876</v>
      </c>
    </row>
    <row r="535" customFormat="false" ht="22.35" hidden="false" customHeight="false" outlineLevel="0" collapsed="false">
      <c r="A535" s="44" t="s">
        <v>16000</v>
      </c>
      <c r="B535" s="44" t="s">
        <v>8794</v>
      </c>
      <c r="C535" s="44" t="s">
        <v>8795</v>
      </c>
      <c r="D535" s="44" t="s">
        <v>16001</v>
      </c>
      <c r="E535" s="44" t="s">
        <v>3144</v>
      </c>
      <c r="F535" s="44" t="s">
        <v>3145</v>
      </c>
      <c r="G535" s="44" t="s">
        <v>14871</v>
      </c>
      <c r="H535" s="44" t="s">
        <v>14872</v>
      </c>
      <c r="I535" s="44" t="s">
        <v>14873</v>
      </c>
      <c r="J535" s="44" t="s">
        <v>14874</v>
      </c>
      <c r="K535" s="44" t="s">
        <v>14875</v>
      </c>
      <c r="L535" s="44" t="s">
        <v>8799</v>
      </c>
      <c r="M535" s="44" t="s">
        <v>14876</v>
      </c>
    </row>
    <row r="536" customFormat="false" ht="22.35" hidden="false" customHeight="false" outlineLevel="0" collapsed="false">
      <c r="A536" s="44" t="s">
        <v>16002</v>
      </c>
      <c r="B536" s="44" t="s">
        <v>8800</v>
      </c>
      <c r="C536" s="44" t="s">
        <v>8801</v>
      </c>
      <c r="D536" s="44" t="s">
        <v>16003</v>
      </c>
      <c r="E536" s="44" t="s">
        <v>16004</v>
      </c>
      <c r="F536" s="44" t="s">
        <v>16005</v>
      </c>
      <c r="G536" s="44" t="s">
        <v>14871</v>
      </c>
      <c r="H536" s="44" t="s">
        <v>14872</v>
      </c>
      <c r="I536" s="44" t="s">
        <v>14886</v>
      </c>
      <c r="J536" s="44" t="s">
        <v>14874</v>
      </c>
      <c r="K536" s="44" t="s">
        <v>14875</v>
      </c>
      <c r="L536" s="44" t="s">
        <v>8808</v>
      </c>
      <c r="M536" s="44" t="s">
        <v>14876</v>
      </c>
    </row>
    <row r="537" customFormat="false" ht="22.35" hidden="false" customHeight="false" outlineLevel="0" collapsed="false">
      <c r="A537" s="44" t="s">
        <v>16006</v>
      </c>
      <c r="B537" s="44" t="s">
        <v>8800</v>
      </c>
      <c r="C537" s="44" t="s">
        <v>8801</v>
      </c>
      <c r="D537" s="44" t="s">
        <v>15998</v>
      </c>
      <c r="E537" s="44" t="s">
        <v>200</v>
      </c>
      <c r="F537" s="44" t="s">
        <v>201</v>
      </c>
      <c r="G537" s="44" t="s">
        <v>14871</v>
      </c>
      <c r="H537" s="44" t="s">
        <v>14872</v>
      </c>
      <c r="I537" s="44" t="s">
        <v>14886</v>
      </c>
      <c r="J537" s="44" t="s">
        <v>14874</v>
      </c>
      <c r="K537" s="44" t="s">
        <v>14875</v>
      </c>
      <c r="L537" s="44" t="s">
        <v>8808</v>
      </c>
      <c r="M537" s="44" t="s">
        <v>14876</v>
      </c>
    </row>
    <row r="538" customFormat="false" ht="22.35" hidden="false" customHeight="false" outlineLevel="0" collapsed="false">
      <c r="A538" s="44" t="s">
        <v>16007</v>
      </c>
      <c r="B538" s="44" t="s">
        <v>8800</v>
      </c>
      <c r="C538" s="44" t="s">
        <v>8801</v>
      </c>
      <c r="D538" s="44" t="s">
        <v>16008</v>
      </c>
      <c r="E538" s="44"/>
      <c r="F538" s="44"/>
      <c r="G538" s="44" t="s">
        <v>14882</v>
      </c>
      <c r="H538" s="44" t="s">
        <v>14872</v>
      </c>
      <c r="I538" s="44" t="s">
        <v>14883</v>
      </c>
      <c r="J538" s="44" t="s">
        <v>14874</v>
      </c>
      <c r="K538" s="44" t="s">
        <v>14875</v>
      </c>
      <c r="L538" s="44" t="s">
        <v>8808</v>
      </c>
      <c r="M538" s="44" t="s">
        <v>14876</v>
      </c>
    </row>
    <row r="539" customFormat="false" ht="22.35" hidden="false" customHeight="false" outlineLevel="0" collapsed="false">
      <c r="A539" s="44" t="s">
        <v>16009</v>
      </c>
      <c r="B539" s="44" t="s">
        <v>8800</v>
      </c>
      <c r="C539" s="44" t="s">
        <v>8801</v>
      </c>
      <c r="D539" s="44" t="s">
        <v>14885</v>
      </c>
      <c r="E539" s="44" t="s">
        <v>180</v>
      </c>
      <c r="F539" s="44" t="s">
        <v>47</v>
      </c>
      <c r="G539" s="44" t="s">
        <v>14871</v>
      </c>
      <c r="H539" s="44" t="s">
        <v>14872</v>
      </c>
      <c r="I539" s="44" t="s">
        <v>14886</v>
      </c>
      <c r="J539" s="44" t="s">
        <v>14874</v>
      </c>
      <c r="K539" s="44" t="s">
        <v>14875</v>
      </c>
      <c r="L539" s="44" t="s">
        <v>8808</v>
      </c>
      <c r="M539" s="44" t="s">
        <v>14876</v>
      </c>
    </row>
    <row r="540" customFormat="false" ht="22.35" hidden="false" customHeight="false" outlineLevel="0" collapsed="false">
      <c r="A540" s="44" t="s">
        <v>16010</v>
      </c>
      <c r="B540" s="44" t="s">
        <v>8800</v>
      </c>
      <c r="C540" s="44" t="s">
        <v>8801</v>
      </c>
      <c r="D540" s="44" t="s">
        <v>16011</v>
      </c>
      <c r="E540" s="44"/>
      <c r="F540" s="44"/>
      <c r="G540" s="44" t="s">
        <v>14882</v>
      </c>
      <c r="H540" s="44" t="s">
        <v>14872</v>
      </c>
      <c r="I540" s="44" t="s">
        <v>14883</v>
      </c>
      <c r="J540" s="44" t="s">
        <v>14874</v>
      </c>
      <c r="K540" s="44" t="s">
        <v>14875</v>
      </c>
      <c r="L540" s="44" t="s">
        <v>8808</v>
      </c>
      <c r="M540" s="44" t="s">
        <v>14876</v>
      </c>
    </row>
    <row r="541" customFormat="false" ht="22.35" hidden="false" customHeight="false" outlineLevel="0" collapsed="false">
      <c r="A541" s="44" t="s">
        <v>16012</v>
      </c>
      <c r="B541" s="44" t="s">
        <v>8809</v>
      </c>
      <c r="C541" s="44" t="s">
        <v>8810</v>
      </c>
      <c r="D541" s="44" t="s">
        <v>16013</v>
      </c>
      <c r="E541" s="44" t="s">
        <v>192</v>
      </c>
      <c r="F541" s="44" t="s">
        <v>55</v>
      </c>
      <c r="G541" s="44" t="s">
        <v>14871</v>
      </c>
      <c r="H541" s="44" t="s">
        <v>14872</v>
      </c>
      <c r="I541" s="44" t="s">
        <v>14886</v>
      </c>
      <c r="J541" s="44" t="s">
        <v>14874</v>
      </c>
      <c r="K541" s="44" t="s">
        <v>14875</v>
      </c>
      <c r="L541" s="44" t="s">
        <v>8814</v>
      </c>
      <c r="M541" s="44" t="s">
        <v>14876</v>
      </c>
    </row>
    <row r="542" customFormat="false" ht="22.35" hidden="false" customHeight="false" outlineLevel="0" collapsed="false">
      <c r="A542" s="44" t="s">
        <v>16014</v>
      </c>
      <c r="B542" s="44" t="s">
        <v>8809</v>
      </c>
      <c r="C542" s="44" t="s">
        <v>8810</v>
      </c>
      <c r="D542" s="44" t="s">
        <v>16015</v>
      </c>
      <c r="E542" s="44" t="s">
        <v>934</v>
      </c>
      <c r="F542" s="44" t="s">
        <v>935</v>
      </c>
      <c r="G542" s="44" t="s">
        <v>14871</v>
      </c>
      <c r="H542" s="44" t="s">
        <v>14872</v>
      </c>
      <c r="I542" s="44" t="s">
        <v>14873</v>
      </c>
      <c r="J542" s="44" t="s">
        <v>14874</v>
      </c>
      <c r="K542" s="44" t="s">
        <v>14875</v>
      </c>
      <c r="L542" s="44" t="s">
        <v>8814</v>
      </c>
      <c r="M542" s="44" t="s">
        <v>14876</v>
      </c>
    </row>
    <row r="543" customFormat="false" ht="22.35" hidden="false" customHeight="false" outlineLevel="0" collapsed="false">
      <c r="A543" s="44" t="s">
        <v>16016</v>
      </c>
      <c r="B543" s="44" t="s">
        <v>8809</v>
      </c>
      <c r="C543" s="44" t="s">
        <v>8810</v>
      </c>
      <c r="D543" s="44" t="s">
        <v>15454</v>
      </c>
      <c r="E543" s="44" t="s">
        <v>215</v>
      </c>
      <c r="F543" s="44" t="s">
        <v>216</v>
      </c>
      <c r="G543" s="44" t="s">
        <v>14871</v>
      </c>
      <c r="H543" s="44" t="s">
        <v>14872</v>
      </c>
      <c r="I543" s="44" t="s">
        <v>14873</v>
      </c>
      <c r="J543" s="44" t="s">
        <v>14874</v>
      </c>
      <c r="K543" s="44" t="s">
        <v>14875</v>
      </c>
      <c r="L543" s="44" t="s">
        <v>8814</v>
      </c>
      <c r="M543" s="44" t="s">
        <v>14876</v>
      </c>
    </row>
    <row r="544" customFormat="false" ht="22.35" hidden="false" customHeight="false" outlineLevel="0" collapsed="false">
      <c r="A544" s="44" t="s">
        <v>16017</v>
      </c>
      <c r="B544" s="44" t="s">
        <v>8809</v>
      </c>
      <c r="C544" s="44" t="s">
        <v>8810</v>
      </c>
      <c r="D544" s="44" t="s">
        <v>16018</v>
      </c>
      <c r="E544" s="44" t="s">
        <v>16019</v>
      </c>
      <c r="F544" s="44" t="s">
        <v>16020</v>
      </c>
      <c r="G544" s="44" t="s">
        <v>14871</v>
      </c>
      <c r="H544" s="44" t="s">
        <v>14872</v>
      </c>
      <c r="I544" s="44" t="s">
        <v>14886</v>
      </c>
      <c r="J544" s="44" t="s">
        <v>14874</v>
      </c>
      <c r="K544" s="44" t="s">
        <v>14875</v>
      </c>
      <c r="L544" s="44" t="s">
        <v>8814</v>
      </c>
      <c r="M544" s="44" t="s">
        <v>14876</v>
      </c>
    </row>
    <row r="545" customFormat="false" ht="22.35" hidden="false" customHeight="false" outlineLevel="0" collapsed="false">
      <c r="A545" s="44" t="s">
        <v>16021</v>
      </c>
      <c r="B545" s="44" t="s">
        <v>8809</v>
      </c>
      <c r="C545" s="44" t="s">
        <v>8810</v>
      </c>
      <c r="D545" s="44" t="s">
        <v>16022</v>
      </c>
      <c r="E545" s="44"/>
      <c r="F545" s="44"/>
      <c r="G545" s="44" t="s">
        <v>14882</v>
      </c>
      <c r="H545" s="44" t="s">
        <v>14872</v>
      </c>
      <c r="I545" s="44" t="s">
        <v>14883</v>
      </c>
      <c r="J545" s="44" t="s">
        <v>14874</v>
      </c>
      <c r="K545" s="44" t="s">
        <v>14875</v>
      </c>
      <c r="L545" s="44" t="s">
        <v>8814</v>
      </c>
      <c r="M545" s="44" t="s">
        <v>14876</v>
      </c>
    </row>
    <row r="546" customFormat="false" ht="22.35" hidden="false" customHeight="false" outlineLevel="0" collapsed="false">
      <c r="A546" s="44" t="s">
        <v>16023</v>
      </c>
      <c r="B546" s="44" t="s">
        <v>8809</v>
      </c>
      <c r="C546" s="44" t="s">
        <v>8810</v>
      </c>
      <c r="D546" s="44" t="s">
        <v>16024</v>
      </c>
      <c r="E546" s="44" t="s">
        <v>200</v>
      </c>
      <c r="F546" s="44" t="s">
        <v>201</v>
      </c>
      <c r="G546" s="44" t="s">
        <v>14871</v>
      </c>
      <c r="H546" s="44" t="s">
        <v>14872</v>
      </c>
      <c r="I546" s="44" t="s">
        <v>14886</v>
      </c>
      <c r="J546" s="44" t="s">
        <v>14874</v>
      </c>
      <c r="K546" s="44" t="s">
        <v>14875</v>
      </c>
      <c r="L546" s="44" t="s">
        <v>8814</v>
      </c>
      <c r="M546" s="44" t="s">
        <v>14876</v>
      </c>
    </row>
    <row r="547" customFormat="false" ht="22.35" hidden="false" customHeight="false" outlineLevel="0" collapsed="false">
      <c r="A547" s="44" t="s">
        <v>16025</v>
      </c>
      <c r="B547" s="44" t="s">
        <v>8815</v>
      </c>
      <c r="C547" s="44" t="s">
        <v>8816</v>
      </c>
      <c r="D547" s="44" t="s">
        <v>16026</v>
      </c>
      <c r="E547" s="44" t="s">
        <v>15278</v>
      </c>
      <c r="F547" s="44" t="s">
        <v>15279</v>
      </c>
      <c r="G547" s="44" t="s">
        <v>14871</v>
      </c>
      <c r="H547" s="44" t="s">
        <v>14872</v>
      </c>
      <c r="I547" s="44" t="s">
        <v>14886</v>
      </c>
      <c r="J547" s="44" t="s">
        <v>14874</v>
      </c>
      <c r="K547" s="44" t="s">
        <v>14875</v>
      </c>
      <c r="L547" s="44" t="s">
        <v>8821</v>
      </c>
      <c r="M547" s="44" t="s">
        <v>14876</v>
      </c>
    </row>
    <row r="548" customFormat="false" ht="22.35" hidden="false" customHeight="false" outlineLevel="0" collapsed="false">
      <c r="A548" s="44" t="s">
        <v>16027</v>
      </c>
      <c r="B548" s="44" t="s">
        <v>8815</v>
      </c>
      <c r="C548" s="44" t="s">
        <v>8816</v>
      </c>
      <c r="D548" s="44" t="s">
        <v>16028</v>
      </c>
      <c r="E548" s="44"/>
      <c r="F548" s="44"/>
      <c r="G548" s="44" t="s">
        <v>14882</v>
      </c>
      <c r="H548" s="44" t="s">
        <v>14872</v>
      </c>
      <c r="I548" s="44" t="s">
        <v>14883</v>
      </c>
      <c r="J548" s="44" t="s">
        <v>14874</v>
      </c>
      <c r="K548" s="44" t="s">
        <v>14875</v>
      </c>
      <c r="L548" s="44" t="s">
        <v>8821</v>
      </c>
      <c r="M548" s="44" t="s">
        <v>14876</v>
      </c>
    </row>
    <row r="549" customFormat="false" ht="22.35" hidden="false" customHeight="false" outlineLevel="0" collapsed="false">
      <c r="A549" s="44" t="s">
        <v>16029</v>
      </c>
      <c r="B549" s="44" t="s">
        <v>8815</v>
      </c>
      <c r="C549" s="44" t="s">
        <v>8816</v>
      </c>
      <c r="D549" s="44" t="s">
        <v>16030</v>
      </c>
      <c r="E549" s="44"/>
      <c r="F549" s="44"/>
      <c r="G549" s="44" t="s">
        <v>14882</v>
      </c>
      <c r="H549" s="44" t="s">
        <v>14872</v>
      </c>
      <c r="I549" s="44" t="s">
        <v>14883</v>
      </c>
      <c r="J549" s="44" t="s">
        <v>14874</v>
      </c>
      <c r="K549" s="44" t="s">
        <v>14875</v>
      </c>
      <c r="L549" s="44" t="s">
        <v>8821</v>
      </c>
      <c r="M549" s="44" t="s">
        <v>14876</v>
      </c>
    </row>
    <row r="550" customFormat="false" ht="22.35" hidden="false" customHeight="false" outlineLevel="0" collapsed="false">
      <c r="A550" s="44" t="s">
        <v>16031</v>
      </c>
      <c r="B550" s="44" t="s">
        <v>8815</v>
      </c>
      <c r="C550" s="44" t="s">
        <v>8816</v>
      </c>
      <c r="D550" s="44" t="s">
        <v>16032</v>
      </c>
      <c r="E550" s="44"/>
      <c r="F550" s="44"/>
      <c r="G550" s="44" t="s">
        <v>14882</v>
      </c>
      <c r="H550" s="44" t="s">
        <v>14872</v>
      </c>
      <c r="I550" s="44" t="s">
        <v>14883</v>
      </c>
      <c r="J550" s="44" t="s">
        <v>14874</v>
      </c>
      <c r="K550" s="44" t="s">
        <v>14875</v>
      </c>
      <c r="L550" s="44" t="s">
        <v>8821</v>
      </c>
      <c r="M550" s="44" t="s">
        <v>14876</v>
      </c>
    </row>
    <row r="551" customFormat="false" ht="22.35" hidden="false" customHeight="false" outlineLevel="0" collapsed="false">
      <c r="A551" s="44" t="s">
        <v>16033</v>
      </c>
      <c r="B551" s="44" t="s">
        <v>8815</v>
      </c>
      <c r="C551" s="44" t="s">
        <v>8816</v>
      </c>
      <c r="D551" s="44" t="s">
        <v>16034</v>
      </c>
      <c r="E551" s="44" t="s">
        <v>3583</v>
      </c>
      <c r="F551" s="44" t="s">
        <v>3584</v>
      </c>
      <c r="G551" s="44" t="s">
        <v>14871</v>
      </c>
      <c r="H551" s="44" t="s">
        <v>14872</v>
      </c>
      <c r="I551" s="44" t="s">
        <v>14886</v>
      </c>
      <c r="J551" s="44" t="s">
        <v>14874</v>
      </c>
      <c r="K551" s="44" t="s">
        <v>14875</v>
      </c>
      <c r="L551" s="44" t="s">
        <v>8821</v>
      </c>
      <c r="M551" s="44" t="s">
        <v>14876</v>
      </c>
    </row>
    <row r="552" customFormat="false" ht="22.35" hidden="false" customHeight="false" outlineLevel="0" collapsed="false">
      <c r="A552" s="44" t="s">
        <v>16035</v>
      </c>
      <c r="B552" s="44" t="s">
        <v>8822</v>
      </c>
      <c r="C552" s="44" t="s">
        <v>8823</v>
      </c>
      <c r="D552" s="44" t="s">
        <v>16036</v>
      </c>
      <c r="E552" s="44" t="s">
        <v>3257</v>
      </c>
      <c r="F552" s="44" t="s">
        <v>3258</v>
      </c>
      <c r="G552" s="44" t="s">
        <v>14871</v>
      </c>
      <c r="H552" s="44" t="s">
        <v>14872</v>
      </c>
      <c r="I552" s="44" t="s">
        <v>14873</v>
      </c>
      <c r="J552" s="44" t="s">
        <v>14874</v>
      </c>
      <c r="K552" s="44" t="s">
        <v>14875</v>
      </c>
      <c r="L552" s="44" t="s">
        <v>8828</v>
      </c>
      <c r="M552" s="44" t="s">
        <v>14876</v>
      </c>
    </row>
    <row r="553" customFormat="false" ht="22.35" hidden="false" customHeight="false" outlineLevel="0" collapsed="false">
      <c r="A553" s="44" t="s">
        <v>16037</v>
      </c>
      <c r="B553" s="44" t="s">
        <v>8822</v>
      </c>
      <c r="C553" s="44" t="s">
        <v>8823</v>
      </c>
      <c r="D553" s="44" t="s">
        <v>16038</v>
      </c>
      <c r="E553" s="44"/>
      <c r="F553" s="44"/>
      <c r="G553" s="44" t="s">
        <v>14882</v>
      </c>
      <c r="H553" s="44" t="s">
        <v>14872</v>
      </c>
      <c r="I553" s="44" t="s">
        <v>14883</v>
      </c>
      <c r="J553" s="44" t="s">
        <v>14874</v>
      </c>
      <c r="K553" s="44" t="s">
        <v>14875</v>
      </c>
      <c r="L553" s="44" t="s">
        <v>8828</v>
      </c>
      <c r="M553" s="44" t="s">
        <v>14876</v>
      </c>
    </row>
    <row r="554" customFormat="false" ht="22.35" hidden="false" customHeight="false" outlineLevel="0" collapsed="false">
      <c r="A554" s="44" t="s">
        <v>16039</v>
      </c>
      <c r="B554" s="44" t="s">
        <v>8822</v>
      </c>
      <c r="C554" s="44" t="s">
        <v>8823</v>
      </c>
      <c r="D554" s="44" t="s">
        <v>16040</v>
      </c>
      <c r="E554" s="44"/>
      <c r="F554" s="44"/>
      <c r="G554" s="44" t="s">
        <v>14882</v>
      </c>
      <c r="H554" s="44" t="s">
        <v>14872</v>
      </c>
      <c r="I554" s="44" t="s">
        <v>14883</v>
      </c>
      <c r="J554" s="44" t="s">
        <v>14874</v>
      </c>
      <c r="K554" s="44" t="s">
        <v>14875</v>
      </c>
      <c r="L554" s="44" t="s">
        <v>8828</v>
      </c>
      <c r="M554" s="44" t="s">
        <v>14876</v>
      </c>
    </row>
    <row r="555" customFormat="false" ht="22.35" hidden="false" customHeight="false" outlineLevel="0" collapsed="false">
      <c r="A555" s="44" t="s">
        <v>16041</v>
      </c>
      <c r="B555" s="44" t="s">
        <v>8822</v>
      </c>
      <c r="C555" s="44" t="s">
        <v>8823</v>
      </c>
      <c r="D555" s="44" t="s">
        <v>16042</v>
      </c>
      <c r="E555" s="44" t="s">
        <v>3583</v>
      </c>
      <c r="F555" s="44" t="s">
        <v>3584</v>
      </c>
      <c r="G555" s="44" t="s">
        <v>14871</v>
      </c>
      <c r="H555" s="44" t="s">
        <v>14872</v>
      </c>
      <c r="I555" s="44" t="s">
        <v>14886</v>
      </c>
      <c r="J555" s="44" t="s">
        <v>14874</v>
      </c>
      <c r="K555" s="44" t="s">
        <v>14875</v>
      </c>
      <c r="L555" s="44" t="s">
        <v>8828</v>
      </c>
      <c r="M555" s="44" t="s">
        <v>14876</v>
      </c>
    </row>
    <row r="556" customFormat="false" ht="22.35" hidden="false" customHeight="false" outlineLevel="0" collapsed="false">
      <c r="A556" s="44" t="s">
        <v>16043</v>
      </c>
      <c r="B556" s="44" t="s">
        <v>8829</v>
      </c>
      <c r="C556" s="44" t="s">
        <v>8830</v>
      </c>
      <c r="D556" s="44" t="s">
        <v>16044</v>
      </c>
      <c r="E556" s="44"/>
      <c r="F556" s="44"/>
      <c r="G556" s="44" t="s">
        <v>14882</v>
      </c>
      <c r="H556" s="44" t="s">
        <v>14872</v>
      </c>
      <c r="I556" s="44" t="s">
        <v>14883</v>
      </c>
      <c r="J556" s="44" t="s">
        <v>14874</v>
      </c>
      <c r="K556" s="44" t="s">
        <v>14875</v>
      </c>
      <c r="L556" s="44" t="s">
        <v>8834</v>
      </c>
      <c r="M556" s="44" t="s">
        <v>14876</v>
      </c>
    </row>
    <row r="557" customFormat="false" ht="22.35" hidden="false" customHeight="false" outlineLevel="0" collapsed="false">
      <c r="A557" s="44" t="s">
        <v>16045</v>
      </c>
      <c r="B557" s="44" t="s">
        <v>8829</v>
      </c>
      <c r="C557" s="44" t="s">
        <v>8830</v>
      </c>
      <c r="D557" s="44" t="s">
        <v>16046</v>
      </c>
      <c r="E557" s="44"/>
      <c r="F557" s="44"/>
      <c r="G557" s="44" t="s">
        <v>14882</v>
      </c>
      <c r="H557" s="44" t="s">
        <v>14872</v>
      </c>
      <c r="I557" s="44" t="s">
        <v>14883</v>
      </c>
      <c r="J557" s="44" t="s">
        <v>14874</v>
      </c>
      <c r="K557" s="44" t="s">
        <v>14875</v>
      </c>
      <c r="L557" s="44" t="s">
        <v>8834</v>
      </c>
      <c r="M557" s="44" t="s">
        <v>14876</v>
      </c>
    </row>
    <row r="558" customFormat="false" ht="22.35" hidden="false" customHeight="false" outlineLevel="0" collapsed="false">
      <c r="A558" s="44" t="s">
        <v>16047</v>
      </c>
      <c r="B558" s="44" t="s">
        <v>8829</v>
      </c>
      <c r="C558" s="44" t="s">
        <v>8830</v>
      </c>
      <c r="D558" s="44" t="s">
        <v>16048</v>
      </c>
      <c r="E558" s="44"/>
      <c r="F558" s="44"/>
      <c r="G558" s="44" t="s">
        <v>14882</v>
      </c>
      <c r="H558" s="44" t="s">
        <v>14872</v>
      </c>
      <c r="I558" s="44" t="s">
        <v>14883</v>
      </c>
      <c r="J558" s="44" t="s">
        <v>14874</v>
      </c>
      <c r="K558" s="44" t="s">
        <v>14875</v>
      </c>
      <c r="L558" s="44" t="s">
        <v>8834</v>
      </c>
      <c r="M558" s="44" t="s">
        <v>14876</v>
      </c>
    </row>
    <row r="559" customFormat="false" ht="22.35" hidden="false" customHeight="false" outlineLevel="0" collapsed="false">
      <c r="A559" s="44" t="s">
        <v>16049</v>
      </c>
      <c r="B559" s="44" t="s">
        <v>8829</v>
      </c>
      <c r="C559" s="44" t="s">
        <v>8830</v>
      </c>
      <c r="D559" s="44" t="s">
        <v>15454</v>
      </c>
      <c r="E559" s="44" t="s">
        <v>215</v>
      </c>
      <c r="F559" s="44" t="s">
        <v>216</v>
      </c>
      <c r="G559" s="44" t="s">
        <v>14871</v>
      </c>
      <c r="H559" s="44" t="s">
        <v>14872</v>
      </c>
      <c r="I559" s="44" t="s">
        <v>14873</v>
      </c>
      <c r="J559" s="44" t="s">
        <v>14874</v>
      </c>
      <c r="K559" s="44" t="s">
        <v>14875</v>
      </c>
      <c r="L559" s="44" t="s">
        <v>8834</v>
      </c>
      <c r="M559" s="44" t="s">
        <v>14876</v>
      </c>
    </row>
    <row r="560" customFormat="false" ht="22.35" hidden="false" customHeight="false" outlineLevel="0" collapsed="false">
      <c r="A560" s="44" t="s">
        <v>16050</v>
      </c>
      <c r="B560" s="44" t="s">
        <v>8829</v>
      </c>
      <c r="C560" s="44" t="s">
        <v>8830</v>
      </c>
      <c r="D560" s="44" t="s">
        <v>16051</v>
      </c>
      <c r="E560" s="44" t="s">
        <v>211</v>
      </c>
      <c r="F560" s="44" t="s">
        <v>212</v>
      </c>
      <c r="G560" s="44" t="s">
        <v>14871</v>
      </c>
      <c r="H560" s="44" t="s">
        <v>14872</v>
      </c>
      <c r="I560" s="44" t="s">
        <v>14873</v>
      </c>
      <c r="J560" s="44" t="s">
        <v>14874</v>
      </c>
      <c r="K560" s="44" t="s">
        <v>14875</v>
      </c>
      <c r="L560" s="44" t="s">
        <v>8834</v>
      </c>
      <c r="M560" s="44" t="s">
        <v>14876</v>
      </c>
    </row>
    <row r="561" customFormat="false" ht="22.35" hidden="false" customHeight="false" outlineLevel="0" collapsed="false">
      <c r="A561" s="44" t="s">
        <v>16052</v>
      </c>
      <c r="B561" s="44" t="s">
        <v>8829</v>
      </c>
      <c r="C561" s="44" t="s">
        <v>8830</v>
      </c>
      <c r="D561" s="44" t="s">
        <v>15026</v>
      </c>
      <c r="E561" s="44" t="s">
        <v>522</v>
      </c>
      <c r="F561" s="44" t="s">
        <v>523</v>
      </c>
      <c r="G561" s="44" t="s">
        <v>14871</v>
      </c>
      <c r="H561" s="44" t="s">
        <v>14872</v>
      </c>
      <c r="I561" s="44" t="s">
        <v>14879</v>
      </c>
      <c r="J561" s="44" t="s">
        <v>14874</v>
      </c>
      <c r="K561" s="44" t="s">
        <v>14875</v>
      </c>
      <c r="L561" s="44" t="s">
        <v>8834</v>
      </c>
      <c r="M561" s="44" t="s">
        <v>14876</v>
      </c>
    </row>
    <row r="562" customFormat="false" ht="22.35" hidden="false" customHeight="false" outlineLevel="0" collapsed="false">
      <c r="A562" s="44" t="s">
        <v>16053</v>
      </c>
      <c r="B562" s="44" t="s">
        <v>8829</v>
      </c>
      <c r="C562" s="44" t="s">
        <v>8830</v>
      </c>
      <c r="D562" s="44" t="s">
        <v>16054</v>
      </c>
      <c r="E562" s="44" t="s">
        <v>16055</v>
      </c>
      <c r="F562" s="44" t="s">
        <v>16056</v>
      </c>
      <c r="G562" s="44" t="s">
        <v>14871</v>
      </c>
      <c r="H562" s="44" t="s">
        <v>14872</v>
      </c>
      <c r="I562" s="44" t="s">
        <v>14886</v>
      </c>
      <c r="J562" s="44" t="s">
        <v>14874</v>
      </c>
      <c r="K562" s="44" t="s">
        <v>14875</v>
      </c>
      <c r="L562" s="44" t="s">
        <v>8834</v>
      </c>
      <c r="M562" s="44" t="s">
        <v>14876</v>
      </c>
    </row>
    <row r="563" customFormat="false" ht="22.35" hidden="false" customHeight="false" outlineLevel="0" collapsed="false">
      <c r="A563" s="44" t="s">
        <v>16057</v>
      </c>
      <c r="B563" s="44" t="s">
        <v>8829</v>
      </c>
      <c r="C563" s="44" t="s">
        <v>8830</v>
      </c>
      <c r="D563" s="44" t="s">
        <v>16058</v>
      </c>
      <c r="E563" s="44"/>
      <c r="F563" s="44"/>
      <c r="G563" s="44" t="s">
        <v>14882</v>
      </c>
      <c r="H563" s="44" t="s">
        <v>14872</v>
      </c>
      <c r="I563" s="44" t="s">
        <v>14883</v>
      </c>
      <c r="J563" s="44" t="s">
        <v>14874</v>
      </c>
      <c r="K563" s="44" t="s">
        <v>14875</v>
      </c>
      <c r="L563" s="44" t="s">
        <v>8834</v>
      </c>
      <c r="M563" s="44" t="s">
        <v>14876</v>
      </c>
    </row>
    <row r="564" customFormat="false" ht="22.35" hidden="false" customHeight="false" outlineLevel="0" collapsed="false">
      <c r="A564" s="44" t="s">
        <v>16059</v>
      </c>
      <c r="B564" s="44" t="s">
        <v>8835</v>
      </c>
      <c r="C564" s="44" t="s">
        <v>8836</v>
      </c>
      <c r="D564" s="44" t="s">
        <v>16060</v>
      </c>
      <c r="E564" s="44" t="s">
        <v>4895</v>
      </c>
      <c r="F564" s="44" t="s">
        <v>4896</v>
      </c>
      <c r="G564" s="44" t="s">
        <v>14871</v>
      </c>
      <c r="H564" s="44" t="s">
        <v>14872</v>
      </c>
      <c r="I564" s="44" t="s">
        <v>14886</v>
      </c>
      <c r="J564" s="44" t="s">
        <v>14874</v>
      </c>
      <c r="K564" s="44" t="s">
        <v>14875</v>
      </c>
      <c r="L564" s="44" t="s">
        <v>8841</v>
      </c>
      <c r="M564" s="44" t="s">
        <v>14876</v>
      </c>
    </row>
    <row r="565" customFormat="false" ht="22.35" hidden="false" customHeight="false" outlineLevel="0" collapsed="false">
      <c r="A565" s="44" t="s">
        <v>16061</v>
      </c>
      <c r="B565" s="44" t="s">
        <v>8835</v>
      </c>
      <c r="C565" s="44" t="s">
        <v>8836</v>
      </c>
      <c r="D565" s="44" t="s">
        <v>16062</v>
      </c>
      <c r="E565" s="44"/>
      <c r="F565" s="44"/>
      <c r="G565" s="44" t="s">
        <v>14882</v>
      </c>
      <c r="H565" s="44" t="s">
        <v>14872</v>
      </c>
      <c r="I565" s="44" t="s">
        <v>14883</v>
      </c>
      <c r="J565" s="44" t="s">
        <v>14874</v>
      </c>
      <c r="K565" s="44" t="s">
        <v>14875</v>
      </c>
      <c r="L565" s="44" t="s">
        <v>8841</v>
      </c>
      <c r="M565" s="44" t="s">
        <v>14876</v>
      </c>
    </row>
    <row r="566" customFormat="false" ht="22.35" hidden="false" customHeight="false" outlineLevel="0" collapsed="false">
      <c r="A566" s="44" t="s">
        <v>16063</v>
      </c>
      <c r="B566" s="44" t="s">
        <v>8835</v>
      </c>
      <c r="C566" s="44" t="s">
        <v>8836</v>
      </c>
      <c r="D566" s="44" t="s">
        <v>16064</v>
      </c>
      <c r="E566" s="44"/>
      <c r="F566" s="44"/>
      <c r="G566" s="44" t="s">
        <v>14882</v>
      </c>
      <c r="H566" s="44" t="s">
        <v>14872</v>
      </c>
      <c r="I566" s="44" t="s">
        <v>14883</v>
      </c>
      <c r="J566" s="44" t="s">
        <v>14874</v>
      </c>
      <c r="K566" s="44" t="s">
        <v>14875</v>
      </c>
      <c r="L566" s="44" t="s">
        <v>8841</v>
      </c>
      <c r="M566" s="44" t="s">
        <v>14876</v>
      </c>
    </row>
    <row r="567" customFormat="false" ht="22.35" hidden="false" customHeight="false" outlineLevel="0" collapsed="false">
      <c r="A567" s="44" t="s">
        <v>16065</v>
      </c>
      <c r="B567" s="44" t="s">
        <v>8835</v>
      </c>
      <c r="C567" s="44" t="s">
        <v>8836</v>
      </c>
      <c r="D567" s="44" t="s">
        <v>16066</v>
      </c>
      <c r="E567" s="44" t="s">
        <v>15550</v>
      </c>
      <c r="F567" s="44" t="s">
        <v>15551</v>
      </c>
      <c r="G567" s="44" t="s">
        <v>14871</v>
      </c>
      <c r="H567" s="44" t="s">
        <v>14872</v>
      </c>
      <c r="I567" s="44" t="s">
        <v>14873</v>
      </c>
      <c r="J567" s="44" t="s">
        <v>14874</v>
      </c>
      <c r="K567" s="44" t="s">
        <v>14875</v>
      </c>
      <c r="L567" s="44" t="s">
        <v>8841</v>
      </c>
      <c r="M567" s="44" t="s">
        <v>14876</v>
      </c>
    </row>
    <row r="568" customFormat="false" ht="22.35" hidden="false" customHeight="false" outlineLevel="0" collapsed="false">
      <c r="A568" s="44" t="s">
        <v>16067</v>
      </c>
      <c r="B568" s="44" t="s">
        <v>8842</v>
      </c>
      <c r="C568" s="44" t="s">
        <v>8843</v>
      </c>
      <c r="D568" s="44" t="s">
        <v>16068</v>
      </c>
      <c r="E568" s="44" t="s">
        <v>15278</v>
      </c>
      <c r="F568" s="44" t="s">
        <v>15279</v>
      </c>
      <c r="G568" s="44" t="s">
        <v>14871</v>
      </c>
      <c r="H568" s="44" t="s">
        <v>14872</v>
      </c>
      <c r="I568" s="44" t="s">
        <v>14886</v>
      </c>
      <c r="J568" s="44" t="s">
        <v>14874</v>
      </c>
      <c r="K568" s="44" t="s">
        <v>14875</v>
      </c>
      <c r="L568" s="44" t="s">
        <v>8848</v>
      </c>
      <c r="M568" s="44" t="s">
        <v>14876</v>
      </c>
    </row>
    <row r="569" customFormat="false" ht="22.35" hidden="false" customHeight="false" outlineLevel="0" collapsed="false">
      <c r="A569" s="44" t="s">
        <v>16069</v>
      </c>
      <c r="B569" s="44" t="s">
        <v>8842</v>
      </c>
      <c r="C569" s="44" t="s">
        <v>8843</v>
      </c>
      <c r="D569" s="44" t="s">
        <v>15156</v>
      </c>
      <c r="E569" s="44" t="s">
        <v>1561</v>
      </c>
      <c r="F569" s="44" t="s">
        <v>1562</v>
      </c>
      <c r="G569" s="44" t="s">
        <v>14871</v>
      </c>
      <c r="H569" s="44" t="s">
        <v>14872</v>
      </c>
      <c r="I569" s="44" t="s">
        <v>14879</v>
      </c>
      <c r="J569" s="44" t="s">
        <v>14874</v>
      </c>
      <c r="K569" s="44" t="s">
        <v>14875</v>
      </c>
      <c r="L569" s="44" t="s">
        <v>8848</v>
      </c>
      <c r="M569" s="44" t="s">
        <v>14876</v>
      </c>
    </row>
    <row r="570" customFormat="false" ht="22.35" hidden="false" customHeight="false" outlineLevel="0" collapsed="false">
      <c r="A570" s="44" t="s">
        <v>16070</v>
      </c>
      <c r="B570" s="44" t="s">
        <v>8842</v>
      </c>
      <c r="C570" s="44" t="s">
        <v>8843</v>
      </c>
      <c r="D570" s="44" t="s">
        <v>16071</v>
      </c>
      <c r="E570" s="44" t="s">
        <v>1233</v>
      </c>
      <c r="F570" s="44" t="s">
        <v>1234</v>
      </c>
      <c r="G570" s="44" t="s">
        <v>14871</v>
      </c>
      <c r="H570" s="44" t="s">
        <v>14872</v>
      </c>
      <c r="I570" s="44" t="s">
        <v>14873</v>
      </c>
      <c r="J570" s="44" t="s">
        <v>14874</v>
      </c>
      <c r="K570" s="44" t="s">
        <v>14875</v>
      </c>
      <c r="L570" s="44" t="s">
        <v>8848</v>
      </c>
      <c r="M570" s="44" t="s">
        <v>14876</v>
      </c>
    </row>
    <row r="571" customFormat="false" ht="22.35" hidden="false" customHeight="false" outlineLevel="0" collapsed="false">
      <c r="A571" s="44" t="s">
        <v>16072</v>
      </c>
      <c r="B571" s="44" t="s">
        <v>8842</v>
      </c>
      <c r="C571" s="44" t="s">
        <v>8843</v>
      </c>
      <c r="D571" s="44" t="s">
        <v>16073</v>
      </c>
      <c r="E571" s="44"/>
      <c r="F571" s="44"/>
      <c r="G571" s="44" t="s">
        <v>14882</v>
      </c>
      <c r="H571" s="44" t="s">
        <v>14872</v>
      </c>
      <c r="I571" s="44" t="s">
        <v>14883</v>
      </c>
      <c r="J571" s="44" t="s">
        <v>14874</v>
      </c>
      <c r="K571" s="44" t="s">
        <v>14875</v>
      </c>
      <c r="L571" s="44" t="s">
        <v>8848</v>
      </c>
      <c r="M571" s="44" t="s">
        <v>14876</v>
      </c>
    </row>
    <row r="572" customFormat="false" ht="22.35" hidden="false" customHeight="false" outlineLevel="0" collapsed="false">
      <c r="A572" s="44" t="s">
        <v>16074</v>
      </c>
      <c r="B572" s="44" t="s">
        <v>8842</v>
      </c>
      <c r="C572" s="44" t="s">
        <v>8843</v>
      </c>
      <c r="D572" s="44" t="s">
        <v>16075</v>
      </c>
      <c r="E572" s="44"/>
      <c r="F572" s="44"/>
      <c r="G572" s="44" t="s">
        <v>14882</v>
      </c>
      <c r="H572" s="44" t="s">
        <v>14872</v>
      </c>
      <c r="I572" s="44" t="s">
        <v>14883</v>
      </c>
      <c r="J572" s="44" t="s">
        <v>14874</v>
      </c>
      <c r="K572" s="44" t="s">
        <v>14875</v>
      </c>
      <c r="L572" s="44" t="s">
        <v>8848</v>
      </c>
      <c r="M572" s="44" t="s">
        <v>14876</v>
      </c>
    </row>
    <row r="573" customFormat="false" ht="22.35" hidden="false" customHeight="false" outlineLevel="0" collapsed="false">
      <c r="A573" s="44" t="s">
        <v>16076</v>
      </c>
      <c r="B573" s="44" t="s">
        <v>8849</v>
      </c>
      <c r="C573" s="44" t="s">
        <v>8850</v>
      </c>
      <c r="D573" s="44" t="s">
        <v>16077</v>
      </c>
      <c r="E573" s="44" t="s">
        <v>196</v>
      </c>
      <c r="F573" s="44" t="s">
        <v>59</v>
      </c>
      <c r="G573" s="44" t="s">
        <v>14871</v>
      </c>
      <c r="H573" s="44" t="s">
        <v>14872</v>
      </c>
      <c r="I573" s="44" t="s">
        <v>14886</v>
      </c>
      <c r="J573" s="44" t="s">
        <v>14874</v>
      </c>
      <c r="K573" s="44" t="s">
        <v>14875</v>
      </c>
      <c r="L573" s="44" t="s">
        <v>8856</v>
      </c>
      <c r="M573" s="44" t="s">
        <v>14876</v>
      </c>
    </row>
    <row r="574" customFormat="false" ht="22.35" hidden="false" customHeight="false" outlineLevel="0" collapsed="false">
      <c r="A574" s="44" t="s">
        <v>16078</v>
      </c>
      <c r="B574" s="44" t="s">
        <v>8849</v>
      </c>
      <c r="C574" s="44" t="s">
        <v>8850</v>
      </c>
      <c r="D574" s="44" t="s">
        <v>16079</v>
      </c>
      <c r="E574" s="44" t="s">
        <v>3257</v>
      </c>
      <c r="F574" s="44" t="s">
        <v>3258</v>
      </c>
      <c r="G574" s="44" t="s">
        <v>14871</v>
      </c>
      <c r="H574" s="44" t="s">
        <v>14872</v>
      </c>
      <c r="I574" s="44" t="s">
        <v>14873</v>
      </c>
      <c r="J574" s="44" t="s">
        <v>14874</v>
      </c>
      <c r="K574" s="44" t="s">
        <v>14875</v>
      </c>
      <c r="L574" s="44" t="s">
        <v>8856</v>
      </c>
      <c r="M574" s="44" t="s">
        <v>14876</v>
      </c>
    </row>
    <row r="575" customFormat="false" ht="22.35" hidden="false" customHeight="false" outlineLevel="0" collapsed="false">
      <c r="A575" s="44" t="s">
        <v>16080</v>
      </c>
      <c r="B575" s="44" t="s">
        <v>8849</v>
      </c>
      <c r="C575" s="44" t="s">
        <v>8850</v>
      </c>
      <c r="D575" s="44" t="s">
        <v>16081</v>
      </c>
      <c r="E575" s="44" t="s">
        <v>4219</v>
      </c>
      <c r="F575" s="44" t="s">
        <v>4220</v>
      </c>
      <c r="G575" s="44" t="s">
        <v>14871</v>
      </c>
      <c r="H575" s="44" t="s">
        <v>14872</v>
      </c>
      <c r="I575" s="44" t="s">
        <v>14886</v>
      </c>
      <c r="J575" s="44" t="s">
        <v>14874</v>
      </c>
      <c r="K575" s="44" t="s">
        <v>14875</v>
      </c>
      <c r="L575" s="44" t="s">
        <v>8856</v>
      </c>
      <c r="M575" s="44" t="s">
        <v>14876</v>
      </c>
    </row>
    <row r="576" customFormat="false" ht="22.35" hidden="false" customHeight="false" outlineLevel="0" collapsed="false">
      <c r="A576" s="44" t="s">
        <v>16082</v>
      </c>
      <c r="B576" s="44" t="s">
        <v>8857</v>
      </c>
      <c r="C576" s="44" t="s">
        <v>8858</v>
      </c>
      <c r="D576" s="44" t="s">
        <v>16083</v>
      </c>
      <c r="E576" s="44"/>
      <c r="F576" s="44"/>
      <c r="G576" s="44" t="s">
        <v>14882</v>
      </c>
      <c r="H576" s="44" t="s">
        <v>14872</v>
      </c>
      <c r="I576" s="44" t="s">
        <v>14883</v>
      </c>
      <c r="J576" s="44" t="s">
        <v>14874</v>
      </c>
      <c r="K576" s="44" t="s">
        <v>14875</v>
      </c>
      <c r="L576" s="44" t="s">
        <v>8863</v>
      </c>
      <c r="M576" s="44" t="s">
        <v>14876</v>
      </c>
    </row>
    <row r="577" customFormat="false" ht="22.35" hidden="false" customHeight="false" outlineLevel="0" collapsed="false">
      <c r="A577" s="44" t="s">
        <v>16084</v>
      </c>
      <c r="B577" s="44" t="s">
        <v>8857</v>
      </c>
      <c r="C577" s="44" t="s">
        <v>8858</v>
      </c>
      <c r="D577" s="44" t="s">
        <v>15417</v>
      </c>
      <c r="E577" s="44" t="s">
        <v>196</v>
      </c>
      <c r="F577" s="44" t="s">
        <v>59</v>
      </c>
      <c r="G577" s="44" t="s">
        <v>14871</v>
      </c>
      <c r="H577" s="44" t="s">
        <v>14872</v>
      </c>
      <c r="I577" s="44" t="s">
        <v>14886</v>
      </c>
      <c r="J577" s="44" t="s">
        <v>14874</v>
      </c>
      <c r="K577" s="44" t="s">
        <v>14875</v>
      </c>
      <c r="L577" s="44" t="s">
        <v>8863</v>
      </c>
      <c r="M577" s="44" t="s">
        <v>14876</v>
      </c>
    </row>
    <row r="578" customFormat="false" ht="22.35" hidden="false" customHeight="false" outlineLevel="0" collapsed="false">
      <c r="A578" s="44" t="s">
        <v>16085</v>
      </c>
      <c r="B578" s="44" t="s">
        <v>8857</v>
      </c>
      <c r="C578" s="44" t="s">
        <v>8858</v>
      </c>
      <c r="D578" s="44" t="s">
        <v>16086</v>
      </c>
      <c r="E578" s="44"/>
      <c r="F578" s="44"/>
      <c r="G578" s="44" t="s">
        <v>14882</v>
      </c>
      <c r="H578" s="44" t="s">
        <v>14872</v>
      </c>
      <c r="I578" s="44" t="s">
        <v>14883</v>
      </c>
      <c r="J578" s="44" t="s">
        <v>14874</v>
      </c>
      <c r="K578" s="44" t="s">
        <v>14875</v>
      </c>
      <c r="L578" s="44" t="s">
        <v>8863</v>
      </c>
      <c r="M578" s="44" t="s">
        <v>14876</v>
      </c>
    </row>
    <row r="579" customFormat="false" ht="22.35" hidden="false" customHeight="false" outlineLevel="0" collapsed="false">
      <c r="A579" s="44" t="s">
        <v>16087</v>
      </c>
      <c r="B579" s="44" t="s">
        <v>8857</v>
      </c>
      <c r="C579" s="44" t="s">
        <v>8858</v>
      </c>
      <c r="D579" s="44" t="s">
        <v>15454</v>
      </c>
      <c r="E579" s="44" t="s">
        <v>215</v>
      </c>
      <c r="F579" s="44" t="s">
        <v>216</v>
      </c>
      <c r="G579" s="44" t="s">
        <v>14871</v>
      </c>
      <c r="H579" s="44" t="s">
        <v>14872</v>
      </c>
      <c r="I579" s="44" t="s">
        <v>14873</v>
      </c>
      <c r="J579" s="44" t="s">
        <v>14874</v>
      </c>
      <c r="K579" s="44" t="s">
        <v>14875</v>
      </c>
      <c r="L579" s="44" t="s">
        <v>8863</v>
      </c>
      <c r="M579" s="44" t="s">
        <v>14876</v>
      </c>
    </row>
    <row r="580" customFormat="false" ht="22.35" hidden="false" customHeight="false" outlineLevel="0" collapsed="false">
      <c r="A580" s="44" t="s">
        <v>16088</v>
      </c>
      <c r="B580" s="44" t="s">
        <v>8857</v>
      </c>
      <c r="C580" s="44" t="s">
        <v>8858</v>
      </c>
      <c r="D580" s="44" t="s">
        <v>16089</v>
      </c>
      <c r="E580" s="44"/>
      <c r="F580" s="44"/>
      <c r="G580" s="44" t="s">
        <v>14882</v>
      </c>
      <c r="H580" s="44" t="s">
        <v>14872</v>
      </c>
      <c r="I580" s="44" t="s">
        <v>14883</v>
      </c>
      <c r="J580" s="44" t="s">
        <v>14874</v>
      </c>
      <c r="K580" s="44" t="s">
        <v>14875</v>
      </c>
      <c r="L580" s="44" t="s">
        <v>8863</v>
      </c>
      <c r="M580" s="44" t="s">
        <v>14876</v>
      </c>
    </row>
    <row r="581" customFormat="false" ht="22.35" hidden="false" customHeight="false" outlineLevel="0" collapsed="false">
      <c r="A581" s="44" t="s">
        <v>16090</v>
      </c>
      <c r="B581" s="44" t="s">
        <v>8864</v>
      </c>
      <c r="C581" s="44" t="s">
        <v>8865</v>
      </c>
      <c r="D581" s="44" t="s">
        <v>16091</v>
      </c>
      <c r="E581" s="44" t="s">
        <v>3257</v>
      </c>
      <c r="F581" s="44" t="s">
        <v>3258</v>
      </c>
      <c r="G581" s="44" t="s">
        <v>14871</v>
      </c>
      <c r="H581" s="44" t="s">
        <v>14872</v>
      </c>
      <c r="I581" s="44" t="s">
        <v>14873</v>
      </c>
      <c r="J581" s="44" t="s">
        <v>14874</v>
      </c>
      <c r="K581" s="44" t="s">
        <v>14875</v>
      </c>
      <c r="L581" s="44" t="s">
        <v>8871</v>
      </c>
      <c r="M581" s="44" t="s">
        <v>14876</v>
      </c>
    </row>
    <row r="582" customFormat="false" ht="22.35" hidden="false" customHeight="false" outlineLevel="0" collapsed="false">
      <c r="A582" s="44" t="s">
        <v>16092</v>
      </c>
      <c r="B582" s="44" t="s">
        <v>8864</v>
      </c>
      <c r="C582" s="44" t="s">
        <v>8865</v>
      </c>
      <c r="D582" s="44" t="s">
        <v>16093</v>
      </c>
      <c r="E582" s="44" t="s">
        <v>1014</v>
      </c>
      <c r="F582" s="44" t="s">
        <v>1015</v>
      </c>
      <c r="G582" s="44" t="s">
        <v>14871</v>
      </c>
      <c r="H582" s="44" t="s">
        <v>14872</v>
      </c>
      <c r="I582" s="44" t="s">
        <v>14879</v>
      </c>
      <c r="J582" s="44" t="s">
        <v>14874</v>
      </c>
      <c r="K582" s="44" t="s">
        <v>14875</v>
      </c>
      <c r="L582" s="44" t="s">
        <v>8871</v>
      </c>
      <c r="M582" s="44" t="s">
        <v>14876</v>
      </c>
    </row>
    <row r="583" customFormat="false" ht="22.35" hidden="false" customHeight="false" outlineLevel="0" collapsed="false">
      <c r="A583" s="44" t="s">
        <v>16094</v>
      </c>
      <c r="B583" s="44" t="s">
        <v>8864</v>
      </c>
      <c r="C583" s="44" t="s">
        <v>8865</v>
      </c>
      <c r="D583" s="44" t="s">
        <v>16095</v>
      </c>
      <c r="E583" s="44"/>
      <c r="F583" s="44"/>
      <c r="G583" s="44" t="s">
        <v>14882</v>
      </c>
      <c r="H583" s="44" t="s">
        <v>14872</v>
      </c>
      <c r="I583" s="44" t="s">
        <v>14883</v>
      </c>
      <c r="J583" s="44" t="s">
        <v>14874</v>
      </c>
      <c r="K583" s="44" t="s">
        <v>14875</v>
      </c>
      <c r="L583" s="44" t="s">
        <v>8871</v>
      </c>
      <c r="M583" s="44" t="s">
        <v>14876</v>
      </c>
    </row>
    <row r="584" customFormat="false" ht="22.35" hidden="false" customHeight="false" outlineLevel="0" collapsed="false">
      <c r="A584" s="44" t="s">
        <v>16096</v>
      </c>
      <c r="B584" s="44" t="s">
        <v>8864</v>
      </c>
      <c r="C584" s="44" t="s">
        <v>8865</v>
      </c>
      <c r="D584" s="44" t="s">
        <v>16097</v>
      </c>
      <c r="E584" s="44" t="s">
        <v>1802</v>
      </c>
      <c r="F584" s="44" t="s">
        <v>1803</v>
      </c>
      <c r="G584" s="44" t="s">
        <v>14871</v>
      </c>
      <c r="H584" s="44" t="s">
        <v>14872</v>
      </c>
      <c r="I584" s="44" t="s">
        <v>14873</v>
      </c>
      <c r="J584" s="44" t="s">
        <v>14874</v>
      </c>
      <c r="K584" s="44" t="s">
        <v>14875</v>
      </c>
      <c r="L584" s="44" t="s">
        <v>8871</v>
      </c>
      <c r="M584" s="44" t="s">
        <v>14876</v>
      </c>
    </row>
    <row r="585" customFormat="false" ht="22.35" hidden="false" customHeight="false" outlineLevel="0" collapsed="false">
      <c r="A585" s="44" t="s">
        <v>16098</v>
      </c>
      <c r="B585" s="44" t="s">
        <v>8864</v>
      </c>
      <c r="C585" s="44" t="s">
        <v>8865</v>
      </c>
      <c r="D585" s="44" t="s">
        <v>16099</v>
      </c>
      <c r="E585" s="44"/>
      <c r="F585" s="44"/>
      <c r="G585" s="44" t="s">
        <v>14882</v>
      </c>
      <c r="H585" s="44" t="s">
        <v>14872</v>
      </c>
      <c r="I585" s="44" t="s">
        <v>14883</v>
      </c>
      <c r="J585" s="44" t="s">
        <v>14874</v>
      </c>
      <c r="K585" s="44" t="s">
        <v>14875</v>
      </c>
      <c r="L585" s="44" t="s">
        <v>8871</v>
      </c>
      <c r="M585" s="44" t="s">
        <v>14876</v>
      </c>
    </row>
    <row r="586" customFormat="false" ht="22.35" hidden="false" customHeight="false" outlineLevel="0" collapsed="false">
      <c r="A586" s="44" t="s">
        <v>16100</v>
      </c>
      <c r="B586" s="44" t="s">
        <v>8864</v>
      </c>
      <c r="C586" s="44" t="s">
        <v>8865</v>
      </c>
      <c r="D586" s="44" t="s">
        <v>16101</v>
      </c>
      <c r="E586" s="44"/>
      <c r="F586" s="44"/>
      <c r="G586" s="44" t="s">
        <v>14882</v>
      </c>
      <c r="H586" s="44" t="s">
        <v>14872</v>
      </c>
      <c r="I586" s="44" t="s">
        <v>14883</v>
      </c>
      <c r="J586" s="44" t="s">
        <v>14874</v>
      </c>
      <c r="K586" s="44" t="s">
        <v>14875</v>
      </c>
      <c r="L586" s="44" t="s">
        <v>8871</v>
      </c>
      <c r="M586" s="44" t="s">
        <v>14876</v>
      </c>
    </row>
    <row r="587" customFormat="false" ht="22.35" hidden="false" customHeight="false" outlineLevel="0" collapsed="false">
      <c r="A587" s="44" t="s">
        <v>16102</v>
      </c>
      <c r="B587" s="44" t="s">
        <v>8864</v>
      </c>
      <c r="C587" s="44" t="s">
        <v>8865</v>
      </c>
      <c r="D587" s="44" t="s">
        <v>16103</v>
      </c>
      <c r="E587" s="44" t="s">
        <v>211</v>
      </c>
      <c r="F587" s="44" t="s">
        <v>212</v>
      </c>
      <c r="G587" s="44" t="s">
        <v>14871</v>
      </c>
      <c r="H587" s="44" t="s">
        <v>14872</v>
      </c>
      <c r="I587" s="44" t="s">
        <v>14873</v>
      </c>
      <c r="J587" s="44" t="s">
        <v>14874</v>
      </c>
      <c r="K587" s="44" t="s">
        <v>14875</v>
      </c>
      <c r="L587" s="44" t="s">
        <v>8871</v>
      </c>
      <c r="M587" s="44" t="s">
        <v>14876</v>
      </c>
    </row>
    <row r="588" customFormat="false" ht="22.35" hidden="false" customHeight="false" outlineLevel="0" collapsed="false">
      <c r="A588" s="44" t="s">
        <v>16104</v>
      </c>
      <c r="B588" s="44" t="s">
        <v>8872</v>
      </c>
      <c r="C588" s="44" t="s">
        <v>8873</v>
      </c>
      <c r="D588" s="44" t="s">
        <v>16105</v>
      </c>
      <c r="E588" s="44"/>
      <c r="F588" s="44"/>
      <c r="G588" s="44" t="s">
        <v>14882</v>
      </c>
      <c r="H588" s="44" t="s">
        <v>14872</v>
      </c>
      <c r="I588" s="44" t="s">
        <v>14883</v>
      </c>
      <c r="J588" s="44" t="s">
        <v>14874</v>
      </c>
      <c r="K588" s="44" t="s">
        <v>14875</v>
      </c>
      <c r="L588" s="44" t="s">
        <v>8877</v>
      </c>
      <c r="M588" s="44" t="s">
        <v>14876</v>
      </c>
    </row>
    <row r="589" customFormat="false" ht="22.35" hidden="false" customHeight="false" outlineLevel="0" collapsed="false">
      <c r="A589" s="44" t="s">
        <v>16106</v>
      </c>
      <c r="B589" s="44" t="s">
        <v>8872</v>
      </c>
      <c r="C589" s="44" t="s">
        <v>8873</v>
      </c>
      <c r="D589" s="44" t="s">
        <v>16107</v>
      </c>
      <c r="E589" s="44"/>
      <c r="F589" s="44"/>
      <c r="G589" s="44" t="s">
        <v>14882</v>
      </c>
      <c r="H589" s="44" t="s">
        <v>14872</v>
      </c>
      <c r="I589" s="44" t="s">
        <v>14883</v>
      </c>
      <c r="J589" s="44" t="s">
        <v>14874</v>
      </c>
      <c r="K589" s="44" t="s">
        <v>14875</v>
      </c>
      <c r="L589" s="44" t="s">
        <v>8877</v>
      </c>
      <c r="M589" s="44" t="s">
        <v>14876</v>
      </c>
    </row>
    <row r="590" customFormat="false" ht="22.35" hidden="false" customHeight="false" outlineLevel="0" collapsed="false">
      <c r="A590" s="44" t="s">
        <v>16108</v>
      </c>
      <c r="B590" s="44" t="s">
        <v>8872</v>
      </c>
      <c r="C590" s="44" t="s">
        <v>8873</v>
      </c>
      <c r="D590" s="44" t="s">
        <v>16109</v>
      </c>
      <c r="E590" s="44" t="s">
        <v>4895</v>
      </c>
      <c r="F590" s="44" t="s">
        <v>4896</v>
      </c>
      <c r="G590" s="44" t="s">
        <v>14871</v>
      </c>
      <c r="H590" s="44" t="s">
        <v>14872</v>
      </c>
      <c r="I590" s="44" t="s">
        <v>14886</v>
      </c>
      <c r="J590" s="44" t="s">
        <v>14874</v>
      </c>
      <c r="K590" s="44" t="s">
        <v>14875</v>
      </c>
      <c r="L590" s="44" t="s">
        <v>8877</v>
      </c>
      <c r="M590" s="44" t="s">
        <v>14876</v>
      </c>
    </row>
    <row r="591" customFormat="false" ht="22.35" hidden="false" customHeight="false" outlineLevel="0" collapsed="false">
      <c r="A591" s="44" t="s">
        <v>16110</v>
      </c>
      <c r="B591" s="44" t="s">
        <v>8872</v>
      </c>
      <c r="C591" s="44" t="s">
        <v>8873</v>
      </c>
      <c r="D591" s="44" t="s">
        <v>16111</v>
      </c>
      <c r="E591" s="44"/>
      <c r="F591" s="44"/>
      <c r="G591" s="44" t="s">
        <v>14882</v>
      </c>
      <c r="H591" s="44" t="s">
        <v>14872</v>
      </c>
      <c r="I591" s="44" t="s">
        <v>14883</v>
      </c>
      <c r="J591" s="44" t="s">
        <v>14874</v>
      </c>
      <c r="K591" s="44" t="s">
        <v>14875</v>
      </c>
      <c r="L591" s="44" t="s">
        <v>8877</v>
      </c>
      <c r="M591" s="44" t="s">
        <v>14876</v>
      </c>
    </row>
    <row r="592" customFormat="false" ht="22.35" hidden="false" customHeight="false" outlineLevel="0" collapsed="false">
      <c r="A592" s="44" t="s">
        <v>16112</v>
      </c>
      <c r="B592" s="44" t="s">
        <v>8878</v>
      </c>
      <c r="C592" s="44" t="s">
        <v>8879</v>
      </c>
      <c r="D592" s="44" t="s">
        <v>16113</v>
      </c>
      <c r="E592" s="44" t="s">
        <v>16114</v>
      </c>
      <c r="F592" s="44" t="s">
        <v>16115</v>
      </c>
      <c r="G592" s="44" t="s">
        <v>14871</v>
      </c>
      <c r="H592" s="44" t="s">
        <v>14872</v>
      </c>
      <c r="I592" s="44" t="s">
        <v>14886</v>
      </c>
      <c r="J592" s="44" t="s">
        <v>14874</v>
      </c>
      <c r="K592" s="44" t="s">
        <v>14875</v>
      </c>
      <c r="L592" s="44" t="s">
        <v>8884</v>
      </c>
      <c r="M592" s="44" t="s">
        <v>14876</v>
      </c>
    </row>
    <row r="593" customFormat="false" ht="22.35" hidden="false" customHeight="false" outlineLevel="0" collapsed="false">
      <c r="A593" s="44" t="s">
        <v>16116</v>
      </c>
      <c r="B593" s="44" t="s">
        <v>8885</v>
      </c>
      <c r="C593" s="44" t="s">
        <v>8886</v>
      </c>
      <c r="D593" s="44" t="s">
        <v>16117</v>
      </c>
      <c r="E593" s="44" t="s">
        <v>3583</v>
      </c>
      <c r="F593" s="44" t="s">
        <v>3584</v>
      </c>
      <c r="G593" s="44" t="s">
        <v>14871</v>
      </c>
      <c r="H593" s="44" t="s">
        <v>14872</v>
      </c>
      <c r="I593" s="44" t="s">
        <v>14886</v>
      </c>
      <c r="J593" s="44" t="s">
        <v>14874</v>
      </c>
      <c r="K593" s="44" t="s">
        <v>14875</v>
      </c>
      <c r="L593" s="44" t="s">
        <v>8890</v>
      </c>
      <c r="M593" s="44" t="s">
        <v>14876</v>
      </c>
    </row>
    <row r="594" customFormat="false" ht="22.35" hidden="false" customHeight="false" outlineLevel="0" collapsed="false">
      <c r="A594" s="44" t="s">
        <v>16118</v>
      </c>
      <c r="B594" s="44" t="s">
        <v>8885</v>
      </c>
      <c r="C594" s="44" t="s">
        <v>8886</v>
      </c>
      <c r="D594" s="44" t="s">
        <v>16119</v>
      </c>
      <c r="E594" s="44" t="s">
        <v>16114</v>
      </c>
      <c r="F594" s="44" t="s">
        <v>16115</v>
      </c>
      <c r="G594" s="44" t="s">
        <v>14871</v>
      </c>
      <c r="H594" s="44" t="s">
        <v>14872</v>
      </c>
      <c r="I594" s="44" t="s">
        <v>14886</v>
      </c>
      <c r="J594" s="44" t="s">
        <v>14874</v>
      </c>
      <c r="K594" s="44" t="s">
        <v>14875</v>
      </c>
      <c r="L594" s="44" t="s">
        <v>8890</v>
      </c>
      <c r="M594" s="44" t="s">
        <v>14876</v>
      </c>
    </row>
    <row r="595" customFormat="false" ht="22.35" hidden="false" customHeight="false" outlineLevel="0" collapsed="false">
      <c r="A595" s="44" t="s">
        <v>16120</v>
      </c>
      <c r="B595" s="44" t="s">
        <v>8885</v>
      </c>
      <c r="C595" s="44" t="s">
        <v>8886</v>
      </c>
      <c r="D595" s="44" t="s">
        <v>16121</v>
      </c>
      <c r="E595" s="44"/>
      <c r="F595" s="44"/>
      <c r="G595" s="44" t="s">
        <v>14882</v>
      </c>
      <c r="H595" s="44" t="s">
        <v>14872</v>
      </c>
      <c r="I595" s="44" t="s">
        <v>14883</v>
      </c>
      <c r="J595" s="44" t="s">
        <v>14874</v>
      </c>
      <c r="K595" s="44" t="s">
        <v>14875</v>
      </c>
      <c r="L595" s="44" t="s">
        <v>8890</v>
      </c>
      <c r="M595" s="44" t="s">
        <v>14876</v>
      </c>
    </row>
    <row r="596" customFormat="false" ht="22.35" hidden="false" customHeight="false" outlineLevel="0" collapsed="false">
      <c r="A596" s="44" t="s">
        <v>16122</v>
      </c>
      <c r="B596" s="44" t="s">
        <v>8885</v>
      </c>
      <c r="C596" s="44" t="s">
        <v>8886</v>
      </c>
      <c r="D596" s="44" t="s">
        <v>16123</v>
      </c>
      <c r="E596" s="44"/>
      <c r="F596" s="44"/>
      <c r="G596" s="44" t="s">
        <v>14882</v>
      </c>
      <c r="H596" s="44" t="s">
        <v>14872</v>
      </c>
      <c r="I596" s="44" t="s">
        <v>14883</v>
      </c>
      <c r="J596" s="44" t="s">
        <v>14874</v>
      </c>
      <c r="K596" s="44" t="s">
        <v>14875</v>
      </c>
      <c r="L596" s="44" t="s">
        <v>8890</v>
      </c>
      <c r="M596" s="44" t="s">
        <v>14876</v>
      </c>
    </row>
    <row r="597" customFormat="false" ht="22.35" hidden="false" customHeight="false" outlineLevel="0" collapsed="false">
      <c r="A597" s="44" t="s">
        <v>16124</v>
      </c>
      <c r="B597" s="44" t="s">
        <v>8885</v>
      </c>
      <c r="C597" s="44" t="s">
        <v>8886</v>
      </c>
      <c r="D597" s="44" t="s">
        <v>16125</v>
      </c>
      <c r="E597" s="44" t="s">
        <v>192</v>
      </c>
      <c r="F597" s="44" t="s">
        <v>55</v>
      </c>
      <c r="G597" s="44" t="s">
        <v>14871</v>
      </c>
      <c r="H597" s="44" t="s">
        <v>14872</v>
      </c>
      <c r="I597" s="44" t="s">
        <v>14886</v>
      </c>
      <c r="J597" s="44" t="s">
        <v>14874</v>
      </c>
      <c r="K597" s="44" t="s">
        <v>14875</v>
      </c>
      <c r="L597" s="44" t="s">
        <v>8890</v>
      </c>
      <c r="M597" s="44" t="s">
        <v>14876</v>
      </c>
    </row>
    <row r="598" customFormat="false" ht="22.35" hidden="false" customHeight="false" outlineLevel="0" collapsed="false">
      <c r="A598" s="44" t="s">
        <v>16126</v>
      </c>
      <c r="B598" s="44" t="s">
        <v>8891</v>
      </c>
      <c r="C598" s="44" t="s">
        <v>8892</v>
      </c>
      <c r="D598" s="44" t="s">
        <v>16127</v>
      </c>
      <c r="E598" s="44"/>
      <c r="F598" s="44"/>
      <c r="G598" s="44" t="s">
        <v>14882</v>
      </c>
      <c r="H598" s="44" t="s">
        <v>14872</v>
      </c>
      <c r="I598" s="44" t="s">
        <v>14883</v>
      </c>
      <c r="J598" s="44" t="s">
        <v>14874</v>
      </c>
      <c r="K598" s="44" t="s">
        <v>14875</v>
      </c>
      <c r="L598" s="44" t="s">
        <v>8896</v>
      </c>
      <c r="M598" s="44" t="s">
        <v>14876</v>
      </c>
    </row>
    <row r="599" customFormat="false" ht="22.35" hidden="false" customHeight="false" outlineLevel="0" collapsed="false">
      <c r="A599" s="44" t="s">
        <v>16128</v>
      </c>
      <c r="B599" s="44" t="s">
        <v>8891</v>
      </c>
      <c r="C599" s="44" t="s">
        <v>8892</v>
      </c>
      <c r="D599" s="44" t="s">
        <v>16129</v>
      </c>
      <c r="E599" s="44"/>
      <c r="F599" s="44"/>
      <c r="G599" s="44" t="s">
        <v>14882</v>
      </c>
      <c r="H599" s="44" t="s">
        <v>14872</v>
      </c>
      <c r="I599" s="44" t="s">
        <v>14883</v>
      </c>
      <c r="J599" s="44" t="s">
        <v>14874</v>
      </c>
      <c r="K599" s="44" t="s">
        <v>14875</v>
      </c>
      <c r="L599" s="44" t="s">
        <v>8896</v>
      </c>
      <c r="M599" s="44" t="s">
        <v>14876</v>
      </c>
    </row>
    <row r="600" customFormat="false" ht="22.35" hidden="false" customHeight="false" outlineLevel="0" collapsed="false">
      <c r="A600" s="44" t="s">
        <v>16130</v>
      </c>
      <c r="B600" s="44" t="s">
        <v>8891</v>
      </c>
      <c r="C600" s="44" t="s">
        <v>8892</v>
      </c>
      <c r="D600" s="44" t="s">
        <v>16131</v>
      </c>
      <c r="E600" s="44" t="s">
        <v>200</v>
      </c>
      <c r="F600" s="44" t="s">
        <v>201</v>
      </c>
      <c r="G600" s="44" t="s">
        <v>14871</v>
      </c>
      <c r="H600" s="44" t="s">
        <v>14872</v>
      </c>
      <c r="I600" s="44" t="s">
        <v>14886</v>
      </c>
      <c r="J600" s="44" t="s">
        <v>14874</v>
      </c>
      <c r="K600" s="44" t="s">
        <v>14875</v>
      </c>
      <c r="L600" s="44" t="s">
        <v>8896</v>
      </c>
      <c r="M600" s="44" t="s">
        <v>14876</v>
      </c>
    </row>
    <row r="601" customFormat="false" ht="22.35" hidden="false" customHeight="false" outlineLevel="0" collapsed="false">
      <c r="A601" s="44" t="s">
        <v>16132</v>
      </c>
      <c r="B601" s="44" t="s">
        <v>8891</v>
      </c>
      <c r="C601" s="44" t="s">
        <v>8892</v>
      </c>
      <c r="D601" s="44" t="s">
        <v>16133</v>
      </c>
      <c r="E601" s="44"/>
      <c r="F601" s="44"/>
      <c r="G601" s="44" t="s">
        <v>14882</v>
      </c>
      <c r="H601" s="44" t="s">
        <v>14872</v>
      </c>
      <c r="I601" s="44" t="s">
        <v>14883</v>
      </c>
      <c r="J601" s="44" t="s">
        <v>14874</v>
      </c>
      <c r="K601" s="44" t="s">
        <v>14875</v>
      </c>
      <c r="L601" s="44" t="s">
        <v>8896</v>
      </c>
      <c r="M601" s="44" t="s">
        <v>14876</v>
      </c>
    </row>
    <row r="602" customFormat="false" ht="22.35" hidden="false" customHeight="false" outlineLevel="0" collapsed="false">
      <c r="A602" s="44" t="s">
        <v>16134</v>
      </c>
      <c r="B602" s="44" t="s">
        <v>8891</v>
      </c>
      <c r="C602" s="44" t="s">
        <v>8892</v>
      </c>
      <c r="D602" s="44" t="s">
        <v>16135</v>
      </c>
      <c r="E602" s="44"/>
      <c r="F602" s="44"/>
      <c r="G602" s="44" t="s">
        <v>14882</v>
      </c>
      <c r="H602" s="44" t="s">
        <v>14872</v>
      </c>
      <c r="I602" s="44" t="s">
        <v>14883</v>
      </c>
      <c r="J602" s="44" t="s">
        <v>14874</v>
      </c>
      <c r="K602" s="44" t="s">
        <v>14875</v>
      </c>
      <c r="L602" s="44" t="s">
        <v>8896</v>
      </c>
      <c r="M602" s="44" t="s">
        <v>14876</v>
      </c>
    </row>
    <row r="603" customFormat="false" ht="22.35" hidden="false" customHeight="false" outlineLevel="0" collapsed="false">
      <c r="A603" s="44" t="s">
        <v>16136</v>
      </c>
      <c r="B603" s="44" t="s">
        <v>8897</v>
      </c>
      <c r="C603" s="44" t="s">
        <v>8898</v>
      </c>
      <c r="D603" s="44" t="s">
        <v>16137</v>
      </c>
      <c r="E603" s="44" t="s">
        <v>3144</v>
      </c>
      <c r="F603" s="44" t="s">
        <v>3145</v>
      </c>
      <c r="G603" s="44" t="s">
        <v>14871</v>
      </c>
      <c r="H603" s="44" t="s">
        <v>14872</v>
      </c>
      <c r="I603" s="44" t="s">
        <v>14873</v>
      </c>
      <c r="J603" s="44" t="s">
        <v>14874</v>
      </c>
      <c r="K603" s="44" t="s">
        <v>14875</v>
      </c>
      <c r="L603" s="44" t="s">
        <v>8904</v>
      </c>
      <c r="M603" s="44" t="s">
        <v>14876</v>
      </c>
    </row>
    <row r="604" customFormat="false" ht="22.35" hidden="false" customHeight="false" outlineLevel="0" collapsed="false">
      <c r="A604" s="44" t="s">
        <v>16138</v>
      </c>
      <c r="B604" s="44" t="s">
        <v>8897</v>
      </c>
      <c r="C604" s="44" t="s">
        <v>8898</v>
      </c>
      <c r="D604" s="44" t="s">
        <v>16139</v>
      </c>
      <c r="E604" s="44"/>
      <c r="F604" s="44"/>
      <c r="G604" s="44" t="s">
        <v>14882</v>
      </c>
      <c r="H604" s="44" t="s">
        <v>14872</v>
      </c>
      <c r="I604" s="44" t="s">
        <v>14883</v>
      </c>
      <c r="J604" s="44" t="s">
        <v>14874</v>
      </c>
      <c r="K604" s="44" t="s">
        <v>14875</v>
      </c>
      <c r="L604" s="44" t="s">
        <v>8904</v>
      </c>
      <c r="M604" s="44" t="s">
        <v>14876</v>
      </c>
    </row>
    <row r="605" customFormat="false" ht="22.35" hidden="false" customHeight="false" outlineLevel="0" collapsed="false">
      <c r="A605" s="44" t="s">
        <v>16140</v>
      </c>
      <c r="B605" s="44" t="s">
        <v>8897</v>
      </c>
      <c r="C605" s="44" t="s">
        <v>8898</v>
      </c>
      <c r="D605" s="44" t="s">
        <v>16141</v>
      </c>
      <c r="E605" s="44" t="s">
        <v>3251</v>
      </c>
      <c r="F605" s="44" t="s">
        <v>3252</v>
      </c>
      <c r="G605" s="44" t="s">
        <v>14871</v>
      </c>
      <c r="H605" s="44" t="s">
        <v>14872</v>
      </c>
      <c r="I605" s="44" t="s">
        <v>14886</v>
      </c>
      <c r="J605" s="44" t="s">
        <v>14874</v>
      </c>
      <c r="K605" s="44" t="s">
        <v>14875</v>
      </c>
      <c r="L605" s="44" t="s">
        <v>8904</v>
      </c>
      <c r="M605" s="44" t="s">
        <v>14876</v>
      </c>
    </row>
    <row r="606" customFormat="false" ht="22.35" hidden="false" customHeight="false" outlineLevel="0" collapsed="false">
      <c r="A606" s="44" t="s">
        <v>16142</v>
      </c>
      <c r="B606" s="44" t="s">
        <v>8897</v>
      </c>
      <c r="C606" s="44" t="s">
        <v>8898</v>
      </c>
      <c r="D606" s="44" t="s">
        <v>16143</v>
      </c>
      <c r="E606" s="44" t="s">
        <v>200</v>
      </c>
      <c r="F606" s="44" t="s">
        <v>201</v>
      </c>
      <c r="G606" s="44" t="s">
        <v>14871</v>
      </c>
      <c r="H606" s="44" t="s">
        <v>14872</v>
      </c>
      <c r="I606" s="44" t="s">
        <v>14886</v>
      </c>
      <c r="J606" s="44" t="s">
        <v>14874</v>
      </c>
      <c r="K606" s="44" t="s">
        <v>14875</v>
      </c>
      <c r="L606" s="44" t="s">
        <v>8904</v>
      </c>
      <c r="M606" s="44" t="s">
        <v>14876</v>
      </c>
    </row>
    <row r="607" customFormat="false" ht="22.35" hidden="false" customHeight="false" outlineLevel="0" collapsed="false">
      <c r="A607" s="44" t="s">
        <v>16144</v>
      </c>
      <c r="B607" s="44" t="s">
        <v>8897</v>
      </c>
      <c r="C607" s="44" t="s">
        <v>8898</v>
      </c>
      <c r="D607" s="44" t="s">
        <v>16145</v>
      </c>
      <c r="E607" s="44" t="s">
        <v>180</v>
      </c>
      <c r="F607" s="44" t="s">
        <v>47</v>
      </c>
      <c r="G607" s="44" t="s">
        <v>14871</v>
      </c>
      <c r="H607" s="44" t="s">
        <v>14872</v>
      </c>
      <c r="I607" s="44" t="s">
        <v>14886</v>
      </c>
      <c r="J607" s="44" t="s">
        <v>14874</v>
      </c>
      <c r="K607" s="44" t="s">
        <v>14875</v>
      </c>
      <c r="L607" s="44" t="s">
        <v>8904</v>
      </c>
      <c r="M607" s="44" t="s">
        <v>14876</v>
      </c>
    </row>
    <row r="608" customFormat="false" ht="22.35" hidden="false" customHeight="false" outlineLevel="0" collapsed="false">
      <c r="A608" s="44" t="s">
        <v>16146</v>
      </c>
      <c r="B608" s="44" t="s">
        <v>8897</v>
      </c>
      <c r="C608" s="44" t="s">
        <v>8898</v>
      </c>
      <c r="D608" s="44" t="s">
        <v>16147</v>
      </c>
      <c r="E608" s="44" t="s">
        <v>196</v>
      </c>
      <c r="F608" s="44" t="s">
        <v>59</v>
      </c>
      <c r="G608" s="44" t="s">
        <v>14871</v>
      </c>
      <c r="H608" s="44" t="s">
        <v>14872</v>
      </c>
      <c r="I608" s="44" t="s">
        <v>14886</v>
      </c>
      <c r="J608" s="44" t="s">
        <v>14874</v>
      </c>
      <c r="K608" s="44" t="s">
        <v>14875</v>
      </c>
      <c r="L608" s="44" t="s">
        <v>8904</v>
      </c>
      <c r="M608" s="44" t="s">
        <v>14876</v>
      </c>
    </row>
    <row r="609" customFormat="false" ht="22.35" hidden="false" customHeight="false" outlineLevel="0" collapsed="false">
      <c r="A609" s="44" t="s">
        <v>16148</v>
      </c>
      <c r="B609" s="44" t="s">
        <v>8905</v>
      </c>
      <c r="C609" s="44" t="s">
        <v>8906</v>
      </c>
      <c r="D609" s="44" t="s">
        <v>16149</v>
      </c>
      <c r="E609" s="44" t="s">
        <v>4895</v>
      </c>
      <c r="F609" s="44" t="s">
        <v>4896</v>
      </c>
      <c r="G609" s="44" t="s">
        <v>14871</v>
      </c>
      <c r="H609" s="44" t="s">
        <v>14872</v>
      </c>
      <c r="I609" s="44" t="s">
        <v>14886</v>
      </c>
      <c r="J609" s="44" t="s">
        <v>14874</v>
      </c>
      <c r="K609" s="44" t="s">
        <v>14875</v>
      </c>
      <c r="L609" s="44" t="s">
        <v>8910</v>
      </c>
      <c r="M609" s="44" t="s">
        <v>14876</v>
      </c>
    </row>
    <row r="610" customFormat="false" ht="22.35" hidden="false" customHeight="false" outlineLevel="0" collapsed="false">
      <c r="A610" s="44" t="s">
        <v>16150</v>
      </c>
      <c r="B610" s="44" t="s">
        <v>8905</v>
      </c>
      <c r="C610" s="44" t="s">
        <v>8906</v>
      </c>
      <c r="D610" s="44" t="s">
        <v>16151</v>
      </c>
      <c r="E610" s="44"/>
      <c r="F610" s="44"/>
      <c r="G610" s="44" t="s">
        <v>14882</v>
      </c>
      <c r="H610" s="44" t="s">
        <v>14872</v>
      </c>
      <c r="I610" s="44" t="s">
        <v>14883</v>
      </c>
      <c r="J610" s="44" t="s">
        <v>14874</v>
      </c>
      <c r="K610" s="44" t="s">
        <v>14875</v>
      </c>
      <c r="L610" s="44" t="s">
        <v>8910</v>
      </c>
      <c r="M610" s="44" t="s">
        <v>14876</v>
      </c>
    </row>
    <row r="611" customFormat="false" ht="22.35" hidden="false" customHeight="false" outlineLevel="0" collapsed="false">
      <c r="A611" s="44" t="s">
        <v>16152</v>
      </c>
      <c r="B611" s="44" t="s">
        <v>8905</v>
      </c>
      <c r="C611" s="44" t="s">
        <v>8906</v>
      </c>
      <c r="D611" s="44" t="s">
        <v>16153</v>
      </c>
      <c r="E611" s="44"/>
      <c r="F611" s="44"/>
      <c r="G611" s="44" t="s">
        <v>14882</v>
      </c>
      <c r="H611" s="44" t="s">
        <v>14872</v>
      </c>
      <c r="I611" s="44" t="s">
        <v>14883</v>
      </c>
      <c r="J611" s="44" t="s">
        <v>14874</v>
      </c>
      <c r="K611" s="44" t="s">
        <v>14875</v>
      </c>
      <c r="L611" s="44" t="s">
        <v>8910</v>
      </c>
      <c r="M611" s="44" t="s">
        <v>14876</v>
      </c>
    </row>
    <row r="612" customFormat="false" ht="22.35" hidden="false" customHeight="false" outlineLevel="0" collapsed="false">
      <c r="A612" s="44" t="s">
        <v>16154</v>
      </c>
      <c r="B612" s="44" t="s">
        <v>8905</v>
      </c>
      <c r="C612" s="44" t="s">
        <v>8906</v>
      </c>
      <c r="D612" s="44" t="s">
        <v>16155</v>
      </c>
      <c r="E612" s="44"/>
      <c r="F612" s="44"/>
      <c r="G612" s="44" t="s">
        <v>14882</v>
      </c>
      <c r="H612" s="44" t="s">
        <v>14872</v>
      </c>
      <c r="I612" s="44" t="s">
        <v>14883</v>
      </c>
      <c r="J612" s="44" t="s">
        <v>14874</v>
      </c>
      <c r="K612" s="44" t="s">
        <v>14875</v>
      </c>
      <c r="L612" s="44" t="s">
        <v>8910</v>
      </c>
      <c r="M612" s="44" t="s">
        <v>14876</v>
      </c>
    </row>
    <row r="613" customFormat="false" ht="22.35" hidden="false" customHeight="false" outlineLevel="0" collapsed="false">
      <c r="A613" s="44" t="s">
        <v>16156</v>
      </c>
      <c r="B613" s="44" t="s">
        <v>8905</v>
      </c>
      <c r="C613" s="44" t="s">
        <v>8906</v>
      </c>
      <c r="D613" s="44" t="s">
        <v>16157</v>
      </c>
      <c r="E613" s="44"/>
      <c r="F613" s="44"/>
      <c r="G613" s="44" t="s">
        <v>14882</v>
      </c>
      <c r="H613" s="44" t="s">
        <v>14872</v>
      </c>
      <c r="I613" s="44" t="s">
        <v>14883</v>
      </c>
      <c r="J613" s="44" t="s">
        <v>14874</v>
      </c>
      <c r="K613" s="44" t="s">
        <v>14875</v>
      </c>
      <c r="L613" s="44" t="s">
        <v>8910</v>
      </c>
      <c r="M613" s="44" t="s">
        <v>14876</v>
      </c>
    </row>
    <row r="614" customFormat="false" ht="22.35" hidden="false" customHeight="false" outlineLevel="0" collapsed="false">
      <c r="A614" s="44" t="s">
        <v>16158</v>
      </c>
      <c r="B614" s="44" t="s">
        <v>8911</v>
      </c>
      <c r="C614" s="44" t="s">
        <v>8912</v>
      </c>
      <c r="D614" s="44" t="s">
        <v>16159</v>
      </c>
      <c r="E614" s="44" t="s">
        <v>16160</v>
      </c>
      <c r="F614" s="44" t="s">
        <v>16161</v>
      </c>
      <c r="G614" s="44" t="s">
        <v>14871</v>
      </c>
      <c r="H614" s="44" t="s">
        <v>14872</v>
      </c>
      <c r="I614" s="44" t="s">
        <v>14886</v>
      </c>
      <c r="J614" s="44" t="s">
        <v>14874</v>
      </c>
      <c r="K614" s="44" t="s">
        <v>14875</v>
      </c>
      <c r="L614" s="44" t="s">
        <v>8917</v>
      </c>
      <c r="M614" s="44" t="s">
        <v>14876</v>
      </c>
    </row>
    <row r="615" customFormat="false" ht="22.35" hidden="false" customHeight="false" outlineLevel="0" collapsed="false">
      <c r="A615" s="44" t="s">
        <v>16162</v>
      </c>
      <c r="B615" s="44" t="s">
        <v>8911</v>
      </c>
      <c r="C615" s="44" t="s">
        <v>8912</v>
      </c>
      <c r="D615" s="44" t="s">
        <v>16163</v>
      </c>
      <c r="E615" s="44"/>
      <c r="F615" s="44"/>
      <c r="G615" s="44" t="s">
        <v>14882</v>
      </c>
      <c r="H615" s="44" t="s">
        <v>14872</v>
      </c>
      <c r="I615" s="44" t="s">
        <v>14883</v>
      </c>
      <c r="J615" s="44" t="s">
        <v>14874</v>
      </c>
      <c r="K615" s="44" t="s">
        <v>14875</v>
      </c>
      <c r="L615" s="44" t="s">
        <v>8917</v>
      </c>
      <c r="M615" s="44" t="s">
        <v>14876</v>
      </c>
    </row>
    <row r="616" customFormat="false" ht="22.35" hidden="false" customHeight="false" outlineLevel="0" collapsed="false">
      <c r="A616" s="44" t="s">
        <v>16164</v>
      </c>
      <c r="B616" s="44" t="s">
        <v>8911</v>
      </c>
      <c r="C616" s="44" t="s">
        <v>8912</v>
      </c>
      <c r="D616" s="44" t="s">
        <v>16165</v>
      </c>
      <c r="E616" s="44"/>
      <c r="F616" s="44"/>
      <c r="G616" s="44" t="s">
        <v>14882</v>
      </c>
      <c r="H616" s="44" t="s">
        <v>14872</v>
      </c>
      <c r="I616" s="44" t="s">
        <v>14883</v>
      </c>
      <c r="J616" s="44" t="s">
        <v>14874</v>
      </c>
      <c r="K616" s="44" t="s">
        <v>14875</v>
      </c>
      <c r="L616" s="44" t="s">
        <v>8917</v>
      </c>
      <c r="M616" s="44" t="s">
        <v>14876</v>
      </c>
    </row>
    <row r="617" customFormat="false" ht="22.35" hidden="false" customHeight="false" outlineLevel="0" collapsed="false">
      <c r="A617" s="44" t="s">
        <v>16166</v>
      </c>
      <c r="B617" s="44" t="s">
        <v>8911</v>
      </c>
      <c r="C617" s="44" t="s">
        <v>8912</v>
      </c>
      <c r="D617" s="44" t="s">
        <v>16167</v>
      </c>
      <c r="E617" s="44"/>
      <c r="F617" s="44"/>
      <c r="G617" s="44" t="s">
        <v>14882</v>
      </c>
      <c r="H617" s="44" t="s">
        <v>14872</v>
      </c>
      <c r="I617" s="44" t="s">
        <v>14883</v>
      </c>
      <c r="J617" s="44" t="s">
        <v>14874</v>
      </c>
      <c r="K617" s="44" t="s">
        <v>14875</v>
      </c>
      <c r="L617" s="44" t="s">
        <v>8917</v>
      </c>
      <c r="M617" s="44" t="s">
        <v>14876</v>
      </c>
    </row>
    <row r="618" customFormat="false" ht="22.35" hidden="false" customHeight="false" outlineLevel="0" collapsed="false">
      <c r="A618" s="44" t="s">
        <v>16168</v>
      </c>
      <c r="B618" s="44" t="s">
        <v>8911</v>
      </c>
      <c r="C618" s="44" t="s">
        <v>8912</v>
      </c>
      <c r="D618" s="44" t="s">
        <v>16169</v>
      </c>
      <c r="E618" s="44"/>
      <c r="F618" s="44"/>
      <c r="G618" s="44" t="s">
        <v>14882</v>
      </c>
      <c r="H618" s="44" t="s">
        <v>14872</v>
      </c>
      <c r="I618" s="44" t="s">
        <v>14883</v>
      </c>
      <c r="J618" s="44" t="s">
        <v>14874</v>
      </c>
      <c r="K618" s="44" t="s">
        <v>14875</v>
      </c>
      <c r="L618" s="44" t="s">
        <v>8917</v>
      </c>
      <c r="M618" s="44" t="s">
        <v>14876</v>
      </c>
    </row>
    <row r="619" customFormat="false" ht="22.35" hidden="false" customHeight="false" outlineLevel="0" collapsed="false">
      <c r="A619" s="44" t="s">
        <v>16170</v>
      </c>
      <c r="B619" s="44" t="s">
        <v>8918</v>
      </c>
      <c r="C619" s="44" t="s">
        <v>8919</v>
      </c>
      <c r="D619" s="44" t="s">
        <v>16171</v>
      </c>
      <c r="E619" s="44"/>
      <c r="F619" s="44"/>
      <c r="G619" s="44" t="s">
        <v>14882</v>
      </c>
      <c r="H619" s="44" t="s">
        <v>14872</v>
      </c>
      <c r="I619" s="44" t="s">
        <v>14883</v>
      </c>
      <c r="J619" s="44" t="s">
        <v>14874</v>
      </c>
      <c r="K619" s="44" t="s">
        <v>14875</v>
      </c>
      <c r="L619" s="44" t="s">
        <v>8924</v>
      </c>
      <c r="M619" s="44" t="s">
        <v>14876</v>
      </c>
    </row>
    <row r="620" customFormat="false" ht="22.35" hidden="false" customHeight="false" outlineLevel="0" collapsed="false">
      <c r="A620" s="44" t="s">
        <v>16172</v>
      </c>
      <c r="B620" s="44" t="s">
        <v>8918</v>
      </c>
      <c r="C620" s="44" t="s">
        <v>8919</v>
      </c>
      <c r="D620" s="44" t="s">
        <v>16173</v>
      </c>
      <c r="E620" s="44"/>
      <c r="F620" s="44"/>
      <c r="G620" s="44" t="s">
        <v>14882</v>
      </c>
      <c r="H620" s="44" t="s">
        <v>14872</v>
      </c>
      <c r="I620" s="44" t="s">
        <v>14883</v>
      </c>
      <c r="J620" s="44" t="s">
        <v>14874</v>
      </c>
      <c r="K620" s="44" t="s">
        <v>14875</v>
      </c>
      <c r="L620" s="44" t="s">
        <v>8924</v>
      </c>
      <c r="M620" s="44" t="s">
        <v>14876</v>
      </c>
    </row>
    <row r="621" customFormat="false" ht="22.35" hidden="false" customHeight="false" outlineLevel="0" collapsed="false">
      <c r="A621" s="44" t="s">
        <v>16174</v>
      </c>
      <c r="B621" s="44" t="s">
        <v>8918</v>
      </c>
      <c r="C621" s="44" t="s">
        <v>8919</v>
      </c>
      <c r="D621" s="44" t="s">
        <v>16175</v>
      </c>
      <c r="E621" s="44"/>
      <c r="F621" s="44"/>
      <c r="G621" s="44" t="s">
        <v>14882</v>
      </c>
      <c r="H621" s="44" t="s">
        <v>14872</v>
      </c>
      <c r="I621" s="44" t="s">
        <v>14883</v>
      </c>
      <c r="J621" s="44" t="s">
        <v>14874</v>
      </c>
      <c r="K621" s="44" t="s">
        <v>14875</v>
      </c>
      <c r="L621" s="44" t="s">
        <v>8924</v>
      </c>
      <c r="M621" s="44" t="s">
        <v>14876</v>
      </c>
    </row>
    <row r="622" customFormat="false" ht="22.35" hidden="false" customHeight="false" outlineLevel="0" collapsed="false">
      <c r="A622" s="44" t="s">
        <v>16176</v>
      </c>
      <c r="B622" s="44" t="s">
        <v>8918</v>
      </c>
      <c r="C622" s="44" t="s">
        <v>8919</v>
      </c>
      <c r="D622" s="44" t="s">
        <v>15896</v>
      </c>
      <c r="E622" s="44" t="s">
        <v>192</v>
      </c>
      <c r="F622" s="44" t="s">
        <v>55</v>
      </c>
      <c r="G622" s="44" t="s">
        <v>14871</v>
      </c>
      <c r="H622" s="44" t="s">
        <v>14872</v>
      </c>
      <c r="I622" s="44" t="s">
        <v>14886</v>
      </c>
      <c r="J622" s="44" t="s">
        <v>14874</v>
      </c>
      <c r="K622" s="44" t="s">
        <v>14875</v>
      </c>
      <c r="L622" s="44" t="s">
        <v>8924</v>
      </c>
      <c r="M622" s="44" t="s">
        <v>14876</v>
      </c>
    </row>
    <row r="623" customFormat="false" ht="22.35" hidden="false" customHeight="false" outlineLevel="0" collapsed="false">
      <c r="A623" s="44" t="s">
        <v>16177</v>
      </c>
      <c r="B623" s="44" t="s">
        <v>8918</v>
      </c>
      <c r="C623" s="44" t="s">
        <v>8919</v>
      </c>
      <c r="D623" s="44" t="s">
        <v>16178</v>
      </c>
      <c r="E623" s="44"/>
      <c r="F623" s="44"/>
      <c r="G623" s="44" t="s">
        <v>14882</v>
      </c>
      <c r="H623" s="44" t="s">
        <v>14872</v>
      </c>
      <c r="I623" s="44" t="s">
        <v>14883</v>
      </c>
      <c r="J623" s="44" t="s">
        <v>14874</v>
      </c>
      <c r="K623" s="44" t="s">
        <v>14875</v>
      </c>
      <c r="L623" s="44" t="s">
        <v>8924</v>
      </c>
      <c r="M623" s="44" t="s">
        <v>14876</v>
      </c>
    </row>
    <row r="624" customFormat="false" ht="22.35" hidden="false" customHeight="false" outlineLevel="0" collapsed="false">
      <c r="A624" s="44" t="s">
        <v>16179</v>
      </c>
      <c r="B624" s="44" t="s">
        <v>8925</v>
      </c>
      <c r="C624" s="44" t="s">
        <v>8926</v>
      </c>
      <c r="D624" s="44" t="s">
        <v>16180</v>
      </c>
      <c r="E624" s="44" t="s">
        <v>15879</v>
      </c>
      <c r="F624" s="44" t="s">
        <v>15880</v>
      </c>
      <c r="G624" s="44" t="s">
        <v>14871</v>
      </c>
      <c r="H624" s="44" t="s">
        <v>14872</v>
      </c>
      <c r="I624" s="44" t="s">
        <v>14886</v>
      </c>
      <c r="J624" s="44" t="s">
        <v>14874</v>
      </c>
      <c r="K624" s="44" t="s">
        <v>14875</v>
      </c>
      <c r="L624" s="44" t="s">
        <v>8931</v>
      </c>
      <c r="M624" s="44" t="s">
        <v>14876</v>
      </c>
    </row>
    <row r="625" customFormat="false" ht="22.35" hidden="false" customHeight="false" outlineLevel="0" collapsed="false">
      <c r="A625" s="44" t="s">
        <v>16181</v>
      </c>
      <c r="B625" s="44" t="s">
        <v>8925</v>
      </c>
      <c r="C625" s="44" t="s">
        <v>8926</v>
      </c>
      <c r="D625" s="44" t="s">
        <v>16182</v>
      </c>
      <c r="E625" s="44"/>
      <c r="F625" s="44"/>
      <c r="G625" s="44" t="s">
        <v>14882</v>
      </c>
      <c r="H625" s="44" t="s">
        <v>14872</v>
      </c>
      <c r="I625" s="44" t="s">
        <v>14883</v>
      </c>
      <c r="J625" s="44" t="s">
        <v>14874</v>
      </c>
      <c r="K625" s="44" t="s">
        <v>14875</v>
      </c>
      <c r="L625" s="44" t="s">
        <v>8931</v>
      </c>
      <c r="M625" s="44" t="s">
        <v>14876</v>
      </c>
    </row>
    <row r="626" customFormat="false" ht="22.35" hidden="false" customHeight="false" outlineLevel="0" collapsed="false">
      <c r="A626" s="44" t="s">
        <v>16183</v>
      </c>
      <c r="B626" s="44" t="s">
        <v>8925</v>
      </c>
      <c r="C626" s="44" t="s">
        <v>8926</v>
      </c>
      <c r="D626" s="44" t="s">
        <v>16184</v>
      </c>
      <c r="E626" s="44" t="s">
        <v>1083</v>
      </c>
      <c r="F626" s="44" t="s">
        <v>1084</v>
      </c>
      <c r="G626" s="44" t="s">
        <v>14871</v>
      </c>
      <c r="H626" s="44" t="s">
        <v>14872</v>
      </c>
      <c r="I626" s="44" t="s">
        <v>14879</v>
      </c>
      <c r="J626" s="44" t="s">
        <v>14874</v>
      </c>
      <c r="K626" s="44" t="s">
        <v>14875</v>
      </c>
      <c r="L626" s="44" t="s">
        <v>8931</v>
      </c>
      <c r="M626" s="44" t="s">
        <v>14876</v>
      </c>
    </row>
    <row r="627" customFormat="false" ht="22.35" hidden="false" customHeight="false" outlineLevel="0" collapsed="false">
      <c r="A627" s="44" t="s">
        <v>16185</v>
      </c>
      <c r="B627" s="44" t="s">
        <v>8932</v>
      </c>
      <c r="C627" s="44" t="s">
        <v>8933</v>
      </c>
      <c r="D627" s="44" t="s">
        <v>16186</v>
      </c>
      <c r="E627" s="44" t="s">
        <v>16187</v>
      </c>
      <c r="F627" s="44" t="s">
        <v>16188</v>
      </c>
      <c r="G627" s="44" t="s">
        <v>14871</v>
      </c>
      <c r="H627" s="44" t="s">
        <v>14872</v>
      </c>
      <c r="I627" s="44" t="s">
        <v>14886</v>
      </c>
      <c r="J627" s="44" t="s">
        <v>14874</v>
      </c>
      <c r="K627" s="44" t="s">
        <v>14875</v>
      </c>
      <c r="L627" s="44" t="s">
        <v>8939</v>
      </c>
      <c r="M627" s="44" t="s">
        <v>14876</v>
      </c>
    </row>
    <row r="628" customFormat="false" ht="22.35" hidden="false" customHeight="false" outlineLevel="0" collapsed="false">
      <c r="A628" s="44" t="s">
        <v>16189</v>
      </c>
      <c r="B628" s="44" t="s">
        <v>8932</v>
      </c>
      <c r="C628" s="44" t="s">
        <v>8933</v>
      </c>
      <c r="D628" s="44" t="s">
        <v>16190</v>
      </c>
      <c r="E628" s="44"/>
      <c r="F628" s="44"/>
      <c r="G628" s="44" t="s">
        <v>14882</v>
      </c>
      <c r="H628" s="44" t="s">
        <v>14872</v>
      </c>
      <c r="I628" s="44" t="s">
        <v>14883</v>
      </c>
      <c r="J628" s="44" t="s">
        <v>14874</v>
      </c>
      <c r="K628" s="44" t="s">
        <v>14875</v>
      </c>
      <c r="L628" s="44" t="s">
        <v>8939</v>
      </c>
      <c r="M628" s="44" t="s">
        <v>14876</v>
      </c>
    </row>
    <row r="629" customFormat="false" ht="22.35" hidden="false" customHeight="false" outlineLevel="0" collapsed="false">
      <c r="A629" s="44" t="s">
        <v>16191</v>
      </c>
      <c r="B629" s="44" t="s">
        <v>8932</v>
      </c>
      <c r="C629" s="44" t="s">
        <v>8933</v>
      </c>
      <c r="D629" s="44" t="s">
        <v>16192</v>
      </c>
      <c r="E629" s="44"/>
      <c r="F629" s="44"/>
      <c r="G629" s="44" t="s">
        <v>14882</v>
      </c>
      <c r="H629" s="44" t="s">
        <v>14872</v>
      </c>
      <c r="I629" s="44" t="s">
        <v>14883</v>
      </c>
      <c r="J629" s="44" t="s">
        <v>14874</v>
      </c>
      <c r="K629" s="44" t="s">
        <v>14875</v>
      </c>
      <c r="L629" s="44" t="s">
        <v>8939</v>
      </c>
      <c r="M629" s="44" t="s">
        <v>14876</v>
      </c>
    </row>
    <row r="630" customFormat="false" ht="22.35" hidden="false" customHeight="false" outlineLevel="0" collapsed="false">
      <c r="A630" s="44" t="s">
        <v>16193</v>
      </c>
      <c r="B630" s="44" t="s">
        <v>8932</v>
      </c>
      <c r="C630" s="44" t="s">
        <v>8933</v>
      </c>
      <c r="D630" s="44" t="s">
        <v>16194</v>
      </c>
      <c r="E630" s="44" t="s">
        <v>16195</v>
      </c>
      <c r="F630" s="44" t="s">
        <v>16196</v>
      </c>
      <c r="G630" s="44" t="s">
        <v>14871</v>
      </c>
      <c r="H630" s="44" t="s">
        <v>14872</v>
      </c>
      <c r="I630" s="44" t="s">
        <v>14886</v>
      </c>
      <c r="J630" s="44" t="s">
        <v>14874</v>
      </c>
      <c r="K630" s="44" t="s">
        <v>14875</v>
      </c>
      <c r="L630" s="44" t="s">
        <v>8939</v>
      </c>
      <c r="M630" s="44" t="s">
        <v>14876</v>
      </c>
    </row>
    <row r="631" customFormat="false" ht="22.35" hidden="false" customHeight="false" outlineLevel="0" collapsed="false">
      <c r="A631" s="44" t="s">
        <v>16197</v>
      </c>
      <c r="B631" s="44" t="s">
        <v>8940</v>
      </c>
      <c r="C631" s="44" t="s">
        <v>8941</v>
      </c>
      <c r="D631" s="44" t="s">
        <v>16198</v>
      </c>
      <c r="E631" s="44" t="s">
        <v>940</v>
      </c>
      <c r="F631" s="44" t="s">
        <v>941</v>
      </c>
      <c r="G631" s="44" t="s">
        <v>14871</v>
      </c>
      <c r="H631" s="44" t="s">
        <v>14872</v>
      </c>
      <c r="I631" s="44" t="s">
        <v>14879</v>
      </c>
      <c r="J631" s="44" t="s">
        <v>14874</v>
      </c>
      <c r="K631" s="44" t="s">
        <v>14875</v>
      </c>
      <c r="L631" s="44" t="s">
        <v>8946</v>
      </c>
      <c r="M631" s="44" t="s">
        <v>14876</v>
      </c>
    </row>
    <row r="632" customFormat="false" ht="22.35" hidden="false" customHeight="false" outlineLevel="0" collapsed="false">
      <c r="A632" s="44" t="s">
        <v>16199</v>
      </c>
      <c r="B632" s="44" t="s">
        <v>8940</v>
      </c>
      <c r="C632" s="44" t="s">
        <v>8941</v>
      </c>
      <c r="D632" s="44" t="s">
        <v>16200</v>
      </c>
      <c r="E632" s="44" t="s">
        <v>259</v>
      </c>
      <c r="F632" s="44" t="s">
        <v>260</v>
      </c>
      <c r="G632" s="44" t="s">
        <v>14871</v>
      </c>
      <c r="H632" s="44" t="s">
        <v>14872</v>
      </c>
      <c r="I632" s="44" t="s">
        <v>14879</v>
      </c>
      <c r="J632" s="44" t="s">
        <v>14874</v>
      </c>
      <c r="K632" s="44" t="s">
        <v>14875</v>
      </c>
      <c r="L632" s="44" t="s">
        <v>8946</v>
      </c>
      <c r="M632" s="44" t="s">
        <v>14876</v>
      </c>
    </row>
    <row r="633" customFormat="false" ht="22.35" hidden="false" customHeight="false" outlineLevel="0" collapsed="false">
      <c r="A633" s="44" t="s">
        <v>16201</v>
      </c>
      <c r="B633" s="44" t="s">
        <v>8940</v>
      </c>
      <c r="C633" s="44" t="s">
        <v>8941</v>
      </c>
      <c r="D633" s="44" t="s">
        <v>16202</v>
      </c>
      <c r="E633" s="44"/>
      <c r="F633" s="44"/>
      <c r="G633" s="44" t="s">
        <v>14882</v>
      </c>
      <c r="H633" s="44" t="s">
        <v>14872</v>
      </c>
      <c r="I633" s="44" t="s">
        <v>14883</v>
      </c>
      <c r="J633" s="44" t="s">
        <v>14874</v>
      </c>
      <c r="K633" s="44" t="s">
        <v>14875</v>
      </c>
      <c r="L633" s="44" t="s">
        <v>8946</v>
      </c>
      <c r="M633" s="44" t="s">
        <v>14876</v>
      </c>
    </row>
    <row r="634" customFormat="false" ht="22.35" hidden="false" customHeight="false" outlineLevel="0" collapsed="false">
      <c r="A634" s="44" t="s">
        <v>16203</v>
      </c>
      <c r="B634" s="44" t="s">
        <v>8940</v>
      </c>
      <c r="C634" s="44" t="s">
        <v>8941</v>
      </c>
      <c r="D634" s="44" t="s">
        <v>16204</v>
      </c>
      <c r="E634" s="44" t="s">
        <v>16205</v>
      </c>
      <c r="F634" s="44" t="s">
        <v>16206</v>
      </c>
      <c r="G634" s="44" t="s">
        <v>14871</v>
      </c>
      <c r="H634" s="44" t="s">
        <v>14872</v>
      </c>
      <c r="I634" s="44" t="s">
        <v>14886</v>
      </c>
      <c r="J634" s="44" t="s">
        <v>14874</v>
      </c>
      <c r="K634" s="44" t="s">
        <v>14875</v>
      </c>
      <c r="L634" s="44" t="s">
        <v>8946</v>
      </c>
      <c r="M634" s="44" t="s">
        <v>14876</v>
      </c>
    </row>
    <row r="635" customFormat="false" ht="22.35" hidden="false" customHeight="false" outlineLevel="0" collapsed="false">
      <c r="A635" s="44" t="s">
        <v>16207</v>
      </c>
      <c r="B635" s="44" t="s">
        <v>8940</v>
      </c>
      <c r="C635" s="44" t="s">
        <v>8941</v>
      </c>
      <c r="D635" s="44" t="s">
        <v>16208</v>
      </c>
      <c r="E635" s="44"/>
      <c r="F635" s="44"/>
      <c r="G635" s="44" t="s">
        <v>14882</v>
      </c>
      <c r="H635" s="44" t="s">
        <v>14872</v>
      </c>
      <c r="I635" s="44" t="s">
        <v>14883</v>
      </c>
      <c r="J635" s="44" t="s">
        <v>14874</v>
      </c>
      <c r="K635" s="44" t="s">
        <v>14875</v>
      </c>
      <c r="L635" s="44" t="s">
        <v>8946</v>
      </c>
      <c r="M635" s="44" t="s">
        <v>14876</v>
      </c>
    </row>
    <row r="636" customFormat="false" ht="22.35" hidden="false" customHeight="false" outlineLevel="0" collapsed="false">
      <c r="A636" s="44" t="s">
        <v>16209</v>
      </c>
      <c r="B636" s="44" t="s">
        <v>8940</v>
      </c>
      <c r="C636" s="44" t="s">
        <v>8941</v>
      </c>
      <c r="D636" s="44" t="s">
        <v>16210</v>
      </c>
      <c r="E636" s="44"/>
      <c r="F636" s="44"/>
      <c r="G636" s="44" t="s">
        <v>14882</v>
      </c>
      <c r="H636" s="44" t="s">
        <v>14872</v>
      </c>
      <c r="I636" s="44" t="s">
        <v>14883</v>
      </c>
      <c r="J636" s="44" t="s">
        <v>14874</v>
      </c>
      <c r="K636" s="44" t="s">
        <v>14875</v>
      </c>
      <c r="L636" s="44" t="s">
        <v>8946</v>
      </c>
      <c r="M636" s="44" t="s">
        <v>14876</v>
      </c>
    </row>
    <row r="637" customFormat="false" ht="22.35" hidden="false" customHeight="false" outlineLevel="0" collapsed="false">
      <c r="A637" s="44" t="s">
        <v>16211</v>
      </c>
      <c r="B637" s="44" t="s">
        <v>8947</v>
      </c>
      <c r="C637" s="44" t="s">
        <v>8948</v>
      </c>
      <c r="D637" s="44" t="s">
        <v>16212</v>
      </c>
      <c r="E637" s="44"/>
      <c r="F637" s="44"/>
      <c r="G637" s="44" t="s">
        <v>14882</v>
      </c>
      <c r="H637" s="44" t="s">
        <v>14872</v>
      </c>
      <c r="I637" s="44" t="s">
        <v>14883</v>
      </c>
      <c r="J637" s="44" t="s">
        <v>14874</v>
      </c>
      <c r="K637" s="44" t="s">
        <v>14875</v>
      </c>
      <c r="L637" s="44" t="s">
        <v>8953</v>
      </c>
      <c r="M637" s="44" t="s">
        <v>14876</v>
      </c>
    </row>
    <row r="638" customFormat="false" ht="22.35" hidden="false" customHeight="false" outlineLevel="0" collapsed="false">
      <c r="A638" s="44" t="s">
        <v>16213</v>
      </c>
      <c r="B638" s="44" t="s">
        <v>8947</v>
      </c>
      <c r="C638" s="44" t="s">
        <v>8948</v>
      </c>
      <c r="D638" s="44" t="s">
        <v>15882</v>
      </c>
      <c r="E638" s="44" t="s">
        <v>4980</v>
      </c>
      <c r="F638" s="44" t="s">
        <v>4981</v>
      </c>
      <c r="G638" s="44" t="s">
        <v>14871</v>
      </c>
      <c r="H638" s="44" t="s">
        <v>14872</v>
      </c>
      <c r="I638" s="44" t="s">
        <v>14873</v>
      </c>
      <c r="J638" s="44" t="s">
        <v>14874</v>
      </c>
      <c r="K638" s="44" t="s">
        <v>14875</v>
      </c>
      <c r="L638" s="44" t="s">
        <v>8953</v>
      </c>
      <c r="M638" s="44" t="s">
        <v>14876</v>
      </c>
    </row>
    <row r="639" customFormat="false" ht="22.35" hidden="false" customHeight="false" outlineLevel="0" collapsed="false">
      <c r="A639" s="44" t="s">
        <v>16214</v>
      </c>
      <c r="B639" s="44" t="s">
        <v>8947</v>
      </c>
      <c r="C639" s="44" t="s">
        <v>8948</v>
      </c>
      <c r="D639" s="44" t="s">
        <v>14924</v>
      </c>
      <c r="E639" s="44" t="s">
        <v>2761</v>
      </c>
      <c r="F639" s="44" t="s">
        <v>2762</v>
      </c>
      <c r="G639" s="44" t="s">
        <v>14871</v>
      </c>
      <c r="H639" s="44" t="s">
        <v>14872</v>
      </c>
      <c r="I639" s="44" t="s">
        <v>14886</v>
      </c>
      <c r="J639" s="44" t="s">
        <v>14874</v>
      </c>
      <c r="K639" s="44" t="s">
        <v>14875</v>
      </c>
      <c r="L639" s="44" t="s">
        <v>8953</v>
      </c>
      <c r="M639" s="44" t="s">
        <v>14876</v>
      </c>
    </row>
    <row r="640" customFormat="false" ht="22.35" hidden="false" customHeight="false" outlineLevel="0" collapsed="false">
      <c r="A640" s="44" t="s">
        <v>16215</v>
      </c>
      <c r="B640" s="44" t="s">
        <v>8947</v>
      </c>
      <c r="C640" s="44" t="s">
        <v>8948</v>
      </c>
      <c r="D640" s="44" t="s">
        <v>16216</v>
      </c>
      <c r="E640" s="44"/>
      <c r="F640" s="44"/>
      <c r="G640" s="44" t="s">
        <v>14882</v>
      </c>
      <c r="H640" s="44" t="s">
        <v>14872</v>
      </c>
      <c r="I640" s="44" t="s">
        <v>14883</v>
      </c>
      <c r="J640" s="44" t="s">
        <v>14874</v>
      </c>
      <c r="K640" s="44" t="s">
        <v>14875</v>
      </c>
      <c r="L640" s="44" t="s">
        <v>8953</v>
      </c>
      <c r="M640" s="44" t="s">
        <v>14876</v>
      </c>
    </row>
    <row r="641" customFormat="false" ht="22.35" hidden="false" customHeight="false" outlineLevel="0" collapsed="false">
      <c r="A641" s="44" t="s">
        <v>16217</v>
      </c>
      <c r="B641" s="44" t="s">
        <v>8954</v>
      </c>
      <c r="C641" s="44" t="s">
        <v>8955</v>
      </c>
      <c r="D641" s="44" t="s">
        <v>16218</v>
      </c>
      <c r="E641" s="44" t="s">
        <v>16187</v>
      </c>
      <c r="F641" s="44" t="s">
        <v>16188</v>
      </c>
      <c r="G641" s="44" t="s">
        <v>14871</v>
      </c>
      <c r="H641" s="44" t="s">
        <v>14872</v>
      </c>
      <c r="I641" s="44" t="s">
        <v>14886</v>
      </c>
      <c r="J641" s="44" t="s">
        <v>14874</v>
      </c>
      <c r="K641" s="44" t="s">
        <v>14875</v>
      </c>
      <c r="L641" s="44" t="s">
        <v>8961</v>
      </c>
      <c r="M641" s="44" t="s">
        <v>14876</v>
      </c>
    </row>
    <row r="642" customFormat="false" ht="22.35" hidden="false" customHeight="false" outlineLevel="0" collapsed="false">
      <c r="A642" s="44" t="s">
        <v>16219</v>
      </c>
      <c r="B642" s="44" t="s">
        <v>8954</v>
      </c>
      <c r="C642" s="44" t="s">
        <v>8955</v>
      </c>
      <c r="D642" s="44" t="s">
        <v>16220</v>
      </c>
      <c r="E642" s="44" t="s">
        <v>4633</v>
      </c>
      <c r="F642" s="44" t="s">
        <v>4634</v>
      </c>
      <c r="G642" s="44" t="s">
        <v>14871</v>
      </c>
      <c r="H642" s="44" t="s">
        <v>14872</v>
      </c>
      <c r="I642" s="44" t="s">
        <v>14886</v>
      </c>
      <c r="J642" s="44" t="s">
        <v>14874</v>
      </c>
      <c r="K642" s="44" t="s">
        <v>14875</v>
      </c>
      <c r="L642" s="44" t="s">
        <v>8961</v>
      </c>
      <c r="M642" s="44" t="s">
        <v>14876</v>
      </c>
    </row>
    <row r="643" customFormat="false" ht="22.35" hidden="false" customHeight="false" outlineLevel="0" collapsed="false">
      <c r="A643" s="44" t="s">
        <v>16221</v>
      </c>
      <c r="B643" s="44" t="s">
        <v>8954</v>
      </c>
      <c r="C643" s="44" t="s">
        <v>8955</v>
      </c>
      <c r="D643" s="44" t="s">
        <v>16222</v>
      </c>
      <c r="E643" s="44" t="s">
        <v>3589</v>
      </c>
      <c r="F643" s="44" t="s">
        <v>3590</v>
      </c>
      <c r="G643" s="44" t="s">
        <v>14871</v>
      </c>
      <c r="H643" s="44" t="s">
        <v>14872</v>
      </c>
      <c r="I643" s="44" t="s">
        <v>14886</v>
      </c>
      <c r="J643" s="44" t="s">
        <v>14874</v>
      </c>
      <c r="K643" s="44" t="s">
        <v>14875</v>
      </c>
      <c r="L643" s="44" t="s">
        <v>8961</v>
      </c>
      <c r="M643" s="44" t="s">
        <v>14876</v>
      </c>
    </row>
    <row r="644" customFormat="false" ht="22.35" hidden="false" customHeight="false" outlineLevel="0" collapsed="false">
      <c r="A644" s="44" t="s">
        <v>16223</v>
      </c>
      <c r="B644" s="44" t="s">
        <v>8954</v>
      </c>
      <c r="C644" s="44" t="s">
        <v>8955</v>
      </c>
      <c r="D644" s="44" t="s">
        <v>16224</v>
      </c>
      <c r="E644" s="44"/>
      <c r="F644" s="44"/>
      <c r="G644" s="44" t="s">
        <v>14882</v>
      </c>
      <c r="H644" s="44" t="s">
        <v>14872</v>
      </c>
      <c r="I644" s="44" t="s">
        <v>14883</v>
      </c>
      <c r="J644" s="44" t="s">
        <v>14874</v>
      </c>
      <c r="K644" s="44" t="s">
        <v>14875</v>
      </c>
      <c r="L644" s="44" t="s">
        <v>8961</v>
      </c>
      <c r="M644" s="44" t="s">
        <v>14876</v>
      </c>
    </row>
    <row r="645" customFormat="false" ht="22.35" hidden="false" customHeight="false" outlineLevel="0" collapsed="false">
      <c r="A645" s="44" t="s">
        <v>16225</v>
      </c>
      <c r="B645" s="44" t="s">
        <v>8962</v>
      </c>
      <c r="C645" s="44" t="s">
        <v>8963</v>
      </c>
      <c r="D645" s="44" t="s">
        <v>16226</v>
      </c>
      <c r="E645" s="44" t="s">
        <v>211</v>
      </c>
      <c r="F645" s="44" t="s">
        <v>212</v>
      </c>
      <c r="G645" s="44" t="s">
        <v>14871</v>
      </c>
      <c r="H645" s="44" t="s">
        <v>14872</v>
      </c>
      <c r="I645" s="44" t="s">
        <v>14873</v>
      </c>
      <c r="J645" s="44" t="s">
        <v>14874</v>
      </c>
      <c r="K645" s="44" t="s">
        <v>14875</v>
      </c>
      <c r="L645" s="44" t="s">
        <v>8967</v>
      </c>
      <c r="M645" s="44" t="s">
        <v>14876</v>
      </c>
    </row>
    <row r="646" customFormat="false" ht="22.35" hidden="false" customHeight="false" outlineLevel="0" collapsed="false">
      <c r="A646" s="44" t="s">
        <v>16227</v>
      </c>
      <c r="B646" s="44" t="s">
        <v>8962</v>
      </c>
      <c r="C646" s="44" t="s">
        <v>8963</v>
      </c>
      <c r="D646" s="44" t="s">
        <v>16228</v>
      </c>
      <c r="E646" s="44"/>
      <c r="F646" s="44"/>
      <c r="G646" s="44" t="s">
        <v>14882</v>
      </c>
      <c r="H646" s="44" t="s">
        <v>14872</v>
      </c>
      <c r="I646" s="44" t="s">
        <v>14883</v>
      </c>
      <c r="J646" s="44" t="s">
        <v>14874</v>
      </c>
      <c r="K646" s="44" t="s">
        <v>14875</v>
      </c>
      <c r="L646" s="44" t="s">
        <v>8967</v>
      </c>
      <c r="M646" s="44" t="s">
        <v>14876</v>
      </c>
    </row>
    <row r="647" customFormat="false" ht="22.35" hidden="false" customHeight="false" outlineLevel="0" collapsed="false">
      <c r="A647" s="44" t="s">
        <v>16229</v>
      </c>
      <c r="B647" s="44" t="s">
        <v>8962</v>
      </c>
      <c r="C647" s="44" t="s">
        <v>8963</v>
      </c>
      <c r="D647" s="44" t="s">
        <v>16230</v>
      </c>
      <c r="E647" s="44" t="s">
        <v>4537</v>
      </c>
      <c r="F647" s="44" t="s">
        <v>4538</v>
      </c>
      <c r="G647" s="44" t="s">
        <v>14871</v>
      </c>
      <c r="H647" s="44" t="s">
        <v>14872</v>
      </c>
      <c r="I647" s="44" t="s">
        <v>14873</v>
      </c>
      <c r="J647" s="44" t="s">
        <v>14874</v>
      </c>
      <c r="K647" s="44" t="s">
        <v>14875</v>
      </c>
      <c r="L647" s="44" t="s">
        <v>8967</v>
      </c>
      <c r="M647" s="44" t="s">
        <v>14876</v>
      </c>
    </row>
    <row r="648" customFormat="false" ht="22.35" hidden="false" customHeight="false" outlineLevel="0" collapsed="false">
      <c r="A648" s="44" t="s">
        <v>16231</v>
      </c>
      <c r="B648" s="44" t="s">
        <v>8962</v>
      </c>
      <c r="C648" s="44" t="s">
        <v>8963</v>
      </c>
      <c r="D648" s="44" t="s">
        <v>16232</v>
      </c>
      <c r="E648" s="44"/>
      <c r="F648" s="44"/>
      <c r="G648" s="44" t="s">
        <v>14882</v>
      </c>
      <c r="H648" s="44" t="s">
        <v>14872</v>
      </c>
      <c r="I648" s="44" t="s">
        <v>14883</v>
      </c>
      <c r="J648" s="44" t="s">
        <v>14874</v>
      </c>
      <c r="K648" s="44" t="s">
        <v>14875</v>
      </c>
      <c r="L648" s="44" t="s">
        <v>8967</v>
      </c>
      <c r="M648" s="44" t="s">
        <v>14876</v>
      </c>
    </row>
    <row r="649" customFormat="false" ht="22.35" hidden="false" customHeight="false" outlineLevel="0" collapsed="false">
      <c r="A649" s="44" t="s">
        <v>16233</v>
      </c>
      <c r="B649" s="44" t="s">
        <v>8968</v>
      </c>
      <c r="C649" s="44" t="s">
        <v>8969</v>
      </c>
      <c r="D649" s="44" t="s">
        <v>16234</v>
      </c>
      <c r="E649" s="44" t="s">
        <v>200</v>
      </c>
      <c r="F649" s="44" t="s">
        <v>201</v>
      </c>
      <c r="G649" s="44" t="s">
        <v>14871</v>
      </c>
      <c r="H649" s="44" t="s">
        <v>14872</v>
      </c>
      <c r="I649" s="44" t="s">
        <v>14886</v>
      </c>
      <c r="J649" s="44" t="s">
        <v>14874</v>
      </c>
      <c r="K649" s="44" t="s">
        <v>14875</v>
      </c>
      <c r="L649" s="44" t="s">
        <v>8974</v>
      </c>
      <c r="M649" s="44" t="s">
        <v>14876</v>
      </c>
    </row>
    <row r="650" customFormat="false" ht="22.35" hidden="false" customHeight="false" outlineLevel="0" collapsed="false">
      <c r="A650" s="44" t="s">
        <v>16235</v>
      </c>
      <c r="B650" s="44" t="s">
        <v>8968</v>
      </c>
      <c r="C650" s="44" t="s">
        <v>8969</v>
      </c>
      <c r="D650" s="44" t="s">
        <v>16236</v>
      </c>
      <c r="E650" s="44"/>
      <c r="F650" s="44"/>
      <c r="G650" s="44" t="s">
        <v>14882</v>
      </c>
      <c r="H650" s="44" t="s">
        <v>14872</v>
      </c>
      <c r="I650" s="44" t="s">
        <v>14883</v>
      </c>
      <c r="J650" s="44" t="s">
        <v>14874</v>
      </c>
      <c r="K650" s="44" t="s">
        <v>14875</v>
      </c>
      <c r="L650" s="44" t="s">
        <v>8974</v>
      </c>
      <c r="M650" s="44" t="s">
        <v>14876</v>
      </c>
    </row>
    <row r="651" customFormat="false" ht="22.35" hidden="false" customHeight="false" outlineLevel="0" collapsed="false">
      <c r="A651" s="44" t="s">
        <v>16237</v>
      </c>
      <c r="B651" s="44" t="s">
        <v>8968</v>
      </c>
      <c r="C651" s="44" t="s">
        <v>8969</v>
      </c>
      <c r="D651" s="44" t="s">
        <v>16238</v>
      </c>
      <c r="E651" s="44" t="s">
        <v>200</v>
      </c>
      <c r="F651" s="44" t="s">
        <v>201</v>
      </c>
      <c r="G651" s="44" t="s">
        <v>14871</v>
      </c>
      <c r="H651" s="44" t="s">
        <v>14872</v>
      </c>
      <c r="I651" s="44" t="s">
        <v>14886</v>
      </c>
      <c r="J651" s="44" t="s">
        <v>14874</v>
      </c>
      <c r="K651" s="44" t="s">
        <v>14875</v>
      </c>
      <c r="L651" s="44" t="s">
        <v>8974</v>
      </c>
      <c r="M651" s="44" t="s">
        <v>14876</v>
      </c>
    </row>
    <row r="652" customFormat="false" ht="22.35" hidden="false" customHeight="false" outlineLevel="0" collapsed="false">
      <c r="A652" s="44" t="s">
        <v>16239</v>
      </c>
      <c r="B652" s="44" t="s">
        <v>8975</v>
      </c>
      <c r="C652" s="44" t="s">
        <v>8976</v>
      </c>
      <c r="D652" s="44" t="s">
        <v>16240</v>
      </c>
      <c r="E652" s="44" t="s">
        <v>192</v>
      </c>
      <c r="F652" s="44" t="s">
        <v>55</v>
      </c>
      <c r="G652" s="44" t="s">
        <v>14871</v>
      </c>
      <c r="H652" s="44" t="s">
        <v>14872</v>
      </c>
      <c r="I652" s="44" t="s">
        <v>14886</v>
      </c>
      <c r="J652" s="44" t="s">
        <v>14874</v>
      </c>
      <c r="K652" s="44" t="s">
        <v>14875</v>
      </c>
      <c r="L652" s="44" t="s">
        <v>8980</v>
      </c>
      <c r="M652" s="44" t="s">
        <v>14876</v>
      </c>
    </row>
    <row r="653" customFormat="false" ht="22.35" hidden="false" customHeight="false" outlineLevel="0" collapsed="false">
      <c r="A653" s="44" t="s">
        <v>16241</v>
      </c>
      <c r="B653" s="44" t="s">
        <v>8981</v>
      </c>
      <c r="C653" s="44" t="s">
        <v>8982</v>
      </c>
      <c r="D653" s="44" t="s">
        <v>16242</v>
      </c>
      <c r="E653" s="44" t="s">
        <v>4895</v>
      </c>
      <c r="F653" s="44" t="s">
        <v>4896</v>
      </c>
      <c r="G653" s="44" t="s">
        <v>14871</v>
      </c>
      <c r="H653" s="44" t="s">
        <v>14872</v>
      </c>
      <c r="I653" s="44" t="s">
        <v>14886</v>
      </c>
      <c r="J653" s="44" t="s">
        <v>14874</v>
      </c>
      <c r="K653" s="44" t="s">
        <v>14875</v>
      </c>
      <c r="L653" s="44" t="s">
        <v>8989</v>
      </c>
      <c r="M653" s="44" t="s">
        <v>14876</v>
      </c>
    </row>
    <row r="654" customFormat="false" ht="22.35" hidden="false" customHeight="false" outlineLevel="0" collapsed="false">
      <c r="A654" s="44" t="s">
        <v>16243</v>
      </c>
      <c r="B654" s="44" t="s">
        <v>8981</v>
      </c>
      <c r="C654" s="44" t="s">
        <v>8982</v>
      </c>
      <c r="D654" s="44" t="s">
        <v>16244</v>
      </c>
      <c r="E654" s="44" t="s">
        <v>15879</v>
      </c>
      <c r="F654" s="44" t="s">
        <v>15880</v>
      </c>
      <c r="G654" s="44" t="s">
        <v>14871</v>
      </c>
      <c r="H654" s="44" t="s">
        <v>14872</v>
      </c>
      <c r="I654" s="44" t="s">
        <v>14886</v>
      </c>
      <c r="J654" s="44" t="s">
        <v>14874</v>
      </c>
      <c r="K654" s="44" t="s">
        <v>14875</v>
      </c>
      <c r="L654" s="44" t="s">
        <v>8989</v>
      </c>
      <c r="M654" s="44" t="s">
        <v>14876</v>
      </c>
    </row>
    <row r="655" customFormat="false" ht="22.35" hidden="false" customHeight="false" outlineLevel="0" collapsed="false">
      <c r="A655" s="44" t="s">
        <v>16245</v>
      </c>
      <c r="B655" s="44" t="s">
        <v>8981</v>
      </c>
      <c r="C655" s="44" t="s">
        <v>8982</v>
      </c>
      <c r="D655" s="44" t="s">
        <v>15882</v>
      </c>
      <c r="E655" s="44" t="s">
        <v>4980</v>
      </c>
      <c r="F655" s="44" t="s">
        <v>4981</v>
      </c>
      <c r="G655" s="44" t="s">
        <v>14871</v>
      </c>
      <c r="H655" s="44" t="s">
        <v>14872</v>
      </c>
      <c r="I655" s="44" t="s">
        <v>14873</v>
      </c>
      <c r="J655" s="44" t="s">
        <v>14874</v>
      </c>
      <c r="K655" s="44" t="s">
        <v>14875</v>
      </c>
      <c r="L655" s="44" t="s">
        <v>8989</v>
      </c>
      <c r="M655" s="44" t="s">
        <v>14876</v>
      </c>
    </row>
    <row r="656" customFormat="false" ht="22.35" hidden="false" customHeight="false" outlineLevel="0" collapsed="false">
      <c r="A656" s="44" t="s">
        <v>16246</v>
      </c>
      <c r="B656" s="44" t="s">
        <v>8981</v>
      </c>
      <c r="C656" s="44" t="s">
        <v>8982</v>
      </c>
      <c r="D656" s="44" t="s">
        <v>16247</v>
      </c>
      <c r="E656" s="44"/>
      <c r="F656" s="44"/>
      <c r="G656" s="44" t="s">
        <v>14882</v>
      </c>
      <c r="H656" s="44" t="s">
        <v>14872</v>
      </c>
      <c r="I656" s="44" t="s">
        <v>14883</v>
      </c>
      <c r="J656" s="44" t="s">
        <v>14874</v>
      </c>
      <c r="K656" s="44" t="s">
        <v>14875</v>
      </c>
      <c r="L656" s="44" t="s">
        <v>8989</v>
      </c>
      <c r="M656" s="44" t="s">
        <v>14876</v>
      </c>
    </row>
    <row r="657" customFormat="false" ht="22.35" hidden="false" customHeight="false" outlineLevel="0" collapsed="false">
      <c r="A657" s="44" t="s">
        <v>16248</v>
      </c>
      <c r="B657" s="44" t="s">
        <v>8981</v>
      </c>
      <c r="C657" s="44" t="s">
        <v>8982</v>
      </c>
      <c r="D657" s="44" t="s">
        <v>16249</v>
      </c>
      <c r="E657" s="44"/>
      <c r="F657" s="44"/>
      <c r="G657" s="44" t="s">
        <v>14882</v>
      </c>
      <c r="H657" s="44" t="s">
        <v>14872</v>
      </c>
      <c r="I657" s="44" t="s">
        <v>14883</v>
      </c>
      <c r="J657" s="44" t="s">
        <v>14874</v>
      </c>
      <c r="K657" s="44" t="s">
        <v>14875</v>
      </c>
      <c r="L657" s="44" t="s">
        <v>8989</v>
      </c>
      <c r="M657" s="44" t="s">
        <v>14876</v>
      </c>
    </row>
    <row r="658" customFormat="false" ht="22.35" hidden="false" customHeight="false" outlineLevel="0" collapsed="false">
      <c r="A658" s="44" t="s">
        <v>16250</v>
      </c>
      <c r="B658" s="44" t="s">
        <v>8990</v>
      </c>
      <c r="C658" s="44" t="s">
        <v>8991</v>
      </c>
      <c r="D658" s="44" t="s">
        <v>10578</v>
      </c>
      <c r="E658" s="44"/>
      <c r="F658" s="44"/>
      <c r="G658" s="44" t="s">
        <v>14882</v>
      </c>
      <c r="H658" s="44" t="s">
        <v>14872</v>
      </c>
      <c r="I658" s="44" t="s">
        <v>14883</v>
      </c>
      <c r="J658" s="44" t="s">
        <v>14874</v>
      </c>
      <c r="K658" s="44" t="s">
        <v>14875</v>
      </c>
      <c r="L658" s="44" t="s">
        <v>8996</v>
      </c>
      <c r="M658" s="44" t="s">
        <v>14876</v>
      </c>
    </row>
    <row r="659" customFormat="false" ht="22.35" hidden="false" customHeight="false" outlineLevel="0" collapsed="false">
      <c r="A659" s="44" t="s">
        <v>16251</v>
      </c>
      <c r="B659" s="44" t="s">
        <v>8990</v>
      </c>
      <c r="C659" s="44" t="s">
        <v>8991</v>
      </c>
      <c r="D659" s="44" t="s">
        <v>16252</v>
      </c>
      <c r="E659" s="44"/>
      <c r="F659" s="44"/>
      <c r="G659" s="44" t="s">
        <v>14882</v>
      </c>
      <c r="H659" s="44" t="s">
        <v>14872</v>
      </c>
      <c r="I659" s="44" t="s">
        <v>14883</v>
      </c>
      <c r="J659" s="44" t="s">
        <v>14874</v>
      </c>
      <c r="K659" s="44" t="s">
        <v>14875</v>
      </c>
      <c r="L659" s="44" t="s">
        <v>8996</v>
      </c>
      <c r="M659" s="44" t="s">
        <v>14876</v>
      </c>
    </row>
    <row r="660" customFormat="false" ht="22.35" hidden="false" customHeight="false" outlineLevel="0" collapsed="false">
      <c r="A660" s="44" t="s">
        <v>16253</v>
      </c>
      <c r="B660" s="44" t="s">
        <v>8990</v>
      </c>
      <c r="C660" s="44" t="s">
        <v>8991</v>
      </c>
      <c r="D660" s="44" t="s">
        <v>16254</v>
      </c>
      <c r="E660" s="44" t="s">
        <v>223</v>
      </c>
      <c r="F660" s="44" t="s">
        <v>224</v>
      </c>
      <c r="G660" s="44" t="s">
        <v>14871</v>
      </c>
      <c r="H660" s="44" t="s">
        <v>14872</v>
      </c>
      <c r="I660" s="44" t="s">
        <v>14879</v>
      </c>
      <c r="J660" s="44" t="s">
        <v>14874</v>
      </c>
      <c r="K660" s="44" t="s">
        <v>14875</v>
      </c>
      <c r="L660" s="44" t="s">
        <v>8996</v>
      </c>
      <c r="M660" s="44" t="s">
        <v>14876</v>
      </c>
    </row>
    <row r="661" customFormat="false" ht="22.35" hidden="false" customHeight="false" outlineLevel="0" collapsed="false">
      <c r="A661" s="44" t="s">
        <v>16255</v>
      </c>
      <c r="B661" s="44" t="s">
        <v>8990</v>
      </c>
      <c r="C661" s="44" t="s">
        <v>8991</v>
      </c>
      <c r="D661" s="44" t="s">
        <v>16256</v>
      </c>
      <c r="E661" s="44"/>
      <c r="F661" s="44"/>
      <c r="G661" s="44" t="s">
        <v>14882</v>
      </c>
      <c r="H661" s="44" t="s">
        <v>14872</v>
      </c>
      <c r="I661" s="44" t="s">
        <v>14883</v>
      </c>
      <c r="J661" s="44" t="s">
        <v>14874</v>
      </c>
      <c r="K661" s="44" t="s">
        <v>14875</v>
      </c>
      <c r="L661" s="44" t="s">
        <v>8996</v>
      </c>
      <c r="M661" s="44" t="s">
        <v>14876</v>
      </c>
    </row>
    <row r="662" customFormat="false" ht="22.35" hidden="false" customHeight="false" outlineLevel="0" collapsed="false">
      <c r="A662" s="44" t="s">
        <v>16257</v>
      </c>
      <c r="B662" s="44" t="s">
        <v>8990</v>
      </c>
      <c r="C662" s="44" t="s">
        <v>8991</v>
      </c>
      <c r="D662" s="44" t="s">
        <v>16258</v>
      </c>
      <c r="E662" s="44" t="s">
        <v>4895</v>
      </c>
      <c r="F662" s="44" t="s">
        <v>4896</v>
      </c>
      <c r="G662" s="44" t="s">
        <v>14871</v>
      </c>
      <c r="H662" s="44" t="s">
        <v>14872</v>
      </c>
      <c r="I662" s="44" t="s">
        <v>14886</v>
      </c>
      <c r="J662" s="44" t="s">
        <v>14874</v>
      </c>
      <c r="K662" s="44" t="s">
        <v>14875</v>
      </c>
      <c r="L662" s="44" t="s">
        <v>8996</v>
      </c>
      <c r="M662" s="44" t="s">
        <v>14876</v>
      </c>
    </row>
    <row r="663" customFormat="false" ht="22.35" hidden="false" customHeight="false" outlineLevel="0" collapsed="false">
      <c r="A663" s="44" t="s">
        <v>16259</v>
      </c>
      <c r="B663" s="44" t="s">
        <v>8997</v>
      </c>
      <c r="C663" s="44" t="s">
        <v>8998</v>
      </c>
      <c r="D663" s="44" t="s">
        <v>16260</v>
      </c>
      <c r="E663" s="44" t="s">
        <v>16261</v>
      </c>
      <c r="F663" s="44" t="s">
        <v>16262</v>
      </c>
      <c r="G663" s="44" t="s">
        <v>14871</v>
      </c>
      <c r="H663" s="44" t="s">
        <v>14872</v>
      </c>
      <c r="I663" s="44" t="s">
        <v>14886</v>
      </c>
      <c r="J663" s="44" t="s">
        <v>14874</v>
      </c>
      <c r="K663" s="44" t="s">
        <v>14875</v>
      </c>
      <c r="L663" s="44" t="s">
        <v>9003</v>
      </c>
      <c r="M663" s="44" t="s">
        <v>14876</v>
      </c>
    </row>
    <row r="664" customFormat="false" ht="22.35" hidden="false" customHeight="false" outlineLevel="0" collapsed="false">
      <c r="A664" s="44" t="s">
        <v>16263</v>
      </c>
      <c r="B664" s="44" t="s">
        <v>8997</v>
      </c>
      <c r="C664" s="44" t="s">
        <v>8998</v>
      </c>
      <c r="D664" s="44" t="s">
        <v>16264</v>
      </c>
      <c r="E664" s="44"/>
      <c r="F664" s="44"/>
      <c r="G664" s="44" t="s">
        <v>14882</v>
      </c>
      <c r="H664" s="44" t="s">
        <v>14872</v>
      </c>
      <c r="I664" s="44" t="s">
        <v>14883</v>
      </c>
      <c r="J664" s="44" t="s">
        <v>14874</v>
      </c>
      <c r="K664" s="44" t="s">
        <v>14875</v>
      </c>
      <c r="L664" s="44" t="s">
        <v>9003</v>
      </c>
      <c r="M664" s="44" t="s">
        <v>14876</v>
      </c>
    </row>
    <row r="665" customFormat="false" ht="22.35" hidden="false" customHeight="false" outlineLevel="0" collapsed="false">
      <c r="A665" s="44" t="s">
        <v>16265</v>
      </c>
      <c r="B665" s="44" t="s">
        <v>8997</v>
      </c>
      <c r="C665" s="44" t="s">
        <v>8998</v>
      </c>
      <c r="D665" s="44" t="s">
        <v>16266</v>
      </c>
      <c r="E665" s="44"/>
      <c r="F665" s="44"/>
      <c r="G665" s="44" t="s">
        <v>14882</v>
      </c>
      <c r="H665" s="44" t="s">
        <v>14872</v>
      </c>
      <c r="I665" s="44" t="s">
        <v>14883</v>
      </c>
      <c r="J665" s="44" t="s">
        <v>14874</v>
      </c>
      <c r="K665" s="44" t="s">
        <v>14875</v>
      </c>
      <c r="L665" s="44" t="s">
        <v>9003</v>
      </c>
      <c r="M665" s="44" t="s">
        <v>14876</v>
      </c>
    </row>
    <row r="666" customFormat="false" ht="22.35" hidden="false" customHeight="false" outlineLevel="0" collapsed="false">
      <c r="A666" s="44" t="s">
        <v>16267</v>
      </c>
      <c r="B666" s="44" t="s">
        <v>8997</v>
      </c>
      <c r="C666" s="44" t="s">
        <v>8998</v>
      </c>
      <c r="D666" s="44" t="s">
        <v>16268</v>
      </c>
      <c r="E666" s="44"/>
      <c r="F666" s="44"/>
      <c r="G666" s="44" t="s">
        <v>14882</v>
      </c>
      <c r="H666" s="44" t="s">
        <v>14872</v>
      </c>
      <c r="I666" s="44" t="s">
        <v>14883</v>
      </c>
      <c r="J666" s="44" t="s">
        <v>14874</v>
      </c>
      <c r="K666" s="44" t="s">
        <v>14875</v>
      </c>
      <c r="L666" s="44" t="s">
        <v>9003</v>
      </c>
      <c r="M666" s="44" t="s">
        <v>14876</v>
      </c>
    </row>
    <row r="667" customFormat="false" ht="22.35" hidden="false" customHeight="false" outlineLevel="0" collapsed="false">
      <c r="A667" s="44" t="s">
        <v>16269</v>
      </c>
      <c r="B667" s="44" t="s">
        <v>8997</v>
      </c>
      <c r="C667" s="44" t="s">
        <v>8998</v>
      </c>
      <c r="D667" s="44" t="s">
        <v>16270</v>
      </c>
      <c r="E667" s="44" t="s">
        <v>16271</v>
      </c>
      <c r="F667" s="44" t="s">
        <v>16272</v>
      </c>
      <c r="G667" s="44" t="s">
        <v>14871</v>
      </c>
      <c r="H667" s="44" t="s">
        <v>14872</v>
      </c>
      <c r="I667" s="44" t="s">
        <v>14886</v>
      </c>
      <c r="J667" s="44" t="s">
        <v>14874</v>
      </c>
      <c r="K667" s="44" t="s">
        <v>14875</v>
      </c>
      <c r="L667" s="44" t="s">
        <v>9003</v>
      </c>
      <c r="M667" s="44" t="s">
        <v>14876</v>
      </c>
    </row>
    <row r="668" customFormat="false" ht="22.35" hidden="false" customHeight="false" outlineLevel="0" collapsed="false">
      <c r="A668" s="44" t="s">
        <v>16273</v>
      </c>
      <c r="B668" s="44" t="s">
        <v>9004</v>
      </c>
      <c r="C668" s="44" t="s">
        <v>9005</v>
      </c>
      <c r="D668" s="44" t="s">
        <v>16274</v>
      </c>
      <c r="E668" s="44" t="s">
        <v>4895</v>
      </c>
      <c r="F668" s="44" t="s">
        <v>4896</v>
      </c>
      <c r="G668" s="44" t="s">
        <v>14871</v>
      </c>
      <c r="H668" s="44" t="s">
        <v>14872</v>
      </c>
      <c r="I668" s="44" t="s">
        <v>14886</v>
      </c>
      <c r="J668" s="44" t="s">
        <v>14874</v>
      </c>
      <c r="K668" s="44" t="s">
        <v>14875</v>
      </c>
      <c r="L668" s="44" t="s">
        <v>9010</v>
      </c>
      <c r="M668" s="44" t="s">
        <v>14876</v>
      </c>
    </row>
    <row r="669" customFormat="false" ht="22.35" hidden="false" customHeight="false" outlineLevel="0" collapsed="false">
      <c r="A669" s="44" t="s">
        <v>16275</v>
      </c>
      <c r="B669" s="44" t="s">
        <v>9004</v>
      </c>
      <c r="C669" s="44" t="s">
        <v>9005</v>
      </c>
      <c r="D669" s="44" t="s">
        <v>16276</v>
      </c>
      <c r="E669" s="44"/>
      <c r="F669" s="44"/>
      <c r="G669" s="44" t="s">
        <v>14882</v>
      </c>
      <c r="H669" s="44" t="s">
        <v>14872</v>
      </c>
      <c r="I669" s="44" t="s">
        <v>14883</v>
      </c>
      <c r="J669" s="44" t="s">
        <v>14874</v>
      </c>
      <c r="K669" s="44" t="s">
        <v>14875</v>
      </c>
      <c r="L669" s="44" t="s">
        <v>9010</v>
      </c>
      <c r="M669" s="44" t="s">
        <v>14876</v>
      </c>
    </row>
    <row r="670" customFormat="false" ht="22.35" hidden="false" customHeight="false" outlineLevel="0" collapsed="false">
      <c r="A670" s="44" t="s">
        <v>16277</v>
      </c>
      <c r="B670" s="44" t="s">
        <v>9004</v>
      </c>
      <c r="C670" s="44" t="s">
        <v>9005</v>
      </c>
      <c r="D670" s="44" t="s">
        <v>16278</v>
      </c>
      <c r="E670" s="44" t="s">
        <v>3254</v>
      </c>
      <c r="F670" s="44" t="s">
        <v>3255</v>
      </c>
      <c r="G670" s="44" t="s">
        <v>14871</v>
      </c>
      <c r="H670" s="44" t="s">
        <v>14872</v>
      </c>
      <c r="I670" s="44" t="s">
        <v>14886</v>
      </c>
      <c r="J670" s="44" t="s">
        <v>14874</v>
      </c>
      <c r="K670" s="44" t="s">
        <v>14875</v>
      </c>
      <c r="L670" s="44" t="s">
        <v>9010</v>
      </c>
      <c r="M670" s="44" t="s">
        <v>14876</v>
      </c>
    </row>
    <row r="671" customFormat="false" ht="22.35" hidden="false" customHeight="false" outlineLevel="0" collapsed="false">
      <c r="A671" s="44" t="s">
        <v>16279</v>
      </c>
      <c r="B671" s="44" t="s">
        <v>9004</v>
      </c>
      <c r="C671" s="44" t="s">
        <v>9005</v>
      </c>
      <c r="D671" s="44" t="s">
        <v>16280</v>
      </c>
      <c r="E671" s="44" t="s">
        <v>180</v>
      </c>
      <c r="F671" s="44" t="s">
        <v>47</v>
      </c>
      <c r="G671" s="44" t="s">
        <v>14871</v>
      </c>
      <c r="H671" s="44" t="s">
        <v>14872</v>
      </c>
      <c r="I671" s="44" t="s">
        <v>14886</v>
      </c>
      <c r="J671" s="44" t="s">
        <v>14874</v>
      </c>
      <c r="K671" s="44" t="s">
        <v>14875</v>
      </c>
      <c r="L671" s="44" t="s">
        <v>9010</v>
      </c>
      <c r="M671" s="44" t="s">
        <v>14876</v>
      </c>
    </row>
    <row r="672" customFormat="false" ht="22.35" hidden="false" customHeight="false" outlineLevel="0" collapsed="false">
      <c r="A672" s="44" t="s">
        <v>16281</v>
      </c>
      <c r="B672" s="44" t="s">
        <v>9004</v>
      </c>
      <c r="C672" s="44" t="s">
        <v>9005</v>
      </c>
      <c r="D672" s="44" t="s">
        <v>16282</v>
      </c>
      <c r="E672" s="44" t="s">
        <v>4895</v>
      </c>
      <c r="F672" s="44" t="s">
        <v>4896</v>
      </c>
      <c r="G672" s="44" t="s">
        <v>14871</v>
      </c>
      <c r="H672" s="44" t="s">
        <v>14872</v>
      </c>
      <c r="I672" s="44" t="s">
        <v>14886</v>
      </c>
      <c r="J672" s="44" t="s">
        <v>14874</v>
      </c>
      <c r="K672" s="44" t="s">
        <v>14875</v>
      </c>
      <c r="L672" s="44" t="s">
        <v>9010</v>
      </c>
      <c r="M672" s="44" t="s">
        <v>14876</v>
      </c>
    </row>
    <row r="673" customFormat="false" ht="22.35" hidden="false" customHeight="false" outlineLevel="0" collapsed="false">
      <c r="A673" s="44" t="s">
        <v>16283</v>
      </c>
      <c r="B673" s="44" t="s">
        <v>9011</v>
      </c>
      <c r="C673" s="44" t="s">
        <v>9012</v>
      </c>
      <c r="D673" s="44" t="s">
        <v>16284</v>
      </c>
      <c r="E673" s="44" t="s">
        <v>4895</v>
      </c>
      <c r="F673" s="44" t="s">
        <v>4896</v>
      </c>
      <c r="G673" s="44" t="s">
        <v>14871</v>
      </c>
      <c r="H673" s="44" t="s">
        <v>14872</v>
      </c>
      <c r="I673" s="44" t="s">
        <v>14886</v>
      </c>
      <c r="J673" s="44" t="s">
        <v>14874</v>
      </c>
      <c r="K673" s="44" t="s">
        <v>14875</v>
      </c>
      <c r="L673" s="44" t="s">
        <v>9018</v>
      </c>
      <c r="M673" s="44" t="s">
        <v>14876</v>
      </c>
    </row>
    <row r="674" customFormat="false" ht="22.35" hidden="false" customHeight="false" outlineLevel="0" collapsed="false">
      <c r="A674" s="44" t="s">
        <v>16285</v>
      </c>
      <c r="B674" s="44" t="s">
        <v>9011</v>
      </c>
      <c r="C674" s="44" t="s">
        <v>9012</v>
      </c>
      <c r="D674" s="44" t="s">
        <v>16286</v>
      </c>
      <c r="E674" s="44" t="s">
        <v>16287</v>
      </c>
      <c r="F674" s="44" t="s">
        <v>16288</v>
      </c>
      <c r="G674" s="44" t="s">
        <v>14871</v>
      </c>
      <c r="H674" s="44" t="s">
        <v>14872</v>
      </c>
      <c r="I674" s="44" t="s">
        <v>14886</v>
      </c>
      <c r="J674" s="44" t="s">
        <v>14874</v>
      </c>
      <c r="K674" s="44" t="s">
        <v>14875</v>
      </c>
      <c r="L674" s="44" t="s">
        <v>9018</v>
      </c>
      <c r="M674" s="44" t="s">
        <v>14876</v>
      </c>
    </row>
    <row r="675" customFormat="false" ht="22.35" hidden="false" customHeight="false" outlineLevel="0" collapsed="false">
      <c r="A675" s="44" t="s">
        <v>16289</v>
      </c>
      <c r="B675" s="44" t="s">
        <v>9011</v>
      </c>
      <c r="C675" s="44" t="s">
        <v>9012</v>
      </c>
      <c r="D675" s="44" t="s">
        <v>16290</v>
      </c>
      <c r="E675" s="44"/>
      <c r="F675" s="44"/>
      <c r="G675" s="44" t="s">
        <v>14882</v>
      </c>
      <c r="H675" s="44" t="s">
        <v>14872</v>
      </c>
      <c r="I675" s="44" t="s">
        <v>14883</v>
      </c>
      <c r="J675" s="44" t="s">
        <v>14874</v>
      </c>
      <c r="K675" s="44" t="s">
        <v>14875</v>
      </c>
      <c r="L675" s="44" t="s">
        <v>9018</v>
      </c>
      <c r="M675" s="44" t="s">
        <v>14876</v>
      </c>
    </row>
    <row r="676" customFormat="false" ht="22.35" hidden="false" customHeight="false" outlineLevel="0" collapsed="false">
      <c r="A676" s="44" t="s">
        <v>16291</v>
      </c>
      <c r="B676" s="44" t="s">
        <v>9011</v>
      </c>
      <c r="C676" s="44" t="s">
        <v>9012</v>
      </c>
      <c r="D676" s="44" t="s">
        <v>16292</v>
      </c>
      <c r="E676" s="44" t="s">
        <v>215</v>
      </c>
      <c r="F676" s="44" t="s">
        <v>216</v>
      </c>
      <c r="G676" s="44" t="s">
        <v>14871</v>
      </c>
      <c r="H676" s="44" t="s">
        <v>14872</v>
      </c>
      <c r="I676" s="44" t="s">
        <v>14873</v>
      </c>
      <c r="J676" s="44" t="s">
        <v>14874</v>
      </c>
      <c r="K676" s="44" t="s">
        <v>14875</v>
      </c>
      <c r="L676" s="44" t="s">
        <v>9018</v>
      </c>
      <c r="M676" s="44" t="s">
        <v>14876</v>
      </c>
    </row>
    <row r="677" customFormat="false" ht="22.35" hidden="false" customHeight="false" outlineLevel="0" collapsed="false">
      <c r="A677" s="44" t="s">
        <v>16293</v>
      </c>
      <c r="B677" s="44" t="s">
        <v>9019</v>
      </c>
      <c r="C677" s="44" t="s">
        <v>9020</v>
      </c>
      <c r="D677" s="44" t="s">
        <v>14663</v>
      </c>
      <c r="E677" s="44" t="s">
        <v>3578</v>
      </c>
      <c r="F677" s="44" t="s">
        <v>3579</v>
      </c>
      <c r="G677" s="44" t="s">
        <v>14871</v>
      </c>
      <c r="H677" s="44" t="s">
        <v>14872</v>
      </c>
      <c r="I677" s="44" t="s">
        <v>14886</v>
      </c>
      <c r="J677" s="44" t="s">
        <v>14874</v>
      </c>
      <c r="K677" s="44" t="s">
        <v>14875</v>
      </c>
      <c r="L677" s="44" t="s">
        <v>9024</v>
      </c>
      <c r="M677" s="44" t="s">
        <v>14876</v>
      </c>
    </row>
    <row r="678" customFormat="false" ht="22.35" hidden="false" customHeight="false" outlineLevel="0" collapsed="false">
      <c r="A678" s="44" t="s">
        <v>16294</v>
      </c>
      <c r="B678" s="44" t="s">
        <v>9019</v>
      </c>
      <c r="C678" s="44" t="s">
        <v>9020</v>
      </c>
      <c r="D678" s="44" t="s">
        <v>16295</v>
      </c>
      <c r="E678" s="44" t="s">
        <v>934</v>
      </c>
      <c r="F678" s="44" t="s">
        <v>935</v>
      </c>
      <c r="G678" s="44" t="s">
        <v>14871</v>
      </c>
      <c r="H678" s="44" t="s">
        <v>14872</v>
      </c>
      <c r="I678" s="44" t="s">
        <v>14873</v>
      </c>
      <c r="J678" s="44" t="s">
        <v>14874</v>
      </c>
      <c r="K678" s="44" t="s">
        <v>14875</v>
      </c>
      <c r="L678" s="44" t="s">
        <v>9024</v>
      </c>
      <c r="M678" s="44" t="s">
        <v>14876</v>
      </c>
    </row>
    <row r="679" customFormat="false" ht="22.35" hidden="false" customHeight="false" outlineLevel="0" collapsed="false">
      <c r="A679" s="44" t="s">
        <v>16296</v>
      </c>
      <c r="B679" s="44" t="s">
        <v>9019</v>
      </c>
      <c r="C679" s="44" t="s">
        <v>9020</v>
      </c>
      <c r="D679" s="44" t="s">
        <v>16297</v>
      </c>
      <c r="E679" s="44" t="s">
        <v>916</v>
      </c>
      <c r="F679" s="44" t="s">
        <v>917</v>
      </c>
      <c r="G679" s="44" t="s">
        <v>14871</v>
      </c>
      <c r="H679" s="44" t="s">
        <v>14872</v>
      </c>
      <c r="I679" s="44" t="s">
        <v>14873</v>
      </c>
      <c r="J679" s="44" t="s">
        <v>14874</v>
      </c>
      <c r="K679" s="44" t="s">
        <v>14875</v>
      </c>
      <c r="L679" s="44" t="s">
        <v>9024</v>
      </c>
      <c r="M679" s="44" t="s">
        <v>14876</v>
      </c>
    </row>
    <row r="680" customFormat="false" ht="22.35" hidden="false" customHeight="false" outlineLevel="0" collapsed="false">
      <c r="A680" s="44" t="s">
        <v>16298</v>
      </c>
      <c r="B680" s="44" t="s">
        <v>9019</v>
      </c>
      <c r="C680" s="44" t="s">
        <v>9020</v>
      </c>
      <c r="D680" s="44" t="s">
        <v>16299</v>
      </c>
      <c r="E680" s="44" t="s">
        <v>1233</v>
      </c>
      <c r="F680" s="44" t="s">
        <v>1234</v>
      </c>
      <c r="G680" s="44" t="s">
        <v>14871</v>
      </c>
      <c r="H680" s="44" t="s">
        <v>14872</v>
      </c>
      <c r="I680" s="44" t="s">
        <v>14873</v>
      </c>
      <c r="J680" s="44" t="s">
        <v>14874</v>
      </c>
      <c r="K680" s="44" t="s">
        <v>14875</v>
      </c>
      <c r="L680" s="44" t="s">
        <v>9024</v>
      </c>
      <c r="M680" s="44" t="s">
        <v>14876</v>
      </c>
    </row>
    <row r="681" customFormat="false" ht="22.35" hidden="false" customHeight="false" outlineLevel="0" collapsed="false">
      <c r="A681" s="44" t="s">
        <v>16300</v>
      </c>
      <c r="B681" s="44" t="s">
        <v>9019</v>
      </c>
      <c r="C681" s="44" t="s">
        <v>9020</v>
      </c>
      <c r="D681" s="44" t="s">
        <v>16301</v>
      </c>
      <c r="E681" s="44"/>
      <c r="F681" s="44"/>
      <c r="G681" s="44" t="s">
        <v>14882</v>
      </c>
      <c r="H681" s="44" t="s">
        <v>14872</v>
      </c>
      <c r="I681" s="44" t="s">
        <v>14883</v>
      </c>
      <c r="J681" s="44" t="s">
        <v>14874</v>
      </c>
      <c r="K681" s="44" t="s">
        <v>14875</v>
      </c>
      <c r="L681" s="44" t="s">
        <v>9024</v>
      </c>
      <c r="M681" s="44" t="s">
        <v>14876</v>
      </c>
    </row>
    <row r="682" customFormat="false" ht="22.35" hidden="false" customHeight="false" outlineLevel="0" collapsed="false">
      <c r="A682" s="44" t="s">
        <v>16302</v>
      </c>
      <c r="B682" s="44" t="s">
        <v>9019</v>
      </c>
      <c r="C682" s="44" t="s">
        <v>9020</v>
      </c>
      <c r="D682" s="44" t="s">
        <v>16303</v>
      </c>
      <c r="E682" s="44" t="s">
        <v>180</v>
      </c>
      <c r="F682" s="44" t="s">
        <v>47</v>
      </c>
      <c r="G682" s="44" t="s">
        <v>14871</v>
      </c>
      <c r="H682" s="44" t="s">
        <v>14872</v>
      </c>
      <c r="I682" s="44" t="s">
        <v>14886</v>
      </c>
      <c r="J682" s="44" t="s">
        <v>14874</v>
      </c>
      <c r="K682" s="44" t="s">
        <v>14875</v>
      </c>
      <c r="L682" s="44" t="s">
        <v>9024</v>
      </c>
      <c r="M682" s="44" t="s">
        <v>14876</v>
      </c>
    </row>
    <row r="683" customFormat="false" ht="22.35" hidden="false" customHeight="false" outlineLevel="0" collapsed="false">
      <c r="A683" s="44" t="s">
        <v>16304</v>
      </c>
      <c r="B683" s="44" t="s">
        <v>9019</v>
      </c>
      <c r="C683" s="44" t="s">
        <v>9020</v>
      </c>
      <c r="D683" s="44" t="s">
        <v>16305</v>
      </c>
      <c r="E683" s="44" t="s">
        <v>15755</v>
      </c>
      <c r="F683" s="44" t="s">
        <v>15756</v>
      </c>
      <c r="G683" s="44" t="s">
        <v>14871</v>
      </c>
      <c r="H683" s="44" t="s">
        <v>14872</v>
      </c>
      <c r="I683" s="44" t="s">
        <v>14873</v>
      </c>
      <c r="J683" s="44" t="s">
        <v>14874</v>
      </c>
      <c r="K683" s="44" t="s">
        <v>14875</v>
      </c>
      <c r="L683" s="44" t="s">
        <v>9024</v>
      </c>
      <c r="M683" s="44" t="s">
        <v>14876</v>
      </c>
    </row>
    <row r="684" customFormat="false" ht="22.35" hidden="false" customHeight="false" outlineLevel="0" collapsed="false">
      <c r="A684" s="44" t="s">
        <v>16306</v>
      </c>
      <c r="B684" s="44" t="s">
        <v>9025</v>
      </c>
      <c r="C684" s="44" t="s">
        <v>9026</v>
      </c>
      <c r="D684" s="44" t="s">
        <v>16307</v>
      </c>
      <c r="E684" s="44" t="s">
        <v>4900</v>
      </c>
      <c r="F684" s="44" t="s">
        <v>4901</v>
      </c>
      <c r="G684" s="44" t="s">
        <v>14871</v>
      </c>
      <c r="H684" s="44" t="s">
        <v>14872</v>
      </c>
      <c r="I684" s="44" t="s">
        <v>14873</v>
      </c>
      <c r="J684" s="44" t="s">
        <v>14874</v>
      </c>
      <c r="K684" s="44" t="s">
        <v>14875</v>
      </c>
      <c r="L684" s="44" t="s">
        <v>9031</v>
      </c>
      <c r="M684" s="44" t="s">
        <v>14876</v>
      </c>
    </row>
    <row r="685" customFormat="false" ht="22.35" hidden="false" customHeight="false" outlineLevel="0" collapsed="false">
      <c r="A685" s="44" t="s">
        <v>16308</v>
      </c>
      <c r="B685" s="44" t="s">
        <v>9025</v>
      </c>
      <c r="C685" s="44" t="s">
        <v>9026</v>
      </c>
      <c r="D685" s="44" t="s">
        <v>16309</v>
      </c>
      <c r="E685" s="44"/>
      <c r="F685" s="44"/>
      <c r="G685" s="44" t="s">
        <v>14882</v>
      </c>
      <c r="H685" s="44" t="s">
        <v>14872</v>
      </c>
      <c r="I685" s="44" t="s">
        <v>14883</v>
      </c>
      <c r="J685" s="44" t="s">
        <v>14874</v>
      </c>
      <c r="K685" s="44" t="s">
        <v>14875</v>
      </c>
      <c r="L685" s="44" t="s">
        <v>9031</v>
      </c>
      <c r="M685" s="44" t="s">
        <v>14876</v>
      </c>
    </row>
    <row r="686" customFormat="false" ht="22.35" hidden="false" customHeight="false" outlineLevel="0" collapsed="false">
      <c r="A686" s="44" t="s">
        <v>16310</v>
      </c>
      <c r="B686" s="44" t="s">
        <v>9025</v>
      </c>
      <c r="C686" s="44" t="s">
        <v>9026</v>
      </c>
      <c r="D686" s="44" t="s">
        <v>16311</v>
      </c>
      <c r="E686" s="44"/>
      <c r="F686" s="44"/>
      <c r="G686" s="44" t="s">
        <v>14882</v>
      </c>
      <c r="H686" s="44" t="s">
        <v>14872</v>
      </c>
      <c r="I686" s="44" t="s">
        <v>14883</v>
      </c>
      <c r="J686" s="44" t="s">
        <v>14874</v>
      </c>
      <c r="K686" s="44" t="s">
        <v>14875</v>
      </c>
      <c r="L686" s="44" t="s">
        <v>9031</v>
      </c>
      <c r="M686" s="44" t="s">
        <v>14876</v>
      </c>
    </row>
    <row r="687" customFormat="false" ht="22.35" hidden="false" customHeight="false" outlineLevel="0" collapsed="false">
      <c r="A687" s="44" t="s">
        <v>16312</v>
      </c>
      <c r="B687" s="44" t="s">
        <v>9025</v>
      </c>
      <c r="C687" s="44" t="s">
        <v>9026</v>
      </c>
      <c r="D687" s="44" t="s">
        <v>16313</v>
      </c>
      <c r="E687" s="44" t="s">
        <v>16314</v>
      </c>
      <c r="F687" s="44" t="s">
        <v>16315</v>
      </c>
      <c r="G687" s="44" t="s">
        <v>14871</v>
      </c>
      <c r="H687" s="44" t="s">
        <v>14872</v>
      </c>
      <c r="I687" s="44" t="s">
        <v>14886</v>
      </c>
      <c r="J687" s="44" t="s">
        <v>14874</v>
      </c>
      <c r="K687" s="44" t="s">
        <v>14875</v>
      </c>
      <c r="L687" s="44" t="s">
        <v>9031</v>
      </c>
      <c r="M687" s="44" t="s">
        <v>14876</v>
      </c>
    </row>
    <row r="688" customFormat="false" ht="22.35" hidden="false" customHeight="false" outlineLevel="0" collapsed="false">
      <c r="A688" s="44" t="s">
        <v>16316</v>
      </c>
      <c r="B688" s="44" t="s">
        <v>9025</v>
      </c>
      <c r="C688" s="44" t="s">
        <v>9026</v>
      </c>
      <c r="D688" s="44" t="s">
        <v>16317</v>
      </c>
      <c r="E688" s="44" t="s">
        <v>4807</v>
      </c>
      <c r="F688" s="44" t="s">
        <v>4808</v>
      </c>
      <c r="G688" s="44" t="s">
        <v>14871</v>
      </c>
      <c r="H688" s="44" t="s">
        <v>14872</v>
      </c>
      <c r="I688" s="44" t="s">
        <v>14879</v>
      </c>
      <c r="J688" s="44" t="s">
        <v>14874</v>
      </c>
      <c r="K688" s="44" t="s">
        <v>14875</v>
      </c>
      <c r="L688" s="44" t="s">
        <v>9031</v>
      </c>
      <c r="M688" s="44" t="s">
        <v>14876</v>
      </c>
    </row>
    <row r="689" customFormat="false" ht="22.35" hidden="false" customHeight="false" outlineLevel="0" collapsed="false">
      <c r="A689" s="44" t="s">
        <v>16318</v>
      </c>
      <c r="B689" s="44" t="s">
        <v>9025</v>
      </c>
      <c r="C689" s="44" t="s">
        <v>9026</v>
      </c>
      <c r="D689" s="44" t="s">
        <v>16319</v>
      </c>
      <c r="E689" s="44" t="s">
        <v>192</v>
      </c>
      <c r="F689" s="44" t="s">
        <v>55</v>
      </c>
      <c r="G689" s="44" t="s">
        <v>14871</v>
      </c>
      <c r="H689" s="44" t="s">
        <v>14872</v>
      </c>
      <c r="I689" s="44" t="s">
        <v>14886</v>
      </c>
      <c r="J689" s="44" t="s">
        <v>14874</v>
      </c>
      <c r="K689" s="44" t="s">
        <v>14875</v>
      </c>
      <c r="L689" s="44" t="s">
        <v>9031</v>
      </c>
      <c r="M689" s="44" t="s">
        <v>14876</v>
      </c>
    </row>
    <row r="690" customFormat="false" ht="22.35" hidden="false" customHeight="false" outlineLevel="0" collapsed="false">
      <c r="A690" s="44" t="s">
        <v>16320</v>
      </c>
      <c r="B690" s="44" t="s">
        <v>9032</v>
      </c>
      <c r="C690" s="44" t="s">
        <v>9033</v>
      </c>
      <c r="D690" s="44" t="s">
        <v>16321</v>
      </c>
      <c r="E690" s="44" t="s">
        <v>200</v>
      </c>
      <c r="F690" s="44" t="s">
        <v>201</v>
      </c>
      <c r="G690" s="44" t="s">
        <v>14871</v>
      </c>
      <c r="H690" s="44" t="s">
        <v>14872</v>
      </c>
      <c r="I690" s="44" t="s">
        <v>14886</v>
      </c>
      <c r="J690" s="44" t="s">
        <v>14874</v>
      </c>
      <c r="K690" s="44" t="s">
        <v>14875</v>
      </c>
      <c r="L690" s="44" t="s">
        <v>9038</v>
      </c>
      <c r="M690" s="44" t="s">
        <v>14876</v>
      </c>
    </row>
    <row r="691" customFormat="false" ht="22.35" hidden="false" customHeight="false" outlineLevel="0" collapsed="false">
      <c r="A691" s="44" t="s">
        <v>16322</v>
      </c>
      <c r="B691" s="44" t="s">
        <v>9032</v>
      </c>
      <c r="C691" s="44" t="s">
        <v>9033</v>
      </c>
      <c r="D691" s="44" t="s">
        <v>16323</v>
      </c>
      <c r="E691" s="44"/>
      <c r="F691" s="44"/>
      <c r="G691" s="44" t="s">
        <v>14882</v>
      </c>
      <c r="H691" s="44" t="s">
        <v>14872</v>
      </c>
      <c r="I691" s="44" t="s">
        <v>14883</v>
      </c>
      <c r="J691" s="44" t="s">
        <v>14874</v>
      </c>
      <c r="K691" s="44" t="s">
        <v>14875</v>
      </c>
      <c r="L691" s="44" t="s">
        <v>9038</v>
      </c>
      <c r="M691" s="44" t="s">
        <v>14876</v>
      </c>
    </row>
    <row r="692" customFormat="false" ht="22.35" hidden="false" customHeight="false" outlineLevel="0" collapsed="false">
      <c r="A692" s="44" t="s">
        <v>16324</v>
      </c>
      <c r="B692" s="44" t="s">
        <v>9032</v>
      </c>
      <c r="C692" s="44" t="s">
        <v>9033</v>
      </c>
      <c r="D692" s="44" t="s">
        <v>16325</v>
      </c>
      <c r="E692" s="44" t="s">
        <v>3246</v>
      </c>
      <c r="F692" s="44" t="s">
        <v>3247</v>
      </c>
      <c r="G692" s="44" t="s">
        <v>14871</v>
      </c>
      <c r="H692" s="44" t="s">
        <v>14872</v>
      </c>
      <c r="I692" s="44" t="s">
        <v>14873</v>
      </c>
      <c r="J692" s="44" t="s">
        <v>14874</v>
      </c>
      <c r="K692" s="44" t="s">
        <v>14875</v>
      </c>
      <c r="L692" s="44" t="s">
        <v>9038</v>
      </c>
      <c r="M692" s="44" t="s">
        <v>14876</v>
      </c>
    </row>
    <row r="693" customFormat="false" ht="22.35" hidden="false" customHeight="false" outlineLevel="0" collapsed="false">
      <c r="A693" s="44" t="s">
        <v>16326</v>
      </c>
      <c r="B693" s="44" t="s">
        <v>9032</v>
      </c>
      <c r="C693" s="44" t="s">
        <v>9033</v>
      </c>
      <c r="D693" s="44" t="s">
        <v>16327</v>
      </c>
      <c r="E693" s="44"/>
      <c r="F693" s="44"/>
      <c r="G693" s="44" t="s">
        <v>14882</v>
      </c>
      <c r="H693" s="44" t="s">
        <v>14872</v>
      </c>
      <c r="I693" s="44" t="s">
        <v>14883</v>
      </c>
      <c r="J693" s="44" t="s">
        <v>14874</v>
      </c>
      <c r="K693" s="44" t="s">
        <v>14875</v>
      </c>
      <c r="L693" s="44" t="s">
        <v>9038</v>
      </c>
      <c r="M693" s="44" t="s">
        <v>14876</v>
      </c>
    </row>
    <row r="694" customFormat="false" ht="22.35" hidden="false" customHeight="false" outlineLevel="0" collapsed="false">
      <c r="A694" s="44" t="s">
        <v>16328</v>
      </c>
      <c r="B694" s="44" t="s">
        <v>9032</v>
      </c>
      <c r="C694" s="44" t="s">
        <v>9033</v>
      </c>
      <c r="D694" s="44" t="s">
        <v>16329</v>
      </c>
      <c r="E694" s="44" t="s">
        <v>594</v>
      </c>
      <c r="F694" s="44" t="s">
        <v>595</v>
      </c>
      <c r="G694" s="44" t="s">
        <v>14871</v>
      </c>
      <c r="H694" s="44" t="s">
        <v>14872</v>
      </c>
      <c r="I694" s="44" t="s">
        <v>14879</v>
      </c>
      <c r="J694" s="44" t="s">
        <v>14874</v>
      </c>
      <c r="K694" s="44" t="s">
        <v>14875</v>
      </c>
      <c r="L694" s="44" t="s">
        <v>9038</v>
      </c>
      <c r="M694" s="44" t="s">
        <v>14876</v>
      </c>
    </row>
    <row r="695" customFormat="false" ht="22.35" hidden="false" customHeight="false" outlineLevel="0" collapsed="false">
      <c r="A695" s="44" t="s">
        <v>16330</v>
      </c>
      <c r="B695" s="44" t="s">
        <v>9032</v>
      </c>
      <c r="C695" s="44" t="s">
        <v>9033</v>
      </c>
      <c r="D695" s="44" t="s">
        <v>16331</v>
      </c>
      <c r="E695" s="44" t="s">
        <v>2838</v>
      </c>
      <c r="F695" s="44" t="s">
        <v>2839</v>
      </c>
      <c r="G695" s="44" t="s">
        <v>14871</v>
      </c>
      <c r="H695" s="44" t="s">
        <v>14872</v>
      </c>
      <c r="I695" s="44" t="s">
        <v>14879</v>
      </c>
      <c r="J695" s="44" t="s">
        <v>14874</v>
      </c>
      <c r="K695" s="44" t="s">
        <v>14875</v>
      </c>
      <c r="L695" s="44" t="s">
        <v>9038</v>
      </c>
      <c r="M695" s="44" t="s">
        <v>14876</v>
      </c>
    </row>
    <row r="696" customFormat="false" ht="22.35" hidden="false" customHeight="false" outlineLevel="0" collapsed="false">
      <c r="A696" s="44" t="s">
        <v>16332</v>
      </c>
      <c r="B696" s="44" t="s">
        <v>9032</v>
      </c>
      <c r="C696" s="44" t="s">
        <v>9033</v>
      </c>
      <c r="D696" s="44" t="s">
        <v>16333</v>
      </c>
      <c r="E696" s="44" t="s">
        <v>231</v>
      </c>
      <c r="F696" s="44" t="s">
        <v>232</v>
      </c>
      <c r="G696" s="44" t="s">
        <v>14871</v>
      </c>
      <c r="H696" s="44" t="s">
        <v>14872</v>
      </c>
      <c r="I696" s="44" t="s">
        <v>14873</v>
      </c>
      <c r="J696" s="44" t="s">
        <v>14874</v>
      </c>
      <c r="K696" s="44" t="s">
        <v>14875</v>
      </c>
      <c r="L696" s="44" t="s">
        <v>9038</v>
      </c>
      <c r="M696" s="44" t="s">
        <v>14876</v>
      </c>
    </row>
    <row r="697" customFormat="false" ht="22.35" hidden="false" customHeight="false" outlineLevel="0" collapsed="false">
      <c r="A697" s="44" t="s">
        <v>16334</v>
      </c>
      <c r="B697" s="44" t="s">
        <v>9039</v>
      </c>
      <c r="C697" s="44" t="s">
        <v>9040</v>
      </c>
      <c r="D697" s="44" t="s">
        <v>16335</v>
      </c>
      <c r="E697" s="44" t="s">
        <v>15879</v>
      </c>
      <c r="F697" s="44" t="s">
        <v>15880</v>
      </c>
      <c r="G697" s="44" t="s">
        <v>14871</v>
      </c>
      <c r="H697" s="44" t="s">
        <v>14872</v>
      </c>
      <c r="I697" s="44" t="s">
        <v>14886</v>
      </c>
      <c r="J697" s="44" t="s">
        <v>14874</v>
      </c>
      <c r="K697" s="44" t="s">
        <v>14875</v>
      </c>
      <c r="L697" s="44" t="s">
        <v>9046</v>
      </c>
      <c r="M697" s="44" t="s">
        <v>14876</v>
      </c>
    </row>
    <row r="698" customFormat="false" ht="22.35" hidden="false" customHeight="false" outlineLevel="0" collapsed="false">
      <c r="A698" s="44" t="s">
        <v>16336</v>
      </c>
      <c r="B698" s="44" t="s">
        <v>9039</v>
      </c>
      <c r="C698" s="44" t="s">
        <v>9040</v>
      </c>
      <c r="D698" s="44" t="s">
        <v>16337</v>
      </c>
      <c r="E698" s="44" t="s">
        <v>192</v>
      </c>
      <c r="F698" s="44" t="s">
        <v>55</v>
      </c>
      <c r="G698" s="44" t="s">
        <v>14871</v>
      </c>
      <c r="H698" s="44" t="s">
        <v>14872</v>
      </c>
      <c r="I698" s="44" t="s">
        <v>14886</v>
      </c>
      <c r="J698" s="44" t="s">
        <v>14874</v>
      </c>
      <c r="K698" s="44" t="s">
        <v>14875</v>
      </c>
      <c r="L698" s="44" t="s">
        <v>9046</v>
      </c>
      <c r="M698" s="44" t="s">
        <v>14876</v>
      </c>
    </row>
    <row r="699" customFormat="false" ht="22.35" hidden="false" customHeight="false" outlineLevel="0" collapsed="false">
      <c r="A699" s="44" t="s">
        <v>16338</v>
      </c>
      <c r="B699" s="44" t="s">
        <v>9039</v>
      </c>
      <c r="C699" s="44" t="s">
        <v>9040</v>
      </c>
      <c r="D699" s="44" t="s">
        <v>16339</v>
      </c>
      <c r="E699" s="44" t="s">
        <v>3144</v>
      </c>
      <c r="F699" s="44" t="s">
        <v>3145</v>
      </c>
      <c r="G699" s="44" t="s">
        <v>14871</v>
      </c>
      <c r="H699" s="44" t="s">
        <v>14872</v>
      </c>
      <c r="I699" s="44" t="s">
        <v>14873</v>
      </c>
      <c r="J699" s="44" t="s">
        <v>14874</v>
      </c>
      <c r="K699" s="44" t="s">
        <v>14875</v>
      </c>
      <c r="L699" s="44" t="s">
        <v>9046</v>
      </c>
      <c r="M699" s="44" t="s">
        <v>14876</v>
      </c>
    </row>
    <row r="700" customFormat="false" ht="22.35" hidden="false" customHeight="false" outlineLevel="0" collapsed="false">
      <c r="A700" s="44" t="s">
        <v>16340</v>
      </c>
      <c r="B700" s="44" t="s">
        <v>9039</v>
      </c>
      <c r="C700" s="44" t="s">
        <v>9040</v>
      </c>
      <c r="D700" s="44" t="s">
        <v>16341</v>
      </c>
      <c r="E700" s="44" t="s">
        <v>16342</v>
      </c>
      <c r="F700" s="44" t="s">
        <v>16343</v>
      </c>
      <c r="G700" s="44" t="s">
        <v>14871</v>
      </c>
      <c r="H700" s="44" t="s">
        <v>14872</v>
      </c>
      <c r="I700" s="44" t="s">
        <v>14886</v>
      </c>
      <c r="J700" s="44" t="s">
        <v>14874</v>
      </c>
      <c r="K700" s="44" t="s">
        <v>14875</v>
      </c>
      <c r="L700" s="44" t="s">
        <v>9046</v>
      </c>
      <c r="M700" s="44" t="s">
        <v>14876</v>
      </c>
    </row>
    <row r="701" customFormat="false" ht="22.35" hidden="false" customHeight="false" outlineLevel="0" collapsed="false">
      <c r="A701" s="44" t="s">
        <v>16344</v>
      </c>
      <c r="B701" s="44" t="s">
        <v>9039</v>
      </c>
      <c r="C701" s="44" t="s">
        <v>9040</v>
      </c>
      <c r="D701" s="44" t="s">
        <v>16345</v>
      </c>
      <c r="E701" s="44" t="s">
        <v>16346</v>
      </c>
      <c r="F701" s="44" t="s">
        <v>16347</v>
      </c>
      <c r="G701" s="44" t="s">
        <v>14871</v>
      </c>
      <c r="H701" s="44" t="s">
        <v>14872</v>
      </c>
      <c r="I701" s="44" t="s">
        <v>14873</v>
      </c>
      <c r="J701" s="44" t="s">
        <v>14874</v>
      </c>
      <c r="K701" s="44" t="s">
        <v>14875</v>
      </c>
      <c r="L701" s="44" t="s">
        <v>9046</v>
      </c>
      <c r="M701" s="44" t="s">
        <v>14876</v>
      </c>
    </row>
    <row r="702" customFormat="false" ht="22.35" hidden="false" customHeight="false" outlineLevel="0" collapsed="false">
      <c r="A702" s="44" t="s">
        <v>16348</v>
      </c>
      <c r="B702" s="44" t="s">
        <v>9047</v>
      </c>
      <c r="C702" s="44" t="s">
        <v>9048</v>
      </c>
      <c r="D702" s="44" t="s">
        <v>16349</v>
      </c>
      <c r="E702" s="44"/>
      <c r="F702" s="44"/>
      <c r="G702" s="44" t="s">
        <v>14882</v>
      </c>
      <c r="H702" s="44" t="s">
        <v>14872</v>
      </c>
      <c r="I702" s="44" t="s">
        <v>14883</v>
      </c>
      <c r="J702" s="44" t="s">
        <v>14874</v>
      </c>
      <c r="K702" s="44" t="s">
        <v>14875</v>
      </c>
      <c r="L702" s="44" t="s">
        <v>9052</v>
      </c>
      <c r="M702" s="44" t="s">
        <v>14876</v>
      </c>
    </row>
    <row r="703" customFormat="false" ht="22.35" hidden="false" customHeight="false" outlineLevel="0" collapsed="false">
      <c r="A703" s="44" t="s">
        <v>16350</v>
      </c>
      <c r="B703" s="44" t="s">
        <v>9047</v>
      </c>
      <c r="C703" s="44" t="s">
        <v>9048</v>
      </c>
      <c r="D703" s="44" t="s">
        <v>16351</v>
      </c>
      <c r="E703" s="44" t="s">
        <v>200</v>
      </c>
      <c r="F703" s="44" t="s">
        <v>201</v>
      </c>
      <c r="G703" s="44" t="s">
        <v>14871</v>
      </c>
      <c r="H703" s="44" t="s">
        <v>14872</v>
      </c>
      <c r="I703" s="44" t="s">
        <v>14886</v>
      </c>
      <c r="J703" s="44" t="s">
        <v>14874</v>
      </c>
      <c r="K703" s="44" t="s">
        <v>14875</v>
      </c>
      <c r="L703" s="44" t="s">
        <v>9052</v>
      </c>
      <c r="M703" s="44" t="s">
        <v>14876</v>
      </c>
    </row>
    <row r="704" customFormat="false" ht="22.35" hidden="false" customHeight="false" outlineLevel="0" collapsed="false">
      <c r="A704" s="44" t="s">
        <v>16352</v>
      </c>
      <c r="B704" s="44" t="s">
        <v>9047</v>
      </c>
      <c r="C704" s="44" t="s">
        <v>9048</v>
      </c>
      <c r="D704" s="44" t="s">
        <v>16353</v>
      </c>
      <c r="E704" s="44" t="s">
        <v>200</v>
      </c>
      <c r="F704" s="44" t="s">
        <v>201</v>
      </c>
      <c r="G704" s="44" t="s">
        <v>14871</v>
      </c>
      <c r="H704" s="44" t="s">
        <v>14872</v>
      </c>
      <c r="I704" s="44" t="s">
        <v>14886</v>
      </c>
      <c r="J704" s="44" t="s">
        <v>14874</v>
      </c>
      <c r="K704" s="44" t="s">
        <v>14875</v>
      </c>
      <c r="L704" s="44" t="s">
        <v>9052</v>
      </c>
      <c r="M704" s="44" t="s">
        <v>14876</v>
      </c>
    </row>
    <row r="705" customFormat="false" ht="22.35" hidden="false" customHeight="false" outlineLevel="0" collapsed="false">
      <c r="A705" s="44" t="s">
        <v>16354</v>
      </c>
      <c r="B705" s="44" t="s">
        <v>9047</v>
      </c>
      <c r="C705" s="44" t="s">
        <v>9048</v>
      </c>
      <c r="D705" s="44" t="s">
        <v>16290</v>
      </c>
      <c r="E705" s="44"/>
      <c r="F705" s="44"/>
      <c r="G705" s="44" t="s">
        <v>14882</v>
      </c>
      <c r="H705" s="44" t="s">
        <v>14872</v>
      </c>
      <c r="I705" s="44" t="s">
        <v>14883</v>
      </c>
      <c r="J705" s="44" t="s">
        <v>14874</v>
      </c>
      <c r="K705" s="44" t="s">
        <v>14875</v>
      </c>
      <c r="L705" s="44" t="s">
        <v>9052</v>
      </c>
      <c r="M705" s="44" t="s">
        <v>14876</v>
      </c>
    </row>
    <row r="706" customFormat="false" ht="22.35" hidden="false" customHeight="false" outlineLevel="0" collapsed="false">
      <c r="A706" s="44" t="s">
        <v>16355</v>
      </c>
      <c r="B706" s="44" t="s">
        <v>9047</v>
      </c>
      <c r="C706" s="44" t="s">
        <v>9048</v>
      </c>
      <c r="D706" s="44" t="s">
        <v>16356</v>
      </c>
      <c r="E706" s="44" t="s">
        <v>16357</v>
      </c>
      <c r="F706" s="44" t="s">
        <v>16358</v>
      </c>
      <c r="G706" s="44" t="s">
        <v>14871</v>
      </c>
      <c r="H706" s="44" t="s">
        <v>14872</v>
      </c>
      <c r="I706" s="44" t="s">
        <v>14886</v>
      </c>
      <c r="J706" s="44" t="s">
        <v>14874</v>
      </c>
      <c r="K706" s="44" t="s">
        <v>14875</v>
      </c>
      <c r="L706" s="44" t="s">
        <v>9052</v>
      </c>
      <c r="M706" s="44" t="s">
        <v>14876</v>
      </c>
    </row>
    <row r="707" customFormat="false" ht="22.35" hidden="false" customHeight="false" outlineLevel="0" collapsed="false">
      <c r="A707" s="44" t="s">
        <v>16359</v>
      </c>
      <c r="B707" s="44" t="s">
        <v>9053</v>
      </c>
      <c r="C707" s="44" t="s">
        <v>9054</v>
      </c>
      <c r="D707" s="44" t="s">
        <v>16360</v>
      </c>
      <c r="E707" s="44"/>
      <c r="F707" s="44"/>
      <c r="G707" s="44" t="s">
        <v>14882</v>
      </c>
      <c r="H707" s="44" t="s">
        <v>14872</v>
      </c>
      <c r="I707" s="44" t="s">
        <v>14883</v>
      </c>
      <c r="J707" s="44" t="s">
        <v>14874</v>
      </c>
      <c r="K707" s="44" t="s">
        <v>14875</v>
      </c>
      <c r="L707" s="44" t="s">
        <v>9058</v>
      </c>
      <c r="M707" s="44" t="s">
        <v>14876</v>
      </c>
    </row>
    <row r="708" customFormat="false" ht="22.35" hidden="false" customHeight="false" outlineLevel="0" collapsed="false">
      <c r="A708" s="44" t="s">
        <v>16361</v>
      </c>
      <c r="B708" s="44" t="s">
        <v>9053</v>
      </c>
      <c r="C708" s="44" t="s">
        <v>9054</v>
      </c>
      <c r="D708" s="44" t="s">
        <v>16362</v>
      </c>
      <c r="E708" s="44" t="s">
        <v>4633</v>
      </c>
      <c r="F708" s="44" t="s">
        <v>4634</v>
      </c>
      <c r="G708" s="44" t="s">
        <v>14871</v>
      </c>
      <c r="H708" s="44" t="s">
        <v>14872</v>
      </c>
      <c r="I708" s="44" t="s">
        <v>14886</v>
      </c>
      <c r="J708" s="44" t="s">
        <v>14874</v>
      </c>
      <c r="K708" s="44" t="s">
        <v>14875</v>
      </c>
      <c r="L708" s="44" t="s">
        <v>9058</v>
      </c>
      <c r="M708" s="44" t="s">
        <v>14876</v>
      </c>
    </row>
    <row r="709" customFormat="false" ht="22.35" hidden="false" customHeight="false" outlineLevel="0" collapsed="false">
      <c r="A709" s="44" t="s">
        <v>16363</v>
      </c>
      <c r="B709" s="44" t="s">
        <v>9053</v>
      </c>
      <c r="C709" s="44" t="s">
        <v>9054</v>
      </c>
      <c r="D709" s="44" t="s">
        <v>16364</v>
      </c>
      <c r="E709" s="44" t="s">
        <v>15950</v>
      </c>
      <c r="F709" s="44" t="s">
        <v>15951</v>
      </c>
      <c r="G709" s="44" t="s">
        <v>14871</v>
      </c>
      <c r="H709" s="44" t="s">
        <v>14872</v>
      </c>
      <c r="I709" s="44" t="s">
        <v>14879</v>
      </c>
      <c r="J709" s="44" t="s">
        <v>14874</v>
      </c>
      <c r="K709" s="44" t="s">
        <v>14875</v>
      </c>
      <c r="L709" s="44" t="s">
        <v>9058</v>
      </c>
      <c r="M709" s="44" t="s">
        <v>14876</v>
      </c>
    </row>
    <row r="710" customFormat="false" ht="22.35" hidden="false" customHeight="false" outlineLevel="0" collapsed="false">
      <c r="A710" s="44" t="s">
        <v>16365</v>
      </c>
      <c r="B710" s="44" t="s">
        <v>9053</v>
      </c>
      <c r="C710" s="44" t="s">
        <v>9054</v>
      </c>
      <c r="D710" s="44" t="s">
        <v>16366</v>
      </c>
      <c r="E710" s="44"/>
      <c r="F710" s="44"/>
      <c r="G710" s="44" t="s">
        <v>14882</v>
      </c>
      <c r="H710" s="44" t="s">
        <v>14872</v>
      </c>
      <c r="I710" s="44" t="s">
        <v>14883</v>
      </c>
      <c r="J710" s="44" t="s">
        <v>14874</v>
      </c>
      <c r="K710" s="44" t="s">
        <v>14875</v>
      </c>
      <c r="L710" s="44" t="s">
        <v>9058</v>
      </c>
      <c r="M710" s="44" t="s">
        <v>14876</v>
      </c>
    </row>
    <row r="711" customFormat="false" ht="22.35" hidden="false" customHeight="false" outlineLevel="0" collapsed="false">
      <c r="A711" s="44" t="s">
        <v>16367</v>
      </c>
      <c r="B711" s="44" t="s">
        <v>9053</v>
      </c>
      <c r="C711" s="44" t="s">
        <v>9054</v>
      </c>
      <c r="D711" s="44" t="s">
        <v>16368</v>
      </c>
      <c r="E711" s="44" t="s">
        <v>1291</v>
      </c>
      <c r="F711" s="44" t="s">
        <v>1292</v>
      </c>
      <c r="G711" s="44" t="s">
        <v>14871</v>
      </c>
      <c r="H711" s="44" t="s">
        <v>14872</v>
      </c>
      <c r="I711" s="44" t="s">
        <v>14879</v>
      </c>
      <c r="J711" s="44" t="s">
        <v>14874</v>
      </c>
      <c r="K711" s="44" t="s">
        <v>14875</v>
      </c>
      <c r="L711" s="44" t="s">
        <v>9058</v>
      </c>
      <c r="M711" s="44" t="s">
        <v>14876</v>
      </c>
    </row>
    <row r="712" customFormat="false" ht="22.35" hidden="false" customHeight="false" outlineLevel="0" collapsed="false">
      <c r="A712" s="44" t="s">
        <v>16369</v>
      </c>
      <c r="B712" s="44" t="s">
        <v>9053</v>
      </c>
      <c r="C712" s="44" t="s">
        <v>9054</v>
      </c>
      <c r="D712" s="44" t="s">
        <v>16339</v>
      </c>
      <c r="E712" s="44" t="s">
        <v>3144</v>
      </c>
      <c r="F712" s="44" t="s">
        <v>3145</v>
      </c>
      <c r="G712" s="44" t="s">
        <v>14871</v>
      </c>
      <c r="H712" s="44" t="s">
        <v>14872</v>
      </c>
      <c r="I712" s="44" t="s">
        <v>14873</v>
      </c>
      <c r="J712" s="44" t="s">
        <v>14874</v>
      </c>
      <c r="K712" s="44" t="s">
        <v>14875</v>
      </c>
      <c r="L712" s="44" t="s">
        <v>9058</v>
      </c>
      <c r="M712" s="44" t="s">
        <v>14876</v>
      </c>
    </row>
    <row r="713" customFormat="false" ht="22.35" hidden="false" customHeight="false" outlineLevel="0" collapsed="false">
      <c r="A713" s="44" t="s">
        <v>16370</v>
      </c>
      <c r="B713" s="44" t="s">
        <v>9059</v>
      </c>
      <c r="C713" s="44" t="s">
        <v>9060</v>
      </c>
      <c r="D713" s="44" t="s">
        <v>16371</v>
      </c>
      <c r="E713" s="44" t="s">
        <v>1233</v>
      </c>
      <c r="F713" s="44" t="s">
        <v>1234</v>
      </c>
      <c r="G713" s="44" t="s">
        <v>14871</v>
      </c>
      <c r="H713" s="44" t="s">
        <v>14872</v>
      </c>
      <c r="I713" s="44" t="s">
        <v>14873</v>
      </c>
      <c r="J713" s="44" t="s">
        <v>14874</v>
      </c>
      <c r="K713" s="44" t="s">
        <v>14875</v>
      </c>
      <c r="L713" s="44" t="s">
        <v>9064</v>
      </c>
      <c r="M713" s="44" t="s">
        <v>14876</v>
      </c>
    </row>
    <row r="714" customFormat="false" ht="22.35" hidden="false" customHeight="false" outlineLevel="0" collapsed="false">
      <c r="A714" s="44" t="s">
        <v>16372</v>
      </c>
      <c r="B714" s="44" t="s">
        <v>9059</v>
      </c>
      <c r="C714" s="44" t="s">
        <v>9060</v>
      </c>
      <c r="D714" s="44" t="s">
        <v>16373</v>
      </c>
      <c r="E714" s="44"/>
      <c r="F714" s="44"/>
      <c r="G714" s="44" t="s">
        <v>14882</v>
      </c>
      <c r="H714" s="44" t="s">
        <v>14872</v>
      </c>
      <c r="I714" s="44" t="s">
        <v>14883</v>
      </c>
      <c r="J714" s="44" t="s">
        <v>14874</v>
      </c>
      <c r="K714" s="44" t="s">
        <v>14875</v>
      </c>
      <c r="L714" s="44" t="s">
        <v>9064</v>
      </c>
      <c r="M714" s="44" t="s">
        <v>14876</v>
      </c>
    </row>
    <row r="715" customFormat="false" ht="22.35" hidden="false" customHeight="false" outlineLevel="0" collapsed="false">
      <c r="A715" s="44" t="s">
        <v>16374</v>
      </c>
      <c r="B715" s="44" t="s">
        <v>9059</v>
      </c>
      <c r="C715" s="44" t="s">
        <v>9060</v>
      </c>
      <c r="D715" s="44" t="s">
        <v>15386</v>
      </c>
      <c r="E715" s="44" t="s">
        <v>15387</v>
      </c>
      <c r="F715" s="44" t="s">
        <v>15388</v>
      </c>
      <c r="G715" s="44" t="s">
        <v>14871</v>
      </c>
      <c r="H715" s="44" t="s">
        <v>14872</v>
      </c>
      <c r="I715" s="44" t="s">
        <v>14879</v>
      </c>
      <c r="J715" s="44" t="s">
        <v>14874</v>
      </c>
      <c r="K715" s="44" t="s">
        <v>14875</v>
      </c>
      <c r="L715" s="44" t="s">
        <v>9064</v>
      </c>
      <c r="M715" s="44" t="s">
        <v>14876</v>
      </c>
    </row>
    <row r="716" customFormat="false" ht="22.35" hidden="false" customHeight="false" outlineLevel="0" collapsed="false">
      <c r="A716" s="44" t="s">
        <v>16375</v>
      </c>
      <c r="B716" s="44" t="s">
        <v>9059</v>
      </c>
      <c r="C716" s="44" t="s">
        <v>9060</v>
      </c>
      <c r="D716" s="44" t="s">
        <v>16376</v>
      </c>
      <c r="E716" s="44"/>
      <c r="F716" s="44"/>
      <c r="G716" s="44" t="s">
        <v>14882</v>
      </c>
      <c r="H716" s="44" t="s">
        <v>14872</v>
      </c>
      <c r="I716" s="44" t="s">
        <v>14883</v>
      </c>
      <c r="J716" s="44" t="s">
        <v>14874</v>
      </c>
      <c r="K716" s="44" t="s">
        <v>14875</v>
      </c>
      <c r="L716" s="44" t="s">
        <v>9064</v>
      </c>
      <c r="M716" s="44" t="s">
        <v>14876</v>
      </c>
    </row>
    <row r="717" customFormat="false" ht="22.35" hidden="false" customHeight="false" outlineLevel="0" collapsed="false">
      <c r="A717" s="44" t="s">
        <v>16377</v>
      </c>
      <c r="B717" s="44" t="s">
        <v>9059</v>
      </c>
      <c r="C717" s="44" t="s">
        <v>9060</v>
      </c>
      <c r="D717" s="44" t="s">
        <v>16378</v>
      </c>
      <c r="E717" s="44" t="s">
        <v>4895</v>
      </c>
      <c r="F717" s="44" t="s">
        <v>4896</v>
      </c>
      <c r="G717" s="44" t="s">
        <v>14871</v>
      </c>
      <c r="H717" s="44" t="s">
        <v>14872</v>
      </c>
      <c r="I717" s="44" t="s">
        <v>14886</v>
      </c>
      <c r="J717" s="44" t="s">
        <v>14874</v>
      </c>
      <c r="K717" s="44" t="s">
        <v>14875</v>
      </c>
      <c r="L717" s="44" t="s">
        <v>9064</v>
      </c>
      <c r="M717" s="44" t="s">
        <v>14876</v>
      </c>
    </row>
    <row r="718" customFormat="false" ht="22.35" hidden="false" customHeight="false" outlineLevel="0" collapsed="false">
      <c r="A718" s="44" t="s">
        <v>16379</v>
      </c>
      <c r="B718" s="44" t="s">
        <v>9065</v>
      </c>
      <c r="C718" s="44" t="s">
        <v>9066</v>
      </c>
      <c r="D718" s="44" t="s">
        <v>16380</v>
      </c>
      <c r="E718" s="44" t="s">
        <v>16381</v>
      </c>
      <c r="F718" s="44" t="s">
        <v>16382</v>
      </c>
      <c r="G718" s="44" t="s">
        <v>14871</v>
      </c>
      <c r="H718" s="44" t="s">
        <v>14872</v>
      </c>
      <c r="I718" s="44" t="s">
        <v>14886</v>
      </c>
      <c r="J718" s="44" t="s">
        <v>14874</v>
      </c>
      <c r="K718" s="44" t="s">
        <v>14875</v>
      </c>
      <c r="L718" s="44" t="s">
        <v>9073</v>
      </c>
      <c r="M718" s="44" t="s">
        <v>14876</v>
      </c>
    </row>
    <row r="719" customFormat="false" ht="22.35" hidden="false" customHeight="false" outlineLevel="0" collapsed="false">
      <c r="A719" s="44" t="s">
        <v>16383</v>
      </c>
      <c r="B719" s="44" t="s">
        <v>9065</v>
      </c>
      <c r="C719" s="44" t="s">
        <v>9066</v>
      </c>
      <c r="D719" s="44" t="s">
        <v>16384</v>
      </c>
      <c r="E719" s="44" t="s">
        <v>3583</v>
      </c>
      <c r="F719" s="44" t="s">
        <v>3584</v>
      </c>
      <c r="G719" s="44" t="s">
        <v>14871</v>
      </c>
      <c r="H719" s="44" t="s">
        <v>14872</v>
      </c>
      <c r="I719" s="44" t="s">
        <v>14886</v>
      </c>
      <c r="J719" s="44" t="s">
        <v>14874</v>
      </c>
      <c r="K719" s="44" t="s">
        <v>14875</v>
      </c>
      <c r="L719" s="44" t="s">
        <v>9073</v>
      </c>
      <c r="M719" s="44" t="s">
        <v>14876</v>
      </c>
    </row>
    <row r="720" customFormat="false" ht="22.35" hidden="false" customHeight="false" outlineLevel="0" collapsed="false">
      <c r="A720" s="44" t="s">
        <v>16385</v>
      </c>
      <c r="B720" s="44" t="s">
        <v>9065</v>
      </c>
      <c r="C720" s="44" t="s">
        <v>9066</v>
      </c>
      <c r="D720" s="44" t="s">
        <v>16386</v>
      </c>
      <c r="E720" s="44" t="s">
        <v>16387</v>
      </c>
      <c r="F720" s="44" t="s">
        <v>16388</v>
      </c>
      <c r="G720" s="44" t="s">
        <v>14871</v>
      </c>
      <c r="H720" s="44" t="s">
        <v>14872</v>
      </c>
      <c r="I720" s="44" t="s">
        <v>14886</v>
      </c>
      <c r="J720" s="44" t="s">
        <v>14874</v>
      </c>
      <c r="K720" s="44" t="s">
        <v>14875</v>
      </c>
      <c r="L720" s="44" t="s">
        <v>9073</v>
      </c>
      <c r="M720" s="44" t="s">
        <v>14876</v>
      </c>
    </row>
    <row r="721" customFormat="false" ht="22.35" hidden="false" customHeight="false" outlineLevel="0" collapsed="false">
      <c r="A721" s="44" t="s">
        <v>16389</v>
      </c>
      <c r="B721" s="44" t="s">
        <v>9074</v>
      </c>
      <c r="C721" s="44" t="s">
        <v>9075</v>
      </c>
      <c r="D721" s="44" t="s">
        <v>16390</v>
      </c>
      <c r="E721" s="44" t="s">
        <v>3583</v>
      </c>
      <c r="F721" s="44" t="s">
        <v>3584</v>
      </c>
      <c r="G721" s="44" t="s">
        <v>14871</v>
      </c>
      <c r="H721" s="44" t="s">
        <v>14872</v>
      </c>
      <c r="I721" s="44" t="s">
        <v>14886</v>
      </c>
      <c r="J721" s="44" t="s">
        <v>14874</v>
      </c>
      <c r="K721" s="44" t="s">
        <v>14875</v>
      </c>
      <c r="L721" s="44" t="s">
        <v>9080</v>
      </c>
      <c r="M721" s="44" t="s">
        <v>14876</v>
      </c>
    </row>
    <row r="722" customFormat="false" ht="22.35" hidden="false" customHeight="false" outlineLevel="0" collapsed="false">
      <c r="A722" s="44" t="s">
        <v>16391</v>
      </c>
      <c r="B722" s="44" t="s">
        <v>9074</v>
      </c>
      <c r="C722" s="44" t="s">
        <v>9075</v>
      </c>
      <c r="D722" s="44" t="s">
        <v>16392</v>
      </c>
      <c r="E722" s="44" t="s">
        <v>4895</v>
      </c>
      <c r="F722" s="44" t="s">
        <v>4896</v>
      </c>
      <c r="G722" s="44" t="s">
        <v>14871</v>
      </c>
      <c r="H722" s="44" t="s">
        <v>14872</v>
      </c>
      <c r="I722" s="44" t="s">
        <v>14886</v>
      </c>
      <c r="J722" s="44" t="s">
        <v>14874</v>
      </c>
      <c r="K722" s="44" t="s">
        <v>14875</v>
      </c>
      <c r="L722" s="44" t="s">
        <v>9080</v>
      </c>
      <c r="M722" s="44" t="s">
        <v>14876</v>
      </c>
    </row>
    <row r="723" customFormat="false" ht="22.35" hidden="false" customHeight="false" outlineLevel="0" collapsed="false">
      <c r="A723" s="44" t="s">
        <v>16393</v>
      </c>
      <c r="B723" s="44" t="s">
        <v>9074</v>
      </c>
      <c r="C723" s="44" t="s">
        <v>9075</v>
      </c>
      <c r="D723" s="44" t="s">
        <v>16394</v>
      </c>
      <c r="E723" s="44"/>
      <c r="F723" s="44"/>
      <c r="G723" s="44" t="s">
        <v>14882</v>
      </c>
      <c r="H723" s="44" t="s">
        <v>14872</v>
      </c>
      <c r="I723" s="44" t="s">
        <v>14883</v>
      </c>
      <c r="J723" s="44" t="s">
        <v>14874</v>
      </c>
      <c r="K723" s="44" t="s">
        <v>14875</v>
      </c>
      <c r="L723" s="44" t="s">
        <v>9080</v>
      </c>
      <c r="M723" s="44" t="s">
        <v>14876</v>
      </c>
    </row>
    <row r="724" customFormat="false" ht="22.35" hidden="false" customHeight="false" outlineLevel="0" collapsed="false">
      <c r="A724" s="44" t="s">
        <v>16395</v>
      </c>
      <c r="B724" s="44" t="s">
        <v>9074</v>
      </c>
      <c r="C724" s="44" t="s">
        <v>9075</v>
      </c>
      <c r="D724" s="44" t="s">
        <v>16396</v>
      </c>
      <c r="E724" s="44" t="s">
        <v>180</v>
      </c>
      <c r="F724" s="44" t="s">
        <v>47</v>
      </c>
      <c r="G724" s="44" t="s">
        <v>14871</v>
      </c>
      <c r="H724" s="44" t="s">
        <v>14872</v>
      </c>
      <c r="I724" s="44" t="s">
        <v>14886</v>
      </c>
      <c r="J724" s="44" t="s">
        <v>14874</v>
      </c>
      <c r="K724" s="44" t="s">
        <v>14875</v>
      </c>
      <c r="L724" s="44" t="s">
        <v>9080</v>
      </c>
      <c r="M724" s="44" t="s">
        <v>14876</v>
      </c>
    </row>
    <row r="725" customFormat="false" ht="22.35" hidden="false" customHeight="false" outlineLevel="0" collapsed="false">
      <c r="A725" s="44" t="s">
        <v>16397</v>
      </c>
      <c r="B725" s="44" t="s">
        <v>9081</v>
      </c>
      <c r="C725" s="44" t="s">
        <v>9082</v>
      </c>
      <c r="D725" s="44" t="s">
        <v>16398</v>
      </c>
      <c r="E725" s="44" t="s">
        <v>2411</v>
      </c>
      <c r="F725" s="44" t="s">
        <v>2412</v>
      </c>
      <c r="G725" s="44" t="s">
        <v>14871</v>
      </c>
      <c r="H725" s="44" t="s">
        <v>14872</v>
      </c>
      <c r="I725" s="44" t="s">
        <v>14873</v>
      </c>
      <c r="J725" s="44" t="s">
        <v>14874</v>
      </c>
      <c r="K725" s="44" t="s">
        <v>14875</v>
      </c>
      <c r="L725" s="44" t="s">
        <v>9085</v>
      </c>
      <c r="M725" s="44" t="s">
        <v>14876</v>
      </c>
    </row>
    <row r="726" customFormat="false" ht="22.35" hidden="false" customHeight="false" outlineLevel="0" collapsed="false">
      <c r="A726" s="44" t="s">
        <v>16399</v>
      </c>
      <c r="B726" s="44" t="s">
        <v>9081</v>
      </c>
      <c r="C726" s="44" t="s">
        <v>9082</v>
      </c>
      <c r="D726" s="44" t="s">
        <v>15896</v>
      </c>
      <c r="E726" s="44" t="s">
        <v>192</v>
      </c>
      <c r="F726" s="44" t="s">
        <v>55</v>
      </c>
      <c r="G726" s="44" t="s">
        <v>14871</v>
      </c>
      <c r="H726" s="44" t="s">
        <v>14872</v>
      </c>
      <c r="I726" s="44" t="s">
        <v>14886</v>
      </c>
      <c r="J726" s="44" t="s">
        <v>14874</v>
      </c>
      <c r="K726" s="44" t="s">
        <v>14875</v>
      </c>
      <c r="L726" s="44" t="s">
        <v>9085</v>
      </c>
      <c r="M726" s="44" t="s">
        <v>14876</v>
      </c>
    </row>
    <row r="727" customFormat="false" ht="22.35" hidden="false" customHeight="false" outlineLevel="0" collapsed="false">
      <c r="A727" s="44" t="s">
        <v>16400</v>
      </c>
      <c r="B727" s="44" t="s">
        <v>9081</v>
      </c>
      <c r="C727" s="44" t="s">
        <v>9082</v>
      </c>
      <c r="D727" s="44" t="s">
        <v>16384</v>
      </c>
      <c r="E727" s="44" t="s">
        <v>3583</v>
      </c>
      <c r="F727" s="44" t="s">
        <v>3584</v>
      </c>
      <c r="G727" s="44" t="s">
        <v>14871</v>
      </c>
      <c r="H727" s="44" t="s">
        <v>14872</v>
      </c>
      <c r="I727" s="44" t="s">
        <v>14886</v>
      </c>
      <c r="J727" s="44" t="s">
        <v>14874</v>
      </c>
      <c r="K727" s="44" t="s">
        <v>14875</v>
      </c>
      <c r="L727" s="44" t="s">
        <v>9085</v>
      </c>
      <c r="M727" s="44" t="s">
        <v>14876</v>
      </c>
    </row>
    <row r="728" customFormat="false" ht="22.35" hidden="false" customHeight="false" outlineLevel="0" collapsed="false">
      <c r="A728" s="44" t="s">
        <v>16401</v>
      </c>
      <c r="B728" s="44" t="s">
        <v>9081</v>
      </c>
      <c r="C728" s="44" t="s">
        <v>9082</v>
      </c>
      <c r="D728" s="44" t="s">
        <v>16402</v>
      </c>
      <c r="E728" s="44"/>
      <c r="F728" s="44"/>
      <c r="G728" s="44" t="s">
        <v>14882</v>
      </c>
      <c r="H728" s="44" t="s">
        <v>14872</v>
      </c>
      <c r="I728" s="44" t="s">
        <v>14883</v>
      </c>
      <c r="J728" s="44" t="s">
        <v>14874</v>
      </c>
      <c r="K728" s="44" t="s">
        <v>14875</v>
      </c>
      <c r="L728" s="44" t="s">
        <v>9085</v>
      </c>
      <c r="M728" s="44" t="s">
        <v>14876</v>
      </c>
    </row>
    <row r="729" customFormat="false" ht="22.35" hidden="false" customHeight="false" outlineLevel="0" collapsed="false">
      <c r="A729" s="44" t="s">
        <v>16403</v>
      </c>
      <c r="B729" s="44" t="s">
        <v>9081</v>
      </c>
      <c r="C729" s="44" t="s">
        <v>9082</v>
      </c>
      <c r="D729" s="44" t="s">
        <v>16404</v>
      </c>
      <c r="E729" s="44"/>
      <c r="F729" s="44"/>
      <c r="G729" s="44" t="s">
        <v>14882</v>
      </c>
      <c r="H729" s="44" t="s">
        <v>14872</v>
      </c>
      <c r="I729" s="44" t="s">
        <v>14883</v>
      </c>
      <c r="J729" s="44" t="s">
        <v>14874</v>
      </c>
      <c r="K729" s="44" t="s">
        <v>14875</v>
      </c>
      <c r="L729" s="44" t="s">
        <v>9085</v>
      </c>
      <c r="M729" s="44" t="s">
        <v>14876</v>
      </c>
    </row>
    <row r="730" customFormat="false" ht="22.35" hidden="false" customHeight="false" outlineLevel="0" collapsed="false">
      <c r="A730" s="44" t="s">
        <v>16405</v>
      </c>
      <c r="B730" s="44" t="s">
        <v>9086</v>
      </c>
      <c r="C730" s="44" t="s">
        <v>9087</v>
      </c>
      <c r="D730" s="44" t="s">
        <v>16406</v>
      </c>
      <c r="E730" s="44"/>
      <c r="F730" s="44"/>
      <c r="G730" s="44" t="s">
        <v>14882</v>
      </c>
      <c r="H730" s="44" t="s">
        <v>14872</v>
      </c>
      <c r="I730" s="44" t="s">
        <v>14883</v>
      </c>
      <c r="J730" s="44" t="s">
        <v>14874</v>
      </c>
      <c r="K730" s="44" t="s">
        <v>14875</v>
      </c>
      <c r="L730" s="44" t="s">
        <v>9091</v>
      </c>
      <c r="M730" s="44" t="s">
        <v>14876</v>
      </c>
    </row>
    <row r="731" customFormat="false" ht="22.35" hidden="false" customHeight="false" outlineLevel="0" collapsed="false">
      <c r="A731" s="44" t="s">
        <v>16407</v>
      </c>
      <c r="B731" s="44" t="s">
        <v>9086</v>
      </c>
      <c r="C731" s="44" t="s">
        <v>9087</v>
      </c>
      <c r="D731" s="44" t="s">
        <v>16408</v>
      </c>
      <c r="E731" s="44" t="s">
        <v>4895</v>
      </c>
      <c r="F731" s="44" t="s">
        <v>4896</v>
      </c>
      <c r="G731" s="44" t="s">
        <v>14871</v>
      </c>
      <c r="H731" s="44" t="s">
        <v>14872</v>
      </c>
      <c r="I731" s="44" t="s">
        <v>14886</v>
      </c>
      <c r="J731" s="44" t="s">
        <v>14874</v>
      </c>
      <c r="K731" s="44" t="s">
        <v>14875</v>
      </c>
      <c r="L731" s="44" t="s">
        <v>9091</v>
      </c>
      <c r="M731" s="44" t="s">
        <v>14876</v>
      </c>
    </row>
    <row r="732" customFormat="false" ht="22.35" hidden="false" customHeight="false" outlineLevel="0" collapsed="false">
      <c r="A732" s="44" t="s">
        <v>16409</v>
      </c>
      <c r="B732" s="44" t="s">
        <v>9086</v>
      </c>
      <c r="C732" s="44" t="s">
        <v>9087</v>
      </c>
      <c r="D732" s="44" t="s">
        <v>16410</v>
      </c>
      <c r="E732" s="44"/>
      <c r="F732" s="44"/>
      <c r="G732" s="44" t="s">
        <v>14882</v>
      </c>
      <c r="H732" s="44" t="s">
        <v>14872</v>
      </c>
      <c r="I732" s="44" t="s">
        <v>14883</v>
      </c>
      <c r="J732" s="44" t="s">
        <v>14874</v>
      </c>
      <c r="K732" s="44" t="s">
        <v>14875</v>
      </c>
      <c r="L732" s="44" t="s">
        <v>9091</v>
      </c>
      <c r="M732" s="44" t="s">
        <v>14876</v>
      </c>
    </row>
    <row r="733" customFormat="false" ht="22.35" hidden="false" customHeight="false" outlineLevel="0" collapsed="false">
      <c r="A733" s="44" t="s">
        <v>16411</v>
      </c>
      <c r="B733" s="44" t="s">
        <v>9086</v>
      </c>
      <c r="C733" s="44" t="s">
        <v>9087</v>
      </c>
      <c r="D733" s="44" t="s">
        <v>16412</v>
      </c>
      <c r="E733" s="44"/>
      <c r="F733" s="44"/>
      <c r="G733" s="44" t="s">
        <v>14882</v>
      </c>
      <c r="H733" s="44" t="s">
        <v>14872</v>
      </c>
      <c r="I733" s="44" t="s">
        <v>14883</v>
      </c>
      <c r="J733" s="44" t="s">
        <v>14874</v>
      </c>
      <c r="K733" s="44" t="s">
        <v>14875</v>
      </c>
      <c r="L733" s="44" t="s">
        <v>9091</v>
      </c>
      <c r="M733" s="44" t="s">
        <v>14876</v>
      </c>
    </row>
    <row r="734" customFormat="false" ht="22.35" hidden="false" customHeight="false" outlineLevel="0" collapsed="false">
      <c r="A734" s="44" t="s">
        <v>16413</v>
      </c>
      <c r="B734" s="44" t="s">
        <v>9092</v>
      </c>
      <c r="C734" s="44" t="s">
        <v>9093</v>
      </c>
      <c r="D734" s="44" t="s">
        <v>16414</v>
      </c>
      <c r="E734" s="44" t="s">
        <v>4633</v>
      </c>
      <c r="F734" s="44" t="s">
        <v>4634</v>
      </c>
      <c r="G734" s="44" t="s">
        <v>14871</v>
      </c>
      <c r="H734" s="44" t="s">
        <v>14872</v>
      </c>
      <c r="I734" s="44" t="s">
        <v>14886</v>
      </c>
      <c r="J734" s="44" t="s">
        <v>14874</v>
      </c>
      <c r="K734" s="44" t="s">
        <v>14875</v>
      </c>
      <c r="L734" s="44" t="s">
        <v>9098</v>
      </c>
      <c r="M734" s="44" t="s">
        <v>14876</v>
      </c>
    </row>
    <row r="735" customFormat="false" ht="22.35" hidden="false" customHeight="false" outlineLevel="0" collapsed="false">
      <c r="A735" s="44" t="s">
        <v>16415</v>
      </c>
      <c r="B735" s="44" t="s">
        <v>9092</v>
      </c>
      <c r="C735" s="44" t="s">
        <v>9093</v>
      </c>
      <c r="D735" s="44" t="s">
        <v>16416</v>
      </c>
      <c r="E735" s="44"/>
      <c r="F735" s="44"/>
      <c r="G735" s="44" t="s">
        <v>14882</v>
      </c>
      <c r="H735" s="44" t="s">
        <v>14872</v>
      </c>
      <c r="I735" s="44" t="s">
        <v>14883</v>
      </c>
      <c r="J735" s="44" t="s">
        <v>14874</v>
      </c>
      <c r="K735" s="44" t="s">
        <v>14875</v>
      </c>
      <c r="L735" s="44" t="s">
        <v>9098</v>
      </c>
      <c r="M735" s="44" t="s">
        <v>14876</v>
      </c>
    </row>
    <row r="736" customFormat="false" ht="22.35" hidden="false" customHeight="false" outlineLevel="0" collapsed="false">
      <c r="A736" s="44" t="s">
        <v>16417</v>
      </c>
      <c r="B736" s="44" t="s">
        <v>9092</v>
      </c>
      <c r="C736" s="44" t="s">
        <v>9093</v>
      </c>
      <c r="D736" s="44" t="s">
        <v>16418</v>
      </c>
      <c r="E736" s="44" t="s">
        <v>223</v>
      </c>
      <c r="F736" s="44" t="s">
        <v>224</v>
      </c>
      <c r="G736" s="44" t="s">
        <v>14871</v>
      </c>
      <c r="H736" s="44" t="s">
        <v>14872</v>
      </c>
      <c r="I736" s="44" t="s">
        <v>14879</v>
      </c>
      <c r="J736" s="44" t="s">
        <v>14874</v>
      </c>
      <c r="K736" s="44" t="s">
        <v>14875</v>
      </c>
      <c r="L736" s="44" t="s">
        <v>9098</v>
      </c>
      <c r="M736" s="44" t="s">
        <v>14876</v>
      </c>
    </row>
    <row r="737" customFormat="false" ht="22.35" hidden="false" customHeight="false" outlineLevel="0" collapsed="false">
      <c r="A737" s="44" t="s">
        <v>16419</v>
      </c>
      <c r="B737" s="44" t="s">
        <v>9092</v>
      </c>
      <c r="C737" s="44" t="s">
        <v>9093</v>
      </c>
      <c r="D737" s="44" t="s">
        <v>16420</v>
      </c>
      <c r="E737" s="44"/>
      <c r="F737" s="44"/>
      <c r="G737" s="44" t="s">
        <v>14882</v>
      </c>
      <c r="H737" s="44" t="s">
        <v>14872</v>
      </c>
      <c r="I737" s="44" t="s">
        <v>14883</v>
      </c>
      <c r="J737" s="44" t="s">
        <v>14874</v>
      </c>
      <c r="K737" s="44" t="s">
        <v>14875</v>
      </c>
      <c r="L737" s="44" t="s">
        <v>9098</v>
      </c>
      <c r="M737" s="44" t="s">
        <v>14876</v>
      </c>
    </row>
    <row r="738" customFormat="false" ht="22.35" hidden="false" customHeight="false" outlineLevel="0" collapsed="false">
      <c r="A738" s="44" t="s">
        <v>16421</v>
      </c>
      <c r="B738" s="44" t="s">
        <v>9092</v>
      </c>
      <c r="C738" s="44" t="s">
        <v>9093</v>
      </c>
      <c r="D738" s="44" t="s">
        <v>16422</v>
      </c>
      <c r="E738" s="44"/>
      <c r="F738" s="44"/>
      <c r="G738" s="44" t="s">
        <v>14882</v>
      </c>
      <c r="H738" s="44" t="s">
        <v>14872</v>
      </c>
      <c r="I738" s="44" t="s">
        <v>14883</v>
      </c>
      <c r="J738" s="44" t="s">
        <v>14874</v>
      </c>
      <c r="K738" s="44" t="s">
        <v>14875</v>
      </c>
      <c r="L738" s="44" t="s">
        <v>9098</v>
      </c>
      <c r="M738" s="44" t="s">
        <v>14876</v>
      </c>
    </row>
    <row r="739" customFormat="false" ht="22.35" hidden="false" customHeight="false" outlineLevel="0" collapsed="false">
      <c r="A739" s="44" t="s">
        <v>16423</v>
      </c>
      <c r="B739" s="44" t="s">
        <v>9099</v>
      </c>
      <c r="C739" s="44" t="s">
        <v>9100</v>
      </c>
      <c r="D739" s="44" t="s">
        <v>16424</v>
      </c>
      <c r="E739" s="44" t="s">
        <v>15879</v>
      </c>
      <c r="F739" s="44" t="s">
        <v>15880</v>
      </c>
      <c r="G739" s="44" t="s">
        <v>14871</v>
      </c>
      <c r="H739" s="44" t="s">
        <v>14872</v>
      </c>
      <c r="I739" s="44" t="s">
        <v>14886</v>
      </c>
      <c r="J739" s="44" t="s">
        <v>14874</v>
      </c>
      <c r="K739" s="44" t="s">
        <v>14875</v>
      </c>
      <c r="L739" s="44" t="s">
        <v>9104</v>
      </c>
      <c r="M739" s="44" t="s">
        <v>14876</v>
      </c>
    </row>
    <row r="740" customFormat="false" ht="22.35" hidden="false" customHeight="false" outlineLevel="0" collapsed="false">
      <c r="A740" s="44" t="s">
        <v>16425</v>
      </c>
      <c r="B740" s="44" t="s">
        <v>9099</v>
      </c>
      <c r="C740" s="44" t="s">
        <v>9100</v>
      </c>
      <c r="D740" s="44" t="s">
        <v>16426</v>
      </c>
      <c r="E740" s="44"/>
      <c r="F740" s="44"/>
      <c r="G740" s="44" t="s">
        <v>14882</v>
      </c>
      <c r="H740" s="44" t="s">
        <v>14872</v>
      </c>
      <c r="I740" s="44" t="s">
        <v>14883</v>
      </c>
      <c r="J740" s="44" t="s">
        <v>14874</v>
      </c>
      <c r="K740" s="44" t="s">
        <v>14875</v>
      </c>
      <c r="L740" s="44" t="s">
        <v>9104</v>
      </c>
      <c r="M740" s="44" t="s">
        <v>14876</v>
      </c>
    </row>
    <row r="741" customFormat="false" ht="22.35" hidden="false" customHeight="false" outlineLevel="0" collapsed="false">
      <c r="A741" s="44" t="s">
        <v>16427</v>
      </c>
      <c r="B741" s="44" t="s">
        <v>9099</v>
      </c>
      <c r="C741" s="44" t="s">
        <v>9100</v>
      </c>
      <c r="D741" s="44" t="s">
        <v>16428</v>
      </c>
      <c r="E741" s="44" t="s">
        <v>6785</v>
      </c>
      <c r="F741" s="44" t="s">
        <v>6786</v>
      </c>
      <c r="G741" s="44" t="s">
        <v>14871</v>
      </c>
      <c r="H741" s="44" t="s">
        <v>14872</v>
      </c>
      <c r="I741" s="44" t="s">
        <v>14886</v>
      </c>
      <c r="J741" s="44" t="s">
        <v>14874</v>
      </c>
      <c r="K741" s="44" t="s">
        <v>14875</v>
      </c>
      <c r="L741" s="44" t="s">
        <v>9104</v>
      </c>
      <c r="M741" s="44" t="s">
        <v>14876</v>
      </c>
    </row>
    <row r="742" customFormat="false" ht="22.35" hidden="false" customHeight="false" outlineLevel="0" collapsed="false">
      <c r="A742" s="44" t="s">
        <v>16429</v>
      </c>
      <c r="B742" s="44" t="s">
        <v>9099</v>
      </c>
      <c r="C742" s="44" t="s">
        <v>9100</v>
      </c>
      <c r="D742" s="44" t="s">
        <v>15896</v>
      </c>
      <c r="E742" s="44" t="s">
        <v>192</v>
      </c>
      <c r="F742" s="44" t="s">
        <v>55</v>
      </c>
      <c r="G742" s="44" t="s">
        <v>14871</v>
      </c>
      <c r="H742" s="44" t="s">
        <v>14872</v>
      </c>
      <c r="I742" s="44" t="s">
        <v>14886</v>
      </c>
      <c r="J742" s="44" t="s">
        <v>14874</v>
      </c>
      <c r="K742" s="44" t="s">
        <v>14875</v>
      </c>
      <c r="L742" s="44" t="s">
        <v>9104</v>
      </c>
      <c r="M742" s="44" t="s">
        <v>14876</v>
      </c>
    </row>
    <row r="743" customFormat="false" ht="22.35" hidden="false" customHeight="false" outlineLevel="0" collapsed="false">
      <c r="A743" s="44" t="s">
        <v>16430</v>
      </c>
      <c r="B743" s="44" t="s">
        <v>9099</v>
      </c>
      <c r="C743" s="44" t="s">
        <v>9100</v>
      </c>
      <c r="D743" s="44" t="s">
        <v>16431</v>
      </c>
      <c r="E743" s="44" t="s">
        <v>4900</v>
      </c>
      <c r="F743" s="44" t="s">
        <v>4901</v>
      </c>
      <c r="G743" s="44" t="s">
        <v>14871</v>
      </c>
      <c r="H743" s="44" t="s">
        <v>14872</v>
      </c>
      <c r="I743" s="44" t="s">
        <v>14873</v>
      </c>
      <c r="J743" s="44" t="s">
        <v>14874</v>
      </c>
      <c r="K743" s="44" t="s">
        <v>14875</v>
      </c>
      <c r="L743" s="44" t="s">
        <v>9104</v>
      </c>
      <c r="M743" s="44" t="s">
        <v>14876</v>
      </c>
    </row>
    <row r="744" customFormat="false" ht="22.35" hidden="false" customHeight="false" outlineLevel="0" collapsed="false">
      <c r="A744" s="44" t="s">
        <v>16432</v>
      </c>
      <c r="B744" s="44" t="s">
        <v>9105</v>
      </c>
      <c r="C744" s="44" t="s">
        <v>9106</v>
      </c>
      <c r="D744" s="44" t="s">
        <v>16433</v>
      </c>
      <c r="E744" s="44"/>
      <c r="F744" s="44"/>
      <c r="G744" s="44" t="s">
        <v>14882</v>
      </c>
      <c r="H744" s="44" t="s">
        <v>14872</v>
      </c>
      <c r="I744" s="44" t="s">
        <v>14883</v>
      </c>
      <c r="J744" s="44" t="s">
        <v>14874</v>
      </c>
      <c r="K744" s="44" t="s">
        <v>14875</v>
      </c>
      <c r="L744" s="44" t="s">
        <v>9110</v>
      </c>
      <c r="M744" s="44" t="s">
        <v>14876</v>
      </c>
    </row>
    <row r="745" customFormat="false" ht="22.35" hidden="false" customHeight="false" outlineLevel="0" collapsed="false">
      <c r="A745" s="44" t="s">
        <v>16434</v>
      </c>
      <c r="B745" s="44" t="s">
        <v>9105</v>
      </c>
      <c r="C745" s="44" t="s">
        <v>9106</v>
      </c>
      <c r="D745" s="44" t="s">
        <v>16435</v>
      </c>
      <c r="E745" s="44"/>
      <c r="F745" s="44"/>
      <c r="G745" s="44" t="s">
        <v>14882</v>
      </c>
      <c r="H745" s="44" t="s">
        <v>14872</v>
      </c>
      <c r="I745" s="44" t="s">
        <v>14883</v>
      </c>
      <c r="J745" s="44" t="s">
        <v>14874</v>
      </c>
      <c r="K745" s="44" t="s">
        <v>14875</v>
      </c>
      <c r="L745" s="44" t="s">
        <v>9110</v>
      </c>
      <c r="M745" s="44" t="s">
        <v>14876</v>
      </c>
    </row>
    <row r="746" customFormat="false" ht="22.35" hidden="false" customHeight="false" outlineLevel="0" collapsed="false">
      <c r="A746" s="44" t="s">
        <v>16436</v>
      </c>
      <c r="B746" s="44" t="s">
        <v>9105</v>
      </c>
      <c r="C746" s="44" t="s">
        <v>9106</v>
      </c>
      <c r="D746" s="44" t="s">
        <v>16437</v>
      </c>
      <c r="E746" s="44"/>
      <c r="F746" s="44"/>
      <c r="G746" s="44" t="s">
        <v>14882</v>
      </c>
      <c r="H746" s="44" t="s">
        <v>14872</v>
      </c>
      <c r="I746" s="44" t="s">
        <v>14883</v>
      </c>
      <c r="J746" s="44" t="s">
        <v>14874</v>
      </c>
      <c r="K746" s="44" t="s">
        <v>14875</v>
      </c>
      <c r="L746" s="44" t="s">
        <v>9110</v>
      </c>
      <c r="M746" s="44" t="s">
        <v>14876</v>
      </c>
    </row>
    <row r="747" customFormat="false" ht="22.35" hidden="false" customHeight="false" outlineLevel="0" collapsed="false">
      <c r="A747" s="44" t="s">
        <v>16438</v>
      </c>
      <c r="B747" s="44" t="s">
        <v>9105</v>
      </c>
      <c r="C747" s="44" t="s">
        <v>9106</v>
      </c>
      <c r="D747" s="44" t="s">
        <v>16384</v>
      </c>
      <c r="E747" s="44" t="s">
        <v>3583</v>
      </c>
      <c r="F747" s="44" t="s">
        <v>3584</v>
      </c>
      <c r="G747" s="44" t="s">
        <v>14871</v>
      </c>
      <c r="H747" s="44" t="s">
        <v>14872</v>
      </c>
      <c r="I747" s="44" t="s">
        <v>14886</v>
      </c>
      <c r="J747" s="44" t="s">
        <v>14874</v>
      </c>
      <c r="K747" s="44" t="s">
        <v>14875</v>
      </c>
      <c r="L747" s="44" t="s">
        <v>9110</v>
      </c>
      <c r="M747" s="44" t="s">
        <v>14876</v>
      </c>
    </row>
    <row r="748" customFormat="false" ht="22.35" hidden="false" customHeight="false" outlineLevel="0" collapsed="false">
      <c r="A748" s="44" t="s">
        <v>16439</v>
      </c>
      <c r="B748" s="44" t="s">
        <v>9105</v>
      </c>
      <c r="C748" s="44" t="s">
        <v>9106</v>
      </c>
      <c r="D748" s="44" t="s">
        <v>16440</v>
      </c>
      <c r="E748" s="44" t="s">
        <v>4214</v>
      </c>
      <c r="F748" s="44" t="s">
        <v>4215</v>
      </c>
      <c r="G748" s="44" t="s">
        <v>14871</v>
      </c>
      <c r="H748" s="44" t="s">
        <v>14872</v>
      </c>
      <c r="I748" s="44" t="s">
        <v>14886</v>
      </c>
      <c r="J748" s="44" t="s">
        <v>14874</v>
      </c>
      <c r="K748" s="44" t="s">
        <v>14875</v>
      </c>
      <c r="L748" s="44" t="s">
        <v>9110</v>
      </c>
      <c r="M748" s="44" t="s">
        <v>14876</v>
      </c>
    </row>
    <row r="749" customFormat="false" ht="22.35" hidden="false" customHeight="false" outlineLevel="0" collapsed="false">
      <c r="A749" s="44" t="s">
        <v>16441</v>
      </c>
      <c r="B749" s="44" t="s">
        <v>9111</v>
      </c>
      <c r="C749" s="44" t="s">
        <v>9112</v>
      </c>
      <c r="D749" s="44" t="s">
        <v>16442</v>
      </c>
      <c r="E749" s="44" t="s">
        <v>4895</v>
      </c>
      <c r="F749" s="44" t="s">
        <v>4896</v>
      </c>
      <c r="G749" s="44" t="s">
        <v>14871</v>
      </c>
      <c r="H749" s="44" t="s">
        <v>14872</v>
      </c>
      <c r="I749" s="44" t="s">
        <v>14886</v>
      </c>
      <c r="J749" s="44" t="s">
        <v>14874</v>
      </c>
      <c r="K749" s="44" t="s">
        <v>14875</v>
      </c>
      <c r="L749" s="44" t="s">
        <v>9117</v>
      </c>
      <c r="M749" s="44" t="s">
        <v>14876</v>
      </c>
    </row>
    <row r="750" customFormat="false" ht="22.35" hidden="false" customHeight="false" outlineLevel="0" collapsed="false">
      <c r="A750" s="44" t="s">
        <v>16443</v>
      </c>
      <c r="B750" s="44" t="s">
        <v>9111</v>
      </c>
      <c r="C750" s="44" t="s">
        <v>9112</v>
      </c>
      <c r="D750" s="44" t="s">
        <v>15974</v>
      </c>
      <c r="E750" s="44"/>
      <c r="F750" s="44"/>
      <c r="G750" s="44" t="s">
        <v>14882</v>
      </c>
      <c r="H750" s="44" t="s">
        <v>14872</v>
      </c>
      <c r="I750" s="44" t="s">
        <v>14883</v>
      </c>
      <c r="J750" s="44" t="s">
        <v>14874</v>
      </c>
      <c r="K750" s="44" t="s">
        <v>14875</v>
      </c>
      <c r="L750" s="44" t="s">
        <v>9117</v>
      </c>
      <c r="M750" s="44" t="s">
        <v>14876</v>
      </c>
    </row>
    <row r="751" customFormat="false" ht="32.8" hidden="false" customHeight="false" outlineLevel="0" collapsed="false">
      <c r="A751" s="44" t="s">
        <v>16444</v>
      </c>
      <c r="B751" s="44" t="s">
        <v>9111</v>
      </c>
      <c r="C751" s="44" t="s">
        <v>9112</v>
      </c>
      <c r="D751" s="44" t="s">
        <v>16445</v>
      </c>
      <c r="E751" s="44" t="s">
        <v>16446</v>
      </c>
      <c r="F751" s="44" t="s">
        <v>16447</v>
      </c>
      <c r="G751" s="44" t="s">
        <v>14871</v>
      </c>
      <c r="H751" s="44" t="s">
        <v>14872</v>
      </c>
      <c r="I751" s="44" t="s">
        <v>14886</v>
      </c>
      <c r="J751" s="44" t="s">
        <v>14874</v>
      </c>
      <c r="K751" s="44" t="s">
        <v>14875</v>
      </c>
      <c r="L751" s="44" t="s">
        <v>9117</v>
      </c>
      <c r="M751" s="44" t="s">
        <v>14876</v>
      </c>
    </row>
    <row r="752" customFormat="false" ht="22.35" hidden="false" customHeight="false" outlineLevel="0" collapsed="false">
      <c r="A752" s="44" t="s">
        <v>16448</v>
      </c>
      <c r="B752" s="44" t="s">
        <v>9111</v>
      </c>
      <c r="C752" s="44" t="s">
        <v>9112</v>
      </c>
      <c r="D752" s="44" t="s">
        <v>16384</v>
      </c>
      <c r="E752" s="44" t="s">
        <v>3583</v>
      </c>
      <c r="F752" s="44" t="s">
        <v>3584</v>
      </c>
      <c r="G752" s="44" t="s">
        <v>14871</v>
      </c>
      <c r="H752" s="44" t="s">
        <v>14872</v>
      </c>
      <c r="I752" s="44" t="s">
        <v>14886</v>
      </c>
      <c r="J752" s="44" t="s">
        <v>14874</v>
      </c>
      <c r="K752" s="44" t="s">
        <v>14875</v>
      </c>
      <c r="L752" s="44" t="s">
        <v>9117</v>
      </c>
      <c r="M752" s="44" t="s">
        <v>14876</v>
      </c>
    </row>
    <row r="753" customFormat="false" ht="22.35" hidden="false" customHeight="false" outlineLevel="0" collapsed="false">
      <c r="A753" s="44" t="s">
        <v>16449</v>
      </c>
      <c r="B753" s="44" t="s">
        <v>9111</v>
      </c>
      <c r="C753" s="44" t="s">
        <v>9112</v>
      </c>
      <c r="D753" s="44" t="s">
        <v>15882</v>
      </c>
      <c r="E753" s="44" t="s">
        <v>4980</v>
      </c>
      <c r="F753" s="44" t="s">
        <v>4981</v>
      </c>
      <c r="G753" s="44" t="s">
        <v>14871</v>
      </c>
      <c r="H753" s="44" t="s">
        <v>14872</v>
      </c>
      <c r="I753" s="44" t="s">
        <v>14873</v>
      </c>
      <c r="J753" s="44" t="s">
        <v>14874</v>
      </c>
      <c r="K753" s="44" t="s">
        <v>14875</v>
      </c>
      <c r="L753" s="44" t="s">
        <v>9117</v>
      </c>
      <c r="M753" s="44" t="s">
        <v>14876</v>
      </c>
    </row>
    <row r="754" customFormat="false" ht="22.35" hidden="false" customHeight="false" outlineLevel="0" collapsed="false">
      <c r="A754" s="44" t="s">
        <v>16450</v>
      </c>
      <c r="B754" s="44" t="s">
        <v>9118</v>
      </c>
      <c r="C754" s="44" t="s">
        <v>9119</v>
      </c>
      <c r="D754" s="44" t="s">
        <v>16451</v>
      </c>
      <c r="E754" s="44"/>
      <c r="F754" s="44"/>
      <c r="G754" s="44" t="s">
        <v>14882</v>
      </c>
      <c r="H754" s="44" t="s">
        <v>14872</v>
      </c>
      <c r="I754" s="44" t="s">
        <v>14883</v>
      </c>
      <c r="J754" s="44" t="s">
        <v>14874</v>
      </c>
      <c r="K754" s="44" t="s">
        <v>14875</v>
      </c>
      <c r="L754" s="44" t="s">
        <v>9121</v>
      </c>
      <c r="M754" s="44" t="s">
        <v>14876</v>
      </c>
    </row>
    <row r="755" customFormat="false" ht="22.35" hidden="false" customHeight="false" outlineLevel="0" collapsed="false">
      <c r="A755" s="44" t="s">
        <v>16452</v>
      </c>
      <c r="B755" s="44" t="s">
        <v>9118</v>
      </c>
      <c r="C755" s="44" t="s">
        <v>9119</v>
      </c>
      <c r="D755" s="44" t="s">
        <v>16453</v>
      </c>
      <c r="E755" s="44" t="s">
        <v>522</v>
      </c>
      <c r="F755" s="44" t="s">
        <v>523</v>
      </c>
      <c r="G755" s="44" t="s">
        <v>14871</v>
      </c>
      <c r="H755" s="44" t="s">
        <v>14872</v>
      </c>
      <c r="I755" s="44" t="s">
        <v>14879</v>
      </c>
      <c r="J755" s="44" t="s">
        <v>14874</v>
      </c>
      <c r="K755" s="44" t="s">
        <v>14875</v>
      </c>
      <c r="L755" s="44" t="s">
        <v>9121</v>
      </c>
      <c r="M755" s="44" t="s">
        <v>14876</v>
      </c>
    </row>
    <row r="756" customFormat="false" ht="22.35" hidden="false" customHeight="false" outlineLevel="0" collapsed="false">
      <c r="A756" s="44" t="s">
        <v>16454</v>
      </c>
      <c r="B756" s="44" t="s">
        <v>9118</v>
      </c>
      <c r="C756" s="44" t="s">
        <v>9119</v>
      </c>
      <c r="D756" s="44" t="s">
        <v>16455</v>
      </c>
      <c r="E756" s="44" t="s">
        <v>4895</v>
      </c>
      <c r="F756" s="44" t="s">
        <v>4896</v>
      </c>
      <c r="G756" s="44" t="s">
        <v>14871</v>
      </c>
      <c r="H756" s="44" t="s">
        <v>14872</v>
      </c>
      <c r="I756" s="44" t="s">
        <v>14886</v>
      </c>
      <c r="J756" s="44" t="s">
        <v>14874</v>
      </c>
      <c r="K756" s="44" t="s">
        <v>14875</v>
      </c>
      <c r="L756" s="44" t="s">
        <v>9121</v>
      </c>
      <c r="M756" s="44" t="s">
        <v>14876</v>
      </c>
    </row>
    <row r="757" customFormat="false" ht="22.35" hidden="false" customHeight="false" outlineLevel="0" collapsed="false">
      <c r="A757" s="44" t="s">
        <v>16456</v>
      </c>
      <c r="B757" s="44" t="s">
        <v>9118</v>
      </c>
      <c r="C757" s="44" t="s">
        <v>9119</v>
      </c>
      <c r="D757" s="44" t="s">
        <v>16457</v>
      </c>
      <c r="E757" s="44" t="s">
        <v>16458</v>
      </c>
      <c r="F757" s="44" t="s">
        <v>16459</v>
      </c>
      <c r="G757" s="44" t="s">
        <v>14871</v>
      </c>
      <c r="H757" s="44" t="s">
        <v>14872</v>
      </c>
      <c r="I757" s="44" t="s">
        <v>14886</v>
      </c>
      <c r="J757" s="44" t="s">
        <v>14874</v>
      </c>
      <c r="K757" s="44" t="s">
        <v>14875</v>
      </c>
      <c r="L757" s="44" t="s">
        <v>9121</v>
      </c>
      <c r="M757" s="44" t="s">
        <v>14876</v>
      </c>
    </row>
    <row r="758" customFormat="false" ht="22.35" hidden="false" customHeight="false" outlineLevel="0" collapsed="false">
      <c r="A758" s="44" t="s">
        <v>16460</v>
      </c>
      <c r="B758" s="44" t="s">
        <v>9122</v>
      </c>
      <c r="C758" s="44" t="s">
        <v>9123</v>
      </c>
      <c r="D758" s="44" t="s">
        <v>16461</v>
      </c>
      <c r="E758" s="44" t="s">
        <v>16462</v>
      </c>
      <c r="F758" s="44" t="s">
        <v>16463</v>
      </c>
      <c r="G758" s="44" t="s">
        <v>14871</v>
      </c>
      <c r="H758" s="44" t="s">
        <v>14872</v>
      </c>
      <c r="I758" s="44" t="s">
        <v>14873</v>
      </c>
      <c r="J758" s="44" t="s">
        <v>14874</v>
      </c>
      <c r="K758" s="44" t="s">
        <v>14875</v>
      </c>
      <c r="L758" s="44" t="s">
        <v>9127</v>
      </c>
      <c r="M758" s="44" t="s">
        <v>14876</v>
      </c>
    </row>
    <row r="759" customFormat="false" ht="22.35" hidden="false" customHeight="false" outlineLevel="0" collapsed="false">
      <c r="A759" s="44" t="s">
        <v>16464</v>
      </c>
      <c r="B759" s="44" t="s">
        <v>9122</v>
      </c>
      <c r="C759" s="44" t="s">
        <v>9123</v>
      </c>
      <c r="D759" s="44" t="s">
        <v>16465</v>
      </c>
      <c r="E759" s="44" t="s">
        <v>4895</v>
      </c>
      <c r="F759" s="44" t="s">
        <v>4896</v>
      </c>
      <c r="G759" s="44" t="s">
        <v>14871</v>
      </c>
      <c r="H759" s="44" t="s">
        <v>14872</v>
      </c>
      <c r="I759" s="44" t="s">
        <v>14886</v>
      </c>
      <c r="J759" s="44" t="s">
        <v>14874</v>
      </c>
      <c r="K759" s="44" t="s">
        <v>14875</v>
      </c>
      <c r="L759" s="44" t="s">
        <v>9127</v>
      </c>
      <c r="M759" s="44" t="s">
        <v>14876</v>
      </c>
    </row>
    <row r="760" customFormat="false" ht="22.35" hidden="false" customHeight="false" outlineLevel="0" collapsed="false">
      <c r="A760" s="44" t="s">
        <v>16466</v>
      </c>
      <c r="B760" s="44" t="s">
        <v>9122</v>
      </c>
      <c r="C760" s="44" t="s">
        <v>9123</v>
      </c>
      <c r="D760" s="44" t="s">
        <v>16467</v>
      </c>
      <c r="E760" s="44" t="s">
        <v>4130</v>
      </c>
      <c r="F760" s="44" t="s">
        <v>4131</v>
      </c>
      <c r="G760" s="44" t="s">
        <v>14871</v>
      </c>
      <c r="H760" s="44" t="s">
        <v>14872</v>
      </c>
      <c r="I760" s="44" t="s">
        <v>14873</v>
      </c>
      <c r="J760" s="44" t="s">
        <v>14874</v>
      </c>
      <c r="K760" s="44" t="s">
        <v>14875</v>
      </c>
      <c r="L760" s="44" t="s">
        <v>9127</v>
      </c>
      <c r="M760" s="44" t="s">
        <v>14876</v>
      </c>
    </row>
    <row r="761" customFormat="false" ht="22.35" hidden="false" customHeight="false" outlineLevel="0" collapsed="false">
      <c r="A761" s="44" t="s">
        <v>16468</v>
      </c>
      <c r="B761" s="44" t="s">
        <v>9122</v>
      </c>
      <c r="C761" s="44" t="s">
        <v>9123</v>
      </c>
      <c r="D761" s="44" t="s">
        <v>16469</v>
      </c>
      <c r="E761" s="44"/>
      <c r="F761" s="44"/>
      <c r="G761" s="44" t="s">
        <v>14882</v>
      </c>
      <c r="H761" s="44" t="s">
        <v>14872</v>
      </c>
      <c r="I761" s="44" t="s">
        <v>14883</v>
      </c>
      <c r="J761" s="44" t="s">
        <v>14874</v>
      </c>
      <c r="K761" s="44" t="s">
        <v>14875</v>
      </c>
      <c r="L761" s="44" t="s">
        <v>9127</v>
      </c>
      <c r="M761" s="44" t="s">
        <v>14876</v>
      </c>
    </row>
    <row r="762" customFormat="false" ht="22.35" hidden="false" customHeight="false" outlineLevel="0" collapsed="false">
      <c r="A762" s="44" t="s">
        <v>16470</v>
      </c>
      <c r="B762" s="44" t="s">
        <v>9122</v>
      </c>
      <c r="C762" s="44" t="s">
        <v>9123</v>
      </c>
      <c r="D762" s="44" t="s">
        <v>16040</v>
      </c>
      <c r="E762" s="44"/>
      <c r="F762" s="44"/>
      <c r="G762" s="44" t="s">
        <v>14882</v>
      </c>
      <c r="H762" s="44" t="s">
        <v>14872</v>
      </c>
      <c r="I762" s="44" t="s">
        <v>14883</v>
      </c>
      <c r="J762" s="44" t="s">
        <v>14874</v>
      </c>
      <c r="K762" s="44" t="s">
        <v>14875</v>
      </c>
      <c r="L762" s="44" t="s">
        <v>9127</v>
      </c>
      <c r="M762" s="44" t="s">
        <v>14876</v>
      </c>
    </row>
    <row r="763" customFormat="false" ht="22.35" hidden="false" customHeight="false" outlineLevel="0" collapsed="false">
      <c r="A763" s="44" t="s">
        <v>16471</v>
      </c>
      <c r="B763" s="44" t="s">
        <v>9122</v>
      </c>
      <c r="C763" s="44" t="s">
        <v>9123</v>
      </c>
      <c r="D763" s="44" t="s">
        <v>14924</v>
      </c>
      <c r="E763" s="44" t="s">
        <v>2761</v>
      </c>
      <c r="F763" s="44" t="s">
        <v>2762</v>
      </c>
      <c r="G763" s="44" t="s">
        <v>14871</v>
      </c>
      <c r="H763" s="44" t="s">
        <v>14872</v>
      </c>
      <c r="I763" s="44" t="s">
        <v>14886</v>
      </c>
      <c r="J763" s="44" t="s">
        <v>14874</v>
      </c>
      <c r="K763" s="44" t="s">
        <v>14875</v>
      </c>
      <c r="L763" s="44" t="s">
        <v>9127</v>
      </c>
      <c r="M763" s="44" t="s">
        <v>14876</v>
      </c>
    </row>
    <row r="764" customFormat="false" ht="22.35" hidden="false" customHeight="false" outlineLevel="0" collapsed="false">
      <c r="A764" s="44" t="s">
        <v>16472</v>
      </c>
      <c r="B764" s="44" t="s">
        <v>9128</v>
      </c>
      <c r="C764" s="44" t="s">
        <v>9129</v>
      </c>
      <c r="D764" s="44" t="s">
        <v>16473</v>
      </c>
      <c r="E764" s="44"/>
      <c r="F764" s="44"/>
      <c r="G764" s="44" t="s">
        <v>14882</v>
      </c>
      <c r="H764" s="44" t="s">
        <v>14872</v>
      </c>
      <c r="I764" s="44" t="s">
        <v>14883</v>
      </c>
      <c r="J764" s="44" t="s">
        <v>14874</v>
      </c>
      <c r="K764" s="44" t="s">
        <v>14875</v>
      </c>
      <c r="L764" s="44" t="s">
        <v>9133</v>
      </c>
      <c r="M764" s="44" t="s">
        <v>14876</v>
      </c>
    </row>
    <row r="765" customFormat="false" ht="22.35" hidden="false" customHeight="false" outlineLevel="0" collapsed="false">
      <c r="A765" s="44" t="s">
        <v>16474</v>
      </c>
      <c r="B765" s="44" t="s">
        <v>9128</v>
      </c>
      <c r="C765" s="44" t="s">
        <v>9129</v>
      </c>
      <c r="D765" s="44" t="s">
        <v>16475</v>
      </c>
      <c r="E765" s="44" t="s">
        <v>7231</v>
      </c>
      <c r="F765" s="44" t="s">
        <v>7232</v>
      </c>
      <c r="G765" s="44" t="s">
        <v>14871</v>
      </c>
      <c r="H765" s="44" t="s">
        <v>14872</v>
      </c>
      <c r="I765" s="44" t="s">
        <v>14873</v>
      </c>
      <c r="J765" s="44" t="s">
        <v>14874</v>
      </c>
      <c r="K765" s="44" t="s">
        <v>14875</v>
      </c>
      <c r="L765" s="44" t="s">
        <v>9133</v>
      </c>
      <c r="M765" s="44" t="s">
        <v>14876</v>
      </c>
    </row>
    <row r="766" customFormat="false" ht="22.35" hidden="false" customHeight="false" outlineLevel="0" collapsed="false">
      <c r="A766" s="44" t="s">
        <v>16476</v>
      </c>
      <c r="B766" s="44" t="s">
        <v>9128</v>
      </c>
      <c r="C766" s="44" t="s">
        <v>9129</v>
      </c>
      <c r="D766" s="44" t="s">
        <v>16477</v>
      </c>
      <c r="E766" s="44" t="s">
        <v>4895</v>
      </c>
      <c r="F766" s="44" t="s">
        <v>4896</v>
      </c>
      <c r="G766" s="44" t="s">
        <v>14871</v>
      </c>
      <c r="H766" s="44" t="s">
        <v>14872</v>
      </c>
      <c r="I766" s="44" t="s">
        <v>14886</v>
      </c>
      <c r="J766" s="44" t="s">
        <v>14874</v>
      </c>
      <c r="K766" s="44" t="s">
        <v>14875</v>
      </c>
      <c r="L766" s="44" t="s">
        <v>9133</v>
      </c>
      <c r="M766" s="44" t="s">
        <v>14876</v>
      </c>
    </row>
    <row r="767" customFormat="false" ht="22.35" hidden="false" customHeight="false" outlineLevel="0" collapsed="false">
      <c r="A767" s="44" t="s">
        <v>16478</v>
      </c>
      <c r="B767" s="44" t="s">
        <v>9128</v>
      </c>
      <c r="C767" s="44" t="s">
        <v>9129</v>
      </c>
      <c r="D767" s="44" t="s">
        <v>16479</v>
      </c>
      <c r="E767" s="44" t="s">
        <v>16480</v>
      </c>
      <c r="F767" s="44" t="s">
        <v>16481</v>
      </c>
      <c r="G767" s="44" t="s">
        <v>14871</v>
      </c>
      <c r="H767" s="44" t="s">
        <v>14872</v>
      </c>
      <c r="I767" s="44" t="s">
        <v>14886</v>
      </c>
      <c r="J767" s="44" t="s">
        <v>14874</v>
      </c>
      <c r="K767" s="44" t="s">
        <v>14875</v>
      </c>
      <c r="L767" s="44" t="s">
        <v>9133</v>
      </c>
      <c r="M767" s="44" t="s">
        <v>14876</v>
      </c>
    </row>
    <row r="768" customFormat="false" ht="22.35" hidden="false" customHeight="false" outlineLevel="0" collapsed="false">
      <c r="A768" s="44" t="s">
        <v>16482</v>
      </c>
      <c r="B768" s="44" t="s">
        <v>9128</v>
      </c>
      <c r="C768" s="44" t="s">
        <v>9129</v>
      </c>
      <c r="D768" s="44" t="s">
        <v>16483</v>
      </c>
      <c r="E768" s="44" t="s">
        <v>16484</v>
      </c>
      <c r="F768" s="44" t="s">
        <v>16485</v>
      </c>
      <c r="G768" s="44" t="s">
        <v>14871</v>
      </c>
      <c r="H768" s="44" t="s">
        <v>14872</v>
      </c>
      <c r="I768" s="44" t="s">
        <v>14886</v>
      </c>
      <c r="J768" s="44" t="s">
        <v>14874</v>
      </c>
      <c r="K768" s="44" t="s">
        <v>14875</v>
      </c>
      <c r="L768" s="44" t="s">
        <v>9133</v>
      </c>
      <c r="M768" s="44" t="s">
        <v>14876</v>
      </c>
    </row>
    <row r="769" customFormat="false" ht="22.35" hidden="false" customHeight="false" outlineLevel="0" collapsed="false">
      <c r="A769" s="44" t="s">
        <v>16486</v>
      </c>
      <c r="B769" s="44" t="s">
        <v>9134</v>
      </c>
      <c r="C769" s="44" t="s">
        <v>9135</v>
      </c>
      <c r="D769" s="44" t="s">
        <v>16487</v>
      </c>
      <c r="E769" s="44" t="s">
        <v>16488</v>
      </c>
      <c r="F769" s="44" t="s">
        <v>16489</v>
      </c>
      <c r="G769" s="44" t="s">
        <v>14871</v>
      </c>
      <c r="H769" s="44" t="s">
        <v>14872</v>
      </c>
      <c r="I769" s="44" t="s">
        <v>14886</v>
      </c>
      <c r="J769" s="44" t="s">
        <v>14874</v>
      </c>
      <c r="K769" s="44" t="s">
        <v>14875</v>
      </c>
      <c r="L769" s="44" t="s">
        <v>9138</v>
      </c>
      <c r="M769" s="44" t="s">
        <v>14876</v>
      </c>
    </row>
    <row r="770" customFormat="false" ht="22.35" hidden="false" customHeight="false" outlineLevel="0" collapsed="false">
      <c r="A770" s="44" t="s">
        <v>16490</v>
      </c>
      <c r="B770" s="44" t="s">
        <v>9134</v>
      </c>
      <c r="C770" s="44" t="s">
        <v>9135</v>
      </c>
      <c r="D770" s="44" t="s">
        <v>16491</v>
      </c>
      <c r="E770" s="44" t="s">
        <v>2383</v>
      </c>
      <c r="F770" s="44" t="s">
        <v>2384</v>
      </c>
      <c r="G770" s="44" t="s">
        <v>14871</v>
      </c>
      <c r="H770" s="44" t="s">
        <v>14872</v>
      </c>
      <c r="I770" s="44" t="s">
        <v>14873</v>
      </c>
      <c r="J770" s="44" t="s">
        <v>14874</v>
      </c>
      <c r="K770" s="44" t="s">
        <v>14875</v>
      </c>
      <c r="L770" s="44" t="s">
        <v>9138</v>
      </c>
      <c r="M770" s="44" t="s">
        <v>14876</v>
      </c>
    </row>
    <row r="771" customFormat="false" ht="22.35" hidden="false" customHeight="false" outlineLevel="0" collapsed="false">
      <c r="A771" s="44" t="s">
        <v>16492</v>
      </c>
      <c r="B771" s="44" t="s">
        <v>9134</v>
      </c>
      <c r="C771" s="44" t="s">
        <v>9135</v>
      </c>
      <c r="D771" s="44" t="s">
        <v>16493</v>
      </c>
      <c r="E771" s="44" t="s">
        <v>16494</v>
      </c>
      <c r="F771" s="44" t="s">
        <v>16495</v>
      </c>
      <c r="G771" s="44" t="s">
        <v>14871</v>
      </c>
      <c r="H771" s="44" t="s">
        <v>14872</v>
      </c>
      <c r="I771" s="44" t="s">
        <v>14886</v>
      </c>
      <c r="J771" s="44" t="s">
        <v>14874</v>
      </c>
      <c r="K771" s="44" t="s">
        <v>14875</v>
      </c>
      <c r="L771" s="44" t="s">
        <v>9138</v>
      </c>
      <c r="M771" s="44" t="s">
        <v>14876</v>
      </c>
    </row>
    <row r="772" customFormat="false" ht="22.35" hidden="false" customHeight="false" outlineLevel="0" collapsed="false">
      <c r="A772" s="44" t="s">
        <v>16496</v>
      </c>
      <c r="B772" s="44" t="s">
        <v>9134</v>
      </c>
      <c r="C772" s="44" t="s">
        <v>9135</v>
      </c>
      <c r="D772" s="44" t="s">
        <v>16497</v>
      </c>
      <c r="E772" s="44" t="s">
        <v>243</v>
      </c>
      <c r="F772" s="44" t="s">
        <v>244</v>
      </c>
      <c r="G772" s="44" t="s">
        <v>14871</v>
      </c>
      <c r="H772" s="44" t="s">
        <v>14872</v>
      </c>
      <c r="I772" s="44" t="s">
        <v>14873</v>
      </c>
      <c r="J772" s="44" t="s">
        <v>14874</v>
      </c>
      <c r="K772" s="44" t="s">
        <v>14875</v>
      </c>
      <c r="L772" s="44" t="s">
        <v>9138</v>
      </c>
      <c r="M772" s="44" t="s">
        <v>14876</v>
      </c>
    </row>
    <row r="773" customFormat="false" ht="22.35" hidden="false" customHeight="false" outlineLevel="0" collapsed="false">
      <c r="A773" s="44" t="s">
        <v>16498</v>
      </c>
      <c r="B773" s="44" t="s">
        <v>9134</v>
      </c>
      <c r="C773" s="44" t="s">
        <v>9135</v>
      </c>
      <c r="D773" s="44" t="s">
        <v>16499</v>
      </c>
      <c r="E773" s="44" t="s">
        <v>5151</v>
      </c>
      <c r="F773" s="44" t="s">
        <v>5152</v>
      </c>
      <c r="G773" s="44" t="s">
        <v>14871</v>
      </c>
      <c r="H773" s="44" t="s">
        <v>14872</v>
      </c>
      <c r="I773" s="44" t="s">
        <v>14873</v>
      </c>
      <c r="J773" s="44" t="s">
        <v>14874</v>
      </c>
      <c r="K773" s="44" t="s">
        <v>14875</v>
      </c>
      <c r="L773" s="44" t="s">
        <v>9138</v>
      </c>
      <c r="M773" s="44" t="s">
        <v>14876</v>
      </c>
    </row>
    <row r="774" customFormat="false" ht="22.35" hidden="false" customHeight="false" outlineLevel="0" collapsed="false">
      <c r="A774" s="44" t="s">
        <v>16500</v>
      </c>
      <c r="B774" s="44" t="s">
        <v>9139</v>
      </c>
      <c r="C774" s="44" t="s">
        <v>9140</v>
      </c>
      <c r="D774" s="44" t="s">
        <v>16501</v>
      </c>
      <c r="E774" s="44" t="s">
        <v>16502</v>
      </c>
      <c r="F774" s="44" t="s">
        <v>16503</v>
      </c>
      <c r="G774" s="44" t="s">
        <v>14871</v>
      </c>
      <c r="H774" s="44" t="s">
        <v>14872</v>
      </c>
      <c r="I774" s="44" t="s">
        <v>14886</v>
      </c>
      <c r="J774" s="44" t="s">
        <v>14874</v>
      </c>
      <c r="K774" s="44" t="s">
        <v>14875</v>
      </c>
      <c r="L774" s="44" t="s">
        <v>9144</v>
      </c>
      <c r="M774" s="44" t="s">
        <v>14876</v>
      </c>
    </row>
    <row r="775" customFormat="false" ht="22.35" hidden="false" customHeight="false" outlineLevel="0" collapsed="false">
      <c r="A775" s="44" t="s">
        <v>16504</v>
      </c>
      <c r="B775" s="44" t="s">
        <v>9139</v>
      </c>
      <c r="C775" s="44" t="s">
        <v>9140</v>
      </c>
      <c r="D775" s="44" t="s">
        <v>16505</v>
      </c>
      <c r="E775" s="44" t="s">
        <v>4895</v>
      </c>
      <c r="F775" s="44" t="s">
        <v>4896</v>
      </c>
      <c r="G775" s="44" t="s">
        <v>14871</v>
      </c>
      <c r="H775" s="44" t="s">
        <v>14872</v>
      </c>
      <c r="I775" s="44" t="s">
        <v>14886</v>
      </c>
      <c r="J775" s="44" t="s">
        <v>14874</v>
      </c>
      <c r="K775" s="44" t="s">
        <v>14875</v>
      </c>
      <c r="L775" s="44" t="s">
        <v>9144</v>
      </c>
      <c r="M775" s="44" t="s">
        <v>14876</v>
      </c>
    </row>
    <row r="776" customFormat="false" ht="22.35" hidden="false" customHeight="false" outlineLevel="0" collapsed="false">
      <c r="A776" s="44" t="s">
        <v>16506</v>
      </c>
      <c r="B776" s="44" t="s">
        <v>9139</v>
      </c>
      <c r="C776" s="44" t="s">
        <v>9140</v>
      </c>
      <c r="D776" s="44" t="s">
        <v>16507</v>
      </c>
      <c r="E776" s="44" t="s">
        <v>16508</v>
      </c>
      <c r="F776" s="44" t="s">
        <v>16509</v>
      </c>
      <c r="G776" s="44" t="s">
        <v>14871</v>
      </c>
      <c r="H776" s="44" t="s">
        <v>14872</v>
      </c>
      <c r="I776" s="44" t="s">
        <v>14873</v>
      </c>
      <c r="J776" s="44" t="s">
        <v>14874</v>
      </c>
      <c r="K776" s="44" t="s">
        <v>14875</v>
      </c>
      <c r="L776" s="44" t="s">
        <v>9144</v>
      </c>
      <c r="M776" s="44" t="s">
        <v>14876</v>
      </c>
    </row>
    <row r="777" customFormat="false" ht="22.35" hidden="false" customHeight="false" outlineLevel="0" collapsed="false">
      <c r="A777" s="44" t="s">
        <v>16510</v>
      </c>
      <c r="B777" s="44" t="s">
        <v>9139</v>
      </c>
      <c r="C777" s="44" t="s">
        <v>9140</v>
      </c>
      <c r="D777" s="44" t="s">
        <v>14924</v>
      </c>
      <c r="E777" s="44" t="s">
        <v>2761</v>
      </c>
      <c r="F777" s="44" t="s">
        <v>2762</v>
      </c>
      <c r="G777" s="44" t="s">
        <v>14871</v>
      </c>
      <c r="H777" s="44" t="s">
        <v>14872</v>
      </c>
      <c r="I777" s="44" t="s">
        <v>14886</v>
      </c>
      <c r="J777" s="44" t="s">
        <v>14874</v>
      </c>
      <c r="K777" s="44" t="s">
        <v>14875</v>
      </c>
      <c r="L777" s="44" t="s">
        <v>9144</v>
      </c>
      <c r="M777" s="44" t="s">
        <v>14876</v>
      </c>
    </row>
    <row r="778" customFormat="false" ht="22.35" hidden="false" customHeight="false" outlineLevel="0" collapsed="false">
      <c r="A778" s="44" t="s">
        <v>16511</v>
      </c>
      <c r="B778" s="44" t="s">
        <v>9139</v>
      </c>
      <c r="C778" s="44" t="s">
        <v>9140</v>
      </c>
      <c r="D778" s="44" t="s">
        <v>15896</v>
      </c>
      <c r="E778" s="44" t="s">
        <v>192</v>
      </c>
      <c r="F778" s="44" t="s">
        <v>55</v>
      </c>
      <c r="G778" s="44" t="s">
        <v>14871</v>
      </c>
      <c r="H778" s="44" t="s">
        <v>14872</v>
      </c>
      <c r="I778" s="44" t="s">
        <v>14886</v>
      </c>
      <c r="J778" s="44" t="s">
        <v>14874</v>
      </c>
      <c r="K778" s="44" t="s">
        <v>14875</v>
      </c>
      <c r="L778" s="44" t="s">
        <v>9144</v>
      </c>
      <c r="M778" s="44" t="s">
        <v>14876</v>
      </c>
    </row>
    <row r="779" customFormat="false" ht="22.35" hidden="false" customHeight="false" outlineLevel="0" collapsed="false">
      <c r="A779" s="44" t="s">
        <v>16512</v>
      </c>
      <c r="B779" s="44" t="s">
        <v>9139</v>
      </c>
      <c r="C779" s="44" t="s">
        <v>9140</v>
      </c>
      <c r="D779" s="44" t="s">
        <v>16513</v>
      </c>
      <c r="E779" s="44"/>
      <c r="F779" s="44"/>
      <c r="G779" s="44" t="s">
        <v>14882</v>
      </c>
      <c r="H779" s="44" t="s">
        <v>14872</v>
      </c>
      <c r="I779" s="44" t="s">
        <v>14883</v>
      </c>
      <c r="J779" s="44" t="s">
        <v>14874</v>
      </c>
      <c r="K779" s="44" t="s">
        <v>14875</v>
      </c>
      <c r="L779" s="44" t="s">
        <v>9144</v>
      </c>
      <c r="M779" s="44" t="s">
        <v>14876</v>
      </c>
    </row>
    <row r="780" customFormat="false" ht="22.35" hidden="false" customHeight="false" outlineLevel="0" collapsed="false">
      <c r="A780" s="44" t="s">
        <v>16514</v>
      </c>
      <c r="B780" s="44" t="s">
        <v>9145</v>
      </c>
      <c r="C780" s="44" t="s">
        <v>9146</v>
      </c>
      <c r="D780" s="44" t="s">
        <v>16515</v>
      </c>
      <c r="E780" s="44" t="s">
        <v>16516</v>
      </c>
      <c r="F780" s="44" t="s">
        <v>16517</v>
      </c>
      <c r="G780" s="44" t="s">
        <v>14871</v>
      </c>
      <c r="H780" s="44" t="s">
        <v>14872</v>
      </c>
      <c r="I780" s="44" t="s">
        <v>14873</v>
      </c>
      <c r="J780" s="44" t="s">
        <v>14874</v>
      </c>
      <c r="K780" s="44" t="s">
        <v>14875</v>
      </c>
      <c r="L780" s="44" t="s">
        <v>9151</v>
      </c>
      <c r="M780" s="44" t="s">
        <v>14876</v>
      </c>
    </row>
    <row r="781" customFormat="false" ht="22.35" hidden="false" customHeight="false" outlineLevel="0" collapsed="false">
      <c r="A781" s="44" t="s">
        <v>16518</v>
      </c>
      <c r="B781" s="44" t="s">
        <v>9145</v>
      </c>
      <c r="C781" s="44" t="s">
        <v>9146</v>
      </c>
      <c r="D781" s="44" t="s">
        <v>16143</v>
      </c>
      <c r="E781" s="44" t="s">
        <v>200</v>
      </c>
      <c r="F781" s="44" t="s">
        <v>201</v>
      </c>
      <c r="G781" s="44" t="s">
        <v>14871</v>
      </c>
      <c r="H781" s="44" t="s">
        <v>14872</v>
      </c>
      <c r="I781" s="44" t="s">
        <v>14886</v>
      </c>
      <c r="J781" s="44" t="s">
        <v>14874</v>
      </c>
      <c r="K781" s="44" t="s">
        <v>14875</v>
      </c>
      <c r="L781" s="44" t="s">
        <v>9151</v>
      </c>
      <c r="M781" s="44" t="s">
        <v>14876</v>
      </c>
    </row>
    <row r="782" customFormat="false" ht="22.35" hidden="false" customHeight="false" outlineLevel="0" collapsed="false">
      <c r="A782" s="44" t="s">
        <v>16519</v>
      </c>
      <c r="B782" s="44" t="s">
        <v>9145</v>
      </c>
      <c r="C782" s="44" t="s">
        <v>9146</v>
      </c>
      <c r="D782" s="44" t="s">
        <v>16520</v>
      </c>
      <c r="E782" s="44"/>
      <c r="F782" s="44"/>
      <c r="G782" s="44" t="s">
        <v>14882</v>
      </c>
      <c r="H782" s="44" t="s">
        <v>14872</v>
      </c>
      <c r="I782" s="44" t="s">
        <v>14883</v>
      </c>
      <c r="J782" s="44" t="s">
        <v>14874</v>
      </c>
      <c r="K782" s="44" t="s">
        <v>14875</v>
      </c>
      <c r="L782" s="44" t="s">
        <v>9151</v>
      </c>
      <c r="M782" s="44" t="s">
        <v>14876</v>
      </c>
    </row>
    <row r="783" customFormat="false" ht="22.35" hidden="false" customHeight="false" outlineLevel="0" collapsed="false">
      <c r="A783" s="44" t="s">
        <v>16521</v>
      </c>
      <c r="B783" s="44" t="s">
        <v>9145</v>
      </c>
      <c r="C783" s="44" t="s">
        <v>9146</v>
      </c>
      <c r="D783" s="44" t="s">
        <v>16522</v>
      </c>
      <c r="E783" s="44"/>
      <c r="F783" s="44"/>
      <c r="G783" s="44" t="s">
        <v>14882</v>
      </c>
      <c r="H783" s="44" t="s">
        <v>14872</v>
      </c>
      <c r="I783" s="44" t="s">
        <v>14883</v>
      </c>
      <c r="J783" s="44" t="s">
        <v>14874</v>
      </c>
      <c r="K783" s="44" t="s">
        <v>14875</v>
      </c>
      <c r="L783" s="44" t="s">
        <v>9151</v>
      </c>
      <c r="M783" s="44" t="s">
        <v>14876</v>
      </c>
    </row>
    <row r="784" customFormat="false" ht="22.35" hidden="false" customHeight="false" outlineLevel="0" collapsed="false">
      <c r="A784" s="44" t="s">
        <v>16523</v>
      </c>
      <c r="B784" s="44" t="s">
        <v>9145</v>
      </c>
      <c r="C784" s="44" t="s">
        <v>9146</v>
      </c>
      <c r="D784" s="44" t="s">
        <v>16524</v>
      </c>
      <c r="E784" s="44"/>
      <c r="F784" s="44"/>
      <c r="G784" s="44" t="s">
        <v>14882</v>
      </c>
      <c r="H784" s="44" t="s">
        <v>14872</v>
      </c>
      <c r="I784" s="44" t="s">
        <v>14883</v>
      </c>
      <c r="J784" s="44" t="s">
        <v>14874</v>
      </c>
      <c r="K784" s="44" t="s">
        <v>14875</v>
      </c>
      <c r="L784" s="44" t="s">
        <v>9151</v>
      </c>
      <c r="M784" s="44" t="s">
        <v>14876</v>
      </c>
    </row>
    <row r="785" customFormat="false" ht="22.35" hidden="false" customHeight="false" outlineLevel="0" collapsed="false">
      <c r="A785" s="44" t="s">
        <v>16525</v>
      </c>
      <c r="B785" s="44" t="s">
        <v>9145</v>
      </c>
      <c r="C785" s="44" t="s">
        <v>9146</v>
      </c>
      <c r="D785" s="44" t="s">
        <v>16526</v>
      </c>
      <c r="E785" s="44" t="s">
        <v>2761</v>
      </c>
      <c r="F785" s="44" t="s">
        <v>2762</v>
      </c>
      <c r="G785" s="44" t="s">
        <v>14871</v>
      </c>
      <c r="H785" s="44" t="s">
        <v>14872</v>
      </c>
      <c r="I785" s="44" t="s">
        <v>14886</v>
      </c>
      <c r="J785" s="44" t="s">
        <v>14874</v>
      </c>
      <c r="K785" s="44" t="s">
        <v>14875</v>
      </c>
      <c r="L785" s="44" t="s">
        <v>9151</v>
      </c>
      <c r="M785" s="44" t="s">
        <v>14876</v>
      </c>
    </row>
    <row r="786" customFormat="false" ht="22.35" hidden="false" customHeight="false" outlineLevel="0" collapsed="false">
      <c r="A786" s="44" t="s">
        <v>16527</v>
      </c>
      <c r="B786" s="44" t="s">
        <v>9152</v>
      </c>
      <c r="C786" s="44" t="s">
        <v>9153</v>
      </c>
      <c r="D786" s="44" t="s">
        <v>16528</v>
      </c>
      <c r="E786" s="44" t="s">
        <v>4859</v>
      </c>
      <c r="F786" s="44" t="s">
        <v>4860</v>
      </c>
      <c r="G786" s="44" t="s">
        <v>14871</v>
      </c>
      <c r="H786" s="44" t="s">
        <v>14872</v>
      </c>
      <c r="I786" s="44" t="s">
        <v>14873</v>
      </c>
      <c r="J786" s="44" t="s">
        <v>14874</v>
      </c>
      <c r="K786" s="44" t="s">
        <v>14875</v>
      </c>
      <c r="L786" s="44" t="s">
        <v>9158</v>
      </c>
      <c r="M786" s="44" t="s">
        <v>14876</v>
      </c>
    </row>
    <row r="787" customFormat="false" ht="22.35" hidden="false" customHeight="false" outlineLevel="0" collapsed="false">
      <c r="A787" s="44" t="s">
        <v>16529</v>
      </c>
      <c r="B787" s="44" t="s">
        <v>9152</v>
      </c>
      <c r="C787" s="44" t="s">
        <v>9153</v>
      </c>
      <c r="D787" s="44" t="s">
        <v>16530</v>
      </c>
      <c r="E787" s="44" t="s">
        <v>4895</v>
      </c>
      <c r="F787" s="44" t="s">
        <v>4896</v>
      </c>
      <c r="G787" s="44" t="s">
        <v>14871</v>
      </c>
      <c r="H787" s="44" t="s">
        <v>14872</v>
      </c>
      <c r="I787" s="44" t="s">
        <v>14886</v>
      </c>
      <c r="J787" s="44" t="s">
        <v>14874</v>
      </c>
      <c r="K787" s="44" t="s">
        <v>14875</v>
      </c>
      <c r="L787" s="44" t="s">
        <v>9158</v>
      </c>
      <c r="M787" s="44" t="s">
        <v>14876</v>
      </c>
    </row>
    <row r="788" customFormat="false" ht="22.35" hidden="false" customHeight="false" outlineLevel="0" collapsed="false">
      <c r="A788" s="44" t="s">
        <v>16531</v>
      </c>
      <c r="B788" s="44" t="s">
        <v>9152</v>
      </c>
      <c r="C788" s="44" t="s">
        <v>9153</v>
      </c>
      <c r="D788" s="44" t="s">
        <v>16384</v>
      </c>
      <c r="E788" s="44" t="s">
        <v>3583</v>
      </c>
      <c r="F788" s="44" t="s">
        <v>3584</v>
      </c>
      <c r="G788" s="44" t="s">
        <v>14871</v>
      </c>
      <c r="H788" s="44" t="s">
        <v>14872</v>
      </c>
      <c r="I788" s="44" t="s">
        <v>14886</v>
      </c>
      <c r="J788" s="44" t="s">
        <v>14874</v>
      </c>
      <c r="K788" s="44" t="s">
        <v>14875</v>
      </c>
      <c r="L788" s="44" t="s">
        <v>9158</v>
      </c>
      <c r="M788" s="44" t="s">
        <v>14876</v>
      </c>
    </row>
    <row r="789" customFormat="false" ht="22.35" hidden="false" customHeight="false" outlineLevel="0" collapsed="false">
      <c r="A789" s="44" t="s">
        <v>16532</v>
      </c>
      <c r="B789" s="44" t="s">
        <v>9152</v>
      </c>
      <c r="C789" s="44" t="s">
        <v>9153</v>
      </c>
      <c r="D789" s="44" t="s">
        <v>16533</v>
      </c>
      <c r="E789" s="44"/>
      <c r="F789" s="44"/>
      <c r="G789" s="44" t="s">
        <v>14882</v>
      </c>
      <c r="H789" s="44" t="s">
        <v>14872</v>
      </c>
      <c r="I789" s="44" t="s">
        <v>14883</v>
      </c>
      <c r="J789" s="44" t="s">
        <v>14874</v>
      </c>
      <c r="K789" s="44" t="s">
        <v>14875</v>
      </c>
      <c r="L789" s="44" t="s">
        <v>9158</v>
      </c>
      <c r="M789" s="44" t="s">
        <v>14876</v>
      </c>
    </row>
    <row r="790" customFormat="false" ht="22.35" hidden="false" customHeight="false" outlineLevel="0" collapsed="false">
      <c r="A790" s="44" t="s">
        <v>16534</v>
      </c>
      <c r="B790" s="44" t="s">
        <v>9152</v>
      </c>
      <c r="C790" s="44" t="s">
        <v>9153</v>
      </c>
      <c r="D790" s="44" t="s">
        <v>16535</v>
      </c>
      <c r="E790" s="44"/>
      <c r="F790" s="44"/>
      <c r="G790" s="44" t="s">
        <v>14882</v>
      </c>
      <c r="H790" s="44" t="s">
        <v>14872</v>
      </c>
      <c r="I790" s="44" t="s">
        <v>14883</v>
      </c>
      <c r="J790" s="44" t="s">
        <v>14874</v>
      </c>
      <c r="K790" s="44" t="s">
        <v>14875</v>
      </c>
      <c r="L790" s="44" t="s">
        <v>9158</v>
      </c>
      <c r="M790" s="44" t="s">
        <v>14876</v>
      </c>
    </row>
    <row r="791" customFormat="false" ht="22.35" hidden="false" customHeight="false" outlineLevel="0" collapsed="false">
      <c r="A791" s="44" t="s">
        <v>16536</v>
      </c>
      <c r="B791" s="44" t="s">
        <v>9152</v>
      </c>
      <c r="C791" s="44" t="s">
        <v>9153</v>
      </c>
      <c r="D791" s="44" t="s">
        <v>16537</v>
      </c>
      <c r="E791" s="44"/>
      <c r="F791" s="44"/>
      <c r="G791" s="44" t="s">
        <v>14882</v>
      </c>
      <c r="H791" s="44" t="s">
        <v>14872</v>
      </c>
      <c r="I791" s="44" t="s">
        <v>14883</v>
      </c>
      <c r="J791" s="44" t="s">
        <v>14874</v>
      </c>
      <c r="K791" s="44" t="s">
        <v>14875</v>
      </c>
      <c r="L791" s="44" t="s">
        <v>9158</v>
      </c>
      <c r="M791" s="44" t="s">
        <v>14876</v>
      </c>
    </row>
    <row r="792" customFormat="false" ht="22.35" hidden="false" customHeight="false" outlineLevel="0" collapsed="false">
      <c r="A792" s="44" t="s">
        <v>16538</v>
      </c>
      <c r="B792" s="44" t="s">
        <v>9159</v>
      </c>
      <c r="C792" s="44" t="s">
        <v>9160</v>
      </c>
      <c r="D792" s="44" t="s">
        <v>16539</v>
      </c>
      <c r="E792" s="44" t="s">
        <v>16381</v>
      </c>
      <c r="F792" s="44" t="s">
        <v>16382</v>
      </c>
      <c r="G792" s="44" t="s">
        <v>14871</v>
      </c>
      <c r="H792" s="44" t="s">
        <v>14872</v>
      </c>
      <c r="I792" s="44" t="s">
        <v>14886</v>
      </c>
      <c r="J792" s="44" t="s">
        <v>14874</v>
      </c>
      <c r="K792" s="44" t="s">
        <v>14875</v>
      </c>
      <c r="L792" s="44" t="s">
        <v>9165</v>
      </c>
      <c r="M792" s="44" t="s">
        <v>14876</v>
      </c>
    </row>
    <row r="793" customFormat="false" ht="22.35" hidden="false" customHeight="false" outlineLevel="0" collapsed="false">
      <c r="A793" s="44" t="s">
        <v>16540</v>
      </c>
      <c r="B793" s="44" t="s">
        <v>9159</v>
      </c>
      <c r="C793" s="44" t="s">
        <v>9160</v>
      </c>
      <c r="D793" s="44" t="s">
        <v>15882</v>
      </c>
      <c r="E793" s="44" t="s">
        <v>4980</v>
      </c>
      <c r="F793" s="44" t="s">
        <v>4981</v>
      </c>
      <c r="G793" s="44" t="s">
        <v>14871</v>
      </c>
      <c r="H793" s="44" t="s">
        <v>14872</v>
      </c>
      <c r="I793" s="44" t="s">
        <v>14873</v>
      </c>
      <c r="J793" s="44" t="s">
        <v>14874</v>
      </c>
      <c r="K793" s="44" t="s">
        <v>14875</v>
      </c>
      <c r="L793" s="44" t="s">
        <v>9165</v>
      </c>
      <c r="M793" s="44" t="s">
        <v>14876</v>
      </c>
    </row>
    <row r="794" customFormat="false" ht="22.35" hidden="false" customHeight="false" outlineLevel="0" collapsed="false">
      <c r="A794" s="44" t="s">
        <v>16541</v>
      </c>
      <c r="B794" s="44" t="s">
        <v>9159</v>
      </c>
      <c r="C794" s="44" t="s">
        <v>9160</v>
      </c>
      <c r="D794" s="44" t="s">
        <v>16408</v>
      </c>
      <c r="E794" s="44" t="s">
        <v>4895</v>
      </c>
      <c r="F794" s="44" t="s">
        <v>4896</v>
      </c>
      <c r="G794" s="44" t="s">
        <v>14871</v>
      </c>
      <c r="H794" s="44" t="s">
        <v>14872</v>
      </c>
      <c r="I794" s="44" t="s">
        <v>14886</v>
      </c>
      <c r="J794" s="44" t="s">
        <v>14874</v>
      </c>
      <c r="K794" s="44" t="s">
        <v>14875</v>
      </c>
      <c r="L794" s="44" t="s">
        <v>9165</v>
      </c>
      <c r="M794" s="44" t="s">
        <v>14876</v>
      </c>
    </row>
    <row r="795" customFormat="false" ht="22.35" hidden="false" customHeight="false" outlineLevel="0" collapsed="false">
      <c r="A795" s="44" t="s">
        <v>16542</v>
      </c>
      <c r="B795" s="44" t="s">
        <v>9159</v>
      </c>
      <c r="C795" s="44" t="s">
        <v>9160</v>
      </c>
      <c r="D795" s="44" t="s">
        <v>16543</v>
      </c>
      <c r="E795" s="44"/>
      <c r="F795" s="44"/>
      <c r="G795" s="44" t="s">
        <v>14882</v>
      </c>
      <c r="H795" s="44" t="s">
        <v>14872</v>
      </c>
      <c r="I795" s="44" t="s">
        <v>14883</v>
      </c>
      <c r="J795" s="44" t="s">
        <v>14874</v>
      </c>
      <c r="K795" s="44" t="s">
        <v>14875</v>
      </c>
      <c r="L795" s="44" t="s">
        <v>9165</v>
      </c>
      <c r="M795" s="44" t="s">
        <v>14876</v>
      </c>
    </row>
    <row r="796" customFormat="false" ht="22.35" hidden="false" customHeight="false" outlineLevel="0" collapsed="false">
      <c r="A796" s="44" t="s">
        <v>16544</v>
      </c>
      <c r="B796" s="44" t="s">
        <v>9159</v>
      </c>
      <c r="C796" s="44" t="s">
        <v>9160</v>
      </c>
      <c r="D796" s="44" t="s">
        <v>16545</v>
      </c>
      <c r="E796" s="44"/>
      <c r="F796" s="44"/>
      <c r="G796" s="44" t="s">
        <v>14882</v>
      </c>
      <c r="H796" s="44" t="s">
        <v>14872</v>
      </c>
      <c r="I796" s="44" t="s">
        <v>14883</v>
      </c>
      <c r="J796" s="44" t="s">
        <v>14874</v>
      </c>
      <c r="K796" s="44" t="s">
        <v>14875</v>
      </c>
      <c r="L796" s="44" t="s">
        <v>9165</v>
      </c>
      <c r="M796" s="44" t="s">
        <v>14876</v>
      </c>
    </row>
    <row r="797" customFormat="false" ht="22.35" hidden="false" customHeight="false" outlineLevel="0" collapsed="false">
      <c r="A797" s="44" t="s">
        <v>16546</v>
      </c>
      <c r="B797" s="44" t="s">
        <v>9166</v>
      </c>
      <c r="C797" s="44" t="s">
        <v>9167</v>
      </c>
      <c r="D797" s="44" t="s">
        <v>16547</v>
      </c>
      <c r="E797" s="44" t="s">
        <v>16381</v>
      </c>
      <c r="F797" s="44" t="s">
        <v>16382</v>
      </c>
      <c r="G797" s="44" t="s">
        <v>14871</v>
      </c>
      <c r="H797" s="44" t="s">
        <v>14872</v>
      </c>
      <c r="I797" s="44" t="s">
        <v>14886</v>
      </c>
      <c r="J797" s="44" t="s">
        <v>14874</v>
      </c>
      <c r="K797" s="44" t="s">
        <v>14875</v>
      </c>
      <c r="L797" s="44" t="s">
        <v>9171</v>
      </c>
      <c r="M797" s="44" t="s">
        <v>14876</v>
      </c>
    </row>
    <row r="798" customFormat="false" ht="22.35" hidden="false" customHeight="false" outlineLevel="0" collapsed="false">
      <c r="A798" s="44" t="s">
        <v>16548</v>
      </c>
      <c r="B798" s="44" t="s">
        <v>9166</v>
      </c>
      <c r="C798" s="44" t="s">
        <v>9167</v>
      </c>
      <c r="D798" s="44" t="s">
        <v>16549</v>
      </c>
      <c r="E798" s="44" t="s">
        <v>16550</v>
      </c>
      <c r="F798" s="44" t="s">
        <v>16551</v>
      </c>
      <c r="G798" s="44" t="s">
        <v>14871</v>
      </c>
      <c r="H798" s="44" t="s">
        <v>14872</v>
      </c>
      <c r="I798" s="44" t="s">
        <v>14886</v>
      </c>
      <c r="J798" s="44" t="s">
        <v>14874</v>
      </c>
      <c r="K798" s="44" t="s">
        <v>14875</v>
      </c>
      <c r="L798" s="44" t="s">
        <v>9171</v>
      </c>
      <c r="M798" s="44" t="s">
        <v>14876</v>
      </c>
    </row>
    <row r="799" customFormat="false" ht="22.35" hidden="false" customHeight="false" outlineLevel="0" collapsed="false">
      <c r="A799" s="44" t="s">
        <v>16552</v>
      </c>
      <c r="B799" s="44" t="s">
        <v>9166</v>
      </c>
      <c r="C799" s="44" t="s">
        <v>9167</v>
      </c>
      <c r="D799" s="44" t="s">
        <v>16553</v>
      </c>
      <c r="E799" s="44" t="s">
        <v>16554</v>
      </c>
      <c r="F799" s="44" t="s">
        <v>16555</v>
      </c>
      <c r="G799" s="44" t="s">
        <v>14871</v>
      </c>
      <c r="H799" s="44" t="s">
        <v>14872</v>
      </c>
      <c r="I799" s="44" t="s">
        <v>14886</v>
      </c>
      <c r="J799" s="44" t="s">
        <v>14874</v>
      </c>
      <c r="K799" s="44" t="s">
        <v>14875</v>
      </c>
      <c r="L799" s="44" t="s">
        <v>9171</v>
      </c>
      <c r="M799" s="44" t="s">
        <v>14876</v>
      </c>
    </row>
    <row r="800" customFormat="false" ht="22.35" hidden="false" customHeight="false" outlineLevel="0" collapsed="false">
      <c r="A800" s="44" t="s">
        <v>16556</v>
      </c>
      <c r="B800" s="44" t="s">
        <v>9166</v>
      </c>
      <c r="C800" s="44" t="s">
        <v>9167</v>
      </c>
      <c r="D800" s="44" t="s">
        <v>16557</v>
      </c>
      <c r="E800" s="44" t="s">
        <v>180</v>
      </c>
      <c r="F800" s="44" t="s">
        <v>47</v>
      </c>
      <c r="G800" s="44" t="s">
        <v>14871</v>
      </c>
      <c r="H800" s="44" t="s">
        <v>14872</v>
      </c>
      <c r="I800" s="44" t="s">
        <v>14886</v>
      </c>
      <c r="J800" s="44" t="s">
        <v>14874</v>
      </c>
      <c r="K800" s="44" t="s">
        <v>14875</v>
      </c>
      <c r="L800" s="44" t="s">
        <v>9171</v>
      </c>
      <c r="M800" s="44" t="s">
        <v>14876</v>
      </c>
    </row>
    <row r="801" customFormat="false" ht="22.35" hidden="false" customHeight="false" outlineLevel="0" collapsed="false">
      <c r="A801" s="44" t="s">
        <v>16558</v>
      </c>
      <c r="B801" s="44" t="s">
        <v>9172</v>
      </c>
      <c r="C801" s="44" t="s">
        <v>9173</v>
      </c>
      <c r="D801" s="44" t="s">
        <v>16559</v>
      </c>
      <c r="E801" s="44" t="s">
        <v>16560</v>
      </c>
      <c r="F801" s="44" t="s">
        <v>16561</v>
      </c>
      <c r="G801" s="44" t="s">
        <v>14871</v>
      </c>
      <c r="H801" s="44" t="s">
        <v>14872</v>
      </c>
      <c r="I801" s="44" t="s">
        <v>14886</v>
      </c>
      <c r="J801" s="44" t="s">
        <v>14874</v>
      </c>
      <c r="K801" s="44" t="s">
        <v>14875</v>
      </c>
      <c r="L801" s="44" t="s">
        <v>9176</v>
      </c>
      <c r="M801" s="44" t="s">
        <v>14876</v>
      </c>
    </row>
    <row r="802" customFormat="false" ht="22.35" hidden="false" customHeight="false" outlineLevel="0" collapsed="false">
      <c r="A802" s="44" t="s">
        <v>16562</v>
      </c>
      <c r="B802" s="44" t="s">
        <v>9172</v>
      </c>
      <c r="C802" s="44" t="s">
        <v>9173</v>
      </c>
      <c r="D802" s="44" t="s">
        <v>16563</v>
      </c>
      <c r="E802" s="44" t="s">
        <v>16187</v>
      </c>
      <c r="F802" s="44" t="s">
        <v>16188</v>
      </c>
      <c r="G802" s="44" t="s">
        <v>14871</v>
      </c>
      <c r="H802" s="44" t="s">
        <v>14872</v>
      </c>
      <c r="I802" s="44" t="s">
        <v>14886</v>
      </c>
      <c r="J802" s="44" t="s">
        <v>14874</v>
      </c>
      <c r="K802" s="44" t="s">
        <v>14875</v>
      </c>
      <c r="L802" s="44" t="s">
        <v>9176</v>
      </c>
      <c r="M802" s="44" t="s">
        <v>14876</v>
      </c>
    </row>
    <row r="803" customFormat="false" ht="22.35" hidden="false" customHeight="false" outlineLevel="0" collapsed="false">
      <c r="A803" s="44" t="s">
        <v>16564</v>
      </c>
      <c r="B803" s="44" t="s">
        <v>9172</v>
      </c>
      <c r="C803" s="44" t="s">
        <v>9173</v>
      </c>
      <c r="D803" s="44" t="s">
        <v>16565</v>
      </c>
      <c r="E803" s="44" t="s">
        <v>5128</v>
      </c>
      <c r="F803" s="44" t="s">
        <v>5129</v>
      </c>
      <c r="G803" s="44" t="s">
        <v>14871</v>
      </c>
      <c r="H803" s="44" t="s">
        <v>14872</v>
      </c>
      <c r="I803" s="44" t="s">
        <v>14873</v>
      </c>
      <c r="J803" s="44" t="s">
        <v>14874</v>
      </c>
      <c r="K803" s="44" t="s">
        <v>14875</v>
      </c>
      <c r="L803" s="44" t="s">
        <v>9176</v>
      </c>
      <c r="M803" s="44" t="s">
        <v>14876</v>
      </c>
    </row>
    <row r="804" customFormat="false" ht="22.35" hidden="false" customHeight="false" outlineLevel="0" collapsed="false">
      <c r="A804" s="44" t="s">
        <v>16566</v>
      </c>
      <c r="B804" s="44" t="s">
        <v>9172</v>
      </c>
      <c r="C804" s="44" t="s">
        <v>9173</v>
      </c>
      <c r="D804" s="44" t="s">
        <v>16567</v>
      </c>
      <c r="E804" s="44" t="s">
        <v>6785</v>
      </c>
      <c r="F804" s="44" t="s">
        <v>6786</v>
      </c>
      <c r="G804" s="44" t="s">
        <v>14871</v>
      </c>
      <c r="H804" s="44" t="s">
        <v>14872</v>
      </c>
      <c r="I804" s="44" t="s">
        <v>14886</v>
      </c>
      <c r="J804" s="44" t="s">
        <v>14874</v>
      </c>
      <c r="K804" s="44" t="s">
        <v>14875</v>
      </c>
      <c r="L804" s="44" t="s">
        <v>9176</v>
      </c>
      <c r="M804" s="44" t="s">
        <v>14876</v>
      </c>
    </row>
    <row r="805" customFormat="false" ht="22.35" hidden="false" customHeight="false" outlineLevel="0" collapsed="false">
      <c r="A805" s="44" t="s">
        <v>16568</v>
      </c>
      <c r="B805" s="44" t="s">
        <v>9177</v>
      </c>
      <c r="C805" s="44" t="s">
        <v>9178</v>
      </c>
      <c r="D805" s="44" t="s">
        <v>16569</v>
      </c>
      <c r="E805" s="44" t="s">
        <v>4895</v>
      </c>
      <c r="F805" s="44" t="s">
        <v>4896</v>
      </c>
      <c r="G805" s="44" t="s">
        <v>14871</v>
      </c>
      <c r="H805" s="44" t="s">
        <v>14872</v>
      </c>
      <c r="I805" s="44" t="s">
        <v>14886</v>
      </c>
      <c r="J805" s="44" t="s">
        <v>14874</v>
      </c>
      <c r="K805" s="44" t="s">
        <v>14875</v>
      </c>
      <c r="L805" s="44" t="s">
        <v>9182</v>
      </c>
      <c r="M805" s="44" t="s">
        <v>14876</v>
      </c>
    </row>
    <row r="806" customFormat="false" ht="22.35" hidden="false" customHeight="false" outlineLevel="0" collapsed="false">
      <c r="A806" s="44" t="s">
        <v>16570</v>
      </c>
      <c r="B806" s="44" t="s">
        <v>9177</v>
      </c>
      <c r="C806" s="44" t="s">
        <v>9178</v>
      </c>
      <c r="D806" s="44" t="s">
        <v>16571</v>
      </c>
      <c r="E806" s="44" t="s">
        <v>4895</v>
      </c>
      <c r="F806" s="44" t="s">
        <v>4896</v>
      </c>
      <c r="G806" s="44" t="s">
        <v>14871</v>
      </c>
      <c r="H806" s="44" t="s">
        <v>14872</v>
      </c>
      <c r="I806" s="44" t="s">
        <v>14886</v>
      </c>
      <c r="J806" s="44" t="s">
        <v>14874</v>
      </c>
      <c r="K806" s="44" t="s">
        <v>14875</v>
      </c>
      <c r="L806" s="44" t="s">
        <v>9182</v>
      </c>
      <c r="M806" s="44" t="s">
        <v>14876</v>
      </c>
    </row>
    <row r="807" customFormat="false" ht="22.35" hidden="false" customHeight="false" outlineLevel="0" collapsed="false">
      <c r="A807" s="44" t="s">
        <v>16572</v>
      </c>
      <c r="B807" s="44" t="s">
        <v>9177</v>
      </c>
      <c r="C807" s="44" t="s">
        <v>9178</v>
      </c>
      <c r="D807" s="44" t="s">
        <v>16573</v>
      </c>
      <c r="E807" s="44"/>
      <c r="F807" s="44"/>
      <c r="G807" s="44" t="s">
        <v>14882</v>
      </c>
      <c r="H807" s="44" t="s">
        <v>14872</v>
      </c>
      <c r="I807" s="44" t="s">
        <v>14883</v>
      </c>
      <c r="J807" s="44" t="s">
        <v>14874</v>
      </c>
      <c r="K807" s="44" t="s">
        <v>14875</v>
      </c>
      <c r="L807" s="44" t="s">
        <v>9182</v>
      </c>
      <c r="M807" s="44" t="s">
        <v>14876</v>
      </c>
    </row>
    <row r="808" customFormat="false" ht="22.35" hidden="false" customHeight="false" outlineLevel="0" collapsed="false">
      <c r="A808" s="44" t="s">
        <v>16574</v>
      </c>
      <c r="B808" s="44" t="s">
        <v>9177</v>
      </c>
      <c r="C808" s="44" t="s">
        <v>9178</v>
      </c>
      <c r="D808" s="44" t="s">
        <v>16575</v>
      </c>
      <c r="E808" s="44" t="s">
        <v>231</v>
      </c>
      <c r="F808" s="44" t="s">
        <v>232</v>
      </c>
      <c r="G808" s="44" t="s">
        <v>14871</v>
      </c>
      <c r="H808" s="44" t="s">
        <v>14872</v>
      </c>
      <c r="I808" s="44" t="s">
        <v>14873</v>
      </c>
      <c r="J808" s="44" t="s">
        <v>14874</v>
      </c>
      <c r="K808" s="44" t="s">
        <v>14875</v>
      </c>
      <c r="L808" s="44" t="s">
        <v>9182</v>
      </c>
      <c r="M808" s="44" t="s">
        <v>14876</v>
      </c>
    </row>
    <row r="809" customFormat="false" ht="22.35" hidden="false" customHeight="false" outlineLevel="0" collapsed="false">
      <c r="A809" s="44" t="s">
        <v>16576</v>
      </c>
      <c r="B809" s="44" t="s">
        <v>9177</v>
      </c>
      <c r="C809" s="44" t="s">
        <v>9178</v>
      </c>
      <c r="D809" s="44" t="s">
        <v>16577</v>
      </c>
      <c r="E809" s="44"/>
      <c r="F809" s="44"/>
      <c r="G809" s="44" t="s">
        <v>14882</v>
      </c>
      <c r="H809" s="44" t="s">
        <v>14872</v>
      </c>
      <c r="I809" s="44" t="s">
        <v>14883</v>
      </c>
      <c r="J809" s="44" t="s">
        <v>14874</v>
      </c>
      <c r="K809" s="44" t="s">
        <v>14875</v>
      </c>
      <c r="L809" s="44" t="s">
        <v>9182</v>
      </c>
      <c r="M809" s="44" t="s">
        <v>14876</v>
      </c>
    </row>
    <row r="810" customFormat="false" ht="22.35" hidden="false" customHeight="false" outlineLevel="0" collapsed="false">
      <c r="A810" s="44" t="s">
        <v>16578</v>
      </c>
      <c r="B810" s="44" t="s">
        <v>9177</v>
      </c>
      <c r="C810" s="44" t="s">
        <v>9178</v>
      </c>
      <c r="D810" s="44" t="s">
        <v>16579</v>
      </c>
      <c r="E810" s="44"/>
      <c r="F810" s="44"/>
      <c r="G810" s="44" t="s">
        <v>14882</v>
      </c>
      <c r="H810" s="44" t="s">
        <v>14872</v>
      </c>
      <c r="I810" s="44" t="s">
        <v>14883</v>
      </c>
      <c r="J810" s="44" t="s">
        <v>14874</v>
      </c>
      <c r="K810" s="44" t="s">
        <v>14875</v>
      </c>
      <c r="L810" s="44" t="s">
        <v>9182</v>
      </c>
      <c r="M810" s="44" t="s">
        <v>14876</v>
      </c>
    </row>
    <row r="811" customFormat="false" ht="22.35" hidden="false" customHeight="false" outlineLevel="0" collapsed="false">
      <c r="A811" s="44" t="s">
        <v>16580</v>
      </c>
      <c r="B811" s="44" t="s">
        <v>9183</v>
      </c>
      <c r="C811" s="44" t="s">
        <v>9184</v>
      </c>
      <c r="D811" s="44" t="s">
        <v>16581</v>
      </c>
      <c r="E811" s="44" t="s">
        <v>16582</v>
      </c>
      <c r="F811" s="44" t="s">
        <v>16583</v>
      </c>
      <c r="G811" s="44" t="s">
        <v>14871</v>
      </c>
      <c r="H811" s="44" t="s">
        <v>14872</v>
      </c>
      <c r="I811" s="44" t="s">
        <v>14886</v>
      </c>
      <c r="J811" s="44" t="s">
        <v>14874</v>
      </c>
      <c r="K811" s="44" t="s">
        <v>14875</v>
      </c>
      <c r="L811" s="44" t="s">
        <v>9188</v>
      </c>
      <c r="M811" s="44" t="s">
        <v>14876</v>
      </c>
    </row>
    <row r="812" customFormat="false" ht="22.35" hidden="false" customHeight="false" outlineLevel="0" collapsed="false">
      <c r="A812" s="44" t="s">
        <v>16584</v>
      </c>
      <c r="B812" s="44" t="s">
        <v>9183</v>
      </c>
      <c r="C812" s="44" t="s">
        <v>9184</v>
      </c>
      <c r="D812" s="44" t="s">
        <v>16585</v>
      </c>
      <c r="E812" s="44" t="s">
        <v>3246</v>
      </c>
      <c r="F812" s="44" t="s">
        <v>3247</v>
      </c>
      <c r="G812" s="44" t="s">
        <v>14871</v>
      </c>
      <c r="H812" s="44" t="s">
        <v>14872</v>
      </c>
      <c r="I812" s="44" t="s">
        <v>14873</v>
      </c>
      <c r="J812" s="44" t="s">
        <v>14874</v>
      </c>
      <c r="K812" s="44" t="s">
        <v>14875</v>
      </c>
      <c r="L812" s="44" t="s">
        <v>9188</v>
      </c>
      <c r="M812" s="44" t="s">
        <v>14876</v>
      </c>
    </row>
    <row r="813" customFormat="false" ht="22.35" hidden="false" customHeight="false" outlineLevel="0" collapsed="false">
      <c r="A813" s="44" t="s">
        <v>16586</v>
      </c>
      <c r="B813" s="44" t="s">
        <v>9183</v>
      </c>
      <c r="C813" s="44" t="s">
        <v>9184</v>
      </c>
      <c r="D813" s="44" t="s">
        <v>16587</v>
      </c>
      <c r="E813" s="44"/>
      <c r="F813" s="44"/>
      <c r="G813" s="44" t="s">
        <v>14882</v>
      </c>
      <c r="H813" s="44" t="s">
        <v>14872</v>
      </c>
      <c r="I813" s="44" t="s">
        <v>14883</v>
      </c>
      <c r="J813" s="44" t="s">
        <v>14874</v>
      </c>
      <c r="K813" s="44" t="s">
        <v>14875</v>
      </c>
      <c r="L813" s="44" t="s">
        <v>9188</v>
      </c>
      <c r="M813" s="44" t="s">
        <v>14876</v>
      </c>
    </row>
    <row r="814" customFormat="false" ht="22.35" hidden="false" customHeight="false" outlineLevel="0" collapsed="false">
      <c r="A814" s="44" t="s">
        <v>16588</v>
      </c>
      <c r="B814" s="44" t="s">
        <v>9183</v>
      </c>
      <c r="C814" s="44" t="s">
        <v>9184</v>
      </c>
      <c r="D814" s="44" t="s">
        <v>16589</v>
      </c>
      <c r="E814" s="44" t="s">
        <v>196</v>
      </c>
      <c r="F814" s="44" t="s">
        <v>59</v>
      </c>
      <c r="G814" s="44" t="s">
        <v>14871</v>
      </c>
      <c r="H814" s="44" t="s">
        <v>14872</v>
      </c>
      <c r="I814" s="44" t="s">
        <v>14886</v>
      </c>
      <c r="J814" s="44" t="s">
        <v>14874</v>
      </c>
      <c r="K814" s="44" t="s">
        <v>14875</v>
      </c>
      <c r="L814" s="44" t="s">
        <v>9188</v>
      </c>
      <c r="M814" s="44" t="s">
        <v>14876</v>
      </c>
    </row>
    <row r="815" customFormat="false" ht="22.35" hidden="false" customHeight="false" outlineLevel="0" collapsed="false">
      <c r="A815" s="44" t="s">
        <v>16590</v>
      </c>
      <c r="B815" s="44" t="s">
        <v>9189</v>
      </c>
      <c r="C815" s="44" t="s">
        <v>9190</v>
      </c>
      <c r="D815" s="44" t="s">
        <v>16591</v>
      </c>
      <c r="E815" s="44" t="s">
        <v>15946</v>
      </c>
      <c r="F815" s="44" t="s">
        <v>15947</v>
      </c>
      <c r="G815" s="44" t="s">
        <v>14871</v>
      </c>
      <c r="H815" s="44" t="s">
        <v>14872</v>
      </c>
      <c r="I815" s="44" t="s">
        <v>14886</v>
      </c>
      <c r="J815" s="44" t="s">
        <v>14874</v>
      </c>
      <c r="K815" s="44" t="s">
        <v>14875</v>
      </c>
      <c r="L815" s="44" t="s">
        <v>9194</v>
      </c>
      <c r="M815" s="44" t="s">
        <v>14876</v>
      </c>
    </row>
    <row r="816" customFormat="false" ht="22.35" hidden="false" customHeight="false" outlineLevel="0" collapsed="false">
      <c r="A816" s="44" t="s">
        <v>16592</v>
      </c>
      <c r="B816" s="44" t="s">
        <v>9189</v>
      </c>
      <c r="C816" s="44" t="s">
        <v>9190</v>
      </c>
      <c r="D816" s="44" t="s">
        <v>16593</v>
      </c>
      <c r="E816" s="44"/>
      <c r="F816" s="44"/>
      <c r="G816" s="44" t="s">
        <v>14882</v>
      </c>
      <c r="H816" s="44" t="s">
        <v>14872</v>
      </c>
      <c r="I816" s="44" t="s">
        <v>14883</v>
      </c>
      <c r="J816" s="44" t="s">
        <v>14874</v>
      </c>
      <c r="K816" s="44" t="s">
        <v>14875</v>
      </c>
      <c r="L816" s="44" t="s">
        <v>9194</v>
      </c>
      <c r="M816" s="44" t="s">
        <v>14876</v>
      </c>
    </row>
    <row r="817" customFormat="false" ht="22.35" hidden="false" customHeight="false" outlineLevel="0" collapsed="false">
      <c r="A817" s="44" t="s">
        <v>16594</v>
      </c>
      <c r="B817" s="44" t="s">
        <v>9189</v>
      </c>
      <c r="C817" s="44" t="s">
        <v>9190</v>
      </c>
      <c r="D817" s="44" t="s">
        <v>16595</v>
      </c>
      <c r="E817" s="44"/>
      <c r="F817" s="44"/>
      <c r="G817" s="44" t="s">
        <v>14882</v>
      </c>
      <c r="H817" s="44" t="s">
        <v>14872</v>
      </c>
      <c r="I817" s="44" t="s">
        <v>14883</v>
      </c>
      <c r="J817" s="44" t="s">
        <v>14874</v>
      </c>
      <c r="K817" s="44" t="s">
        <v>14875</v>
      </c>
      <c r="L817" s="44" t="s">
        <v>9194</v>
      </c>
      <c r="M817" s="44" t="s">
        <v>14876</v>
      </c>
    </row>
    <row r="818" customFormat="false" ht="22.35" hidden="false" customHeight="false" outlineLevel="0" collapsed="false">
      <c r="A818" s="44" t="s">
        <v>16596</v>
      </c>
      <c r="B818" s="44" t="s">
        <v>9189</v>
      </c>
      <c r="C818" s="44" t="s">
        <v>9190</v>
      </c>
      <c r="D818" s="44" t="s">
        <v>16151</v>
      </c>
      <c r="E818" s="44"/>
      <c r="F818" s="44"/>
      <c r="G818" s="44" t="s">
        <v>14882</v>
      </c>
      <c r="H818" s="44" t="s">
        <v>14872</v>
      </c>
      <c r="I818" s="44" t="s">
        <v>14883</v>
      </c>
      <c r="J818" s="44" t="s">
        <v>14874</v>
      </c>
      <c r="K818" s="44" t="s">
        <v>14875</v>
      </c>
      <c r="L818" s="44" t="s">
        <v>9194</v>
      </c>
      <c r="M818" s="44" t="s">
        <v>14876</v>
      </c>
    </row>
    <row r="819" customFormat="false" ht="22.35" hidden="false" customHeight="false" outlineLevel="0" collapsed="false">
      <c r="A819" s="44" t="s">
        <v>16597</v>
      </c>
      <c r="B819" s="44" t="s">
        <v>9195</v>
      </c>
      <c r="C819" s="44" t="s">
        <v>9196</v>
      </c>
      <c r="D819" s="44" t="s">
        <v>16598</v>
      </c>
      <c r="E819" s="44" t="s">
        <v>15946</v>
      </c>
      <c r="F819" s="44" t="s">
        <v>15947</v>
      </c>
      <c r="G819" s="44" t="s">
        <v>14871</v>
      </c>
      <c r="H819" s="44" t="s">
        <v>14872</v>
      </c>
      <c r="I819" s="44" t="s">
        <v>14886</v>
      </c>
      <c r="J819" s="44" t="s">
        <v>14874</v>
      </c>
      <c r="K819" s="44" t="s">
        <v>14875</v>
      </c>
      <c r="L819" s="44" t="s">
        <v>9199</v>
      </c>
      <c r="M819" s="44" t="s">
        <v>14876</v>
      </c>
    </row>
    <row r="820" customFormat="false" ht="22.35" hidden="false" customHeight="false" outlineLevel="0" collapsed="false">
      <c r="A820" s="44" t="s">
        <v>16599</v>
      </c>
      <c r="B820" s="44" t="s">
        <v>9195</v>
      </c>
      <c r="C820" s="44" t="s">
        <v>9196</v>
      </c>
      <c r="D820" s="44" t="s">
        <v>16600</v>
      </c>
      <c r="E820" s="44" t="s">
        <v>1075</v>
      </c>
      <c r="F820" s="44" t="s">
        <v>1076</v>
      </c>
      <c r="G820" s="44" t="s">
        <v>14871</v>
      </c>
      <c r="H820" s="44" t="s">
        <v>14872</v>
      </c>
      <c r="I820" s="44" t="s">
        <v>14879</v>
      </c>
      <c r="J820" s="44" t="s">
        <v>14874</v>
      </c>
      <c r="K820" s="44" t="s">
        <v>14875</v>
      </c>
      <c r="L820" s="44" t="s">
        <v>9199</v>
      </c>
      <c r="M820" s="44" t="s">
        <v>14876</v>
      </c>
    </row>
    <row r="821" customFormat="false" ht="22.35" hidden="false" customHeight="false" outlineLevel="0" collapsed="false">
      <c r="A821" s="44" t="s">
        <v>16601</v>
      </c>
      <c r="B821" s="44" t="s">
        <v>9195</v>
      </c>
      <c r="C821" s="44" t="s">
        <v>9196</v>
      </c>
      <c r="D821" s="44" t="s">
        <v>16602</v>
      </c>
      <c r="E821" s="44"/>
      <c r="F821" s="44"/>
      <c r="G821" s="44" t="s">
        <v>14882</v>
      </c>
      <c r="H821" s="44" t="s">
        <v>14872</v>
      </c>
      <c r="I821" s="44" t="s">
        <v>14883</v>
      </c>
      <c r="J821" s="44" t="s">
        <v>14874</v>
      </c>
      <c r="K821" s="44" t="s">
        <v>14875</v>
      </c>
      <c r="L821" s="44" t="s">
        <v>9199</v>
      </c>
      <c r="M821" s="44" t="s">
        <v>14876</v>
      </c>
    </row>
    <row r="822" customFormat="false" ht="22.35" hidden="false" customHeight="false" outlineLevel="0" collapsed="false">
      <c r="A822" s="44" t="s">
        <v>16603</v>
      </c>
      <c r="B822" s="44" t="s">
        <v>9195</v>
      </c>
      <c r="C822" s="44" t="s">
        <v>9196</v>
      </c>
      <c r="D822" s="44" t="s">
        <v>16604</v>
      </c>
      <c r="E822" s="44"/>
      <c r="F822" s="44"/>
      <c r="G822" s="44" t="s">
        <v>14882</v>
      </c>
      <c r="H822" s="44" t="s">
        <v>14872</v>
      </c>
      <c r="I822" s="44" t="s">
        <v>14883</v>
      </c>
      <c r="J822" s="44" t="s">
        <v>14874</v>
      </c>
      <c r="K822" s="44" t="s">
        <v>14875</v>
      </c>
      <c r="L822" s="44" t="s">
        <v>9199</v>
      </c>
      <c r="M822" s="44" t="s">
        <v>14876</v>
      </c>
    </row>
    <row r="823" customFormat="false" ht="22.35" hidden="false" customHeight="false" outlineLevel="0" collapsed="false">
      <c r="A823" s="44" t="s">
        <v>16605</v>
      </c>
      <c r="B823" s="44" t="s">
        <v>9195</v>
      </c>
      <c r="C823" s="44" t="s">
        <v>9196</v>
      </c>
      <c r="D823" s="44" t="s">
        <v>16606</v>
      </c>
      <c r="E823" s="44" t="s">
        <v>196</v>
      </c>
      <c r="F823" s="44" t="s">
        <v>59</v>
      </c>
      <c r="G823" s="44" t="s">
        <v>14871</v>
      </c>
      <c r="H823" s="44" t="s">
        <v>14872</v>
      </c>
      <c r="I823" s="44" t="s">
        <v>14886</v>
      </c>
      <c r="J823" s="44" t="s">
        <v>14874</v>
      </c>
      <c r="K823" s="44" t="s">
        <v>14875</v>
      </c>
      <c r="L823" s="44" t="s">
        <v>9199</v>
      </c>
      <c r="M823" s="44" t="s">
        <v>14876</v>
      </c>
    </row>
    <row r="824" customFormat="false" ht="22.35" hidden="false" customHeight="false" outlineLevel="0" collapsed="false">
      <c r="A824" s="44" t="s">
        <v>16607</v>
      </c>
      <c r="B824" s="44" t="s">
        <v>9200</v>
      </c>
      <c r="C824" s="44" t="s">
        <v>9201</v>
      </c>
      <c r="D824" s="44" t="s">
        <v>16608</v>
      </c>
      <c r="E824" s="44" t="s">
        <v>16609</v>
      </c>
      <c r="F824" s="44" t="s">
        <v>16610</v>
      </c>
      <c r="G824" s="44" t="s">
        <v>14871</v>
      </c>
      <c r="H824" s="44" t="s">
        <v>14872</v>
      </c>
      <c r="I824" s="44" t="s">
        <v>14886</v>
      </c>
      <c r="J824" s="44" t="s">
        <v>14874</v>
      </c>
      <c r="K824" s="44" t="s">
        <v>14875</v>
      </c>
      <c r="L824" s="44" t="s">
        <v>9207</v>
      </c>
      <c r="M824" s="44" t="s">
        <v>14876</v>
      </c>
    </row>
    <row r="825" customFormat="false" ht="22.35" hidden="false" customHeight="false" outlineLevel="0" collapsed="false">
      <c r="A825" s="44" t="s">
        <v>16611</v>
      </c>
      <c r="B825" s="44" t="s">
        <v>9200</v>
      </c>
      <c r="C825" s="44" t="s">
        <v>9201</v>
      </c>
      <c r="D825" s="44" t="s">
        <v>16612</v>
      </c>
      <c r="E825" s="44" t="s">
        <v>180</v>
      </c>
      <c r="F825" s="44" t="s">
        <v>47</v>
      </c>
      <c r="G825" s="44" t="s">
        <v>14871</v>
      </c>
      <c r="H825" s="44" t="s">
        <v>14872</v>
      </c>
      <c r="I825" s="44" t="s">
        <v>14886</v>
      </c>
      <c r="J825" s="44" t="s">
        <v>14874</v>
      </c>
      <c r="K825" s="44" t="s">
        <v>14875</v>
      </c>
      <c r="L825" s="44" t="s">
        <v>9207</v>
      </c>
      <c r="M825" s="44" t="s">
        <v>14876</v>
      </c>
    </row>
    <row r="826" customFormat="false" ht="22.35" hidden="false" customHeight="false" outlineLevel="0" collapsed="false">
      <c r="A826" s="44" t="s">
        <v>16613</v>
      </c>
      <c r="B826" s="44" t="s">
        <v>9200</v>
      </c>
      <c r="C826" s="44" t="s">
        <v>9201</v>
      </c>
      <c r="D826" s="44" t="s">
        <v>16614</v>
      </c>
      <c r="E826" s="44" t="s">
        <v>3438</v>
      </c>
      <c r="F826" s="44" t="s">
        <v>3439</v>
      </c>
      <c r="G826" s="44" t="s">
        <v>14871</v>
      </c>
      <c r="H826" s="44" t="s">
        <v>14872</v>
      </c>
      <c r="I826" s="44" t="s">
        <v>14873</v>
      </c>
      <c r="J826" s="44" t="s">
        <v>14874</v>
      </c>
      <c r="K826" s="44" t="s">
        <v>14875</v>
      </c>
      <c r="L826" s="44" t="s">
        <v>9207</v>
      </c>
      <c r="M826" s="44" t="s">
        <v>14876</v>
      </c>
    </row>
    <row r="827" customFormat="false" ht="22.35" hidden="false" customHeight="false" outlineLevel="0" collapsed="false">
      <c r="A827" s="44" t="s">
        <v>16615</v>
      </c>
      <c r="B827" s="44" t="s">
        <v>9200</v>
      </c>
      <c r="C827" s="44" t="s">
        <v>9201</v>
      </c>
      <c r="D827" s="44" t="s">
        <v>16616</v>
      </c>
      <c r="E827" s="44"/>
      <c r="F827" s="44"/>
      <c r="G827" s="44" t="s">
        <v>14882</v>
      </c>
      <c r="H827" s="44" t="s">
        <v>14872</v>
      </c>
      <c r="I827" s="44" t="s">
        <v>14883</v>
      </c>
      <c r="J827" s="44" t="s">
        <v>14874</v>
      </c>
      <c r="K827" s="44" t="s">
        <v>14875</v>
      </c>
      <c r="L827" s="44" t="s">
        <v>9207</v>
      </c>
      <c r="M827" s="44" t="s">
        <v>14876</v>
      </c>
    </row>
    <row r="828" customFormat="false" ht="22.35" hidden="false" customHeight="false" outlineLevel="0" collapsed="false">
      <c r="A828" s="44" t="s">
        <v>16617</v>
      </c>
      <c r="B828" s="44" t="s">
        <v>9200</v>
      </c>
      <c r="C828" s="44" t="s">
        <v>9201</v>
      </c>
      <c r="D828" s="44" t="s">
        <v>15445</v>
      </c>
      <c r="E828" s="44" t="s">
        <v>2859</v>
      </c>
      <c r="F828" s="44" t="s">
        <v>2860</v>
      </c>
      <c r="G828" s="44" t="s">
        <v>14871</v>
      </c>
      <c r="H828" s="44" t="s">
        <v>14872</v>
      </c>
      <c r="I828" s="44" t="s">
        <v>14873</v>
      </c>
      <c r="J828" s="44" t="s">
        <v>14874</v>
      </c>
      <c r="K828" s="44" t="s">
        <v>14875</v>
      </c>
      <c r="L828" s="44" t="s">
        <v>9207</v>
      </c>
      <c r="M828" s="44" t="s">
        <v>14876</v>
      </c>
    </row>
    <row r="829" customFormat="false" ht="22.35" hidden="false" customHeight="false" outlineLevel="0" collapsed="false">
      <c r="A829" s="44" t="s">
        <v>16618</v>
      </c>
      <c r="B829" s="44" t="s">
        <v>9208</v>
      </c>
      <c r="C829" s="44" t="s">
        <v>9209</v>
      </c>
      <c r="D829" s="44" t="s">
        <v>16619</v>
      </c>
      <c r="E829" s="44" t="s">
        <v>4895</v>
      </c>
      <c r="F829" s="44" t="s">
        <v>4896</v>
      </c>
      <c r="G829" s="44" t="s">
        <v>14871</v>
      </c>
      <c r="H829" s="44" t="s">
        <v>14872</v>
      </c>
      <c r="I829" s="44" t="s">
        <v>14886</v>
      </c>
      <c r="J829" s="44" t="s">
        <v>14874</v>
      </c>
      <c r="K829" s="44" t="s">
        <v>14875</v>
      </c>
      <c r="L829" s="44" t="s">
        <v>9214</v>
      </c>
      <c r="M829" s="44" t="s">
        <v>14876</v>
      </c>
    </row>
    <row r="830" customFormat="false" ht="22.35" hidden="false" customHeight="false" outlineLevel="0" collapsed="false">
      <c r="A830" s="44" t="s">
        <v>16620</v>
      </c>
      <c r="B830" s="44" t="s">
        <v>9208</v>
      </c>
      <c r="C830" s="44" t="s">
        <v>9209</v>
      </c>
      <c r="D830" s="44" t="s">
        <v>16621</v>
      </c>
      <c r="E830" s="44" t="s">
        <v>200</v>
      </c>
      <c r="F830" s="44" t="s">
        <v>201</v>
      </c>
      <c r="G830" s="44" t="s">
        <v>14871</v>
      </c>
      <c r="H830" s="44" t="s">
        <v>14872</v>
      </c>
      <c r="I830" s="44" t="s">
        <v>14886</v>
      </c>
      <c r="J830" s="44" t="s">
        <v>14874</v>
      </c>
      <c r="K830" s="44" t="s">
        <v>14875</v>
      </c>
      <c r="L830" s="44" t="s">
        <v>9214</v>
      </c>
      <c r="M830" s="44" t="s">
        <v>14876</v>
      </c>
    </row>
    <row r="831" customFormat="false" ht="22.35" hidden="false" customHeight="false" outlineLevel="0" collapsed="false">
      <c r="A831" s="44" t="s">
        <v>16622</v>
      </c>
      <c r="B831" s="44" t="s">
        <v>9208</v>
      </c>
      <c r="C831" s="44" t="s">
        <v>9209</v>
      </c>
      <c r="D831" s="44" t="s">
        <v>16623</v>
      </c>
      <c r="E831" s="44"/>
      <c r="F831" s="44"/>
      <c r="G831" s="44" t="s">
        <v>14882</v>
      </c>
      <c r="H831" s="44" t="s">
        <v>14872</v>
      </c>
      <c r="I831" s="44" t="s">
        <v>14883</v>
      </c>
      <c r="J831" s="44" t="s">
        <v>14874</v>
      </c>
      <c r="K831" s="44" t="s">
        <v>14875</v>
      </c>
      <c r="L831" s="44" t="s">
        <v>9214</v>
      </c>
      <c r="M831" s="44" t="s">
        <v>14876</v>
      </c>
    </row>
    <row r="832" customFormat="false" ht="22.35" hidden="false" customHeight="false" outlineLevel="0" collapsed="false">
      <c r="A832" s="44" t="s">
        <v>16624</v>
      </c>
      <c r="B832" s="44" t="s">
        <v>9208</v>
      </c>
      <c r="C832" s="44" t="s">
        <v>9209</v>
      </c>
      <c r="D832" s="44" t="s">
        <v>14976</v>
      </c>
      <c r="E832" s="44" t="s">
        <v>231</v>
      </c>
      <c r="F832" s="44" t="s">
        <v>232</v>
      </c>
      <c r="G832" s="44" t="s">
        <v>14871</v>
      </c>
      <c r="H832" s="44" t="s">
        <v>14872</v>
      </c>
      <c r="I832" s="44" t="s">
        <v>14873</v>
      </c>
      <c r="J832" s="44" t="s">
        <v>14874</v>
      </c>
      <c r="K832" s="44" t="s">
        <v>14875</v>
      </c>
      <c r="L832" s="44" t="s">
        <v>9214</v>
      </c>
      <c r="M832" s="44" t="s">
        <v>14876</v>
      </c>
    </row>
    <row r="833" customFormat="false" ht="22.35" hidden="false" customHeight="false" outlineLevel="0" collapsed="false">
      <c r="A833" s="44" t="s">
        <v>16625</v>
      </c>
      <c r="B833" s="44" t="s">
        <v>9208</v>
      </c>
      <c r="C833" s="44" t="s">
        <v>9209</v>
      </c>
      <c r="D833" s="44" t="s">
        <v>15454</v>
      </c>
      <c r="E833" s="44" t="s">
        <v>215</v>
      </c>
      <c r="F833" s="44" t="s">
        <v>216</v>
      </c>
      <c r="G833" s="44" t="s">
        <v>14871</v>
      </c>
      <c r="H833" s="44" t="s">
        <v>14872</v>
      </c>
      <c r="I833" s="44" t="s">
        <v>14873</v>
      </c>
      <c r="J833" s="44" t="s">
        <v>14874</v>
      </c>
      <c r="K833" s="44" t="s">
        <v>14875</v>
      </c>
      <c r="L833" s="44" t="s">
        <v>9214</v>
      </c>
      <c r="M833" s="44" t="s">
        <v>14876</v>
      </c>
    </row>
    <row r="834" customFormat="false" ht="22.35" hidden="false" customHeight="false" outlineLevel="0" collapsed="false">
      <c r="A834" s="44" t="s">
        <v>16626</v>
      </c>
      <c r="B834" s="44" t="s">
        <v>9208</v>
      </c>
      <c r="C834" s="44" t="s">
        <v>9209</v>
      </c>
      <c r="D834" s="44" t="s">
        <v>16627</v>
      </c>
      <c r="E834" s="44" t="s">
        <v>4476</v>
      </c>
      <c r="F834" s="44" t="s">
        <v>4477</v>
      </c>
      <c r="G834" s="44" t="s">
        <v>14871</v>
      </c>
      <c r="H834" s="44" t="s">
        <v>14872</v>
      </c>
      <c r="I834" s="44" t="s">
        <v>14873</v>
      </c>
      <c r="J834" s="44" t="s">
        <v>14874</v>
      </c>
      <c r="K834" s="44" t="s">
        <v>14875</v>
      </c>
      <c r="L834" s="44" t="s">
        <v>9214</v>
      </c>
      <c r="M834" s="44" t="s">
        <v>14876</v>
      </c>
    </row>
    <row r="835" customFormat="false" ht="22.35" hidden="false" customHeight="false" outlineLevel="0" collapsed="false">
      <c r="A835" s="44" t="s">
        <v>16628</v>
      </c>
      <c r="B835" s="44" t="s">
        <v>9215</v>
      </c>
      <c r="C835" s="44" t="s">
        <v>9216</v>
      </c>
      <c r="D835" s="44" t="s">
        <v>16629</v>
      </c>
      <c r="E835" s="44" t="s">
        <v>16630</v>
      </c>
      <c r="F835" s="44" t="s">
        <v>16631</v>
      </c>
      <c r="G835" s="44" t="s">
        <v>14871</v>
      </c>
      <c r="H835" s="44" t="s">
        <v>14872</v>
      </c>
      <c r="I835" s="44" t="s">
        <v>14886</v>
      </c>
      <c r="J835" s="44" t="s">
        <v>14874</v>
      </c>
      <c r="K835" s="44" t="s">
        <v>14875</v>
      </c>
      <c r="L835" s="44" t="s">
        <v>9220</v>
      </c>
      <c r="M835" s="44" t="s">
        <v>14876</v>
      </c>
    </row>
    <row r="836" customFormat="false" ht="22.35" hidden="false" customHeight="false" outlineLevel="0" collapsed="false">
      <c r="A836" s="44" t="s">
        <v>16632</v>
      </c>
      <c r="B836" s="44" t="s">
        <v>9215</v>
      </c>
      <c r="C836" s="44" t="s">
        <v>9216</v>
      </c>
      <c r="D836" s="44" t="s">
        <v>15896</v>
      </c>
      <c r="E836" s="44" t="s">
        <v>192</v>
      </c>
      <c r="F836" s="44" t="s">
        <v>55</v>
      </c>
      <c r="G836" s="44" t="s">
        <v>14871</v>
      </c>
      <c r="H836" s="44" t="s">
        <v>14872</v>
      </c>
      <c r="I836" s="44" t="s">
        <v>14886</v>
      </c>
      <c r="J836" s="44" t="s">
        <v>14874</v>
      </c>
      <c r="K836" s="44" t="s">
        <v>14875</v>
      </c>
      <c r="L836" s="44" t="s">
        <v>9220</v>
      </c>
      <c r="M836" s="44" t="s">
        <v>14876</v>
      </c>
    </row>
    <row r="837" customFormat="false" ht="22.35" hidden="false" customHeight="false" outlineLevel="0" collapsed="false">
      <c r="A837" s="44" t="s">
        <v>16633</v>
      </c>
      <c r="B837" s="44" t="s">
        <v>9215</v>
      </c>
      <c r="C837" s="44" t="s">
        <v>9216</v>
      </c>
      <c r="D837" s="44" t="s">
        <v>15894</v>
      </c>
      <c r="E837" s="44" t="s">
        <v>215</v>
      </c>
      <c r="F837" s="44" t="s">
        <v>216</v>
      </c>
      <c r="G837" s="44" t="s">
        <v>14871</v>
      </c>
      <c r="H837" s="44" t="s">
        <v>14872</v>
      </c>
      <c r="I837" s="44" t="s">
        <v>14873</v>
      </c>
      <c r="J837" s="44" t="s">
        <v>14874</v>
      </c>
      <c r="K837" s="44" t="s">
        <v>14875</v>
      </c>
      <c r="L837" s="44" t="s">
        <v>9220</v>
      </c>
      <c r="M837" s="44" t="s">
        <v>14876</v>
      </c>
    </row>
    <row r="838" customFormat="false" ht="22.35" hidden="false" customHeight="false" outlineLevel="0" collapsed="false">
      <c r="A838" s="44" t="s">
        <v>16634</v>
      </c>
      <c r="B838" s="44" t="s">
        <v>9215</v>
      </c>
      <c r="C838" s="44" t="s">
        <v>9216</v>
      </c>
      <c r="D838" s="44" t="s">
        <v>16635</v>
      </c>
      <c r="E838" s="44"/>
      <c r="F838" s="44"/>
      <c r="G838" s="44" t="s">
        <v>14882</v>
      </c>
      <c r="H838" s="44" t="s">
        <v>14872</v>
      </c>
      <c r="I838" s="44" t="s">
        <v>14883</v>
      </c>
      <c r="J838" s="44" t="s">
        <v>14874</v>
      </c>
      <c r="K838" s="44" t="s">
        <v>14875</v>
      </c>
      <c r="L838" s="44" t="s">
        <v>9220</v>
      </c>
      <c r="M838" s="44" t="s">
        <v>14876</v>
      </c>
    </row>
    <row r="839" customFormat="false" ht="22.35" hidden="false" customHeight="false" outlineLevel="0" collapsed="false">
      <c r="A839" s="44" t="s">
        <v>16636</v>
      </c>
      <c r="B839" s="44" t="s">
        <v>9221</v>
      </c>
      <c r="C839" s="44" t="s">
        <v>9222</v>
      </c>
      <c r="D839" s="44" t="s">
        <v>16637</v>
      </c>
      <c r="E839" s="44"/>
      <c r="F839" s="44"/>
      <c r="G839" s="44" t="s">
        <v>14882</v>
      </c>
      <c r="H839" s="44" t="s">
        <v>14872</v>
      </c>
      <c r="I839" s="44" t="s">
        <v>14883</v>
      </c>
      <c r="J839" s="44" t="s">
        <v>14874</v>
      </c>
      <c r="K839" s="44" t="s">
        <v>14875</v>
      </c>
      <c r="L839" s="44" t="s">
        <v>9226</v>
      </c>
      <c r="M839" s="44" t="s">
        <v>14876</v>
      </c>
    </row>
    <row r="840" customFormat="false" ht="22.35" hidden="false" customHeight="false" outlineLevel="0" collapsed="false">
      <c r="A840" s="44" t="s">
        <v>16638</v>
      </c>
      <c r="B840" s="44" t="s">
        <v>9221</v>
      </c>
      <c r="C840" s="44" t="s">
        <v>9222</v>
      </c>
      <c r="D840" s="44" t="s">
        <v>15454</v>
      </c>
      <c r="E840" s="44" t="s">
        <v>215</v>
      </c>
      <c r="F840" s="44" t="s">
        <v>216</v>
      </c>
      <c r="G840" s="44" t="s">
        <v>14871</v>
      </c>
      <c r="H840" s="44" t="s">
        <v>14872</v>
      </c>
      <c r="I840" s="44" t="s">
        <v>14873</v>
      </c>
      <c r="J840" s="44" t="s">
        <v>14874</v>
      </c>
      <c r="K840" s="44" t="s">
        <v>14875</v>
      </c>
      <c r="L840" s="44" t="s">
        <v>9226</v>
      </c>
      <c r="M840" s="44" t="s">
        <v>14876</v>
      </c>
    </row>
    <row r="841" customFormat="false" ht="22.35" hidden="false" customHeight="false" outlineLevel="0" collapsed="false">
      <c r="A841" s="44" t="s">
        <v>16639</v>
      </c>
      <c r="B841" s="44" t="s">
        <v>9221</v>
      </c>
      <c r="C841" s="44" t="s">
        <v>9222</v>
      </c>
      <c r="D841" s="44" t="s">
        <v>14942</v>
      </c>
      <c r="E841" s="44" t="s">
        <v>3589</v>
      </c>
      <c r="F841" s="44" t="s">
        <v>3590</v>
      </c>
      <c r="G841" s="44" t="s">
        <v>14871</v>
      </c>
      <c r="H841" s="44" t="s">
        <v>14872</v>
      </c>
      <c r="I841" s="44" t="s">
        <v>14886</v>
      </c>
      <c r="J841" s="44" t="s">
        <v>14874</v>
      </c>
      <c r="K841" s="44" t="s">
        <v>14875</v>
      </c>
      <c r="L841" s="44" t="s">
        <v>9226</v>
      </c>
      <c r="M841" s="44" t="s">
        <v>14876</v>
      </c>
    </row>
    <row r="842" customFormat="false" ht="22.35" hidden="false" customHeight="false" outlineLevel="0" collapsed="false">
      <c r="A842" s="44" t="s">
        <v>16640</v>
      </c>
      <c r="B842" s="44" t="s">
        <v>9221</v>
      </c>
      <c r="C842" s="44" t="s">
        <v>9222</v>
      </c>
      <c r="D842" s="44" t="s">
        <v>16641</v>
      </c>
      <c r="E842" s="44"/>
      <c r="F842" s="44"/>
      <c r="G842" s="44" t="s">
        <v>14882</v>
      </c>
      <c r="H842" s="44" t="s">
        <v>14872</v>
      </c>
      <c r="I842" s="44" t="s">
        <v>14883</v>
      </c>
      <c r="J842" s="44" t="s">
        <v>14874</v>
      </c>
      <c r="K842" s="44" t="s">
        <v>14875</v>
      </c>
      <c r="L842" s="44" t="s">
        <v>9226</v>
      </c>
      <c r="M842" s="44" t="s">
        <v>14876</v>
      </c>
    </row>
    <row r="843" customFormat="false" ht="22.35" hidden="false" customHeight="false" outlineLevel="0" collapsed="false">
      <c r="A843" s="44" t="s">
        <v>16642</v>
      </c>
      <c r="B843" s="44" t="s">
        <v>9221</v>
      </c>
      <c r="C843" s="44" t="s">
        <v>9222</v>
      </c>
      <c r="D843" s="44" t="s">
        <v>16643</v>
      </c>
      <c r="E843" s="44" t="s">
        <v>16644</v>
      </c>
      <c r="F843" s="44" t="s">
        <v>16645</v>
      </c>
      <c r="G843" s="44" t="s">
        <v>14871</v>
      </c>
      <c r="H843" s="44" t="s">
        <v>14872</v>
      </c>
      <c r="I843" s="44" t="s">
        <v>14886</v>
      </c>
      <c r="J843" s="44" t="s">
        <v>14874</v>
      </c>
      <c r="K843" s="44" t="s">
        <v>14875</v>
      </c>
      <c r="L843" s="44" t="s">
        <v>9226</v>
      </c>
      <c r="M843" s="44" t="s">
        <v>14876</v>
      </c>
    </row>
    <row r="844" customFormat="false" ht="22.35" hidden="false" customHeight="false" outlineLevel="0" collapsed="false">
      <c r="A844" s="44" t="s">
        <v>16646</v>
      </c>
      <c r="B844" s="44" t="s">
        <v>9227</v>
      </c>
      <c r="C844" s="44" t="s">
        <v>9228</v>
      </c>
      <c r="D844" s="44" t="s">
        <v>16647</v>
      </c>
      <c r="E844" s="44" t="s">
        <v>4895</v>
      </c>
      <c r="F844" s="44" t="s">
        <v>4896</v>
      </c>
      <c r="G844" s="44" t="s">
        <v>14871</v>
      </c>
      <c r="H844" s="44" t="s">
        <v>14872</v>
      </c>
      <c r="I844" s="44" t="s">
        <v>14886</v>
      </c>
      <c r="J844" s="44" t="s">
        <v>14874</v>
      </c>
      <c r="K844" s="44" t="s">
        <v>14875</v>
      </c>
      <c r="L844" s="44" t="s">
        <v>9232</v>
      </c>
      <c r="M844" s="44" t="s">
        <v>14876</v>
      </c>
    </row>
    <row r="845" customFormat="false" ht="22.35" hidden="false" customHeight="false" outlineLevel="0" collapsed="false">
      <c r="A845" s="44" t="s">
        <v>16648</v>
      </c>
      <c r="B845" s="44" t="s">
        <v>9227</v>
      </c>
      <c r="C845" s="44" t="s">
        <v>9228</v>
      </c>
      <c r="D845" s="44" t="s">
        <v>16649</v>
      </c>
      <c r="E845" s="44" t="s">
        <v>16650</v>
      </c>
      <c r="F845" s="44" t="s">
        <v>16651</v>
      </c>
      <c r="G845" s="44" t="s">
        <v>14871</v>
      </c>
      <c r="H845" s="44" t="s">
        <v>14872</v>
      </c>
      <c r="I845" s="44" t="s">
        <v>14879</v>
      </c>
      <c r="J845" s="44" t="s">
        <v>14874</v>
      </c>
      <c r="K845" s="44" t="s">
        <v>14875</v>
      </c>
      <c r="L845" s="44" t="s">
        <v>9232</v>
      </c>
      <c r="M845" s="44" t="s">
        <v>14876</v>
      </c>
    </row>
    <row r="846" customFormat="false" ht="22.35" hidden="false" customHeight="false" outlineLevel="0" collapsed="false">
      <c r="A846" s="44" t="s">
        <v>16652</v>
      </c>
      <c r="B846" s="44" t="s">
        <v>9227</v>
      </c>
      <c r="C846" s="44" t="s">
        <v>9228</v>
      </c>
      <c r="D846" s="44" t="s">
        <v>16653</v>
      </c>
      <c r="E846" s="44"/>
      <c r="F846" s="44"/>
      <c r="G846" s="44" t="s">
        <v>14882</v>
      </c>
      <c r="H846" s="44" t="s">
        <v>14872</v>
      </c>
      <c r="I846" s="44" t="s">
        <v>14883</v>
      </c>
      <c r="J846" s="44" t="s">
        <v>14874</v>
      </c>
      <c r="K846" s="44" t="s">
        <v>14875</v>
      </c>
      <c r="L846" s="44" t="s">
        <v>9232</v>
      </c>
      <c r="M846" s="44" t="s">
        <v>14876</v>
      </c>
    </row>
    <row r="847" customFormat="false" ht="22.35" hidden="false" customHeight="false" outlineLevel="0" collapsed="false">
      <c r="A847" s="44" t="s">
        <v>16654</v>
      </c>
      <c r="B847" s="44" t="s">
        <v>9227</v>
      </c>
      <c r="C847" s="44" t="s">
        <v>9228</v>
      </c>
      <c r="D847" s="44" t="s">
        <v>16655</v>
      </c>
      <c r="E847" s="44"/>
      <c r="F847" s="44"/>
      <c r="G847" s="44" t="s">
        <v>14882</v>
      </c>
      <c r="H847" s="44" t="s">
        <v>14872</v>
      </c>
      <c r="I847" s="44" t="s">
        <v>14883</v>
      </c>
      <c r="J847" s="44" t="s">
        <v>14874</v>
      </c>
      <c r="K847" s="44" t="s">
        <v>14875</v>
      </c>
      <c r="L847" s="44" t="s">
        <v>9232</v>
      </c>
      <c r="M847" s="44" t="s">
        <v>14876</v>
      </c>
    </row>
    <row r="848" customFormat="false" ht="22.35" hidden="false" customHeight="false" outlineLevel="0" collapsed="false">
      <c r="A848" s="44" t="s">
        <v>16656</v>
      </c>
      <c r="B848" s="44" t="s">
        <v>9227</v>
      </c>
      <c r="C848" s="44" t="s">
        <v>9228</v>
      </c>
      <c r="D848" s="44" t="s">
        <v>16657</v>
      </c>
      <c r="E848" s="44" t="s">
        <v>192</v>
      </c>
      <c r="F848" s="44" t="s">
        <v>55</v>
      </c>
      <c r="G848" s="44" t="s">
        <v>14871</v>
      </c>
      <c r="H848" s="44" t="s">
        <v>14872</v>
      </c>
      <c r="I848" s="44" t="s">
        <v>14886</v>
      </c>
      <c r="J848" s="44" t="s">
        <v>14874</v>
      </c>
      <c r="K848" s="44" t="s">
        <v>14875</v>
      </c>
      <c r="L848" s="44" t="s">
        <v>9232</v>
      </c>
      <c r="M848" s="44" t="s">
        <v>14876</v>
      </c>
    </row>
    <row r="849" customFormat="false" ht="22.35" hidden="false" customHeight="false" outlineLevel="0" collapsed="false">
      <c r="A849" s="44" t="s">
        <v>16658</v>
      </c>
      <c r="B849" s="44" t="s">
        <v>9233</v>
      </c>
      <c r="C849" s="44" t="s">
        <v>9234</v>
      </c>
      <c r="D849" s="44" t="s">
        <v>16659</v>
      </c>
      <c r="E849" s="44"/>
      <c r="F849" s="44"/>
      <c r="G849" s="44" t="s">
        <v>14882</v>
      </c>
      <c r="H849" s="44" t="s">
        <v>14872</v>
      </c>
      <c r="I849" s="44" t="s">
        <v>14883</v>
      </c>
      <c r="J849" s="44" t="s">
        <v>14874</v>
      </c>
      <c r="K849" s="44" t="s">
        <v>14875</v>
      </c>
      <c r="L849" s="44" t="s">
        <v>9238</v>
      </c>
      <c r="M849" s="44" t="s">
        <v>14876</v>
      </c>
    </row>
    <row r="850" customFormat="false" ht="22.35" hidden="false" customHeight="false" outlineLevel="0" collapsed="false">
      <c r="A850" s="44" t="s">
        <v>16660</v>
      </c>
      <c r="B850" s="44" t="s">
        <v>9233</v>
      </c>
      <c r="C850" s="44" t="s">
        <v>9234</v>
      </c>
      <c r="D850" s="44" t="s">
        <v>16661</v>
      </c>
      <c r="E850" s="44" t="s">
        <v>2761</v>
      </c>
      <c r="F850" s="44" t="s">
        <v>2762</v>
      </c>
      <c r="G850" s="44" t="s">
        <v>14871</v>
      </c>
      <c r="H850" s="44" t="s">
        <v>14872</v>
      </c>
      <c r="I850" s="44" t="s">
        <v>14886</v>
      </c>
      <c r="J850" s="44" t="s">
        <v>14874</v>
      </c>
      <c r="K850" s="44" t="s">
        <v>14875</v>
      </c>
      <c r="L850" s="44" t="s">
        <v>9238</v>
      </c>
      <c r="M850" s="44" t="s">
        <v>14876</v>
      </c>
    </row>
    <row r="851" customFormat="false" ht="22.35" hidden="false" customHeight="false" outlineLevel="0" collapsed="false">
      <c r="A851" s="44" t="s">
        <v>16662</v>
      </c>
      <c r="B851" s="44" t="s">
        <v>9233</v>
      </c>
      <c r="C851" s="44" t="s">
        <v>9234</v>
      </c>
      <c r="D851" s="44" t="s">
        <v>16663</v>
      </c>
      <c r="E851" s="44" t="s">
        <v>1785</v>
      </c>
      <c r="F851" s="44" t="s">
        <v>1786</v>
      </c>
      <c r="G851" s="44" t="s">
        <v>14871</v>
      </c>
      <c r="H851" s="44" t="s">
        <v>14872</v>
      </c>
      <c r="I851" s="44" t="s">
        <v>14873</v>
      </c>
      <c r="J851" s="44" t="s">
        <v>14874</v>
      </c>
      <c r="K851" s="44" t="s">
        <v>14875</v>
      </c>
      <c r="L851" s="44" t="s">
        <v>9238</v>
      </c>
      <c r="M851" s="44" t="s">
        <v>14876</v>
      </c>
    </row>
    <row r="852" customFormat="false" ht="22.35" hidden="false" customHeight="false" outlineLevel="0" collapsed="false">
      <c r="A852" s="44" t="s">
        <v>16664</v>
      </c>
      <c r="B852" s="44" t="s">
        <v>9233</v>
      </c>
      <c r="C852" s="44" t="s">
        <v>9234</v>
      </c>
      <c r="D852" s="44" t="s">
        <v>16665</v>
      </c>
      <c r="E852" s="44" t="s">
        <v>196</v>
      </c>
      <c r="F852" s="44" t="s">
        <v>59</v>
      </c>
      <c r="G852" s="44" t="s">
        <v>14871</v>
      </c>
      <c r="H852" s="44" t="s">
        <v>14872</v>
      </c>
      <c r="I852" s="44" t="s">
        <v>14886</v>
      </c>
      <c r="J852" s="44" t="s">
        <v>14874</v>
      </c>
      <c r="K852" s="44" t="s">
        <v>14875</v>
      </c>
      <c r="L852" s="44" t="s">
        <v>9238</v>
      </c>
      <c r="M852" s="44" t="s">
        <v>14876</v>
      </c>
    </row>
    <row r="853" customFormat="false" ht="22.35" hidden="false" customHeight="false" outlineLevel="0" collapsed="false">
      <c r="A853" s="44" t="s">
        <v>16666</v>
      </c>
      <c r="B853" s="44" t="s">
        <v>9233</v>
      </c>
      <c r="C853" s="44" t="s">
        <v>9234</v>
      </c>
      <c r="D853" s="44" t="s">
        <v>16667</v>
      </c>
      <c r="E853" s="44" t="s">
        <v>211</v>
      </c>
      <c r="F853" s="44" t="s">
        <v>212</v>
      </c>
      <c r="G853" s="44" t="s">
        <v>14871</v>
      </c>
      <c r="H853" s="44" t="s">
        <v>14872</v>
      </c>
      <c r="I853" s="44" t="s">
        <v>14873</v>
      </c>
      <c r="J853" s="44" t="s">
        <v>14874</v>
      </c>
      <c r="K853" s="44" t="s">
        <v>14875</v>
      </c>
      <c r="L853" s="44" t="s">
        <v>9238</v>
      </c>
      <c r="M853" s="44" t="s">
        <v>14876</v>
      </c>
    </row>
    <row r="854" customFormat="false" ht="22.35" hidden="false" customHeight="false" outlineLevel="0" collapsed="false">
      <c r="A854" s="44" t="s">
        <v>16668</v>
      </c>
      <c r="B854" s="44" t="s">
        <v>9239</v>
      </c>
      <c r="C854" s="44" t="s">
        <v>9240</v>
      </c>
      <c r="D854" s="44" t="s">
        <v>16669</v>
      </c>
      <c r="E854" s="44" t="s">
        <v>4895</v>
      </c>
      <c r="F854" s="44" t="s">
        <v>4896</v>
      </c>
      <c r="G854" s="44" t="s">
        <v>14871</v>
      </c>
      <c r="H854" s="44" t="s">
        <v>14872</v>
      </c>
      <c r="I854" s="44" t="s">
        <v>14886</v>
      </c>
      <c r="J854" s="44" t="s">
        <v>14874</v>
      </c>
      <c r="K854" s="44" t="s">
        <v>14875</v>
      </c>
      <c r="L854" s="44" t="s">
        <v>9245</v>
      </c>
      <c r="M854" s="44" t="s">
        <v>14876</v>
      </c>
    </row>
    <row r="855" customFormat="false" ht="22.35" hidden="false" customHeight="false" outlineLevel="0" collapsed="false">
      <c r="A855" s="44" t="s">
        <v>16670</v>
      </c>
      <c r="B855" s="44" t="s">
        <v>9239</v>
      </c>
      <c r="C855" s="44" t="s">
        <v>9240</v>
      </c>
      <c r="D855" s="44" t="s">
        <v>14924</v>
      </c>
      <c r="E855" s="44" t="s">
        <v>2761</v>
      </c>
      <c r="F855" s="44" t="s">
        <v>2762</v>
      </c>
      <c r="G855" s="44" t="s">
        <v>14871</v>
      </c>
      <c r="H855" s="44" t="s">
        <v>14872</v>
      </c>
      <c r="I855" s="44" t="s">
        <v>14886</v>
      </c>
      <c r="J855" s="44" t="s">
        <v>14874</v>
      </c>
      <c r="K855" s="44" t="s">
        <v>14875</v>
      </c>
      <c r="L855" s="44" t="s">
        <v>9245</v>
      </c>
      <c r="M855" s="44" t="s">
        <v>14876</v>
      </c>
    </row>
    <row r="856" customFormat="false" ht="22.35" hidden="false" customHeight="false" outlineLevel="0" collapsed="false">
      <c r="A856" s="44" t="s">
        <v>16671</v>
      </c>
      <c r="B856" s="44" t="s">
        <v>9239</v>
      </c>
      <c r="C856" s="44" t="s">
        <v>9240</v>
      </c>
      <c r="D856" s="44" t="s">
        <v>15026</v>
      </c>
      <c r="E856" s="44" t="s">
        <v>522</v>
      </c>
      <c r="F856" s="44" t="s">
        <v>523</v>
      </c>
      <c r="G856" s="44" t="s">
        <v>14871</v>
      </c>
      <c r="H856" s="44" t="s">
        <v>14872</v>
      </c>
      <c r="I856" s="44" t="s">
        <v>14879</v>
      </c>
      <c r="J856" s="44" t="s">
        <v>14874</v>
      </c>
      <c r="K856" s="44" t="s">
        <v>14875</v>
      </c>
      <c r="L856" s="44" t="s">
        <v>9245</v>
      </c>
      <c r="M856" s="44" t="s">
        <v>14876</v>
      </c>
    </row>
    <row r="857" customFormat="false" ht="22.35" hidden="false" customHeight="false" outlineLevel="0" collapsed="false">
      <c r="A857" s="44" t="s">
        <v>16672</v>
      </c>
      <c r="B857" s="44" t="s">
        <v>9239</v>
      </c>
      <c r="C857" s="44" t="s">
        <v>9240</v>
      </c>
      <c r="D857" s="44" t="s">
        <v>16673</v>
      </c>
      <c r="E857" s="44"/>
      <c r="F857" s="44"/>
      <c r="G857" s="44" t="s">
        <v>14882</v>
      </c>
      <c r="H857" s="44" t="s">
        <v>14872</v>
      </c>
      <c r="I857" s="44" t="s">
        <v>14883</v>
      </c>
      <c r="J857" s="44" t="s">
        <v>14874</v>
      </c>
      <c r="K857" s="44" t="s">
        <v>14875</v>
      </c>
      <c r="L857" s="44" t="s">
        <v>9245</v>
      </c>
      <c r="M857" s="44" t="s">
        <v>14876</v>
      </c>
    </row>
    <row r="858" customFormat="false" ht="22.35" hidden="false" customHeight="false" outlineLevel="0" collapsed="false">
      <c r="A858" s="44" t="s">
        <v>16674</v>
      </c>
      <c r="B858" s="44" t="s">
        <v>9246</v>
      </c>
      <c r="C858" s="44" t="s">
        <v>9247</v>
      </c>
      <c r="D858" s="44" t="s">
        <v>16675</v>
      </c>
      <c r="E858" s="44"/>
      <c r="F858" s="44"/>
      <c r="G858" s="44" t="s">
        <v>14882</v>
      </c>
      <c r="H858" s="44" t="s">
        <v>14872</v>
      </c>
      <c r="I858" s="44" t="s">
        <v>14883</v>
      </c>
      <c r="J858" s="44" t="s">
        <v>14874</v>
      </c>
      <c r="K858" s="44" t="s">
        <v>14875</v>
      </c>
      <c r="L858" s="44" t="s">
        <v>9251</v>
      </c>
      <c r="M858" s="44" t="s">
        <v>14876</v>
      </c>
    </row>
    <row r="859" customFormat="false" ht="22.35" hidden="false" customHeight="false" outlineLevel="0" collapsed="false">
      <c r="A859" s="44" t="s">
        <v>16676</v>
      </c>
      <c r="B859" s="44" t="s">
        <v>9246</v>
      </c>
      <c r="C859" s="44" t="s">
        <v>9247</v>
      </c>
      <c r="D859" s="44" t="s">
        <v>16677</v>
      </c>
      <c r="E859" s="44" t="s">
        <v>2558</v>
      </c>
      <c r="F859" s="44" t="s">
        <v>2559</v>
      </c>
      <c r="G859" s="44" t="s">
        <v>14871</v>
      </c>
      <c r="H859" s="44" t="s">
        <v>14872</v>
      </c>
      <c r="I859" s="44" t="s">
        <v>14873</v>
      </c>
      <c r="J859" s="44" t="s">
        <v>14874</v>
      </c>
      <c r="K859" s="44" t="s">
        <v>14875</v>
      </c>
      <c r="L859" s="44" t="s">
        <v>9251</v>
      </c>
      <c r="M859" s="44" t="s">
        <v>14876</v>
      </c>
    </row>
    <row r="860" customFormat="false" ht="22.35" hidden="false" customHeight="false" outlineLevel="0" collapsed="false">
      <c r="A860" s="44" t="s">
        <v>16678</v>
      </c>
      <c r="B860" s="44" t="s">
        <v>9246</v>
      </c>
      <c r="C860" s="44" t="s">
        <v>9247</v>
      </c>
      <c r="D860" s="44" t="s">
        <v>16679</v>
      </c>
      <c r="E860" s="44"/>
      <c r="F860" s="44"/>
      <c r="G860" s="44" t="s">
        <v>14882</v>
      </c>
      <c r="H860" s="44" t="s">
        <v>14872</v>
      </c>
      <c r="I860" s="44" t="s">
        <v>14883</v>
      </c>
      <c r="J860" s="44" t="s">
        <v>14874</v>
      </c>
      <c r="K860" s="44" t="s">
        <v>14875</v>
      </c>
      <c r="L860" s="44" t="s">
        <v>9251</v>
      </c>
      <c r="M860" s="44" t="s">
        <v>14876</v>
      </c>
    </row>
    <row r="861" customFormat="false" ht="22.35" hidden="false" customHeight="false" outlineLevel="0" collapsed="false">
      <c r="A861" s="44" t="s">
        <v>16680</v>
      </c>
      <c r="B861" s="44" t="s">
        <v>9246</v>
      </c>
      <c r="C861" s="44" t="s">
        <v>9247</v>
      </c>
      <c r="D861" s="44" t="s">
        <v>16681</v>
      </c>
      <c r="E861" s="44" t="s">
        <v>16682</v>
      </c>
      <c r="F861" s="44" t="s">
        <v>16683</v>
      </c>
      <c r="G861" s="44" t="s">
        <v>14871</v>
      </c>
      <c r="H861" s="44" t="s">
        <v>14872</v>
      </c>
      <c r="I861" s="44" t="s">
        <v>14886</v>
      </c>
      <c r="J861" s="44" t="s">
        <v>14874</v>
      </c>
      <c r="K861" s="44" t="s">
        <v>14875</v>
      </c>
      <c r="L861" s="44" t="s">
        <v>9251</v>
      </c>
      <c r="M861" s="44" t="s">
        <v>14876</v>
      </c>
    </row>
    <row r="862" customFormat="false" ht="22.35" hidden="false" customHeight="false" outlineLevel="0" collapsed="false">
      <c r="A862" s="44" t="s">
        <v>16684</v>
      </c>
      <c r="B862" s="44" t="s">
        <v>9246</v>
      </c>
      <c r="C862" s="44" t="s">
        <v>9247</v>
      </c>
      <c r="D862" s="44" t="s">
        <v>16319</v>
      </c>
      <c r="E862" s="44" t="s">
        <v>192</v>
      </c>
      <c r="F862" s="44" t="s">
        <v>55</v>
      </c>
      <c r="G862" s="44" t="s">
        <v>14871</v>
      </c>
      <c r="H862" s="44" t="s">
        <v>14872</v>
      </c>
      <c r="I862" s="44" t="s">
        <v>14886</v>
      </c>
      <c r="J862" s="44" t="s">
        <v>14874</v>
      </c>
      <c r="K862" s="44" t="s">
        <v>14875</v>
      </c>
      <c r="L862" s="44" t="s">
        <v>9251</v>
      </c>
      <c r="M862" s="44" t="s">
        <v>14876</v>
      </c>
    </row>
    <row r="863" customFormat="false" ht="22.35" hidden="false" customHeight="false" outlineLevel="0" collapsed="false">
      <c r="A863" s="44" t="s">
        <v>16685</v>
      </c>
      <c r="B863" s="44" t="s">
        <v>9252</v>
      </c>
      <c r="C863" s="44" t="s">
        <v>9253</v>
      </c>
      <c r="D863" s="44" t="s">
        <v>16686</v>
      </c>
      <c r="E863" s="44" t="s">
        <v>16687</v>
      </c>
      <c r="F863" s="44" t="s">
        <v>16688</v>
      </c>
      <c r="G863" s="44" t="s">
        <v>14871</v>
      </c>
      <c r="H863" s="44" t="s">
        <v>14872</v>
      </c>
      <c r="I863" s="44" t="s">
        <v>14886</v>
      </c>
      <c r="J863" s="44" t="s">
        <v>14874</v>
      </c>
      <c r="K863" s="44" t="s">
        <v>14875</v>
      </c>
      <c r="L863" s="44" t="s">
        <v>9257</v>
      </c>
      <c r="M863" s="44" t="s">
        <v>14876</v>
      </c>
    </row>
    <row r="864" customFormat="false" ht="22.35" hidden="false" customHeight="false" outlineLevel="0" collapsed="false">
      <c r="A864" s="44" t="s">
        <v>16689</v>
      </c>
      <c r="B864" s="44" t="s">
        <v>9252</v>
      </c>
      <c r="C864" s="44" t="s">
        <v>9253</v>
      </c>
      <c r="D864" s="44" t="s">
        <v>16054</v>
      </c>
      <c r="E864" s="44" t="s">
        <v>16055</v>
      </c>
      <c r="F864" s="44" t="s">
        <v>16056</v>
      </c>
      <c r="G864" s="44" t="s">
        <v>14871</v>
      </c>
      <c r="H864" s="44" t="s">
        <v>14872</v>
      </c>
      <c r="I864" s="44" t="s">
        <v>14886</v>
      </c>
      <c r="J864" s="44" t="s">
        <v>14874</v>
      </c>
      <c r="K864" s="44" t="s">
        <v>14875</v>
      </c>
      <c r="L864" s="44" t="s">
        <v>9257</v>
      </c>
      <c r="M864" s="44" t="s">
        <v>14876</v>
      </c>
    </row>
    <row r="865" customFormat="false" ht="22.35" hidden="false" customHeight="false" outlineLevel="0" collapsed="false">
      <c r="A865" s="44" t="s">
        <v>16690</v>
      </c>
      <c r="B865" s="44" t="s">
        <v>9252</v>
      </c>
      <c r="C865" s="44" t="s">
        <v>9253</v>
      </c>
      <c r="D865" s="44" t="s">
        <v>16691</v>
      </c>
      <c r="E865" s="44" t="s">
        <v>4633</v>
      </c>
      <c r="F865" s="44" t="s">
        <v>4634</v>
      </c>
      <c r="G865" s="44" t="s">
        <v>14871</v>
      </c>
      <c r="H865" s="44" t="s">
        <v>14872</v>
      </c>
      <c r="I865" s="44" t="s">
        <v>14886</v>
      </c>
      <c r="J865" s="44" t="s">
        <v>14874</v>
      </c>
      <c r="K865" s="44" t="s">
        <v>14875</v>
      </c>
      <c r="L865" s="44" t="s">
        <v>9257</v>
      </c>
      <c r="M865" s="44" t="s">
        <v>14876</v>
      </c>
    </row>
    <row r="866" customFormat="false" ht="22.35" hidden="false" customHeight="false" outlineLevel="0" collapsed="false">
      <c r="A866" s="44" t="s">
        <v>16692</v>
      </c>
      <c r="B866" s="44" t="s">
        <v>9252</v>
      </c>
      <c r="C866" s="44" t="s">
        <v>9253</v>
      </c>
      <c r="D866" s="44" t="s">
        <v>16693</v>
      </c>
      <c r="E866" s="44" t="s">
        <v>16694</v>
      </c>
      <c r="F866" s="44" t="s">
        <v>16695</v>
      </c>
      <c r="G866" s="44" t="s">
        <v>14871</v>
      </c>
      <c r="H866" s="44" t="s">
        <v>14872</v>
      </c>
      <c r="I866" s="44" t="s">
        <v>14886</v>
      </c>
      <c r="J866" s="44" t="s">
        <v>14874</v>
      </c>
      <c r="K866" s="44" t="s">
        <v>14875</v>
      </c>
      <c r="L866" s="44" t="s">
        <v>9257</v>
      </c>
      <c r="M866" s="44" t="s">
        <v>14876</v>
      </c>
    </row>
    <row r="867" customFormat="false" ht="22.35" hidden="false" customHeight="false" outlineLevel="0" collapsed="false">
      <c r="A867" s="44" t="s">
        <v>16696</v>
      </c>
      <c r="B867" s="44" t="s">
        <v>9252</v>
      </c>
      <c r="C867" s="44" t="s">
        <v>9253</v>
      </c>
      <c r="D867" s="44" t="s">
        <v>16697</v>
      </c>
      <c r="E867" s="44"/>
      <c r="F867" s="44"/>
      <c r="G867" s="44" t="s">
        <v>14882</v>
      </c>
      <c r="H867" s="44" t="s">
        <v>14872</v>
      </c>
      <c r="I867" s="44" t="s">
        <v>14883</v>
      </c>
      <c r="J867" s="44" t="s">
        <v>14874</v>
      </c>
      <c r="K867" s="44" t="s">
        <v>14875</v>
      </c>
      <c r="L867" s="44" t="s">
        <v>9257</v>
      </c>
      <c r="M867" s="44" t="s">
        <v>14876</v>
      </c>
    </row>
    <row r="868" customFormat="false" ht="22.35" hidden="false" customHeight="false" outlineLevel="0" collapsed="false">
      <c r="A868" s="44" t="s">
        <v>16698</v>
      </c>
      <c r="B868" s="44" t="s">
        <v>9258</v>
      </c>
      <c r="C868" s="44" t="s">
        <v>9259</v>
      </c>
      <c r="D868" s="44" t="s">
        <v>16699</v>
      </c>
      <c r="E868" s="44" t="s">
        <v>3583</v>
      </c>
      <c r="F868" s="44" t="s">
        <v>3584</v>
      </c>
      <c r="G868" s="44" t="s">
        <v>14871</v>
      </c>
      <c r="H868" s="44" t="s">
        <v>14872</v>
      </c>
      <c r="I868" s="44" t="s">
        <v>14886</v>
      </c>
      <c r="J868" s="44" t="s">
        <v>14874</v>
      </c>
      <c r="K868" s="44" t="s">
        <v>14875</v>
      </c>
      <c r="L868" s="44" t="s">
        <v>9263</v>
      </c>
      <c r="M868" s="44" t="s">
        <v>14876</v>
      </c>
    </row>
    <row r="869" customFormat="false" ht="22.35" hidden="false" customHeight="false" outlineLevel="0" collapsed="false">
      <c r="A869" s="44" t="s">
        <v>16700</v>
      </c>
      <c r="B869" s="44" t="s">
        <v>9258</v>
      </c>
      <c r="C869" s="44" t="s">
        <v>9259</v>
      </c>
      <c r="D869" s="44" t="s">
        <v>16701</v>
      </c>
      <c r="E869" s="44"/>
      <c r="F869" s="44"/>
      <c r="G869" s="44" t="s">
        <v>14882</v>
      </c>
      <c r="H869" s="44" t="s">
        <v>14872</v>
      </c>
      <c r="I869" s="44" t="s">
        <v>14883</v>
      </c>
      <c r="J869" s="44" t="s">
        <v>14874</v>
      </c>
      <c r="K869" s="44" t="s">
        <v>14875</v>
      </c>
      <c r="L869" s="44" t="s">
        <v>9263</v>
      </c>
      <c r="M869" s="44" t="s">
        <v>14876</v>
      </c>
    </row>
    <row r="870" customFormat="false" ht="22.35" hidden="false" customHeight="false" outlineLevel="0" collapsed="false">
      <c r="A870" s="44" t="s">
        <v>16702</v>
      </c>
      <c r="B870" s="44" t="s">
        <v>9258</v>
      </c>
      <c r="C870" s="44" t="s">
        <v>9259</v>
      </c>
      <c r="D870" s="44" t="s">
        <v>16703</v>
      </c>
      <c r="E870" s="44"/>
      <c r="F870" s="44"/>
      <c r="G870" s="44" t="s">
        <v>14882</v>
      </c>
      <c r="H870" s="44" t="s">
        <v>14872</v>
      </c>
      <c r="I870" s="44" t="s">
        <v>14883</v>
      </c>
      <c r="J870" s="44" t="s">
        <v>14874</v>
      </c>
      <c r="K870" s="44" t="s">
        <v>14875</v>
      </c>
      <c r="L870" s="44" t="s">
        <v>9263</v>
      </c>
      <c r="M870" s="44" t="s">
        <v>14876</v>
      </c>
    </row>
    <row r="871" customFormat="false" ht="22.35" hidden="false" customHeight="false" outlineLevel="0" collapsed="false">
      <c r="A871" s="44" t="s">
        <v>16704</v>
      </c>
      <c r="B871" s="44" t="s">
        <v>9258</v>
      </c>
      <c r="C871" s="44" t="s">
        <v>9259</v>
      </c>
      <c r="D871" s="44" t="s">
        <v>16705</v>
      </c>
      <c r="E871" s="44"/>
      <c r="F871" s="44"/>
      <c r="G871" s="44" t="s">
        <v>14882</v>
      </c>
      <c r="H871" s="44" t="s">
        <v>14872</v>
      </c>
      <c r="I871" s="44" t="s">
        <v>14883</v>
      </c>
      <c r="J871" s="44" t="s">
        <v>14874</v>
      </c>
      <c r="K871" s="44" t="s">
        <v>14875</v>
      </c>
      <c r="L871" s="44" t="s">
        <v>9263</v>
      </c>
      <c r="M871" s="44" t="s">
        <v>14876</v>
      </c>
    </row>
    <row r="872" customFormat="false" ht="22.35" hidden="false" customHeight="false" outlineLevel="0" collapsed="false">
      <c r="A872" s="44" t="s">
        <v>16706</v>
      </c>
      <c r="B872" s="44" t="s">
        <v>9264</v>
      </c>
      <c r="C872" s="44" t="s">
        <v>9265</v>
      </c>
      <c r="D872" s="44" t="s">
        <v>16707</v>
      </c>
      <c r="E872" s="44" t="s">
        <v>16271</v>
      </c>
      <c r="F872" s="44" t="s">
        <v>16272</v>
      </c>
      <c r="G872" s="44" t="s">
        <v>14871</v>
      </c>
      <c r="H872" s="44" t="s">
        <v>14872</v>
      </c>
      <c r="I872" s="44" t="s">
        <v>14886</v>
      </c>
      <c r="J872" s="44" t="s">
        <v>14874</v>
      </c>
      <c r="K872" s="44" t="s">
        <v>14875</v>
      </c>
      <c r="L872" s="44" t="s">
        <v>9269</v>
      </c>
      <c r="M872" s="44" t="s">
        <v>14876</v>
      </c>
    </row>
    <row r="873" customFormat="false" ht="22.35" hidden="false" customHeight="false" outlineLevel="0" collapsed="false">
      <c r="A873" s="44" t="s">
        <v>16708</v>
      </c>
      <c r="B873" s="44" t="s">
        <v>9264</v>
      </c>
      <c r="C873" s="44" t="s">
        <v>9265</v>
      </c>
      <c r="D873" s="44" t="s">
        <v>16709</v>
      </c>
      <c r="E873" s="44"/>
      <c r="F873" s="44"/>
      <c r="G873" s="44" t="s">
        <v>14882</v>
      </c>
      <c r="H873" s="44" t="s">
        <v>14872</v>
      </c>
      <c r="I873" s="44" t="s">
        <v>14883</v>
      </c>
      <c r="J873" s="44" t="s">
        <v>14874</v>
      </c>
      <c r="K873" s="44" t="s">
        <v>14875</v>
      </c>
      <c r="L873" s="44" t="s">
        <v>9269</v>
      </c>
      <c r="M873" s="44" t="s">
        <v>14876</v>
      </c>
    </row>
    <row r="874" customFormat="false" ht="22.35" hidden="false" customHeight="false" outlineLevel="0" collapsed="false">
      <c r="A874" s="44" t="s">
        <v>16710</v>
      </c>
      <c r="B874" s="44" t="s">
        <v>9264</v>
      </c>
      <c r="C874" s="44" t="s">
        <v>9265</v>
      </c>
      <c r="D874" s="44" t="s">
        <v>16711</v>
      </c>
      <c r="E874" s="44" t="s">
        <v>5906</v>
      </c>
      <c r="F874" s="44" t="s">
        <v>130</v>
      </c>
      <c r="G874" s="44" t="s">
        <v>14871</v>
      </c>
      <c r="H874" s="44" t="s">
        <v>14872</v>
      </c>
      <c r="I874" s="44" t="s">
        <v>14886</v>
      </c>
      <c r="J874" s="44" t="s">
        <v>14874</v>
      </c>
      <c r="K874" s="44" t="s">
        <v>14875</v>
      </c>
      <c r="L874" s="44" t="s">
        <v>9269</v>
      </c>
      <c r="M874" s="44" t="s">
        <v>14876</v>
      </c>
    </row>
    <row r="875" customFormat="false" ht="22.35" hidden="false" customHeight="false" outlineLevel="0" collapsed="false">
      <c r="A875" s="44" t="s">
        <v>16712</v>
      </c>
      <c r="B875" s="44" t="s">
        <v>9264</v>
      </c>
      <c r="C875" s="44" t="s">
        <v>9265</v>
      </c>
      <c r="D875" s="44" t="s">
        <v>16713</v>
      </c>
      <c r="E875" s="44"/>
      <c r="F875" s="44"/>
      <c r="G875" s="44" t="s">
        <v>14882</v>
      </c>
      <c r="H875" s="44" t="s">
        <v>14872</v>
      </c>
      <c r="I875" s="44" t="s">
        <v>14883</v>
      </c>
      <c r="J875" s="44" t="s">
        <v>14874</v>
      </c>
      <c r="K875" s="44" t="s">
        <v>14875</v>
      </c>
      <c r="L875" s="44" t="s">
        <v>9269</v>
      </c>
      <c r="M875" s="44" t="s">
        <v>14876</v>
      </c>
    </row>
    <row r="876" customFormat="false" ht="22.35" hidden="false" customHeight="false" outlineLevel="0" collapsed="false">
      <c r="A876" s="44" t="s">
        <v>16714</v>
      </c>
      <c r="B876" s="44" t="s">
        <v>9264</v>
      </c>
      <c r="C876" s="44" t="s">
        <v>9265</v>
      </c>
      <c r="D876" s="44" t="s">
        <v>16715</v>
      </c>
      <c r="E876" s="44" t="s">
        <v>215</v>
      </c>
      <c r="F876" s="44" t="s">
        <v>216</v>
      </c>
      <c r="G876" s="44" t="s">
        <v>14871</v>
      </c>
      <c r="H876" s="44" t="s">
        <v>14872</v>
      </c>
      <c r="I876" s="44" t="s">
        <v>14873</v>
      </c>
      <c r="J876" s="44" t="s">
        <v>14874</v>
      </c>
      <c r="K876" s="44" t="s">
        <v>14875</v>
      </c>
      <c r="L876" s="44" t="s">
        <v>9269</v>
      </c>
      <c r="M876" s="44" t="s">
        <v>14876</v>
      </c>
    </row>
    <row r="877" customFormat="false" ht="22.35" hidden="false" customHeight="false" outlineLevel="0" collapsed="false">
      <c r="A877" s="44" t="s">
        <v>16716</v>
      </c>
      <c r="B877" s="44" t="s">
        <v>9270</v>
      </c>
      <c r="C877" s="44" t="s">
        <v>9271</v>
      </c>
      <c r="D877" s="44" t="s">
        <v>16717</v>
      </c>
      <c r="E877" s="44"/>
      <c r="F877" s="44"/>
      <c r="G877" s="44" t="s">
        <v>14882</v>
      </c>
      <c r="H877" s="44" t="s">
        <v>14872</v>
      </c>
      <c r="I877" s="44" t="s">
        <v>14883</v>
      </c>
      <c r="J877" s="44" t="s">
        <v>14874</v>
      </c>
      <c r="K877" s="44" t="s">
        <v>14875</v>
      </c>
      <c r="L877" s="44" t="s">
        <v>9275</v>
      </c>
      <c r="M877" s="44" t="s">
        <v>14876</v>
      </c>
    </row>
    <row r="878" customFormat="false" ht="22.35" hidden="false" customHeight="false" outlineLevel="0" collapsed="false">
      <c r="A878" s="44" t="s">
        <v>16718</v>
      </c>
      <c r="B878" s="44" t="s">
        <v>9270</v>
      </c>
      <c r="C878" s="44" t="s">
        <v>9271</v>
      </c>
      <c r="D878" s="44" t="s">
        <v>16719</v>
      </c>
      <c r="E878" s="44" t="s">
        <v>16720</v>
      </c>
      <c r="F878" s="44" t="s">
        <v>16721</v>
      </c>
      <c r="G878" s="44" t="s">
        <v>14871</v>
      </c>
      <c r="H878" s="44" t="s">
        <v>14872</v>
      </c>
      <c r="I878" s="44" t="s">
        <v>14873</v>
      </c>
      <c r="J878" s="44" t="s">
        <v>14874</v>
      </c>
      <c r="K878" s="44" t="s">
        <v>14875</v>
      </c>
      <c r="L878" s="44" t="s">
        <v>9275</v>
      </c>
      <c r="M878" s="44" t="s">
        <v>14876</v>
      </c>
    </row>
    <row r="879" customFormat="false" ht="22.35" hidden="false" customHeight="false" outlineLevel="0" collapsed="false">
      <c r="A879" s="44" t="s">
        <v>16722</v>
      </c>
      <c r="B879" s="44" t="s">
        <v>9270</v>
      </c>
      <c r="C879" s="44" t="s">
        <v>9271</v>
      </c>
      <c r="D879" s="44" t="s">
        <v>16723</v>
      </c>
      <c r="E879" s="44" t="s">
        <v>4900</v>
      </c>
      <c r="F879" s="44" t="s">
        <v>4901</v>
      </c>
      <c r="G879" s="44" t="s">
        <v>14871</v>
      </c>
      <c r="H879" s="44" t="s">
        <v>14872</v>
      </c>
      <c r="I879" s="44" t="s">
        <v>14873</v>
      </c>
      <c r="J879" s="44" t="s">
        <v>14874</v>
      </c>
      <c r="K879" s="44" t="s">
        <v>14875</v>
      </c>
      <c r="L879" s="44" t="s">
        <v>9275</v>
      </c>
      <c r="M879" s="44" t="s">
        <v>14876</v>
      </c>
    </row>
    <row r="880" customFormat="false" ht="22.35" hidden="false" customHeight="false" outlineLevel="0" collapsed="false">
      <c r="A880" s="44" t="s">
        <v>16724</v>
      </c>
      <c r="B880" s="44" t="s">
        <v>9270</v>
      </c>
      <c r="C880" s="44" t="s">
        <v>9271</v>
      </c>
      <c r="D880" s="44" t="s">
        <v>15128</v>
      </c>
      <c r="E880" s="44" t="s">
        <v>1384</v>
      </c>
      <c r="F880" s="44" t="s">
        <v>1385</v>
      </c>
      <c r="G880" s="44" t="s">
        <v>14871</v>
      </c>
      <c r="H880" s="44" t="s">
        <v>14872</v>
      </c>
      <c r="I880" s="44" t="s">
        <v>14873</v>
      </c>
      <c r="J880" s="44" t="s">
        <v>14874</v>
      </c>
      <c r="K880" s="44" t="s">
        <v>14875</v>
      </c>
      <c r="L880" s="44" t="s">
        <v>9275</v>
      </c>
      <c r="M880" s="44" t="s">
        <v>14876</v>
      </c>
    </row>
    <row r="881" customFormat="false" ht="22.35" hidden="false" customHeight="false" outlineLevel="0" collapsed="false">
      <c r="A881" s="44" t="s">
        <v>16725</v>
      </c>
      <c r="B881" s="44" t="s">
        <v>9270</v>
      </c>
      <c r="C881" s="44" t="s">
        <v>9271</v>
      </c>
      <c r="D881" s="44" t="s">
        <v>16726</v>
      </c>
      <c r="E881" s="44"/>
      <c r="F881" s="44"/>
      <c r="G881" s="44" t="s">
        <v>14882</v>
      </c>
      <c r="H881" s="44" t="s">
        <v>14872</v>
      </c>
      <c r="I881" s="44" t="s">
        <v>14883</v>
      </c>
      <c r="J881" s="44" t="s">
        <v>14874</v>
      </c>
      <c r="K881" s="44" t="s">
        <v>14875</v>
      </c>
      <c r="L881" s="44" t="s">
        <v>9275</v>
      </c>
      <c r="M881" s="44" t="s">
        <v>14876</v>
      </c>
    </row>
    <row r="882" customFormat="false" ht="22.35" hidden="false" customHeight="false" outlineLevel="0" collapsed="false">
      <c r="A882" s="44" t="s">
        <v>16727</v>
      </c>
      <c r="B882" s="44" t="s">
        <v>9276</v>
      </c>
      <c r="C882" s="44" t="s">
        <v>9277</v>
      </c>
      <c r="D882" s="44" t="s">
        <v>16728</v>
      </c>
      <c r="E882" s="44" t="s">
        <v>16729</v>
      </c>
      <c r="F882" s="44" t="s">
        <v>16730</v>
      </c>
      <c r="G882" s="44" t="s">
        <v>14871</v>
      </c>
      <c r="H882" s="44" t="s">
        <v>14872</v>
      </c>
      <c r="I882" s="44" t="s">
        <v>14886</v>
      </c>
      <c r="J882" s="44" t="s">
        <v>14874</v>
      </c>
      <c r="K882" s="44" t="s">
        <v>14875</v>
      </c>
      <c r="L882" s="44" t="s">
        <v>9280</v>
      </c>
      <c r="M882" s="44" t="s">
        <v>14876</v>
      </c>
    </row>
    <row r="883" customFormat="false" ht="22.35" hidden="false" customHeight="false" outlineLevel="0" collapsed="false">
      <c r="A883" s="44" t="s">
        <v>16731</v>
      </c>
      <c r="B883" s="44" t="s">
        <v>9276</v>
      </c>
      <c r="C883" s="44" t="s">
        <v>9277</v>
      </c>
      <c r="D883" s="44" t="s">
        <v>16732</v>
      </c>
      <c r="E883" s="44" t="s">
        <v>15478</v>
      </c>
      <c r="F883" s="44" t="s">
        <v>15479</v>
      </c>
      <c r="G883" s="44" t="s">
        <v>14871</v>
      </c>
      <c r="H883" s="44" t="s">
        <v>14872</v>
      </c>
      <c r="I883" s="44" t="s">
        <v>14886</v>
      </c>
      <c r="J883" s="44" t="s">
        <v>14874</v>
      </c>
      <c r="K883" s="44" t="s">
        <v>14875</v>
      </c>
      <c r="L883" s="44" t="s">
        <v>9280</v>
      </c>
      <c r="M883" s="44" t="s">
        <v>14876</v>
      </c>
    </row>
    <row r="884" customFormat="false" ht="22.35" hidden="false" customHeight="false" outlineLevel="0" collapsed="false">
      <c r="A884" s="44" t="s">
        <v>16733</v>
      </c>
      <c r="B884" s="44" t="s">
        <v>9276</v>
      </c>
      <c r="C884" s="44" t="s">
        <v>9277</v>
      </c>
      <c r="D884" s="44" t="s">
        <v>15156</v>
      </c>
      <c r="E884" s="44" t="s">
        <v>1561</v>
      </c>
      <c r="F884" s="44" t="s">
        <v>1562</v>
      </c>
      <c r="G884" s="44" t="s">
        <v>14871</v>
      </c>
      <c r="H884" s="44" t="s">
        <v>14872</v>
      </c>
      <c r="I884" s="44" t="s">
        <v>14879</v>
      </c>
      <c r="J884" s="44" t="s">
        <v>14874</v>
      </c>
      <c r="K884" s="44" t="s">
        <v>14875</v>
      </c>
      <c r="L884" s="44" t="s">
        <v>9280</v>
      </c>
      <c r="M884" s="44" t="s">
        <v>14876</v>
      </c>
    </row>
    <row r="885" customFormat="false" ht="22.35" hidden="false" customHeight="false" outlineLevel="0" collapsed="false">
      <c r="A885" s="44" t="s">
        <v>16734</v>
      </c>
      <c r="B885" s="44" t="s">
        <v>9276</v>
      </c>
      <c r="C885" s="44" t="s">
        <v>9277</v>
      </c>
      <c r="D885" s="44" t="s">
        <v>16735</v>
      </c>
      <c r="E885" s="44"/>
      <c r="F885" s="44"/>
      <c r="G885" s="44" t="s">
        <v>14882</v>
      </c>
      <c r="H885" s="44" t="s">
        <v>14872</v>
      </c>
      <c r="I885" s="44" t="s">
        <v>14883</v>
      </c>
      <c r="J885" s="44" t="s">
        <v>14874</v>
      </c>
      <c r="K885" s="44" t="s">
        <v>14875</v>
      </c>
      <c r="L885" s="44" t="s">
        <v>9280</v>
      </c>
      <c r="M885" s="44" t="s">
        <v>14876</v>
      </c>
    </row>
    <row r="886" customFormat="false" ht="22.35" hidden="false" customHeight="false" outlineLevel="0" collapsed="false">
      <c r="A886" s="44" t="s">
        <v>16736</v>
      </c>
      <c r="B886" s="44" t="s">
        <v>9276</v>
      </c>
      <c r="C886" s="44" t="s">
        <v>9277</v>
      </c>
      <c r="D886" s="44" t="s">
        <v>16737</v>
      </c>
      <c r="E886" s="44"/>
      <c r="F886" s="44"/>
      <c r="G886" s="44" t="s">
        <v>14882</v>
      </c>
      <c r="H886" s="44" t="s">
        <v>14872</v>
      </c>
      <c r="I886" s="44" t="s">
        <v>14883</v>
      </c>
      <c r="J886" s="44" t="s">
        <v>14874</v>
      </c>
      <c r="K886" s="44" t="s">
        <v>14875</v>
      </c>
      <c r="L886" s="44" t="s">
        <v>9280</v>
      </c>
      <c r="M886" s="44" t="s">
        <v>14876</v>
      </c>
    </row>
    <row r="887" customFormat="false" ht="22.35" hidden="false" customHeight="false" outlineLevel="0" collapsed="false">
      <c r="A887" s="44" t="s">
        <v>16738</v>
      </c>
      <c r="B887" s="44" t="s">
        <v>9281</v>
      </c>
      <c r="C887" s="44" t="s">
        <v>9282</v>
      </c>
      <c r="D887" s="44" t="s">
        <v>16739</v>
      </c>
      <c r="E887" s="44"/>
      <c r="F887" s="44"/>
      <c r="G887" s="44" t="s">
        <v>14882</v>
      </c>
      <c r="H887" s="44" t="s">
        <v>14872</v>
      </c>
      <c r="I887" s="44" t="s">
        <v>14883</v>
      </c>
      <c r="J887" s="44" t="s">
        <v>14874</v>
      </c>
      <c r="K887" s="44" t="s">
        <v>14875</v>
      </c>
      <c r="L887" s="44" t="s">
        <v>9286</v>
      </c>
      <c r="M887" s="44" t="s">
        <v>14876</v>
      </c>
    </row>
    <row r="888" customFormat="false" ht="22.35" hidden="false" customHeight="false" outlineLevel="0" collapsed="false">
      <c r="A888" s="44" t="s">
        <v>16740</v>
      </c>
      <c r="B888" s="44" t="s">
        <v>9281</v>
      </c>
      <c r="C888" s="44" t="s">
        <v>9282</v>
      </c>
      <c r="D888" s="44" t="s">
        <v>16741</v>
      </c>
      <c r="E888" s="44"/>
      <c r="F888" s="44"/>
      <c r="G888" s="44" t="s">
        <v>14882</v>
      </c>
      <c r="H888" s="44" t="s">
        <v>14872</v>
      </c>
      <c r="I888" s="44" t="s">
        <v>14883</v>
      </c>
      <c r="J888" s="44" t="s">
        <v>14874</v>
      </c>
      <c r="K888" s="44" t="s">
        <v>14875</v>
      </c>
      <c r="L888" s="44" t="s">
        <v>9286</v>
      </c>
      <c r="M888" s="44" t="s">
        <v>14876</v>
      </c>
    </row>
    <row r="889" customFormat="false" ht="22.35" hidden="false" customHeight="false" outlineLevel="0" collapsed="false">
      <c r="A889" s="44" t="s">
        <v>16742</v>
      </c>
      <c r="B889" s="44" t="s">
        <v>9281</v>
      </c>
      <c r="C889" s="44" t="s">
        <v>9282</v>
      </c>
      <c r="D889" s="44" t="s">
        <v>16051</v>
      </c>
      <c r="E889" s="44" t="s">
        <v>211</v>
      </c>
      <c r="F889" s="44" t="s">
        <v>212</v>
      </c>
      <c r="G889" s="44" t="s">
        <v>14871</v>
      </c>
      <c r="H889" s="44" t="s">
        <v>14872</v>
      </c>
      <c r="I889" s="44" t="s">
        <v>14873</v>
      </c>
      <c r="J889" s="44" t="s">
        <v>14874</v>
      </c>
      <c r="K889" s="44" t="s">
        <v>14875</v>
      </c>
      <c r="L889" s="44" t="s">
        <v>9286</v>
      </c>
      <c r="M889" s="44" t="s">
        <v>14876</v>
      </c>
    </row>
    <row r="890" customFormat="false" ht="22.35" hidden="false" customHeight="false" outlineLevel="0" collapsed="false">
      <c r="A890" s="44" t="s">
        <v>16743</v>
      </c>
      <c r="B890" s="44" t="s">
        <v>9281</v>
      </c>
      <c r="C890" s="44" t="s">
        <v>9282</v>
      </c>
      <c r="D890" s="44" t="s">
        <v>16744</v>
      </c>
      <c r="E890" s="44" t="s">
        <v>200</v>
      </c>
      <c r="F890" s="44" t="s">
        <v>201</v>
      </c>
      <c r="G890" s="44" t="s">
        <v>14871</v>
      </c>
      <c r="H890" s="44" t="s">
        <v>14872</v>
      </c>
      <c r="I890" s="44" t="s">
        <v>14886</v>
      </c>
      <c r="J890" s="44" t="s">
        <v>14874</v>
      </c>
      <c r="K890" s="44" t="s">
        <v>14875</v>
      </c>
      <c r="L890" s="44" t="s">
        <v>9286</v>
      </c>
      <c r="M890" s="44" t="s">
        <v>14876</v>
      </c>
    </row>
    <row r="891" customFormat="false" ht="22.35" hidden="false" customHeight="false" outlineLevel="0" collapsed="false">
      <c r="A891" s="44" t="s">
        <v>16745</v>
      </c>
      <c r="B891" s="44" t="s">
        <v>9281</v>
      </c>
      <c r="C891" s="44" t="s">
        <v>9282</v>
      </c>
      <c r="D891" s="44" t="s">
        <v>16746</v>
      </c>
      <c r="E891" s="44" t="s">
        <v>3583</v>
      </c>
      <c r="F891" s="44" t="s">
        <v>3584</v>
      </c>
      <c r="G891" s="44" t="s">
        <v>14871</v>
      </c>
      <c r="H891" s="44" t="s">
        <v>14872</v>
      </c>
      <c r="I891" s="44" t="s">
        <v>14886</v>
      </c>
      <c r="J891" s="44" t="s">
        <v>14874</v>
      </c>
      <c r="K891" s="44" t="s">
        <v>14875</v>
      </c>
      <c r="L891" s="44" t="s">
        <v>9286</v>
      </c>
      <c r="M891" s="44" t="s">
        <v>14876</v>
      </c>
    </row>
    <row r="892" customFormat="false" ht="22.35" hidden="false" customHeight="false" outlineLevel="0" collapsed="false">
      <c r="A892" s="44" t="s">
        <v>16747</v>
      </c>
      <c r="B892" s="44" t="s">
        <v>9281</v>
      </c>
      <c r="C892" s="44" t="s">
        <v>9282</v>
      </c>
      <c r="D892" s="44" t="s">
        <v>16748</v>
      </c>
      <c r="E892" s="44"/>
      <c r="F892" s="44"/>
      <c r="G892" s="44" t="s">
        <v>14882</v>
      </c>
      <c r="H892" s="44" t="s">
        <v>14872</v>
      </c>
      <c r="I892" s="44" t="s">
        <v>14883</v>
      </c>
      <c r="J892" s="44" t="s">
        <v>14874</v>
      </c>
      <c r="K892" s="44" t="s">
        <v>14875</v>
      </c>
      <c r="L892" s="44" t="s">
        <v>9286</v>
      </c>
      <c r="M892" s="44" t="s">
        <v>14876</v>
      </c>
    </row>
    <row r="893" customFormat="false" ht="22.35" hidden="false" customHeight="false" outlineLevel="0" collapsed="false">
      <c r="A893" s="44" t="s">
        <v>16749</v>
      </c>
      <c r="B893" s="44" t="s">
        <v>9287</v>
      </c>
      <c r="C893" s="44" t="s">
        <v>9288</v>
      </c>
      <c r="D893" s="44" t="s">
        <v>16750</v>
      </c>
      <c r="E893" s="44" t="s">
        <v>2036</v>
      </c>
      <c r="F893" s="44" t="s">
        <v>2037</v>
      </c>
      <c r="G893" s="44" t="s">
        <v>14871</v>
      </c>
      <c r="H893" s="44" t="s">
        <v>14872</v>
      </c>
      <c r="I893" s="44" t="s">
        <v>14873</v>
      </c>
      <c r="J893" s="44" t="s">
        <v>14874</v>
      </c>
      <c r="K893" s="44" t="s">
        <v>14875</v>
      </c>
      <c r="L893" s="44" t="s">
        <v>9292</v>
      </c>
      <c r="M893" s="44" t="s">
        <v>14876</v>
      </c>
    </row>
    <row r="894" customFormat="false" ht="22.35" hidden="false" customHeight="false" outlineLevel="0" collapsed="false">
      <c r="A894" s="44" t="s">
        <v>16751</v>
      </c>
      <c r="B894" s="44" t="s">
        <v>9287</v>
      </c>
      <c r="C894" s="44" t="s">
        <v>9288</v>
      </c>
      <c r="D894" s="44" t="s">
        <v>16752</v>
      </c>
      <c r="E894" s="44" t="s">
        <v>196</v>
      </c>
      <c r="F894" s="44" t="s">
        <v>59</v>
      </c>
      <c r="G894" s="44" t="s">
        <v>14871</v>
      </c>
      <c r="H894" s="44" t="s">
        <v>14872</v>
      </c>
      <c r="I894" s="44" t="s">
        <v>14886</v>
      </c>
      <c r="J894" s="44" t="s">
        <v>14874</v>
      </c>
      <c r="K894" s="44" t="s">
        <v>14875</v>
      </c>
      <c r="L894" s="44" t="s">
        <v>9292</v>
      </c>
      <c r="M894" s="44" t="s">
        <v>14876</v>
      </c>
    </row>
    <row r="895" customFormat="false" ht="22.35" hidden="false" customHeight="false" outlineLevel="0" collapsed="false">
      <c r="A895" s="44" t="s">
        <v>16753</v>
      </c>
      <c r="B895" s="44" t="s">
        <v>9287</v>
      </c>
      <c r="C895" s="44" t="s">
        <v>9288</v>
      </c>
      <c r="D895" s="44" t="s">
        <v>16754</v>
      </c>
      <c r="E895" s="44"/>
      <c r="F895" s="44"/>
      <c r="G895" s="44" t="s">
        <v>14882</v>
      </c>
      <c r="H895" s="44" t="s">
        <v>14872</v>
      </c>
      <c r="I895" s="44" t="s">
        <v>14883</v>
      </c>
      <c r="J895" s="44" t="s">
        <v>14874</v>
      </c>
      <c r="K895" s="44" t="s">
        <v>14875</v>
      </c>
      <c r="L895" s="44" t="s">
        <v>9292</v>
      </c>
      <c r="M895" s="44" t="s">
        <v>14876</v>
      </c>
    </row>
    <row r="896" customFormat="false" ht="22.35" hidden="false" customHeight="false" outlineLevel="0" collapsed="false">
      <c r="A896" s="44" t="s">
        <v>16755</v>
      </c>
      <c r="B896" s="44" t="s">
        <v>9287</v>
      </c>
      <c r="C896" s="44" t="s">
        <v>9288</v>
      </c>
      <c r="D896" s="44" t="s">
        <v>16756</v>
      </c>
      <c r="E896" s="44" t="s">
        <v>200</v>
      </c>
      <c r="F896" s="44" t="s">
        <v>201</v>
      </c>
      <c r="G896" s="44" t="s">
        <v>14871</v>
      </c>
      <c r="H896" s="44" t="s">
        <v>14872</v>
      </c>
      <c r="I896" s="44" t="s">
        <v>14886</v>
      </c>
      <c r="J896" s="44" t="s">
        <v>14874</v>
      </c>
      <c r="K896" s="44" t="s">
        <v>14875</v>
      </c>
      <c r="L896" s="44" t="s">
        <v>9292</v>
      </c>
      <c r="M896" s="44" t="s">
        <v>14876</v>
      </c>
    </row>
    <row r="897" customFormat="false" ht="22.35" hidden="false" customHeight="false" outlineLevel="0" collapsed="false">
      <c r="A897" s="44" t="s">
        <v>16757</v>
      </c>
      <c r="B897" s="44" t="s">
        <v>9287</v>
      </c>
      <c r="C897" s="44" t="s">
        <v>9288</v>
      </c>
      <c r="D897" s="44" t="s">
        <v>16758</v>
      </c>
      <c r="E897" s="44"/>
      <c r="F897" s="44"/>
      <c r="G897" s="44" t="s">
        <v>14882</v>
      </c>
      <c r="H897" s="44" t="s">
        <v>14872</v>
      </c>
      <c r="I897" s="44" t="s">
        <v>14883</v>
      </c>
      <c r="J897" s="44" t="s">
        <v>14874</v>
      </c>
      <c r="K897" s="44" t="s">
        <v>14875</v>
      </c>
      <c r="L897" s="44" t="s">
        <v>9292</v>
      </c>
      <c r="M897" s="44" t="s">
        <v>14876</v>
      </c>
    </row>
    <row r="898" customFormat="false" ht="22.35" hidden="false" customHeight="false" outlineLevel="0" collapsed="false">
      <c r="A898" s="44" t="s">
        <v>16759</v>
      </c>
      <c r="B898" s="44" t="s">
        <v>9293</v>
      </c>
      <c r="C898" s="44" t="s">
        <v>9294</v>
      </c>
      <c r="D898" s="44" t="s">
        <v>16760</v>
      </c>
      <c r="E898" s="44" t="s">
        <v>522</v>
      </c>
      <c r="F898" s="44" t="s">
        <v>523</v>
      </c>
      <c r="G898" s="44" t="s">
        <v>14871</v>
      </c>
      <c r="H898" s="44" t="s">
        <v>14872</v>
      </c>
      <c r="I898" s="44" t="s">
        <v>14879</v>
      </c>
      <c r="J898" s="44" t="s">
        <v>14874</v>
      </c>
      <c r="K898" s="44" t="s">
        <v>14875</v>
      </c>
      <c r="L898" s="44" t="s">
        <v>9297</v>
      </c>
      <c r="M898" s="44" t="s">
        <v>14876</v>
      </c>
    </row>
    <row r="899" customFormat="false" ht="22.35" hidden="false" customHeight="false" outlineLevel="0" collapsed="false">
      <c r="A899" s="44" t="s">
        <v>16761</v>
      </c>
      <c r="B899" s="44" t="s">
        <v>9293</v>
      </c>
      <c r="C899" s="44" t="s">
        <v>9294</v>
      </c>
      <c r="D899" s="44" t="s">
        <v>15882</v>
      </c>
      <c r="E899" s="44" t="s">
        <v>4980</v>
      </c>
      <c r="F899" s="44" t="s">
        <v>4981</v>
      </c>
      <c r="G899" s="44" t="s">
        <v>14871</v>
      </c>
      <c r="H899" s="44" t="s">
        <v>14872</v>
      </c>
      <c r="I899" s="44" t="s">
        <v>14873</v>
      </c>
      <c r="J899" s="44" t="s">
        <v>14874</v>
      </c>
      <c r="K899" s="44" t="s">
        <v>14875</v>
      </c>
      <c r="L899" s="44" t="s">
        <v>9297</v>
      </c>
      <c r="M899" s="44" t="s">
        <v>14876</v>
      </c>
    </row>
    <row r="900" customFormat="false" ht="22.35" hidden="false" customHeight="false" outlineLevel="0" collapsed="false">
      <c r="A900" s="44" t="s">
        <v>16762</v>
      </c>
      <c r="B900" s="44" t="s">
        <v>9293</v>
      </c>
      <c r="C900" s="44" t="s">
        <v>9294</v>
      </c>
      <c r="D900" s="44" t="s">
        <v>16763</v>
      </c>
      <c r="E900" s="44"/>
      <c r="F900" s="44"/>
      <c r="G900" s="44" t="s">
        <v>14882</v>
      </c>
      <c r="H900" s="44" t="s">
        <v>14872</v>
      </c>
      <c r="I900" s="44" t="s">
        <v>14883</v>
      </c>
      <c r="J900" s="44" t="s">
        <v>14874</v>
      </c>
      <c r="K900" s="44" t="s">
        <v>14875</v>
      </c>
      <c r="L900" s="44" t="s">
        <v>9297</v>
      </c>
      <c r="M900" s="44" t="s">
        <v>14876</v>
      </c>
    </row>
    <row r="901" customFormat="false" ht="22.35" hidden="false" customHeight="false" outlineLevel="0" collapsed="false">
      <c r="A901" s="44" t="s">
        <v>16764</v>
      </c>
      <c r="B901" s="44" t="s">
        <v>9293</v>
      </c>
      <c r="C901" s="44" t="s">
        <v>9294</v>
      </c>
      <c r="D901" s="44" t="s">
        <v>16765</v>
      </c>
      <c r="E901" s="44" t="s">
        <v>1287</v>
      </c>
      <c r="F901" s="44" t="s">
        <v>1288</v>
      </c>
      <c r="G901" s="44" t="s">
        <v>14871</v>
      </c>
      <c r="H901" s="44" t="s">
        <v>14872</v>
      </c>
      <c r="I901" s="44" t="s">
        <v>14879</v>
      </c>
      <c r="J901" s="44" t="s">
        <v>14874</v>
      </c>
      <c r="K901" s="44" t="s">
        <v>14875</v>
      </c>
      <c r="L901" s="44" t="s">
        <v>9297</v>
      </c>
      <c r="M901" s="44" t="s">
        <v>14876</v>
      </c>
    </row>
    <row r="902" customFormat="false" ht="22.35" hidden="false" customHeight="false" outlineLevel="0" collapsed="false">
      <c r="A902" s="44" t="s">
        <v>16766</v>
      </c>
      <c r="B902" s="44" t="s">
        <v>9293</v>
      </c>
      <c r="C902" s="44" t="s">
        <v>9294</v>
      </c>
      <c r="D902" s="44" t="s">
        <v>16767</v>
      </c>
      <c r="E902" s="44" t="s">
        <v>4122</v>
      </c>
      <c r="F902" s="44" t="s">
        <v>4123</v>
      </c>
      <c r="G902" s="44" t="s">
        <v>14871</v>
      </c>
      <c r="H902" s="44" t="s">
        <v>14872</v>
      </c>
      <c r="I902" s="44" t="s">
        <v>14873</v>
      </c>
      <c r="J902" s="44" t="s">
        <v>14874</v>
      </c>
      <c r="K902" s="44" t="s">
        <v>14875</v>
      </c>
      <c r="L902" s="44" t="s">
        <v>9297</v>
      </c>
      <c r="M902" s="44" t="s">
        <v>14876</v>
      </c>
    </row>
    <row r="903" customFormat="false" ht="22.35" hidden="false" customHeight="false" outlineLevel="0" collapsed="false">
      <c r="A903" s="44" t="s">
        <v>16768</v>
      </c>
      <c r="B903" s="44" t="s">
        <v>9298</v>
      </c>
      <c r="C903" s="44" t="s">
        <v>9299</v>
      </c>
      <c r="D903" s="44" t="s">
        <v>16769</v>
      </c>
      <c r="E903" s="44"/>
      <c r="F903" s="44"/>
      <c r="G903" s="44" t="s">
        <v>14882</v>
      </c>
      <c r="H903" s="44" t="s">
        <v>14872</v>
      </c>
      <c r="I903" s="44" t="s">
        <v>14883</v>
      </c>
      <c r="J903" s="44" t="s">
        <v>14874</v>
      </c>
      <c r="K903" s="44" t="s">
        <v>14875</v>
      </c>
      <c r="L903" s="44" t="s">
        <v>9303</v>
      </c>
      <c r="M903" s="44" t="s">
        <v>14876</v>
      </c>
    </row>
    <row r="904" customFormat="false" ht="22.35" hidden="false" customHeight="false" outlineLevel="0" collapsed="false">
      <c r="A904" s="44" t="s">
        <v>16770</v>
      </c>
      <c r="B904" s="44" t="s">
        <v>9298</v>
      </c>
      <c r="C904" s="44" t="s">
        <v>9299</v>
      </c>
      <c r="D904" s="44" t="s">
        <v>16771</v>
      </c>
      <c r="E904" s="44"/>
      <c r="F904" s="44"/>
      <c r="G904" s="44" t="s">
        <v>14882</v>
      </c>
      <c r="H904" s="44" t="s">
        <v>14872</v>
      </c>
      <c r="I904" s="44" t="s">
        <v>14883</v>
      </c>
      <c r="J904" s="44" t="s">
        <v>14874</v>
      </c>
      <c r="K904" s="44" t="s">
        <v>14875</v>
      </c>
      <c r="L904" s="44" t="s">
        <v>9303</v>
      </c>
      <c r="M904" s="44" t="s">
        <v>14876</v>
      </c>
    </row>
    <row r="905" customFormat="false" ht="22.35" hidden="false" customHeight="false" outlineLevel="0" collapsed="false">
      <c r="A905" s="44" t="s">
        <v>16772</v>
      </c>
      <c r="B905" s="44" t="s">
        <v>9298</v>
      </c>
      <c r="C905" s="44" t="s">
        <v>9299</v>
      </c>
      <c r="D905" s="44" t="s">
        <v>16773</v>
      </c>
      <c r="E905" s="44"/>
      <c r="F905" s="44"/>
      <c r="G905" s="44" t="s">
        <v>14882</v>
      </c>
      <c r="H905" s="44" t="s">
        <v>14872</v>
      </c>
      <c r="I905" s="44" t="s">
        <v>14883</v>
      </c>
      <c r="J905" s="44" t="s">
        <v>14874</v>
      </c>
      <c r="K905" s="44" t="s">
        <v>14875</v>
      </c>
      <c r="L905" s="44" t="s">
        <v>9303</v>
      </c>
      <c r="M905" s="44" t="s">
        <v>14876</v>
      </c>
    </row>
    <row r="906" customFormat="false" ht="22.35" hidden="false" customHeight="false" outlineLevel="0" collapsed="false">
      <c r="A906" s="44" t="s">
        <v>16774</v>
      </c>
      <c r="B906" s="44" t="s">
        <v>9298</v>
      </c>
      <c r="C906" s="44" t="s">
        <v>9299</v>
      </c>
      <c r="D906" s="44" t="s">
        <v>16775</v>
      </c>
      <c r="E906" s="44"/>
      <c r="F906" s="44"/>
      <c r="G906" s="44" t="s">
        <v>14882</v>
      </c>
      <c r="H906" s="44" t="s">
        <v>14872</v>
      </c>
      <c r="I906" s="44" t="s">
        <v>14883</v>
      </c>
      <c r="J906" s="44" t="s">
        <v>14874</v>
      </c>
      <c r="K906" s="44" t="s">
        <v>14875</v>
      </c>
      <c r="L906" s="44" t="s">
        <v>9303</v>
      </c>
      <c r="M906" s="44" t="s">
        <v>14876</v>
      </c>
    </row>
    <row r="907" customFormat="false" ht="22.35" hidden="false" customHeight="false" outlineLevel="0" collapsed="false">
      <c r="A907" s="44" t="s">
        <v>16776</v>
      </c>
      <c r="B907" s="44" t="s">
        <v>9304</v>
      </c>
      <c r="C907" s="44" t="s">
        <v>9305</v>
      </c>
      <c r="D907" s="44" t="s">
        <v>16777</v>
      </c>
      <c r="E907" s="44" t="s">
        <v>4895</v>
      </c>
      <c r="F907" s="44" t="s">
        <v>4896</v>
      </c>
      <c r="G907" s="44" t="s">
        <v>14871</v>
      </c>
      <c r="H907" s="44" t="s">
        <v>14872</v>
      </c>
      <c r="I907" s="44" t="s">
        <v>14886</v>
      </c>
      <c r="J907" s="44" t="s">
        <v>14874</v>
      </c>
      <c r="K907" s="44" t="s">
        <v>14875</v>
      </c>
      <c r="L907" s="44" t="s">
        <v>9308</v>
      </c>
      <c r="M907" s="44" t="s">
        <v>14876</v>
      </c>
    </row>
    <row r="908" customFormat="false" ht="22.35" hidden="false" customHeight="false" outlineLevel="0" collapsed="false">
      <c r="A908" s="44" t="s">
        <v>16778</v>
      </c>
      <c r="B908" s="44" t="s">
        <v>9304</v>
      </c>
      <c r="C908" s="44" t="s">
        <v>9305</v>
      </c>
      <c r="D908" s="44" t="s">
        <v>16779</v>
      </c>
      <c r="E908" s="44" t="s">
        <v>16780</v>
      </c>
      <c r="F908" s="44" t="s">
        <v>16781</v>
      </c>
      <c r="G908" s="44" t="s">
        <v>14871</v>
      </c>
      <c r="H908" s="44" t="s">
        <v>14872</v>
      </c>
      <c r="I908" s="44" t="s">
        <v>14886</v>
      </c>
      <c r="J908" s="44" t="s">
        <v>14874</v>
      </c>
      <c r="K908" s="44" t="s">
        <v>14875</v>
      </c>
      <c r="L908" s="44" t="s">
        <v>9308</v>
      </c>
      <c r="M908" s="44" t="s">
        <v>14876</v>
      </c>
    </row>
    <row r="909" customFormat="false" ht="22.35" hidden="false" customHeight="false" outlineLevel="0" collapsed="false">
      <c r="A909" s="44" t="s">
        <v>16782</v>
      </c>
      <c r="B909" s="44" t="s">
        <v>9304</v>
      </c>
      <c r="C909" s="44" t="s">
        <v>9305</v>
      </c>
      <c r="D909" s="44" t="s">
        <v>16783</v>
      </c>
      <c r="E909" s="44"/>
      <c r="F909" s="44"/>
      <c r="G909" s="44" t="s">
        <v>14882</v>
      </c>
      <c r="H909" s="44" t="s">
        <v>14872</v>
      </c>
      <c r="I909" s="44" t="s">
        <v>14883</v>
      </c>
      <c r="J909" s="44" t="s">
        <v>14874</v>
      </c>
      <c r="K909" s="44" t="s">
        <v>14875</v>
      </c>
      <c r="L909" s="44" t="s">
        <v>9308</v>
      </c>
      <c r="M909" s="44" t="s">
        <v>14876</v>
      </c>
    </row>
    <row r="910" customFormat="false" ht="22.35" hidden="false" customHeight="false" outlineLevel="0" collapsed="false">
      <c r="A910" s="44" t="s">
        <v>16784</v>
      </c>
      <c r="B910" s="44" t="s">
        <v>9304</v>
      </c>
      <c r="C910" s="44" t="s">
        <v>9305</v>
      </c>
      <c r="D910" s="44" t="s">
        <v>16268</v>
      </c>
      <c r="E910" s="44"/>
      <c r="F910" s="44"/>
      <c r="G910" s="44" t="s">
        <v>14882</v>
      </c>
      <c r="H910" s="44" t="s">
        <v>14872</v>
      </c>
      <c r="I910" s="44" t="s">
        <v>14883</v>
      </c>
      <c r="J910" s="44" t="s">
        <v>14874</v>
      </c>
      <c r="K910" s="44" t="s">
        <v>14875</v>
      </c>
      <c r="L910" s="44" t="s">
        <v>9308</v>
      </c>
      <c r="M910" s="44" t="s">
        <v>14876</v>
      </c>
    </row>
    <row r="911" customFormat="false" ht="22.35" hidden="false" customHeight="false" outlineLevel="0" collapsed="false">
      <c r="A911" s="44" t="s">
        <v>16785</v>
      </c>
      <c r="B911" s="44" t="s">
        <v>9304</v>
      </c>
      <c r="C911" s="44" t="s">
        <v>9305</v>
      </c>
      <c r="D911" s="44" t="s">
        <v>16786</v>
      </c>
      <c r="E911" s="44" t="s">
        <v>4214</v>
      </c>
      <c r="F911" s="44" t="s">
        <v>4215</v>
      </c>
      <c r="G911" s="44" t="s">
        <v>14871</v>
      </c>
      <c r="H911" s="44" t="s">
        <v>14872</v>
      </c>
      <c r="I911" s="44" t="s">
        <v>14886</v>
      </c>
      <c r="J911" s="44" t="s">
        <v>14874</v>
      </c>
      <c r="K911" s="44" t="s">
        <v>14875</v>
      </c>
      <c r="L911" s="44" t="s">
        <v>9308</v>
      </c>
      <c r="M911" s="44" t="s">
        <v>14876</v>
      </c>
    </row>
    <row r="912" customFormat="false" ht="22.35" hidden="false" customHeight="false" outlineLevel="0" collapsed="false">
      <c r="A912" s="44" t="s">
        <v>16787</v>
      </c>
      <c r="B912" s="44" t="s">
        <v>9309</v>
      </c>
      <c r="C912" s="44" t="s">
        <v>9310</v>
      </c>
      <c r="D912" s="44" t="s">
        <v>16788</v>
      </c>
      <c r="E912" s="44" t="s">
        <v>4895</v>
      </c>
      <c r="F912" s="44" t="s">
        <v>4896</v>
      </c>
      <c r="G912" s="44" t="s">
        <v>14871</v>
      </c>
      <c r="H912" s="44" t="s">
        <v>14872</v>
      </c>
      <c r="I912" s="44" t="s">
        <v>14886</v>
      </c>
      <c r="J912" s="44" t="s">
        <v>14874</v>
      </c>
      <c r="K912" s="44" t="s">
        <v>14875</v>
      </c>
      <c r="L912" s="44" t="s">
        <v>9313</v>
      </c>
      <c r="M912" s="44" t="s">
        <v>14876</v>
      </c>
    </row>
    <row r="913" customFormat="false" ht="22.35" hidden="false" customHeight="false" outlineLevel="0" collapsed="false">
      <c r="A913" s="44" t="s">
        <v>16789</v>
      </c>
      <c r="B913" s="44" t="s">
        <v>9309</v>
      </c>
      <c r="C913" s="44" t="s">
        <v>9310</v>
      </c>
      <c r="D913" s="44" t="s">
        <v>16790</v>
      </c>
      <c r="E913" s="44" t="s">
        <v>4895</v>
      </c>
      <c r="F913" s="44" t="s">
        <v>4896</v>
      </c>
      <c r="G913" s="44" t="s">
        <v>14871</v>
      </c>
      <c r="H913" s="44" t="s">
        <v>14872</v>
      </c>
      <c r="I913" s="44" t="s">
        <v>14886</v>
      </c>
      <c r="J913" s="44" t="s">
        <v>14874</v>
      </c>
      <c r="K913" s="44" t="s">
        <v>14875</v>
      </c>
      <c r="L913" s="44" t="s">
        <v>9313</v>
      </c>
      <c r="M913" s="44" t="s">
        <v>14876</v>
      </c>
    </row>
    <row r="914" customFormat="false" ht="22.35" hidden="false" customHeight="false" outlineLevel="0" collapsed="false">
      <c r="A914" s="44" t="s">
        <v>16791</v>
      </c>
      <c r="B914" s="44" t="s">
        <v>9309</v>
      </c>
      <c r="C914" s="44" t="s">
        <v>9310</v>
      </c>
      <c r="D914" s="44" t="s">
        <v>16792</v>
      </c>
      <c r="E914" s="44"/>
      <c r="F914" s="44"/>
      <c r="G914" s="44" t="s">
        <v>14882</v>
      </c>
      <c r="H914" s="44" t="s">
        <v>14872</v>
      </c>
      <c r="I914" s="44" t="s">
        <v>14883</v>
      </c>
      <c r="J914" s="44" t="s">
        <v>14874</v>
      </c>
      <c r="K914" s="44" t="s">
        <v>14875</v>
      </c>
      <c r="L914" s="44" t="s">
        <v>9313</v>
      </c>
      <c r="M914" s="44" t="s">
        <v>14876</v>
      </c>
    </row>
    <row r="915" customFormat="false" ht="22.35" hidden="false" customHeight="false" outlineLevel="0" collapsed="false">
      <c r="A915" s="44" t="s">
        <v>16793</v>
      </c>
      <c r="B915" s="44" t="s">
        <v>9309</v>
      </c>
      <c r="C915" s="44" t="s">
        <v>9310</v>
      </c>
      <c r="D915" s="44" t="s">
        <v>16794</v>
      </c>
      <c r="E915" s="44"/>
      <c r="F915" s="44"/>
      <c r="G915" s="44" t="s">
        <v>14882</v>
      </c>
      <c r="H915" s="44" t="s">
        <v>14872</v>
      </c>
      <c r="I915" s="44" t="s">
        <v>14883</v>
      </c>
      <c r="J915" s="44" t="s">
        <v>14874</v>
      </c>
      <c r="K915" s="44" t="s">
        <v>14875</v>
      </c>
      <c r="L915" s="44" t="s">
        <v>9313</v>
      </c>
      <c r="M915" s="44" t="s">
        <v>14876</v>
      </c>
    </row>
    <row r="916" customFormat="false" ht="22.35" hidden="false" customHeight="false" outlineLevel="0" collapsed="false">
      <c r="A916" s="44" t="s">
        <v>16795</v>
      </c>
      <c r="B916" s="44" t="s">
        <v>9314</v>
      </c>
      <c r="C916" s="44" t="s">
        <v>9315</v>
      </c>
      <c r="D916" s="44" t="s">
        <v>16796</v>
      </c>
      <c r="E916" s="44" t="s">
        <v>4895</v>
      </c>
      <c r="F916" s="44" t="s">
        <v>4896</v>
      </c>
      <c r="G916" s="44" t="s">
        <v>14871</v>
      </c>
      <c r="H916" s="44" t="s">
        <v>14872</v>
      </c>
      <c r="I916" s="44" t="s">
        <v>14886</v>
      </c>
      <c r="J916" s="44" t="s">
        <v>14874</v>
      </c>
      <c r="K916" s="44" t="s">
        <v>14875</v>
      </c>
      <c r="L916" s="44" t="s">
        <v>9319</v>
      </c>
      <c r="M916" s="44" t="s">
        <v>14876</v>
      </c>
    </row>
    <row r="917" customFormat="false" ht="22.35" hidden="false" customHeight="false" outlineLevel="0" collapsed="false">
      <c r="A917" s="44" t="s">
        <v>16797</v>
      </c>
      <c r="B917" s="44" t="s">
        <v>9314</v>
      </c>
      <c r="C917" s="44" t="s">
        <v>9315</v>
      </c>
      <c r="D917" s="44" t="s">
        <v>16249</v>
      </c>
      <c r="E917" s="44"/>
      <c r="F917" s="44"/>
      <c r="G917" s="44" t="s">
        <v>14882</v>
      </c>
      <c r="H917" s="44" t="s">
        <v>14872</v>
      </c>
      <c r="I917" s="44" t="s">
        <v>14883</v>
      </c>
      <c r="J917" s="44" t="s">
        <v>14874</v>
      </c>
      <c r="K917" s="44" t="s">
        <v>14875</v>
      </c>
      <c r="L917" s="44" t="s">
        <v>9319</v>
      </c>
      <c r="M917" s="44" t="s">
        <v>14876</v>
      </c>
    </row>
    <row r="918" customFormat="false" ht="22.35" hidden="false" customHeight="false" outlineLevel="0" collapsed="false">
      <c r="A918" s="44" t="s">
        <v>16798</v>
      </c>
      <c r="B918" s="44" t="s">
        <v>9314</v>
      </c>
      <c r="C918" s="44" t="s">
        <v>9315</v>
      </c>
      <c r="D918" s="44" t="s">
        <v>16799</v>
      </c>
      <c r="E918" s="44"/>
      <c r="F918" s="44"/>
      <c r="G918" s="44" t="s">
        <v>14882</v>
      </c>
      <c r="H918" s="44" t="s">
        <v>14872</v>
      </c>
      <c r="I918" s="44" t="s">
        <v>14883</v>
      </c>
      <c r="J918" s="44" t="s">
        <v>14874</v>
      </c>
      <c r="K918" s="44" t="s">
        <v>14875</v>
      </c>
      <c r="L918" s="44" t="s">
        <v>9319</v>
      </c>
      <c r="M918" s="44" t="s">
        <v>14876</v>
      </c>
    </row>
    <row r="919" customFormat="false" ht="22.35" hidden="false" customHeight="false" outlineLevel="0" collapsed="false">
      <c r="A919" s="44" t="s">
        <v>16800</v>
      </c>
      <c r="B919" s="44" t="s">
        <v>9314</v>
      </c>
      <c r="C919" s="44" t="s">
        <v>9315</v>
      </c>
      <c r="D919" s="44" t="s">
        <v>16801</v>
      </c>
      <c r="E919" s="44"/>
      <c r="F919" s="44"/>
      <c r="G919" s="44" t="s">
        <v>14882</v>
      </c>
      <c r="H919" s="44" t="s">
        <v>14872</v>
      </c>
      <c r="I919" s="44" t="s">
        <v>14883</v>
      </c>
      <c r="J919" s="44" t="s">
        <v>14874</v>
      </c>
      <c r="K919" s="44" t="s">
        <v>14875</v>
      </c>
      <c r="L919" s="44" t="s">
        <v>9319</v>
      </c>
      <c r="M919" s="44" t="s">
        <v>14876</v>
      </c>
    </row>
    <row r="920" customFormat="false" ht="22.35" hidden="false" customHeight="false" outlineLevel="0" collapsed="false">
      <c r="A920" s="44" t="s">
        <v>16802</v>
      </c>
      <c r="B920" s="44" t="s">
        <v>9320</v>
      </c>
      <c r="C920" s="44" t="s">
        <v>9321</v>
      </c>
      <c r="D920" s="44" t="s">
        <v>16803</v>
      </c>
      <c r="E920" s="44"/>
      <c r="F920" s="44"/>
      <c r="G920" s="44" t="s">
        <v>14882</v>
      </c>
      <c r="H920" s="44" t="s">
        <v>14872</v>
      </c>
      <c r="I920" s="44" t="s">
        <v>14883</v>
      </c>
      <c r="J920" s="44" t="s">
        <v>14874</v>
      </c>
      <c r="K920" s="44" t="s">
        <v>14875</v>
      </c>
      <c r="L920" s="44" t="s">
        <v>9326</v>
      </c>
      <c r="M920" s="44" t="s">
        <v>14876</v>
      </c>
    </row>
    <row r="921" customFormat="false" ht="22.35" hidden="false" customHeight="false" outlineLevel="0" collapsed="false">
      <c r="A921" s="44" t="s">
        <v>16804</v>
      </c>
      <c r="B921" s="44" t="s">
        <v>9320</v>
      </c>
      <c r="C921" s="44" t="s">
        <v>9321</v>
      </c>
      <c r="D921" s="44" t="s">
        <v>16805</v>
      </c>
      <c r="E921" s="44" t="s">
        <v>200</v>
      </c>
      <c r="F921" s="44" t="s">
        <v>201</v>
      </c>
      <c r="G921" s="44" t="s">
        <v>14871</v>
      </c>
      <c r="H921" s="44" t="s">
        <v>14872</v>
      </c>
      <c r="I921" s="44" t="s">
        <v>14886</v>
      </c>
      <c r="J921" s="44" t="s">
        <v>14874</v>
      </c>
      <c r="K921" s="44" t="s">
        <v>14875</v>
      </c>
      <c r="L921" s="44" t="s">
        <v>9326</v>
      </c>
      <c r="M921" s="44" t="s">
        <v>14876</v>
      </c>
    </row>
    <row r="922" customFormat="false" ht="22.35" hidden="false" customHeight="false" outlineLevel="0" collapsed="false">
      <c r="A922" s="44" t="s">
        <v>16806</v>
      </c>
      <c r="B922" s="44" t="s">
        <v>9320</v>
      </c>
      <c r="C922" s="44" t="s">
        <v>9321</v>
      </c>
      <c r="D922" s="44" t="s">
        <v>16807</v>
      </c>
      <c r="E922" s="44"/>
      <c r="F922" s="44"/>
      <c r="G922" s="44" t="s">
        <v>14882</v>
      </c>
      <c r="H922" s="44" t="s">
        <v>14872</v>
      </c>
      <c r="I922" s="44" t="s">
        <v>14883</v>
      </c>
      <c r="J922" s="44" t="s">
        <v>14874</v>
      </c>
      <c r="K922" s="44" t="s">
        <v>14875</v>
      </c>
      <c r="L922" s="44" t="s">
        <v>9326</v>
      </c>
      <c r="M922" s="44" t="s">
        <v>14876</v>
      </c>
    </row>
    <row r="923" customFormat="false" ht="22.35" hidden="false" customHeight="false" outlineLevel="0" collapsed="false">
      <c r="A923" s="44" t="s">
        <v>16808</v>
      </c>
      <c r="B923" s="44" t="s">
        <v>9320</v>
      </c>
      <c r="C923" s="44" t="s">
        <v>9321</v>
      </c>
      <c r="D923" s="44" t="s">
        <v>16809</v>
      </c>
      <c r="E923" s="44"/>
      <c r="F923" s="44"/>
      <c r="G923" s="44" t="s">
        <v>14882</v>
      </c>
      <c r="H923" s="44" t="s">
        <v>14872</v>
      </c>
      <c r="I923" s="44" t="s">
        <v>14883</v>
      </c>
      <c r="J923" s="44" t="s">
        <v>14874</v>
      </c>
      <c r="K923" s="44" t="s">
        <v>14875</v>
      </c>
      <c r="L923" s="44" t="s">
        <v>9326</v>
      </c>
      <c r="M923" s="44" t="s">
        <v>14876</v>
      </c>
    </row>
    <row r="924" customFormat="false" ht="22.35" hidden="false" customHeight="false" outlineLevel="0" collapsed="false">
      <c r="A924" s="44" t="s">
        <v>16810</v>
      </c>
      <c r="B924" s="44" t="s">
        <v>9327</v>
      </c>
      <c r="C924" s="44" t="s">
        <v>9328</v>
      </c>
      <c r="D924" s="44" t="s">
        <v>16811</v>
      </c>
      <c r="E924" s="44"/>
      <c r="F924" s="44"/>
      <c r="G924" s="44" t="s">
        <v>14882</v>
      </c>
      <c r="H924" s="44" t="s">
        <v>14872</v>
      </c>
      <c r="I924" s="44" t="s">
        <v>14883</v>
      </c>
      <c r="J924" s="44" t="s">
        <v>14874</v>
      </c>
      <c r="K924" s="44" t="s">
        <v>14875</v>
      </c>
      <c r="L924" s="44" t="s">
        <v>9331</v>
      </c>
      <c r="M924" s="44" t="s">
        <v>14876</v>
      </c>
    </row>
    <row r="925" customFormat="false" ht="22.35" hidden="false" customHeight="false" outlineLevel="0" collapsed="false">
      <c r="A925" s="44" t="s">
        <v>16812</v>
      </c>
      <c r="B925" s="44" t="s">
        <v>9327</v>
      </c>
      <c r="C925" s="44" t="s">
        <v>9328</v>
      </c>
      <c r="D925" s="44" t="s">
        <v>16813</v>
      </c>
      <c r="E925" s="44"/>
      <c r="F925" s="44"/>
      <c r="G925" s="44" t="s">
        <v>14882</v>
      </c>
      <c r="H925" s="44" t="s">
        <v>14872</v>
      </c>
      <c r="I925" s="44" t="s">
        <v>14883</v>
      </c>
      <c r="J925" s="44" t="s">
        <v>14874</v>
      </c>
      <c r="K925" s="44" t="s">
        <v>14875</v>
      </c>
      <c r="L925" s="44" t="s">
        <v>9331</v>
      </c>
      <c r="M925" s="44" t="s">
        <v>14876</v>
      </c>
    </row>
    <row r="926" customFormat="false" ht="22.35" hidden="false" customHeight="false" outlineLevel="0" collapsed="false">
      <c r="A926" s="44" t="s">
        <v>16814</v>
      </c>
      <c r="B926" s="44" t="s">
        <v>9327</v>
      </c>
      <c r="C926" s="44" t="s">
        <v>9328</v>
      </c>
      <c r="D926" s="44" t="s">
        <v>16008</v>
      </c>
      <c r="E926" s="44"/>
      <c r="F926" s="44"/>
      <c r="G926" s="44" t="s">
        <v>14882</v>
      </c>
      <c r="H926" s="44" t="s">
        <v>14872</v>
      </c>
      <c r="I926" s="44" t="s">
        <v>14883</v>
      </c>
      <c r="J926" s="44" t="s">
        <v>14874</v>
      </c>
      <c r="K926" s="44" t="s">
        <v>14875</v>
      </c>
      <c r="L926" s="44" t="s">
        <v>9331</v>
      </c>
      <c r="M926" s="44" t="s">
        <v>14876</v>
      </c>
    </row>
    <row r="927" customFormat="false" ht="22.35" hidden="false" customHeight="false" outlineLevel="0" collapsed="false">
      <c r="A927" s="44" t="s">
        <v>16815</v>
      </c>
      <c r="B927" s="44" t="s">
        <v>9327</v>
      </c>
      <c r="C927" s="44" t="s">
        <v>9328</v>
      </c>
      <c r="D927" s="44" t="s">
        <v>16816</v>
      </c>
      <c r="E927" s="44"/>
      <c r="F927" s="44"/>
      <c r="G927" s="44" t="s">
        <v>14882</v>
      </c>
      <c r="H927" s="44" t="s">
        <v>14872</v>
      </c>
      <c r="I927" s="44" t="s">
        <v>14883</v>
      </c>
      <c r="J927" s="44" t="s">
        <v>14874</v>
      </c>
      <c r="K927" s="44" t="s">
        <v>14875</v>
      </c>
      <c r="L927" s="44" t="s">
        <v>9331</v>
      </c>
      <c r="M927" s="44" t="s">
        <v>14876</v>
      </c>
    </row>
    <row r="928" customFormat="false" ht="22.35" hidden="false" customHeight="false" outlineLevel="0" collapsed="false">
      <c r="A928" s="44" t="s">
        <v>16817</v>
      </c>
      <c r="B928" s="44" t="s">
        <v>9327</v>
      </c>
      <c r="C928" s="44" t="s">
        <v>9328</v>
      </c>
      <c r="D928" s="44" t="s">
        <v>16818</v>
      </c>
      <c r="E928" s="44"/>
      <c r="F928" s="44"/>
      <c r="G928" s="44" t="s">
        <v>14882</v>
      </c>
      <c r="H928" s="44" t="s">
        <v>14872</v>
      </c>
      <c r="I928" s="44" t="s">
        <v>14883</v>
      </c>
      <c r="J928" s="44" t="s">
        <v>14874</v>
      </c>
      <c r="K928" s="44" t="s">
        <v>14875</v>
      </c>
      <c r="L928" s="44" t="s">
        <v>9331</v>
      </c>
      <c r="M928" s="44" t="s">
        <v>14876</v>
      </c>
    </row>
    <row r="929" customFormat="false" ht="22.35" hidden="false" customHeight="false" outlineLevel="0" collapsed="false">
      <c r="A929" s="44" t="s">
        <v>16819</v>
      </c>
      <c r="B929" s="44" t="s">
        <v>9332</v>
      </c>
      <c r="C929" s="44" t="s">
        <v>9333</v>
      </c>
      <c r="D929" s="44" t="s">
        <v>16820</v>
      </c>
      <c r="E929" s="44"/>
      <c r="F929" s="44"/>
      <c r="G929" s="44" t="s">
        <v>14882</v>
      </c>
      <c r="H929" s="44" t="s">
        <v>14872</v>
      </c>
      <c r="I929" s="44" t="s">
        <v>14883</v>
      </c>
      <c r="J929" s="44" t="s">
        <v>14874</v>
      </c>
      <c r="K929" s="44" t="s">
        <v>14875</v>
      </c>
      <c r="L929" s="44" t="s">
        <v>9336</v>
      </c>
      <c r="M929" s="44" t="s">
        <v>14876</v>
      </c>
    </row>
    <row r="930" customFormat="false" ht="22.35" hidden="false" customHeight="false" outlineLevel="0" collapsed="false">
      <c r="A930" s="44" t="s">
        <v>16821</v>
      </c>
      <c r="B930" s="44" t="s">
        <v>9332</v>
      </c>
      <c r="C930" s="44" t="s">
        <v>9333</v>
      </c>
      <c r="D930" s="44" t="s">
        <v>16822</v>
      </c>
      <c r="E930" s="44" t="s">
        <v>200</v>
      </c>
      <c r="F930" s="44" t="s">
        <v>201</v>
      </c>
      <c r="G930" s="44" t="s">
        <v>14871</v>
      </c>
      <c r="H930" s="44" t="s">
        <v>14872</v>
      </c>
      <c r="I930" s="44" t="s">
        <v>14886</v>
      </c>
      <c r="J930" s="44" t="s">
        <v>14874</v>
      </c>
      <c r="K930" s="44" t="s">
        <v>14875</v>
      </c>
      <c r="L930" s="44" t="s">
        <v>9336</v>
      </c>
      <c r="M930" s="44" t="s">
        <v>14876</v>
      </c>
    </row>
    <row r="931" customFormat="false" ht="22.35" hidden="false" customHeight="false" outlineLevel="0" collapsed="false">
      <c r="A931" s="44" t="s">
        <v>16823</v>
      </c>
      <c r="B931" s="44" t="s">
        <v>9332</v>
      </c>
      <c r="C931" s="44" t="s">
        <v>9333</v>
      </c>
      <c r="D931" s="44" t="s">
        <v>16824</v>
      </c>
      <c r="E931" s="44"/>
      <c r="F931" s="44"/>
      <c r="G931" s="44" t="s">
        <v>14882</v>
      </c>
      <c r="H931" s="44" t="s">
        <v>14872</v>
      </c>
      <c r="I931" s="44" t="s">
        <v>14883</v>
      </c>
      <c r="J931" s="44" t="s">
        <v>14874</v>
      </c>
      <c r="K931" s="44" t="s">
        <v>14875</v>
      </c>
      <c r="L931" s="44" t="s">
        <v>9336</v>
      </c>
      <c r="M931" s="44" t="s">
        <v>14876</v>
      </c>
    </row>
    <row r="932" customFormat="false" ht="22.35" hidden="false" customHeight="false" outlineLevel="0" collapsed="false">
      <c r="A932" s="44" t="s">
        <v>16825</v>
      </c>
      <c r="B932" s="44" t="s">
        <v>9332</v>
      </c>
      <c r="C932" s="44" t="s">
        <v>9333</v>
      </c>
      <c r="D932" s="44" t="s">
        <v>16826</v>
      </c>
      <c r="E932" s="44" t="s">
        <v>4895</v>
      </c>
      <c r="F932" s="44" t="s">
        <v>4896</v>
      </c>
      <c r="G932" s="44" t="s">
        <v>14871</v>
      </c>
      <c r="H932" s="44" t="s">
        <v>14872</v>
      </c>
      <c r="I932" s="44" t="s">
        <v>14886</v>
      </c>
      <c r="J932" s="44" t="s">
        <v>14874</v>
      </c>
      <c r="K932" s="44" t="s">
        <v>14875</v>
      </c>
      <c r="L932" s="44" t="s">
        <v>9336</v>
      </c>
      <c r="M932" s="44" t="s">
        <v>14876</v>
      </c>
    </row>
    <row r="933" customFormat="false" ht="22.35" hidden="false" customHeight="false" outlineLevel="0" collapsed="false">
      <c r="A933" s="44" t="s">
        <v>16827</v>
      </c>
      <c r="B933" s="44" t="s">
        <v>9337</v>
      </c>
      <c r="C933" s="44" t="s">
        <v>9338</v>
      </c>
      <c r="D933" s="44" t="s">
        <v>16828</v>
      </c>
      <c r="E933" s="44" t="s">
        <v>211</v>
      </c>
      <c r="F933" s="44" t="s">
        <v>212</v>
      </c>
      <c r="G933" s="44" t="s">
        <v>14871</v>
      </c>
      <c r="H933" s="44" t="s">
        <v>14872</v>
      </c>
      <c r="I933" s="44" t="s">
        <v>14873</v>
      </c>
      <c r="J933" s="44" t="s">
        <v>14874</v>
      </c>
      <c r="K933" s="44" t="s">
        <v>14875</v>
      </c>
      <c r="L933" s="44" t="s">
        <v>9341</v>
      </c>
      <c r="M933" s="44" t="s">
        <v>14876</v>
      </c>
    </row>
    <row r="934" customFormat="false" ht="22.35" hidden="false" customHeight="false" outlineLevel="0" collapsed="false">
      <c r="A934" s="44" t="s">
        <v>16829</v>
      </c>
      <c r="B934" s="44" t="s">
        <v>9337</v>
      </c>
      <c r="C934" s="44" t="s">
        <v>9338</v>
      </c>
      <c r="D934" s="44" t="s">
        <v>16830</v>
      </c>
      <c r="E934" s="44" t="s">
        <v>4895</v>
      </c>
      <c r="F934" s="44" t="s">
        <v>4896</v>
      </c>
      <c r="G934" s="44" t="s">
        <v>14871</v>
      </c>
      <c r="H934" s="44" t="s">
        <v>14872</v>
      </c>
      <c r="I934" s="44" t="s">
        <v>14886</v>
      </c>
      <c r="J934" s="44" t="s">
        <v>14874</v>
      </c>
      <c r="K934" s="44" t="s">
        <v>14875</v>
      </c>
      <c r="L934" s="44" t="s">
        <v>9341</v>
      </c>
      <c r="M934" s="44" t="s">
        <v>14876</v>
      </c>
    </row>
    <row r="935" customFormat="false" ht="22.35" hidden="false" customHeight="false" outlineLevel="0" collapsed="false">
      <c r="A935" s="44" t="s">
        <v>16831</v>
      </c>
      <c r="B935" s="44" t="s">
        <v>9337</v>
      </c>
      <c r="C935" s="44" t="s">
        <v>9338</v>
      </c>
      <c r="D935" s="44" t="s">
        <v>16832</v>
      </c>
      <c r="E935" s="44" t="s">
        <v>5920</v>
      </c>
      <c r="F935" s="44" t="s">
        <v>5921</v>
      </c>
      <c r="G935" s="44" t="s">
        <v>14871</v>
      </c>
      <c r="H935" s="44" t="s">
        <v>14872</v>
      </c>
      <c r="I935" s="44" t="s">
        <v>14873</v>
      </c>
      <c r="J935" s="44" t="s">
        <v>14874</v>
      </c>
      <c r="K935" s="44" t="s">
        <v>14875</v>
      </c>
      <c r="L935" s="44" t="s">
        <v>9341</v>
      </c>
      <c r="M935" s="44" t="s">
        <v>14876</v>
      </c>
    </row>
    <row r="936" customFormat="false" ht="22.35" hidden="false" customHeight="false" outlineLevel="0" collapsed="false">
      <c r="A936" s="44" t="s">
        <v>16833</v>
      </c>
      <c r="B936" s="44" t="s">
        <v>9337</v>
      </c>
      <c r="C936" s="44" t="s">
        <v>9338</v>
      </c>
      <c r="D936" s="44" t="s">
        <v>16834</v>
      </c>
      <c r="E936" s="44" t="s">
        <v>200</v>
      </c>
      <c r="F936" s="44" t="s">
        <v>201</v>
      </c>
      <c r="G936" s="44" t="s">
        <v>14871</v>
      </c>
      <c r="H936" s="44" t="s">
        <v>14872</v>
      </c>
      <c r="I936" s="44" t="s">
        <v>14886</v>
      </c>
      <c r="J936" s="44" t="s">
        <v>14874</v>
      </c>
      <c r="K936" s="44" t="s">
        <v>14875</v>
      </c>
      <c r="L936" s="44" t="s">
        <v>9341</v>
      </c>
      <c r="M936" s="44" t="s">
        <v>14876</v>
      </c>
    </row>
    <row r="937" customFormat="false" ht="22.35" hidden="false" customHeight="false" outlineLevel="0" collapsed="false">
      <c r="A937" s="44" t="s">
        <v>16835</v>
      </c>
      <c r="B937" s="44" t="s">
        <v>9337</v>
      </c>
      <c r="C937" s="44" t="s">
        <v>9338</v>
      </c>
      <c r="D937" s="44" t="s">
        <v>16836</v>
      </c>
      <c r="E937" s="44" t="s">
        <v>4895</v>
      </c>
      <c r="F937" s="44" t="s">
        <v>4896</v>
      </c>
      <c r="G937" s="44" t="s">
        <v>14871</v>
      </c>
      <c r="H937" s="44" t="s">
        <v>14872</v>
      </c>
      <c r="I937" s="44" t="s">
        <v>14886</v>
      </c>
      <c r="J937" s="44" t="s">
        <v>14874</v>
      </c>
      <c r="K937" s="44" t="s">
        <v>14875</v>
      </c>
      <c r="L937" s="44" t="s">
        <v>9341</v>
      </c>
      <c r="M937" s="44" t="s">
        <v>14876</v>
      </c>
    </row>
    <row r="938" customFormat="false" ht="22.35" hidden="false" customHeight="false" outlineLevel="0" collapsed="false">
      <c r="A938" s="44" t="s">
        <v>16837</v>
      </c>
      <c r="B938" s="44" t="s">
        <v>9342</v>
      </c>
      <c r="C938" s="44" t="s">
        <v>9343</v>
      </c>
      <c r="D938" s="44" t="s">
        <v>16838</v>
      </c>
      <c r="E938" s="44" t="s">
        <v>1233</v>
      </c>
      <c r="F938" s="44" t="s">
        <v>1234</v>
      </c>
      <c r="G938" s="44" t="s">
        <v>14871</v>
      </c>
      <c r="H938" s="44" t="s">
        <v>14872</v>
      </c>
      <c r="I938" s="44" t="s">
        <v>14873</v>
      </c>
      <c r="J938" s="44" t="s">
        <v>14874</v>
      </c>
      <c r="K938" s="44" t="s">
        <v>14875</v>
      </c>
      <c r="L938" s="44" t="s">
        <v>9347</v>
      </c>
      <c r="M938" s="44" t="s">
        <v>14876</v>
      </c>
    </row>
    <row r="939" customFormat="false" ht="22.35" hidden="false" customHeight="false" outlineLevel="0" collapsed="false">
      <c r="A939" s="44" t="s">
        <v>16839</v>
      </c>
      <c r="B939" s="44" t="s">
        <v>9342</v>
      </c>
      <c r="C939" s="44" t="s">
        <v>9343</v>
      </c>
      <c r="D939" s="44" t="s">
        <v>16840</v>
      </c>
      <c r="E939" s="44" t="s">
        <v>2987</v>
      </c>
      <c r="F939" s="44" t="s">
        <v>2988</v>
      </c>
      <c r="G939" s="44" t="s">
        <v>14871</v>
      </c>
      <c r="H939" s="44" t="s">
        <v>14872</v>
      </c>
      <c r="I939" s="44" t="s">
        <v>14873</v>
      </c>
      <c r="J939" s="44" t="s">
        <v>14874</v>
      </c>
      <c r="K939" s="44" t="s">
        <v>14875</v>
      </c>
      <c r="L939" s="44" t="s">
        <v>9347</v>
      </c>
      <c r="M939" s="44" t="s">
        <v>14876</v>
      </c>
    </row>
    <row r="940" customFormat="false" ht="22.35" hidden="false" customHeight="false" outlineLevel="0" collapsed="false">
      <c r="A940" s="44" t="s">
        <v>16841</v>
      </c>
      <c r="B940" s="44" t="s">
        <v>9342</v>
      </c>
      <c r="C940" s="44" t="s">
        <v>9343</v>
      </c>
      <c r="D940" s="44" t="s">
        <v>15734</v>
      </c>
      <c r="E940" s="44" t="s">
        <v>5917</v>
      </c>
      <c r="F940" s="44" t="s">
        <v>5918</v>
      </c>
      <c r="G940" s="44" t="s">
        <v>14871</v>
      </c>
      <c r="H940" s="44" t="s">
        <v>14872</v>
      </c>
      <c r="I940" s="44" t="s">
        <v>14873</v>
      </c>
      <c r="J940" s="44" t="s">
        <v>14874</v>
      </c>
      <c r="K940" s="44" t="s">
        <v>14875</v>
      </c>
      <c r="L940" s="44" t="s">
        <v>9347</v>
      </c>
      <c r="M940" s="44" t="s">
        <v>14876</v>
      </c>
    </row>
    <row r="941" customFormat="false" ht="22.35" hidden="false" customHeight="false" outlineLevel="0" collapsed="false">
      <c r="A941" s="44" t="s">
        <v>16842</v>
      </c>
      <c r="B941" s="44" t="s">
        <v>9342</v>
      </c>
      <c r="C941" s="44" t="s">
        <v>9343</v>
      </c>
      <c r="D941" s="44" t="s">
        <v>16843</v>
      </c>
      <c r="E941" s="44" t="s">
        <v>3583</v>
      </c>
      <c r="F941" s="44" t="s">
        <v>3584</v>
      </c>
      <c r="G941" s="44" t="s">
        <v>14871</v>
      </c>
      <c r="H941" s="44" t="s">
        <v>14872</v>
      </c>
      <c r="I941" s="44" t="s">
        <v>14886</v>
      </c>
      <c r="J941" s="44" t="s">
        <v>14874</v>
      </c>
      <c r="K941" s="44" t="s">
        <v>14875</v>
      </c>
      <c r="L941" s="44" t="s">
        <v>9347</v>
      </c>
      <c r="M941" s="44" t="s">
        <v>14876</v>
      </c>
    </row>
    <row r="942" customFormat="false" ht="32.8" hidden="false" customHeight="false" outlineLevel="0" collapsed="false">
      <c r="A942" s="44" t="s">
        <v>16844</v>
      </c>
      <c r="B942" s="44" t="s">
        <v>9342</v>
      </c>
      <c r="C942" s="44" t="s">
        <v>9343</v>
      </c>
      <c r="D942" s="44" t="s">
        <v>16445</v>
      </c>
      <c r="E942" s="44" t="s">
        <v>16446</v>
      </c>
      <c r="F942" s="44" t="s">
        <v>16447</v>
      </c>
      <c r="G942" s="44" t="s">
        <v>14871</v>
      </c>
      <c r="H942" s="44" t="s">
        <v>14872</v>
      </c>
      <c r="I942" s="44" t="s">
        <v>14886</v>
      </c>
      <c r="J942" s="44" t="s">
        <v>14874</v>
      </c>
      <c r="K942" s="44" t="s">
        <v>14875</v>
      </c>
      <c r="L942" s="44" t="s">
        <v>9347</v>
      </c>
      <c r="M942" s="44" t="s">
        <v>14876</v>
      </c>
    </row>
    <row r="943" customFormat="false" ht="22.35" hidden="false" customHeight="false" outlineLevel="0" collapsed="false">
      <c r="A943" s="44" t="s">
        <v>16845</v>
      </c>
      <c r="B943" s="44" t="s">
        <v>9348</v>
      </c>
      <c r="C943" s="44" t="s">
        <v>1112</v>
      </c>
      <c r="D943" s="44" t="s">
        <v>16487</v>
      </c>
      <c r="E943" s="44" t="s">
        <v>16488</v>
      </c>
      <c r="F943" s="44" t="s">
        <v>16489</v>
      </c>
      <c r="G943" s="44" t="s">
        <v>14871</v>
      </c>
      <c r="H943" s="44" t="s">
        <v>14872</v>
      </c>
      <c r="I943" s="44" t="s">
        <v>14886</v>
      </c>
      <c r="J943" s="44" t="s">
        <v>14874</v>
      </c>
      <c r="K943" s="44" t="s">
        <v>14875</v>
      </c>
      <c r="L943" s="44" t="s">
        <v>9351</v>
      </c>
      <c r="M943" s="44" t="s">
        <v>14876</v>
      </c>
    </row>
    <row r="944" customFormat="false" ht="22.35" hidden="false" customHeight="false" outlineLevel="0" collapsed="false">
      <c r="A944" s="44" t="s">
        <v>16846</v>
      </c>
      <c r="B944" s="44" t="s">
        <v>9348</v>
      </c>
      <c r="C944" s="44" t="s">
        <v>1112</v>
      </c>
      <c r="D944" s="44" t="s">
        <v>16847</v>
      </c>
      <c r="E944" s="44" t="s">
        <v>4895</v>
      </c>
      <c r="F944" s="44" t="s">
        <v>4896</v>
      </c>
      <c r="G944" s="44" t="s">
        <v>14871</v>
      </c>
      <c r="H944" s="44" t="s">
        <v>14872</v>
      </c>
      <c r="I944" s="44" t="s">
        <v>14886</v>
      </c>
      <c r="J944" s="44" t="s">
        <v>14874</v>
      </c>
      <c r="K944" s="44" t="s">
        <v>14875</v>
      </c>
      <c r="L944" s="44" t="s">
        <v>9351</v>
      </c>
      <c r="M944" s="44" t="s">
        <v>14876</v>
      </c>
    </row>
    <row r="945" customFormat="false" ht="22.35" hidden="false" customHeight="false" outlineLevel="0" collapsed="false">
      <c r="A945" s="44" t="s">
        <v>16848</v>
      </c>
      <c r="B945" s="44" t="s">
        <v>9348</v>
      </c>
      <c r="C945" s="44" t="s">
        <v>1112</v>
      </c>
      <c r="D945" s="44" t="s">
        <v>16145</v>
      </c>
      <c r="E945" s="44" t="s">
        <v>180</v>
      </c>
      <c r="F945" s="44" t="s">
        <v>47</v>
      </c>
      <c r="G945" s="44" t="s">
        <v>14871</v>
      </c>
      <c r="H945" s="44" t="s">
        <v>14872</v>
      </c>
      <c r="I945" s="44" t="s">
        <v>14886</v>
      </c>
      <c r="J945" s="44" t="s">
        <v>14874</v>
      </c>
      <c r="K945" s="44" t="s">
        <v>14875</v>
      </c>
      <c r="L945" s="44" t="s">
        <v>9351</v>
      </c>
      <c r="M945" s="44" t="s">
        <v>14876</v>
      </c>
    </row>
    <row r="946" customFormat="false" ht="22.35" hidden="false" customHeight="false" outlineLevel="0" collapsed="false">
      <c r="A946" s="44" t="s">
        <v>16849</v>
      </c>
      <c r="B946" s="44" t="s">
        <v>9348</v>
      </c>
      <c r="C946" s="44" t="s">
        <v>1112</v>
      </c>
      <c r="D946" s="44" t="s">
        <v>16850</v>
      </c>
      <c r="E946" s="44"/>
      <c r="F946" s="44"/>
      <c r="G946" s="44" t="s">
        <v>14882</v>
      </c>
      <c r="H946" s="44" t="s">
        <v>14872</v>
      </c>
      <c r="I946" s="44" t="s">
        <v>14883</v>
      </c>
      <c r="J946" s="44" t="s">
        <v>14874</v>
      </c>
      <c r="K946" s="44" t="s">
        <v>14875</v>
      </c>
      <c r="L946" s="44" t="s">
        <v>9351</v>
      </c>
      <c r="M946" s="44" t="s">
        <v>14876</v>
      </c>
    </row>
    <row r="947" customFormat="false" ht="22.35" hidden="false" customHeight="false" outlineLevel="0" collapsed="false">
      <c r="A947" s="44" t="s">
        <v>16851</v>
      </c>
      <c r="B947" s="44" t="s">
        <v>9348</v>
      </c>
      <c r="C947" s="44" t="s">
        <v>1112</v>
      </c>
      <c r="D947" s="44" t="s">
        <v>16852</v>
      </c>
      <c r="E947" s="44" t="s">
        <v>3246</v>
      </c>
      <c r="F947" s="44" t="s">
        <v>3247</v>
      </c>
      <c r="G947" s="44" t="s">
        <v>14871</v>
      </c>
      <c r="H947" s="44" t="s">
        <v>14872</v>
      </c>
      <c r="I947" s="44" t="s">
        <v>14873</v>
      </c>
      <c r="J947" s="44" t="s">
        <v>14874</v>
      </c>
      <c r="K947" s="44" t="s">
        <v>14875</v>
      </c>
      <c r="L947" s="44" t="s">
        <v>9351</v>
      </c>
      <c r="M947" s="44" t="s">
        <v>14876</v>
      </c>
    </row>
    <row r="948" customFormat="false" ht="22.35" hidden="false" customHeight="false" outlineLevel="0" collapsed="false">
      <c r="A948" s="44" t="s">
        <v>16853</v>
      </c>
      <c r="B948" s="44" t="s">
        <v>9352</v>
      </c>
      <c r="C948" s="44" t="s">
        <v>9353</v>
      </c>
      <c r="D948" s="44" t="s">
        <v>16854</v>
      </c>
      <c r="E948" s="44"/>
      <c r="F948" s="44"/>
      <c r="G948" s="44" t="s">
        <v>14882</v>
      </c>
      <c r="H948" s="44" t="s">
        <v>14872</v>
      </c>
      <c r="I948" s="44" t="s">
        <v>14883</v>
      </c>
      <c r="J948" s="44" t="s">
        <v>14874</v>
      </c>
      <c r="K948" s="44" t="s">
        <v>14875</v>
      </c>
      <c r="L948" s="44" t="s">
        <v>9358</v>
      </c>
      <c r="M948" s="44" t="s">
        <v>14876</v>
      </c>
    </row>
    <row r="949" customFormat="false" ht="22.35" hidden="false" customHeight="false" outlineLevel="0" collapsed="false">
      <c r="A949" s="44" t="s">
        <v>16855</v>
      </c>
      <c r="B949" s="44" t="s">
        <v>9352</v>
      </c>
      <c r="C949" s="44" t="s">
        <v>9353</v>
      </c>
      <c r="D949" s="44" t="s">
        <v>16856</v>
      </c>
      <c r="E949" s="44"/>
      <c r="F949" s="44"/>
      <c r="G949" s="44" t="s">
        <v>14882</v>
      </c>
      <c r="H949" s="44" t="s">
        <v>14872</v>
      </c>
      <c r="I949" s="44" t="s">
        <v>14883</v>
      </c>
      <c r="J949" s="44" t="s">
        <v>14874</v>
      </c>
      <c r="K949" s="44" t="s">
        <v>14875</v>
      </c>
      <c r="L949" s="44" t="s">
        <v>9358</v>
      </c>
      <c r="M949" s="44" t="s">
        <v>14876</v>
      </c>
    </row>
    <row r="950" customFormat="false" ht="22.35" hidden="false" customHeight="false" outlineLevel="0" collapsed="false">
      <c r="A950" s="44" t="s">
        <v>16857</v>
      </c>
      <c r="B950" s="44" t="s">
        <v>9352</v>
      </c>
      <c r="C950" s="44" t="s">
        <v>9353</v>
      </c>
      <c r="D950" s="44" t="s">
        <v>16858</v>
      </c>
      <c r="E950" s="44" t="s">
        <v>2761</v>
      </c>
      <c r="F950" s="44" t="s">
        <v>2762</v>
      </c>
      <c r="G950" s="44" t="s">
        <v>14871</v>
      </c>
      <c r="H950" s="44" t="s">
        <v>14872</v>
      </c>
      <c r="I950" s="44" t="s">
        <v>14886</v>
      </c>
      <c r="J950" s="44" t="s">
        <v>14874</v>
      </c>
      <c r="K950" s="44" t="s">
        <v>14875</v>
      </c>
      <c r="L950" s="44" t="s">
        <v>9358</v>
      </c>
      <c r="M950" s="44" t="s">
        <v>14876</v>
      </c>
    </row>
    <row r="951" customFormat="false" ht="22.35" hidden="false" customHeight="false" outlineLevel="0" collapsed="false">
      <c r="A951" s="44" t="s">
        <v>16859</v>
      </c>
      <c r="B951" s="44" t="s">
        <v>9352</v>
      </c>
      <c r="C951" s="44" t="s">
        <v>9353</v>
      </c>
      <c r="D951" s="44" t="s">
        <v>16860</v>
      </c>
      <c r="E951" s="44"/>
      <c r="F951" s="44"/>
      <c r="G951" s="44" t="s">
        <v>14882</v>
      </c>
      <c r="H951" s="44" t="s">
        <v>14872</v>
      </c>
      <c r="I951" s="44" t="s">
        <v>14883</v>
      </c>
      <c r="J951" s="44" t="s">
        <v>14874</v>
      </c>
      <c r="K951" s="44" t="s">
        <v>14875</v>
      </c>
      <c r="L951" s="44" t="s">
        <v>9358</v>
      </c>
      <c r="M951" s="44" t="s">
        <v>14876</v>
      </c>
    </row>
    <row r="952" customFormat="false" ht="22.35" hidden="false" customHeight="false" outlineLevel="0" collapsed="false">
      <c r="A952" s="44" t="s">
        <v>16861</v>
      </c>
      <c r="B952" s="44" t="s">
        <v>9352</v>
      </c>
      <c r="C952" s="44" t="s">
        <v>9353</v>
      </c>
      <c r="D952" s="44" t="s">
        <v>16862</v>
      </c>
      <c r="E952" s="44"/>
      <c r="F952" s="44"/>
      <c r="G952" s="44" t="s">
        <v>14882</v>
      </c>
      <c r="H952" s="44" t="s">
        <v>14872</v>
      </c>
      <c r="I952" s="44" t="s">
        <v>14883</v>
      </c>
      <c r="J952" s="44" t="s">
        <v>14874</v>
      </c>
      <c r="K952" s="44" t="s">
        <v>14875</v>
      </c>
      <c r="L952" s="44" t="s">
        <v>9358</v>
      </c>
      <c r="M952" s="44" t="s">
        <v>14876</v>
      </c>
    </row>
    <row r="953" customFormat="false" ht="22.35" hidden="false" customHeight="false" outlineLevel="0" collapsed="false">
      <c r="A953" s="44" t="s">
        <v>16863</v>
      </c>
      <c r="B953" s="44" t="s">
        <v>9359</v>
      </c>
      <c r="C953" s="44" t="s">
        <v>9360</v>
      </c>
      <c r="D953" s="44" t="s">
        <v>16864</v>
      </c>
      <c r="E953" s="44" t="s">
        <v>16865</v>
      </c>
      <c r="F953" s="44" t="s">
        <v>16866</v>
      </c>
      <c r="G953" s="44" t="s">
        <v>14871</v>
      </c>
      <c r="H953" s="44" t="s">
        <v>14872</v>
      </c>
      <c r="I953" s="44" t="s">
        <v>14886</v>
      </c>
      <c r="J953" s="44" t="s">
        <v>14874</v>
      </c>
      <c r="K953" s="44" t="s">
        <v>14875</v>
      </c>
      <c r="L953" s="44" t="s">
        <v>9363</v>
      </c>
      <c r="M953" s="44" t="s">
        <v>14876</v>
      </c>
    </row>
    <row r="954" customFormat="false" ht="22.35" hidden="false" customHeight="false" outlineLevel="0" collapsed="false">
      <c r="A954" s="44" t="s">
        <v>16867</v>
      </c>
      <c r="B954" s="44" t="s">
        <v>9359</v>
      </c>
      <c r="C954" s="44" t="s">
        <v>9360</v>
      </c>
      <c r="D954" s="44" t="s">
        <v>16868</v>
      </c>
      <c r="E954" s="44" t="s">
        <v>196</v>
      </c>
      <c r="F954" s="44" t="s">
        <v>59</v>
      </c>
      <c r="G954" s="44" t="s">
        <v>14871</v>
      </c>
      <c r="H954" s="44" t="s">
        <v>14872</v>
      </c>
      <c r="I954" s="44" t="s">
        <v>14886</v>
      </c>
      <c r="J954" s="44" t="s">
        <v>14874</v>
      </c>
      <c r="K954" s="44" t="s">
        <v>14875</v>
      </c>
      <c r="L954" s="44" t="s">
        <v>9363</v>
      </c>
      <c r="M954" s="44" t="s">
        <v>14876</v>
      </c>
    </row>
    <row r="955" customFormat="false" ht="22.35" hidden="false" customHeight="false" outlineLevel="0" collapsed="false">
      <c r="A955" s="44" t="s">
        <v>16869</v>
      </c>
      <c r="B955" s="44" t="s">
        <v>9359</v>
      </c>
      <c r="C955" s="44" t="s">
        <v>9360</v>
      </c>
      <c r="D955" s="44" t="s">
        <v>16870</v>
      </c>
      <c r="E955" s="44"/>
      <c r="F955" s="44"/>
      <c r="G955" s="44" t="s">
        <v>14882</v>
      </c>
      <c r="H955" s="44" t="s">
        <v>14872</v>
      </c>
      <c r="I955" s="44" t="s">
        <v>14883</v>
      </c>
      <c r="J955" s="44" t="s">
        <v>14874</v>
      </c>
      <c r="K955" s="44" t="s">
        <v>14875</v>
      </c>
      <c r="L955" s="44" t="s">
        <v>9363</v>
      </c>
      <c r="M955" s="44" t="s">
        <v>14876</v>
      </c>
    </row>
    <row r="956" customFormat="false" ht="22.35" hidden="false" customHeight="false" outlineLevel="0" collapsed="false">
      <c r="A956" s="44" t="s">
        <v>16871</v>
      </c>
      <c r="B956" s="44" t="s">
        <v>9359</v>
      </c>
      <c r="C956" s="44" t="s">
        <v>9360</v>
      </c>
      <c r="D956" s="44" t="s">
        <v>16872</v>
      </c>
      <c r="E956" s="44"/>
      <c r="F956" s="44"/>
      <c r="G956" s="44" t="s">
        <v>14882</v>
      </c>
      <c r="H956" s="44" t="s">
        <v>14872</v>
      </c>
      <c r="I956" s="44" t="s">
        <v>14883</v>
      </c>
      <c r="J956" s="44" t="s">
        <v>14874</v>
      </c>
      <c r="K956" s="44" t="s">
        <v>14875</v>
      </c>
      <c r="L956" s="44" t="s">
        <v>9363</v>
      </c>
      <c r="M956" s="44" t="s">
        <v>14876</v>
      </c>
    </row>
    <row r="957" customFormat="false" ht="22.35" hidden="false" customHeight="false" outlineLevel="0" collapsed="false">
      <c r="A957" s="44" t="s">
        <v>16873</v>
      </c>
      <c r="B957" s="44" t="s">
        <v>9359</v>
      </c>
      <c r="C957" s="44" t="s">
        <v>9360</v>
      </c>
      <c r="D957" s="44" t="s">
        <v>16767</v>
      </c>
      <c r="E957" s="44" t="s">
        <v>4122</v>
      </c>
      <c r="F957" s="44" t="s">
        <v>4123</v>
      </c>
      <c r="G957" s="44" t="s">
        <v>14871</v>
      </c>
      <c r="H957" s="44" t="s">
        <v>14872</v>
      </c>
      <c r="I957" s="44" t="s">
        <v>14873</v>
      </c>
      <c r="J957" s="44" t="s">
        <v>14874</v>
      </c>
      <c r="K957" s="44" t="s">
        <v>14875</v>
      </c>
      <c r="L957" s="44" t="s">
        <v>9363</v>
      </c>
      <c r="M957" s="44" t="s">
        <v>14876</v>
      </c>
    </row>
    <row r="958" customFormat="false" ht="22.35" hidden="false" customHeight="false" outlineLevel="0" collapsed="false">
      <c r="A958" s="44" t="s">
        <v>16874</v>
      </c>
      <c r="B958" s="44" t="s">
        <v>9364</v>
      </c>
      <c r="C958" s="44" t="s">
        <v>146</v>
      </c>
      <c r="D958" s="44" t="s">
        <v>16875</v>
      </c>
      <c r="E958" s="44" t="s">
        <v>4859</v>
      </c>
      <c r="F958" s="44" t="s">
        <v>4860</v>
      </c>
      <c r="G958" s="44" t="s">
        <v>14871</v>
      </c>
      <c r="H958" s="44" t="s">
        <v>14872</v>
      </c>
      <c r="I958" s="44" t="s">
        <v>14873</v>
      </c>
      <c r="J958" s="44" t="s">
        <v>14874</v>
      </c>
      <c r="K958" s="44" t="s">
        <v>14875</v>
      </c>
      <c r="L958" s="44" t="s">
        <v>9371</v>
      </c>
      <c r="M958" s="44" t="s">
        <v>14876</v>
      </c>
    </row>
    <row r="959" customFormat="false" ht="22.35" hidden="false" customHeight="false" outlineLevel="0" collapsed="false">
      <c r="A959" s="44" t="s">
        <v>16876</v>
      </c>
      <c r="B959" s="44" t="s">
        <v>9364</v>
      </c>
      <c r="C959" s="44" t="s">
        <v>146</v>
      </c>
      <c r="D959" s="44" t="s">
        <v>16877</v>
      </c>
      <c r="E959" s="44" t="s">
        <v>4859</v>
      </c>
      <c r="F959" s="44" t="s">
        <v>4860</v>
      </c>
      <c r="G959" s="44" t="s">
        <v>14871</v>
      </c>
      <c r="H959" s="44" t="s">
        <v>14872</v>
      </c>
      <c r="I959" s="44" t="s">
        <v>14873</v>
      </c>
      <c r="J959" s="44" t="s">
        <v>14874</v>
      </c>
      <c r="K959" s="44" t="s">
        <v>14875</v>
      </c>
      <c r="L959" s="44" t="s">
        <v>9371</v>
      </c>
      <c r="M959" s="44" t="s">
        <v>14876</v>
      </c>
    </row>
    <row r="960" customFormat="false" ht="22.35" hidden="false" customHeight="false" outlineLevel="0" collapsed="false">
      <c r="A960" s="44" t="s">
        <v>16878</v>
      </c>
      <c r="B960" s="44" t="s">
        <v>9364</v>
      </c>
      <c r="C960" s="44" t="s">
        <v>146</v>
      </c>
      <c r="D960" s="44" t="s">
        <v>16879</v>
      </c>
      <c r="E960" s="44"/>
      <c r="F960" s="44"/>
      <c r="G960" s="44" t="s">
        <v>14882</v>
      </c>
      <c r="H960" s="44" t="s">
        <v>14872</v>
      </c>
      <c r="I960" s="44" t="s">
        <v>14883</v>
      </c>
      <c r="J960" s="44" t="s">
        <v>14874</v>
      </c>
      <c r="K960" s="44" t="s">
        <v>14875</v>
      </c>
      <c r="L960" s="44" t="s">
        <v>9371</v>
      </c>
      <c r="M960" s="44" t="s">
        <v>14876</v>
      </c>
    </row>
    <row r="961" customFormat="false" ht="22.35" hidden="false" customHeight="false" outlineLevel="0" collapsed="false">
      <c r="A961" s="44" t="s">
        <v>16880</v>
      </c>
      <c r="B961" s="44" t="s">
        <v>9364</v>
      </c>
      <c r="C961" s="44" t="s">
        <v>146</v>
      </c>
      <c r="D961" s="44" t="s">
        <v>16881</v>
      </c>
      <c r="E961" s="44"/>
      <c r="F961" s="44"/>
      <c r="G961" s="44" t="s">
        <v>14882</v>
      </c>
      <c r="H961" s="44" t="s">
        <v>14872</v>
      </c>
      <c r="I961" s="44" t="s">
        <v>14883</v>
      </c>
      <c r="J961" s="44" t="s">
        <v>14874</v>
      </c>
      <c r="K961" s="44" t="s">
        <v>14875</v>
      </c>
      <c r="L961" s="44" t="s">
        <v>9371</v>
      </c>
      <c r="M961" s="44" t="s">
        <v>14876</v>
      </c>
    </row>
    <row r="962" customFormat="false" ht="22.35" hidden="false" customHeight="false" outlineLevel="0" collapsed="false">
      <c r="A962" s="44" t="s">
        <v>16882</v>
      </c>
      <c r="B962" s="44" t="s">
        <v>9364</v>
      </c>
      <c r="C962" s="44" t="s">
        <v>146</v>
      </c>
      <c r="D962" s="44" t="s">
        <v>16883</v>
      </c>
      <c r="E962" s="44"/>
      <c r="F962" s="44"/>
      <c r="G962" s="44" t="s">
        <v>14882</v>
      </c>
      <c r="H962" s="44" t="s">
        <v>14872</v>
      </c>
      <c r="I962" s="44" t="s">
        <v>14883</v>
      </c>
      <c r="J962" s="44" t="s">
        <v>14874</v>
      </c>
      <c r="K962" s="44" t="s">
        <v>14875</v>
      </c>
      <c r="L962" s="44" t="s">
        <v>9371</v>
      </c>
      <c r="M962" s="44" t="s">
        <v>14876</v>
      </c>
    </row>
    <row r="963" customFormat="false" ht="22.35" hidden="false" customHeight="false" outlineLevel="0" collapsed="false">
      <c r="A963" s="44" t="s">
        <v>16884</v>
      </c>
      <c r="B963" s="44" t="s">
        <v>9364</v>
      </c>
      <c r="C963" s="44" t="s">
        <v>146</v>
      </c>
      <c r="D963" s="44" t="s">
        <v>16885</v>
      </c>
      <c r="E963" s="44"/>
      <c r="F963" s="44"/>
      <c r="G963" s="44" t="s">
        <v>14882</v>
      </c>
      <c r="H963" s="44" t="s">
        <v>14872</v>
      </c>
      <c r="I963" s="44" t="s">
        <v>14883</v>
      </c>
      <c r="J963" s="44" t="s">
        <v>14874</v>
      </c>
      <c r="K963" s="44" t="s">
        <v>14875</v>
      </c>
      <c r="L963" s="44" t="s">
        <v>9371</v>
      </c>
      <c r="M963" s="44" t="s">
        <v>14876</v>
      </c>
    </row>
    <row r="964" customFormat="false" ht="22.35" hidden="false" customHeight="false" outlineLevel="0" collapsed="false">
      <c r="A964" s="44" t="s">
        <v>16886</v>
      </c>
      <c r="B964" s="44" t="s">
        <v>9364</v>
      </c>
      <c r="C964" s="44" t="s">
        <v>146</v>
      </c>
      <c r="D964" s="44" t="s">
        <v>16887</v>
      </c>
      <c r="E964" s="44"/>
      <c r="F964" s="44"/>
      <c r="G964" s="44" t="s">
        <v>14882</v>
      </c>
      <c r="H964" s="44" t="s">
        <v>14872</v>
      </c>
      <c r="I964" s="44" t="s">
        <v>14883</v>
      </c>
      <c r="J964" s="44" t="s">
        <v>14874</v>
      </c>
      <c r="K964" s="44" t="s">
        <v>14875</v>
      </c>
      <c r="L964" s="44" t="s">
        <v>9371</v>
      </c>
      <c r="M964" s="44" t="s">
        <v>14876</v>
      </c>
    </row>
    <row r="965" customFormat="false" ht="22.35" hidden="false" customHeight="false" outlineLevel="0" collapsed="false">
      <c r="A965" s="44" t="s">
        <v>16888</v>
      </c>
      <c r="B965" s="44" t="s">
        <v>9364</v>
      </c>
      <c r="C965" s="44" t="s">
        <v>146</v>
      </c>
      <c r="D965" s="44" t="s">
        <v>16889</v>
      </c>
      <c r="E965" s="44"/>
      <c r="F965" s="44"/>
      <c r="G965" s="44" t="s">
        <v>14882</v>
      </c>
      <c r="H965" s="44" t="s">
        <v>14872</v>
      </c>
      <c r="I965" s="44" t="s">
        <v>14883</v>
      </c>
      <c r="J965" s="44" t="s">
        <v>14874</v>
      </c>
      <c r="K965" s="44" t="s">
        <v>14875</v>
      </c>
      <c r="L965" s="44" t="s">
        <v>9371</v>
      </c>
      <c r="M965" s="44" t="s">
        <v>14876</v>
      </c>
    </row>
    <row r="966" customFormat="false" ht="22.35" hidden="false" customHeight="false" outlineLevel="0" collapsed="false">
      <c r="A966" s="44" t="s">
        <v>16890</v>
      </c>
      <c r="B966" s="44" t="s">
        <v>9364</v>
      </c>
      <c r="C966" s="44" t="s">
        <v>146</v>
      </c>
      <c r="D966" s="44" t="s">
        <v>16317</v>
      </c>
      <c r="E966" s="44" t="s">
        <v>4807</v>
      </c>
      <c r="F966" s="44" t="s">
        <v>4808</v>
      </c>
      <c r="G966" s="44" t="s">
        <v>14871</v>
      </c>
      <c r="H966" s="44" t="s">
        <v>14872</v>
      </c>
      <c r="I966" s="44" t="s">
        <v>14879</v>
      </c>
      <c r="J966" s="44" t="s">
        <v>14874</v>
      </c>
      <c r="K966" s="44" t="s">
        <v>14875</v>
      </c>
      <c r="L966" s="44" t="s">
        <v>9371</v>
      </c>
      <c r="M966" s="44" t="s">
        <v>14876</v>
      </c>
    </row>
    <row r="967" customFormat="false" ht="22.35" hidden="false" customHeight="false" outlineLevel="0" collapsed="false">
      <c r="A967" s="44" t="s">
        <v>16891</v>
      </c>
      <c r="B967" s="44" t="s">
        <v>9364</v>
      </c>
      <c r="C967" s="44" t="s">
        <v>146</v>
      </c>
      <c r="D967" s="44" t="s">
        <v>16892</v>
      </c>
      <c r="E967" s="44"/>
      <c r="F967" s="44"/>
      <c r="G967" s="44" t="s">
        <v>14882</v>
      </c>
      <c r="H967" s="44" t="s">
        <v>14872</v>
      </c>
      <c r="I967" s="44" t="s">
        <v>14883</v>
      </c>
      <c r="J967" s="44" t="s">
        <v>14874</v>
      </c>
      <c r="K967" s="44" t="s">
        <v>14875</v>
      </c>
      <c r="L967" s="44" t="s">
        <v>9371</v>
      </c>
      <c r="M967" s="44" t="s">
        <v>14876</v>
      </c>
    </row>
    <row r="968" customFormat="false" ht="22.35" hidden="false" customHeight="false" outlineLevel="0" collapsed="false">
      <c r="A968" s="44" t="s">
        <v>16893</v>
      </c>
      <c r="B968" s="44" t="s">
        <v>9372</v>
      </c>
      <c r="C968" s="44" t="s">
        <v>9373</v>
      </c>
      <c r="D968" s="44" t="s">
        <v>16894</v>
      </c>
      <c r="E968" s="44" t="s">
        <v>1083</v>
      </c>
      <c r="F968" s="44" t="s">
        <v>1084</v>
      </c>
      <c r="G968" s="44" t="s">
        <v>14871</v>
      </c>
      <c r="H968" s="44" t="s">
        <v>14872</v>
      </c>
      <c r="I968" s="44" t="s">
        <v>14879</v>
      </c>
      <c r="J968" s="44" t="s">
        <v>14874</v>
      </c>
      <c r="K968" s="44" t="s">
        <v>14875</v>
      </c>
      <c r="L968" s="44" t="s">
        <v>9377</v>
      </c>
      <c r="M968" s="44" t="s">
        <v>14876</v>
      </c>
    </row>
    <row r="969" customFormat="false" ht="22.35" hidden="false" customHeight="false" outlineLevel="0" collapsed="false">
      <c r="A969" s="44" t="s">
        <v>16895</v>
      </c>
      <c r="B969" s="44" t="s">
        <v>9372</v>
      </c>
      <c r="C969" s="44" t="s">
        <v>9373</v>
      </c>
      <c r="D969" s="44" t="s">
        <v>16896</v>
      </c>
      <c r="E969" s="44"/>
      <c r="F969" s="44"/>
      <c r="G969" s="44" t="s">
        <v>14882</v>
      </c>
      <c r="H969" s="44" t="s">
        <v>14872</v>
      </c>
      <c r="I969" s="44" t="s">
        <v>14883</v>
      </c>
      <c r="J969" s="44" t="s">
        <v>14874</v>
      </c>
      <c r="K969" s="44" t="s">
        <v>14875</v>
      </c>
      <c r="L969" s="44" t="s">
        <v>9377</v>
      </c>
      <c r="M969" s="44" t="s">
        <v>14876</v>
      </c>
    </row>
    <row r="970" customFormat="false" ht="22.35" hidden="false" customHeight="false" outlineLevel="0" collapsed="false">
      <c r="A970" s="44" t="s">
        <v>16897</v>
      </c>
      <c r="B970" s="44" t="s">
        <v>9372</v>
      </c>
      <c r="C970" s="44" t="s">
        <v>9373</v>
      </c>
      <c r="D970" s="44" t="s">
        <v>16898</v>
      </c>
      <c r="E970" s="44"/>
      <c r="F970" s="44"/>
      <c r="G970" s="44" t="s">
        <v>14882</v>
      </c>
      <c r="H970" s="44" t="s">
        <v>14872</v>
      </c>
      <c r="I970" s="44" t="s">
        <v>14883</v>
      </c>
      <c r="J970" s="44" t="s">
        <v>14874</v>
      </c>
      <c r="K970" s="44" t="s">
        <v>14875</v>
      </c>
      <c r="L970" s="44" t="s">
        <v>9377</v>
      </c>
      <c r="M970" s="44" t="s">
        <v>14876</v>
      </c>
    </row>
    <row r="971" customFormat="false" ht="22.35" hidden="false" customHeight="false" outlineLevel="0" collapsed="false">
      <c r="A971" s="44" t="s">
        <v>16899</v>
      </c>
      <c r="B971" s="44" t="s">
        <v>9372</v>
      </c>
      <c r="C971" s="44" t="s">
        <v>9373</v>
      </c>
      <c r="D971" s="44" t="s">
        <v>16900</v>
      </c>
      <c r="E971" s="44" t="s">
        <v>16901</v>
      </c>
      <c r="F971" s="44" t="s">
        <v>16902</v>
      </c>
      <c r="G971" s="44" t="s">
        <v>14871</v>
      </c>
      <c r="H971" s="44" t="s">
        <v>14872</v>
      </c>
      <c r="I971" s="44" t="s">
        <v>14886</v>
      </c>
      <c r="J971" s="44" t="s">
        <v>14874</v>
      </c>
      <c r="K971" s="44" t="s">
        <v>14875</v>
      </c>
      <c r="L971" s="44" t="s">
        <v>9377</v>
      </c>
      <c r="M971" s="44" t="s">
        <v>14876</v>
      </c>
    </row>
    <row r="972" customFormat="false" ht="22.35" hidden="false" customHeight="false" outlineLevel="0" collapsed="false">
      <c r="A972" s="44" t="s">
        <v>16903</v>
      </c>
      <c r="B972" s="44" t="s">
        <v>9372</v>
      </c>
      <c r="C972" s="44" t="s">
        <v>9373</v>
      </c>
      <c r="D972" s="44" t="s">
        <v>16904</v>
      </c>
      <c r="E972" s="44"/>
      <c r="F972" s="44"/>
      <c r="G972" s="44" t="s">
        <v>14882</v>
      </c>
      <c r="H972" s="44" t="s">
        <v>14872</v>
      </c>
      <c r="I972" s="44" t="s">
        <v>14883</v>
      </c>
      <c r="J972" s="44" t="s">
        <v>14874</v>
      </c>
      <c r="K972" s="44" t="s">
        <v>14875</v>
      </c>
      <c r="L972" s="44" t="s">
        <v>9377</v>
      </c>
      <c r="M972" s="44" t="s">
        <v>14876</v>
      </c>
    </row>
    <row r="973" customFormat="false" ht="22.35" hidden="false" customHeight="false" outlineLevel="0" collapsed="false">
      <c r="A973" s="44" t="s">
        <v>16905</v>
      </c>
      <c r="B973" s="44" t="s">
        <v>9378</v>
      </c>
      <c r="C973" s="44" t="s">
        <v>9379</v>
      </c>
      <c r="D973" s="44" t="s">
        <v>16906</v>
      </c>
      <c r="E973" s="44" t="s">
        <v>4476</v>
      </c>
      <c r="F973" s="44" t="s">
        <v>4477</v>
      </c>
      <c r="G973" s="44" t="s">
        <v>14871</v>
      </c>
      <c r="H973" s="44" t="s">
        <v>14872</v>
      </c>
      <c r="I973" s="44" t="s">
        <v>14873</v>
      </c>
      <c r="J973" s="44" t="s">
        <v>14874</v>
      </c>
      <c r="K973" s="44" t="s">
        <v>14875</v>
      </c>
      <c r="L973" s="44" t="s">
        <v>9383</v>
      </c>
      <c r="M973" s="44" t="s">
        <v>14876</v>
      </c>
    </row>
    <row r="974" customFormat="false" ht="22.35" hidden="false" customHeight="false" outlineLevel="0" collapsed="false">
      <c r="A974" s="44" t="s">
        <v>16907</v>
      </c>
      <c r="B974" s="44" t="s">
        <v>9378</v>
      </c>
      <c r="C974" s="44" t="s">
        <v>9379</v>
      </c>
      <c r="D974" s="44" t="s">
        <v>16908</v>
      </c>
      <c r="E974" s="44" t="s">
        <v>15278</v>
      </c>
      <c r="F974" s="44" t="s">
        <v>15279</v>
      </c>
      <c r="G974" s="44" t="s">
        <v>14871</v>
      </c>
      <c r="H974" s="44" t="s">
        <v>14872</v>
      </c>
      <c r="I974" s="44" t="s">
        <v>14886</v>
      </c>
      <c r="J974" s="44" t="s">
        <v>14874</v>
      </c>
      <c r="K974" s="44" t="s">
        <v>14875</v>
      </c>
      <c r="L974" s="44" t="s">
        <v>9383</v>
      </c>
      <c r="M974" s="44" t="s">
        <v>14876</v>
      </c>
    </row>
    <row r="975" customFormat="false" ht="22.35" hidden="false" customHeight="false" outlineLevel="0" collapsed="false">
      <c r="A975" s="44" t="s">
        <v>16909</v>
      </c>
      <c r="B975" s="44" t="s">
        <v>9378</v>
      </c>
      <c r="C975" s="44" t="s">
        <v>9379</v>
      </c>
      <c r="D975" s="44" t="s">
        <v>16910</v>
      </c>
      <c r="E975" s="44" t="s">
        <v>4633</v>
      </c>
      <c r="F975" s="44" t="s">
        <v>4634</v>
      </c>
      <c r="G975" s="44" t="s">
        <v>14871</v>
      </c>
      <c r="H975" s="44" t="s">
        <v>14872</v>
      </c>
      <c r="I975" s="44" t="s">
        <v>14886</v>
      </c>
      <c r="J975" s="44" t="s">
        <v>14874</v>
      </c>
      <c r="K975" s="44" t="s">
        <v>14875</v>
      </c>
      <c r="L975" s="44" t="s">
        <v>9383</v>
      </c>
      <c r="M975" s="44" t="s">
        <v>14876</v>
      </c>
    </row>
    <row r="976" customFormat="false" ht="22.35" hidden="false" customHeight="false" outlineLevel="0" collapsed="false">
      <c r="A976" s="44" t="s">
        <v>16911</v>
      </c>
      <c r="B976" s="44" t="s">
        <v>9378</v>
      </c>
      <c r="C976" s="44" t="s">
        <v>9379</v>
      </c>
      <c r="D976" s="44" t="s">
        <v>16912</v>
      </c>
      <c r="E976" s="44"/>
      <c r="F976" s="44"/>
      <c r="G976" s="44" t="s">
        <v>14882</v>
      </c>
      <c r="H976" s="44" t="s">
        <v>14872</v>
      </c>
      <c r="I976" s="44" t="s">
        <v>14883</v>
      </c>
      <c r="J976" s="44" t="s">
        <v>14874</v>
      </c>
      <c r="K976" s="44" t="s">
        <v>14875</v>
      </c>
      <c r="L976" s="44" t="s">
        <v>9383</v>
      </c>
      <c r="M976" s="44" t="s">
        <v>14876</v>
      </c>
    </row>
    <row r="977" customFormat="false" ht="22.35" hidden="false" customHeight="false" outlineLevel="0" collapsed="false">
      <c r="A977" s="44" t="s">
        <v>16913</v>
      </c>
      <c r="B977" s="44" t="s">
        <v>9384</v>
      </c>
      <c r="C977" s="44" t="s">
        <v>9385</v>
      </c>
      <c r="D977" s="44" t="s">
        <v>16914</v>
      </c>
      <c r="E977" s="44" t="s">
        <v>200</v>
      </c>
      <c r="F977" s="44" t="s">
        <v>201</v>
      </c>
      <c r="G977" s="44" t="s">
        <v>14871</v>
      </c>
      <c r="H977" s="44" t="s">
        <v>14872</v>
      </c>
      <c r="I977" s="44" t="s">
        <v>14886</v>
      </c>
      <c r="J977" s="44" t="s">
        <v>14874</v>
      </c>
      <c r="K977" s="44" t="s">
        <v>14875</v>
      </c>
      <c r="L977" s="44" t="s">
        <v>9390</v>
      </c>
      <c r="M977" s="44" t="s">
        <v>14876</v>
      </c>
    </row>
    <row r="978" customFormat="false" ht="22.35" hidden="false" customHeight="false" outlineLevel="0" collapsed="false">
      <c r="A978" s="44" t="s">
        <v>16915</v>
      </c>
      <c r="B978" s="44" t="s">
        <v>9384</v>
      </c>
      <c r="C978" s="44" t="s">
        <v>9385</v>
      </c>
      <c r="D978" s="44" t="s">
        <v>15156</v>
      </c>
      <c r="E978" s="44" t="s">
        <v>1561</v>
      </c>
      <c r="F978" s="44" t="s">
        <v>1562</v>
      </c>
      <c r="G978" s="44" t="s">
        <v>14871</v>
      </c>
      <c r="H978" s="44" t="s">
        <v>14872</v>
      </c>
      <c r="I978" s="44" t="s">
        <v>14879</v>
      </c>
      <c r="J978" s="44" t="s">
        <v>14874</v>
      </c>
      <c r="K978" s="44" t="s">
        <v>14875</v>
      </c>
      <c r="L978" s="44" t="s">
        <v>9390</v>
      </c>
      <c r="M978" s="44" t="s">
        <v>14876</v>
      </c>
    </row>
    <row r="979" customFormat="false" ht="22.35" hidden="false" customHeight="false" outlineLevel="0" collapsed="false">
      <c r="A979" s="44" t="s">
        <v>16916</v>
      </c>
      <c r="B979" s="44" t="s">
        <v>9384</v>
      </c>
      <c r="C979" s="44" t="s">
        <v>9385</v>
      </c>
      <c r="D979" s="44" t="s">
        <v>16917</v>
      </c>
      <c r="E979" s="44"/>
      <c r="F979" s="44"/>
      <c r="G979" s="44" t="s">
        <v>14882</v>
      </c>
      <c r="H979" s="44" t="s">
        <v>14872</v>
      </c>
      <c r="I979" s="44" t="s">
        <v>14883</v>
      </c>
      <c r="J979" s="44" t="s">
        <v>14874</v>
      </c>
      <c r="K979" s="44" t="s">
        <v>14875</v>
      </c>
      <c r="L979" s="44" t="s">
        <v>9390</v>
      </c>
      <c r="M979" s="44" t="s">
        <v>14876</v>
      </c>
    </row>
    <row r="980" customFormat="false" ht="22.35" hidden="false" customHeight="false" outlineLevel="0" collapsed="false">
      <c r="A980" s="44" t="s">
        <v>16918</v>
      </c>
      <c r="B980" s="44" t="s">
        <v>9384</v>
      </c>
      <c r="C980" s="44" t="s">
        <v>9385</v>
      </c>
      <c r="D980" s="44" t="s">
        <v>16919</v>
      </c>
      <c r="E980" s="44" t="s">
        <v>1014</v>
      </c>
      <c r="F980" s="44" t="s">
        <v>1015</v>
      </c>
      <c r="G980" s="44" t="s">
        <v>14871</v>
      </c>
      <c r="H980" s="44" t="s">
        <v>14872</v>
      </c>
      <c r="I980" s="44" t="s">
        <v>14879</v>
      </c>
      <c r="J980" s="44" t="s">
        <v>14874</v>
      </c>
      <c r="K980" s="44" t="s">
        <v>14875</v>
      </c>
      <c r="L980" s="44" t="s">
        <v>9390</v>
      </c>
      <c r="M980" s="44" t="s">
        <v>14876</v>
      </c>
    </row>
    <row r="981" customFormat="false" ht="22.35" hidden="false" customHeight="false" outlineLevel="0" collapsed="false">
      <c r="A981" s="44" t="s">
        <v>16920</v>
      </c>
      <c r="B981" s="44" t="s">
        <v>9384</v>
      </c>
      <c r="C981" s="44" t="s">
        <v>9385</v>
      </c>
      <c r="D981" s="44" t="s">
        <v>16921</v>
      </c>
      <c r="E981" s="44" t="s">
        <v>192</v>
      </c>
      <c r="F981" s="44" t="s">
        <v>55</v>
      </c>
      <c r="G981" s="44" t="s">
        <v>14871</v>
      </c>
      <c r="H981" s="44" t="s">
        <v>14872</v>
      </c>
      <c r="I981" s="44" t="s">
        <v>14886</v>
      </c>
      <c r="J981" s="44" t="s">
        <v>14874</v>
      </c>
      <c r="K981" s="44" t="s">
        <v>14875</v>
      </c>
      <c r="L981" s="44" t="s">
        <v>9390</v>
      </c>
      <c r="M981" s="44" t="s">
        <v>14876</v>
      </c>
    </row>
    <row r="982" customFormat="false" ht="22.35" hidden="false" customHeight="false" outlineLevel="0" collapsed="false">
      <c r="A982" s="44" t="s">
        <v>16922</v>
      </c>
      <c r="B982" s="44" t="s">
        <v>9391</v>
      </c>
      <c r="C982" s="44" t="s">
        <v>9392</v>
      </c>
      <c r="D982" s="44" t="s">
        <v>16923</v>
      </c>
      <c r="E982" s="44" t="s">
        <v>16924</v>
      </c>
      <c r="F982" s="44" t="s">
        <v>16925</v>
      </c>
      <c r="G982" s="44" t="s">
        <v>14871</v>
      </c>
      <c r="H982" s="44" t="s">
        <v>14872</v>
      </c>
      <c r="I982" s="44" t="s">
        <v>14873</v>
      </c>
      <c r="J982" s="44" t="s">
        <v>14874</v>
      </c>
      <c r="K982" s="44" t="s">
        <v>14875</v>
      </c>
      <c r="L982" s="44" t="s">
        <v>9398</v>
      </c>
      <c r="M982" s="44" t="s">
        <v>14876</v>
      </c>
    </row>
    <row r="983" customFormat="false" ht="22.35" hidden="false" customHeight="false" outlineLevel="0" collapsed="false">
      <c r="A983" s="44" t="s">
        <v>16926</v>
      </c>
      <c r="B983" s="44" t="s">
        <v>9391</v>
      </c>
      <c r="C983" s="44" t="s">
        <v>9392</v>
      </c>
      <c r="D983" s="44" t="s">
        <v>16927</v>
      </c>
      <c r="E983" s="44" t="s">
        <v>5914</v>
      </c>
      <c r="F983" s="44" t="s">
        <v>5915</v>
      </c>
      <c r="G983" s="44" t="s">
        <v>14871</v>
      </c>
      <c r="H983" s="44" t="s">
        <v>14872</v>
      </c>
      <c r="I983" s="44" t="s">
        <v>14873</v>
      </c>
      <c r="J983" s="44" t="s">
        <v>14874</v>
      </c>
      <c r="K983" s="44" t="s">
        <v>14875</v>
      </c>
      <c r="L983" s="44" t="s">
        <v>9398</v>
      </c>
      <c r="M983" s="44" t="s">
        <v>14876</v>
      </c>
    </row>
    <row r="984" customFormat="false" ht="22.35" hidden="false" customHeight="false" outlineLevel="0" collapsed="false">
      <c r="A984" s="44" t="s">
        <v>16928</v>
      </c>
      <c r="B984" s="44" t="s">
        <v>9391</v>
      </c>
      <c r="C984" s="44" t="s">
        <v>9392</v>
      </c>
      <c r="D984" s="44" t="s">
        <v>16929</v>
      </c>
      <c r="E984" s="44"/>
      <c r="F984" s="44"/>
      <c r="G984" s="44" t="s">
        <v>14882</v>
      </c>
      <c r="H984" s="44" t="s">
        <v>14872</v>
      </c>
      <c r="I984" s="44" t="s">
        <v>14883</v>
      </c>
      <c r="J984" s="44" t="s">
        <v>14874</v>
      </c>
      <c r="K984" s="44" t="s">
        <v>14875</v>
      </c>
      <c r="L984" s="44" t="s">
        <v>9398</v>
      </c>
      <c r="M984" s="44" t="s">
        <v>14876</v>
      </c>
    </row>
    <row r="985" customFormat="false" ht="22.35" hidden="false" customHeight="false" outlineLevel="0" collapsed="false">
      <c r="A985" s="44" t="s">
        <v>16930</v>
      </c>
      <c r="B985" s="44" t="s">
        <v>9391</v>
      </c>
      <c r="C985" s="44" t="s">
        <v>9392</v>
      </c>
      <c r="D985" s="44" t="s">
        <v>16931</v>
      </c>
      <c r="E985" s="44"/>
      <c r="F985" s="44"/>
      <c r="G985" s="44" t="s">
        <v>14882</v>
      </c>
      <c r="H985" s="44" t="s">
        <v>14872</v>
      </c>
      <c r="I985" s="44" t="s">
        <v>14883</v>
      </c>
      <c r="J985" s="44" t="s">
        <v>14874</v>
      </c>
      <c r="K985" s="44" t="s">
        <v>14875</v>
      </c>
      <c r="L985" s="44" t="s">
        <v>9398</v>
      </c>
      <c r="M985" s="44" t="s">
        <v>14876</v>
      </c>
    </row>
    <row r="986" customFormat="false" ht="22.35" hidden="false" customHeight="false" outlineLevel="0" collapsed="false">
      <c r="A986" s="44" t="s">
        <v>16932</v>
      </c>
      <c r="B986" s="44" t="s">
        <v>9399</v>
      </c>
      <c r="C986" s="44" t="s">
        <v>9400</v>
      </c>
      <c r="D986" s="44" t="s">
        <v>16933</v>
      </c>
      <c r="E986" s="44" t="s">
        <v>16934</v>
      </c>
      <c r="F986" s="44" t="s">
        <v>16935</v>
      </c>
      <c r="G986" s="44" t="s">
        <v>14871</v>
      </c>
      <c r="H986" s="44" t="s">
        <v>14872</v>
      </c>
      <c r="I986" s="44" t="s">
        <v>14886</v>
      </c>
      <c r="J986" s="44" t="s">
        <v>14874</v>
      </c>
      <c r="K986" s="44" t="s">
        <v>14875</v>
      </c>
      <c r="L986" s="44" t="s">
        <v>9406</v>
      </c>
      <c r="M986" s="44" t="s">
        <v>14876</v>
      </c>
    </row>
    <row r="987" customFormat="false" ht="22.35" hidden="false" customHeight="false" outlineLevel="0" collapsed="false">
      <c r="A987" s="44" t="s">
        <v>16936</v>
      </c>
      <c r="B987" s="44" t="s">
        <v>9399</v>
      </c>
      <c r="C987" s="44" t="s">
        <v>9400</v>
      </c>
      <c r="D987" s="44" t="s">
        <v>16937</v>
      </c>
      <c r="E987" s="44" t="s">
        <v>16938</v>
      </c>
      <c r="F987" s="44" t="s">
        <v>16939</v>
      </c>
      <c r="G987" s="44" t="s">
        <v>14871</v>
      </c>
      <c r="H987" s="44" t="s">
        <v>14872</v>
      </c>
      <c r="I987" s="44" t="s">
        <v>14886</v>
      </c>
      <c r="J987" s="44" t="s">
        <v>14874</v>
      </c>
      <c r="K987" s="44" t="s">
        <v>14875</v>
      </c>
      <c r="L987" s="44" t="s">
        <v>9406</v>
      </c>
      <c r="M987" s="44" t="s">
        <v>14876</v>
      </c>
    </row>
    <row r="988" customFormat="false" ht="22.35" hidden="false" customHeight="false" outlineLevel="0" collapsed="false">
      <c r="A988" s="44" t="s">
        <v>16940</v>
      </c>
      <c r="B988" s="44" t="s">
        <v>9399</v>
      </c>
      <c r="C988" s="44" t="s">
        <v>9400</v>
      </c>
      <c r="D988" s="44" t="s">
        <v>16941</v>
      </c>
      <c r="E988" s="44"/>
      <c r="F988" s="44"/>
      <c r="G988" s="44" t="s">
        <v>14882</v>
      </c>
      <c r="H988" s="44" t="s">
        <v>14872</v>
      </c>
      <c r="I988" s="44" t="s">
        <v>14883</v>
      </c>
      <c r="J988" s="44" t="s">
        <v>14874</v>
      </c>
      <c r="K988" s="44" t="s">
        <v>14875</v>
      </c>
      <c r="L988" s="44" t="s">
        <v>9406</v>
      </c>
      <c r="M988" s="44" t="s">
        <v>14876</v>
      </c>
    </row>
    <row r="989" customFormat="false" ht="22.35" hidden="false" customHeight="false" outlineLevel="0" collapsed="false">
      <c r="A989" s="44" t="s">
        <v>16942</v>
      </c>
      <c r="B989" s="44" t="s">
        <v>9399</v>
      </c>
      <c r="C989" s="44" t="s">
        <v>9400</v>
      </c>
      <c r="D989" s="44" t="s">
        <v>16943</v>
      </c>
      <c r="E989" s="44"/>
      <c r="F989" s="44"/>
      <c r="G989" s="44" t="s">
        <v>14882</v>
      </c>
      <c r="H989" s="44" t="s">
        <v>14872</v>
      </c>
      <c r="I989" s="44" t="s">
        <v>14883</v>
      </c>
      <c r="J989" s="44" t="s">
        <v>14874</v>
      </c>
      <c r="K989" s="44" t="s">
        <v>14875</v>
      </c>
      <c r="L989" s="44" t="s">
        <v>9406</v>
      </c>
      <c r="M989" s="44" t="s">
        <v>14876</v>
      </c>
    </row>
    <row r="990" customFormat="false" ht="22.35" hidden="false" customHeight="false" outlineLevel="0" collapsed="false">
      <c r="A990" s="44" t="s">
        <v>16944</v>
      </c>
      <c r="B990" s="44" t="s">
        <v>9399</v>
      </c>
      <c r="C990" s="44" t="s">
        <v>9400</v>
      </c>
      <c r="D990" s="44" t="s">
        <v>16945</v>
      </c>
      <c r="E990" s="44" t="s">
        <v>16946</v>
      </c>
      <c r="F990" s="44" t="s">
        <v>16947</v>
      </c>
      <c r="G990" s="44" t="s">
        <v>14871</v>
      </c>
      <c r="H990" s="44" t="s">
        <v>14872</v>
      </c>
      <c r="I990" s="44" t="s">
        <v>14886</v>
      </c>
      <c r="J990" s="44" t="s">
        <v>14874</v>
      </c>
      <c r="K990" s="44" t="s">
        <v>14875</v>
      </c>
      <c r="L990" s="44" t="s">
        <v>9406</v>
      </c>
      <c r="M990" s="44" t="s">
        <v>14876</v>
      </c>
    </row>
    <row r="991" customFormat="false" ht="22.35" hidden="false" customHeight="false" outlineLevel="0" collapsed="false">
      <c r="A991" s="44" t="s">
        <v>16948</v>
      </c>
      <c r="B991" s="44" t="s">
        <v>9399</v>
      </c>
      <c r="C991" s="44" t="s">
        <v>9400</v>
      </c>
      <c r="D991" s="44" t="s">
        <v>16949</v>
      </c>
      <c r="E991" s="44"/>
      <c r="F991" s="44"/>
      <c r="G991" s="44" t="s">
        <v>14882</v>
      </c>
      <c r="H991" s="44" t="s">
        <v>14872</v>
      </c>
      <c r="I991" s="44" t="s">
        <v>14883</v>
      </c>
      <c r="J991" s="44" t="s">
        <v>14874</v>
      </c>
      <c r="K991" s="44" t="s">
        <v>14875</v>
      </c>
      <c r="L991" s="44" t="s">
        <v>9406</v>
      </c>
      <c r="M991" s="44" t="s">
        <v>14876</v>
      </c>
    </row>
    <row r="992" customFormat="false" ht="22.35" hidden="false" customHeight="false" outlineLevel="0" collapsed="false">
      <c r="A992" s="44" t="s">
        <v>16950</v>
      </c>
      <c r="B992" s="44" t="s">
        <v>9407</v>
      </c>
      <c r="C992" s="44" t="s">
        <v>9408</v>
      </c>
      <c r="D992" s="44" t="s">
        <v>16951</v>
      </c>
      <c r="E992" s="44" t="s">
        <v>16952</v>
      </c>
      <c r="F992" s="44" t="s">
        <v>16953</v>
      </c>
      <c r="G992" s="44" t="s">
        <v>14871</v>
      </c>
      <c r="H992" s="44" t="s">
        <v>14872</v>
      </c>
      <c r="I992" s="44" t="s">
        <v>14873</v>
      </c>
      <c r="J992" s="44" t="s">
        <v>14874</v>
      </c>
      <c r="K992" s="44" t="s">
        <v>14875</v>
      </c>
      <c r="L992" s="44" t="s">
        <v>9413</v>
      </c>
      <c r="M992" s="44" t="s">
        <v>14876</v>
      </c>
    </row>
    <row r="993" customFormat="false" ht="22.35" hidden="false" customHeight="false" outlineLevel="0" collapsed="false">
      <c r="A993" s="44" t="s">
        <v>16954</v>
      </c>
      <c r="B993" s="44" t="s">
        <v>9407</v>
      </c>
      <c r="C993" s="44" t="s">
        <v>9408</v>
      </c>
      <c r="D993" s="44" t="s">
        <v>16955</v>
      </c>
      <c r="E993" s="44"/>
      <c r="F993" s="44"/>
      <c r="G993" s="44" t="s">
        <v>14882</v>
      </c>
      <c r="H993" s="44" t="s">
        <v>14872</v>
      </c>
      <c r="I993" s="44" t="s">
        <v>14883</v>
      </c>
      <c r="J993" s="44" t="s">
        <v>14874</v>
      </c>
      <c r="K993" s="44" t="s">
        <v>14875</v>
      </c>
      <c r="L993" s="44" t="s">
        <v>9413</v>
      </c>
      <c r="M993" s="44" t="s">
        <v>14876</v>
      </c>
    </row>
    <row r="994" customFormat="false" ht="22.35" hidden="false" customHeight="false" outlineLevel="0" collapsed="false">
      <c r="A994" s="44" t="s">
        <v>16956</v>
      </c>
      <c r="B994" s="44" t="s">
        <v>9407</v>
      </c>
      <c r="C994" s="44" t="s">
        <v>9408</v>
      </c>
      <c r="D994" s="44" t="s">
        <v>11732</v>
      </c>
      <c r="E994" s="44" t="s">
        <v>215</v>
      </c>
      <c r="F994" s="44" t="s">
        <v>216</v>
      </c>
      <c r="G994" s="44" t="s">
        <v>14871</v>
      </c>
      <c r="H994" s="44" t="s">
        <v>14872</v>
      </c>
      <c r="I994" s="44" t="s">
        <v>14873</v>
      </c>
      <c r="J994" s="44" t="s">
        <v>14874</v>
      </c>
      <c r="K994" s="44" t="s">
        <v>14875</v>
      </c>
      <c r="L994" s="44" t="s">
        <v>9413</v>
      </c>
      <c r="M994" s="44" t="s">
        <v>14876</v>
      </c>
    </row>
    <row r="995" customFormat="false" ht="22.35" hidden="false" customHeight="false" outlineLevel="0" collapsed="false">
      <c r="A995" s="44" t="s">
        <v>16957</v>
      </c>
      <c r="B995" s="44" t="s">
        <v>9407</v>
      </c>
      <c r="C995" s="44" t="s">
        <v>9408</v>
      </c>
      <c r="D995" s="44" t="s">
        <v>16958</v>
      </c>
      <c r="E995" s="44"/>
      <c r="F995" s="44"/>
      <c r="G995" s="44" t="s">
        <v>14882</v>
      </c>
      <c r="H995" s="44" t="s">
        <v>14872</v>
      </c>
      <c r="I995" s="44" t="s">
        <v>14883</v>
      </c>
      <c r="J995" s="44" t="s">
        <v>14874</v>
      </c>
      <c r="K995" s="44" t="s">
        <v>14875</v>
      </c>
      <c r="L995" s="44" t="s">
        <v>9413</v>
      </c>
      <c r="M995" s="44" t="s">
        <v>14876</v>
      </c>
    </row>
    <row r="996" customFormat="false" ht="22.35" hidden="false" customHeight="false" outlineLevel="0" collapsed="false">
      <c r="A996" s="44" t="s">
        <v>16959</v>
      </c>
      <c r="B996" s="44" t="s">
        <v>9407</v>
      </c>
      <c r="C996" s="44" t="s">
        <v>9408</v>
      </c>
      <c r="D996" s="44" t="s">
        <v>16960</v>
      </c>
      <c r="E996" s="44" t="s">
        <v>2761</v>
      </c>
      <c r="F996" s="44" t="s">
        <v>2762</v>
      </c>
      <c r="G996" s="44" t="s">
        <v>14871</v>
      </c>
      <c r="H996" s="44" t="s">
        <v>14872</v>
      </c>
      <c r="I996" s="44" t="s">
        <v>14886</v>
      </c>
      <c r="J996" s="44" t="s">
        <v>14874</v>
      </c>
      <c r="K996" s="44" t="s">
        <v>14875</v>
      </c>
      <c r="L996" s="44" t="s">
        <v>9413</v>
      </c>
      <c r="M996" s="44" t="s">
        <v>14876</v>
      </c>
    </row>
    <row r="997" customFormat="false" ht="22.35" hidden="false" customHeight="false" outlineLevel="0" collapsed="false">
      <c r="A997" s="44" t="s">
        <v>16961</v>
      </c>
      <c r="B997" s="44" t="s">
        <v>9407</v>
      </c>
      <c r="C997" s="44" t="s">
        <v>9408</v>
      </c>
      <c r="D997" s="44" t="s">
        <v>16962</v>
      </c>
      <c r="E997" s="44"/>
      <c r="F997" s="44"/>
      <c r="G997" s="44" t="s">
        <v>14882</v>
      </c>
      <c r="H997" s="44" t="s">
        <v>14872</v>
      </c>
      <c r="I997" s="44" t="s">
        <v>14883</v>
      </c>
      <c r="J997" s="44" t="s">
        <v>14874</v>
      </c>
      <c r="K997" s="44" t="s">
        <v>14875</v>
      </c>
      <c r="L997" s="44" t="s">
        <v>9413</v>
      </c>
      <c r="M997" s="44" t="s">
        <v>14876</v>
      </c>
    </row>
    <row r="998" customFormat="false" ht="22.35" hidden="false" customHeight="false" outlineLevel="0" collapsed="false">
      <c r="A998" s="44" t="s">
        <v>16963</v>
      </c>
      <c r="B998" s="44" t="s">
        <v>9414</v>
      </c>
      <c r="C998" s="44" t="s">
        <v>9415</v>
      </c>
      <c r="D998" s="44" t="s">
        <v>16964</v>
      </c>
      <c r="E998" s="44"/>
      <c r="F998" s="44"/>
      <c r="G998" s="44" t="s">
        <v>14882</v>
      </c>
      <c r="H998" s="44" t="s">
        <v>14872</v>
      </c>
      <c r="I998" s="44" t="s">
        <v>14883</v>
      </c>
      <c r="J998" s="44" t="s">
        <v>14874</v>
      </c>
      <c r="K998" s="44" t="s">
        <v>14875</v>
      </c>
      <c r="L998" s="44" t="s">
        <v>9419</v>
      </c>
      <c r="M998" s="44" t="s">
        <v>14876</v>
      </c>
    </row>
    <row r="999" customFormat="false" ht="22.35" hidden="false" customHeight="false" outlineLevel="0" collapsed="false">
      <c r="A999" s="44" t="s">
        <v>16965</v>
      </c>
      <c r="B999" s="44" t="s">
        <v>9414</v>
      </c>
      <c r="C999" s="44" t="s">
        <v>9415</v>
      </c>
      <c r="D999" s="44" t="s">
        <v>16966</v>
      </c>
      <c r="E999" s="44" t="s">
        <v>16967</v>
      </c>
      <c r="F999" s="44" t="s">
        <v>16968</v>
      </c>
      <c r="G999" s="44" t="s">
        <v>14871</v>
      </c>
      <c r="H999" s="44" t="s">
        <v>14872</v>
      </c>
      <c r="I999" s="44" t="s">
        <v>14886</v>
      </c>
      <c r="J999" s="44" t="s">
        <v>14874</v>
      </c>
      <c r="K999" s="44" t="s">
        <v>14875</v>
      </c>
      <c r="L999" s="44" t="s">
        <v>9419</v>
      </c>
      <c r="M999" s="44" t="s">
        <v>14876</v>
      </c>
    </row>
    <row r="1000" customFormat="false" ht="22.35" hidden="false" customHeight="false" outlineLevel="0" collapsed="false">
      <c r="A1000" s="44" t="s">
        <v>16969</v>
      </c>
      <c r="B1000" s="44" t="s">
        <v>9414</v>
      </c>
      <c r="C1000" s="44" t="s">
        <v>9415</v>
      </c>
      <c r="D1000" s="44" t="s">
        <v>16970</v>
      </c>
      <c r="E1000" s="44" t="s">
        <v>1233</v>
      </c>
      <c r="F1000" s="44" t="s">
        <v>1234</v>
      </c>
      <c r="G1000" s="44" t="s">
        <v>14871</v>
      </c>
      <c r="H1000" s="44" t="s">
        <v>14872</v>
      </c>
      <c r="I1000" s="44" t="s">
        <v>14873</v>
      </c>
      <c r="J1000" s="44" t="s">
        <v>14874</v>
      </c>
      <c r="K1000" s="44" t="s">
        <v>14875</v>
      </c>
      <c r="L1000" s="44" t="s">
        <v>9419</v>
      </c>
      <c r="M1000" s="44" t="s">
        <v>14876</v>
      </c>
    </row>
    <row r="1001" customFormat="false" ht="22.35" hidden="false" customHeight="false" outlineLevel="0" collapsed="false">
      <c r="A1001" s="44" t="s">
        <v>16971</v>
      </c>
      <c r="B1001" s="44" t="s">
        <v>9414</v>
      </c>
      <c r="C1001" s="44" t="s">
        <v>9415</v>
      </c>
      <c r="D1001" s="44" t="s">
        <v>15026</v>
      </c>
      <c r="E1001" s="44" t="s">
        <v>522</v>
      </c>
      <c r="F1001" s="44" t="s">
        <v>523</v>
      </c>
      <c r="G1001" s="44" t="s">
        <v>14871</v>
      </c>
      <c r="H1001" s="44" t="s">
        <v>14872</v>
      </c>
      <c r="I1001" s="44" t="s">
        <v>14879</v>
      </c>
      <c r="J1001" s="44" t="s">
        <v>14874</v>
      </c>
      <c r="K1001" s="44" t="s">
        <v>14875</v>
      </c>
      <c r="L1001" s="44" t="s">
        <v>9419</v>
      </c>
      <c r="M1001" s="44" t="s">
        <v>14876</v>
      </c>
    </row>
    <row r="1002" customFormat="false" ht="22.35" hidden="false" customHeight="false" outlineLevel="0" collapsed="false">
      <c r="A1002" s="44" t="s">
        <v>16972</v>
      </c>
      <c r="B1002" s="44" t="s">
        <v>9414</v>
      </c>
      <c r="C1002" s="44" t="s">
        <v>9415</v>
      </c>
      <c r="D1002" s="44" t="s">
        <v>16973</v>
      </c>
      <c r="E1002" s="44"/>
      <c r="F1002" s="44"/>
      <c r="G1002" s="44" t="s">
        <v>14882</v>
      </c>
      <c r="H1002" s="44" t="s">
        <v>14872</v>
      </c>
      <c r="I1002" s="44" t="s">
        <v>14883</v>
      </c>
      <c r="J1002" s="44" t="s">
        <v>14874</v>
      </c>
      <c r="K1002" s="44" t="s">
        <v>14875</v>
      </c>
      <c r="L1002" s="44" t="s">
        <v>9419</v>
      </c>
      <c r="M1002" s="44" t="s">
        <v>14876</v>
      </c>
    </row>
    <row r="1003" customFormat="false" ht="22.35" hidden="false" customHeight="false" outlineLevel="0" collapsed="false">
      <c r="A1003" s="44" t="s">
        <v>16974</v>
      </c>
      <c r="B1003" s="44" t="s">
        <v>9420</v>
      </c>
      <c r="C1003" s="44" t="s">
        <v>9421</v>
      </c>
      <c r="D1003" s="44" t="s">
        <v>16975</v>
      </c>
      <c r="E1003" s="44"/>
      <c r="F1003" s="44"/>
      <c r="G1003" s="44" t="s">
        <v>14882</v>
      </c>
      <c r="H1003" s="44" t="s">
        <v>14872</v>
      </c>
      <c r="I1003" s="44" t="s">
        <v>14883</v>
      </c>
      <c r="J1003" s="44" t="s">
        <v>14874</v>
      </c>
      <c r="K1003" s="44" t="s">
        <v>14875</v>
      </c>
      <c r="L1003" s="44" t="s">
        <v>9424</v>
      </c>
      <c r="M1003" s="44" t="s">
        <v>14876</v>
      </c>
    </row>
    <row r="1004" customFormat="false" ht="22.35" hidden="false" customHeight="false" outlineLevel="0" collapsed="false">
      <c r="A1004" s="44" t="s">
        <v>16976</v>
      </c>
      <c r="B1004" s="44" t="s">
        <v>9420</v>
      </c>
      <c r="C1004" s="44" t="s">
        <v>9421</v>
      </c>
      <c r="D1004" s="44" t="s">
        <v>16977</v>
      </c>
      <c r="E1004" s="44" t="s">
        <v>16978</v>
      </c>
      <c r="F1004" s="44" t="s">
        <v>16979</v>
      </c>
      <c r="G1004" s="44" t="s">
        <v>14871</v>
      </c>
      <c r="H1004" s="44" t="s">
        <v>14872</v>
      </c>
      <c r="I1004" s="44" t="s">
        <v>14886</v>
      </c>
      <c r="J1004" s="44" t="s">
        <v>14874</v>
      </c>
      <c r="K1004" s="44" t="s">
        <v>14875</v>
      </c>
      <c r="L1004" s="44" t="s">
        <v>9424</v>
      </c>
      <c r="M1004" s="44" t="s">
        <v>14876</v>
      </c>
    </row>
    <row r="1005" customFormat="false" ht="22.35" hidden="false" customHeight="false" outlineLevel="0" collapsed="false">
      <c r="A1005" s="44" t="s">
        <v>16980</v>
      </c>
      <c r="B1005" s="44" t="s">
        <v>9420</v>
      </c>
      <c r="C1005" s="44" t="s">
        <v>9421</v>
      </c>
      <c r="D1005" s="44" t="s">
        <v>16981</v>
      </c>
      <c r="E1005" s="44" t="s">
        <v>16982</v>
      </c>
      <c r="F1005" s="44" t="s">
        <v>16983</v>
      </c>
      <c r="G1005" s="44" t="s">
        <v>14871</v>
      </c>
      <c r="H1005" s="44" t="s">
        <v>14872</v>
      </c>
      <c r="I1005" s="44" t="s">
        <v>14873</v>
      </c>
      <c r="J1005" s="44" t="s">
        <v>14874</v>
      </c>
      <c r="K1005" s="44" t="s">
        <v>14875</v>
      </c>
      <c r="L1005" s="44" t="s">
        <v>9424</v>
      </c>
      <c r="M1005" s="44" t="s">
        <v>14876</v>
      </c>
    </row>
    <row r="1006" customFormat="false" ht="22.35" hidden="false" customHeight="false" outlineLevel="0" collapsed="false">
      <c r="A1006" s="44" t="s">
        <v>16984</v>
      </c>
      <c r="B1006" s="44" t="s">
        <v>9420</v>
      </c>
      <c r="C1006" s="44" t="s">
        <v>9421</v>
      </c>
      <c r="D1006" s="44" t="s">
        <v>16985</v>
      </c>
      <c r="E1006" s="44"/>
      <c r="F1006" s="44"/>
      <c r="G1006" s="44" t="s">
        <v>14882</v>
      </c>
      <c r="H1006" s="44" t="s">
        <v>14872</v>
      </c>
      <c r="I1006" s="44" t="s">
        <v>14883</v>
      </c>
      <c r="J1006" s="44" t="s">
        <v>14874</v>
      </c>
      <c r="K1006" s="44" t="s">
        <v>14875</v>
      </c>
      <c r="L1006" s="44" t="s">
        <v>9424</v>
      </c>
      <c r="M1006" s="44" t="s">
        <v>14876</v>
      </c>
    </row>
    <row r="1007" customFormat="false" ht="22.35" hidden="false" customHeight="false" outlineLevel="0" collapsed="false">
      <c r="A1007" s="44" t="s">
        <v>16986</v>
      </c>
      <c r="B1007" s="44" t="s">
        <v>9425</v>
      </c>
      <c r="C1007" s="44" t="s">
        <v>9426</v>
      </c>
      <c r="D1007" s="44" t="s">
        <v>16987</v>
      </c>
      <c r="E1007" s="44" t="s">
        <v>1384</v>
      </c>
      <c r="F1007" s="44" t="s">
        <v>1385</v>
      </c>
      <c r="G1007" s="44" t="s">
        <v>14871</v>
      </c>
      <c r="H1007" s="44" t="s">
        <v>14872</v>
      </c>
      <c r="I1007" s="44" t="s">
        <v>14873</v>
      </c>
      <c r="J1007" s="44" t="s">
        <v>14874</v>
      </c>
      <c r="K1007" s="44" t="s">
        <v>14875</v>
      </c>
      <c r="L1007" s="44" t="s">
        <v>9430</v>
      </c>
      <c r="M1007" s="44" t="s">
        <v>14876</v>
      </c>
    </row>
    <row r="1008" customFormat="false" ht="22.35" hidden="false" customHeight="false" outlineLevel="0" collapsed="false">
      <c r="A1008" s="44" t="s">
        <v>16988</v>
      </c>
      <c r="B1008" s="44" t="s">
        <v>9425</v>
      </c>
      <c r="C1008" s="44" t="s">
        <v>9426</v>
      </c>
      <c r="D1008" s="44" t="s">
        <v>16989</v>
      </c>
      <c r="E1008" s="44"/>
      <c r="F1008" s="44"/>
      <c r="G1008" s="44" t="s">
        <v>14882</v>
      </c>
      <c r="H1008" s="44" t="s">
        <v>14872</v>
      </c>
      <c r="I1008" s="44" t="s">
        <v>14883</v>
      </c>
      <c r="J1008" s="44" t="s">
        <v>14874</v>
      </c>
      <c r="K1008" s="44" t="s">
        <v>14875</v>
      </c>
      <c r="L1008" s="44" t="s">
        <v>9430</v>
      </c>
      <c r="M1008" s="44" t="s">
        <v>14876</v>
      </c>
    </row>
    <row r="1009" customFormat="false" ht="22.35" hidden="false" customHeight="false" outlineLevel="0" collapsed="false">
      <c r="A1009" s="44" t="s">
        <v>16990</v>
      </c>
      <c r="B1009" s="44" t="s">
        <v>9425</v>
      </c>
      <c r="C1009" s="44" t="s">
        <v>9426</v>
      </c>
      <c r="D1009" s="44" t="s">
        <v>16991</v>
      </c>
      <c r="E1009" s="44"/>
      <c r="F1009" s="44"/>
      <c r="G1009" s="44" t="s">
        <v>14882</v>
      </c>
      <c r="H1009" s="44" t="s">
        <v>14872</v>
      </c>
      <c r="I1009" s="44" t="s">
        <v>14883</v>
      </c>
      <c r="J1009" s="44" t="s">
        <v>14874</v>
      </c>
      <c r="K1009" s="44" t="s">
        <v>14875</v>
      </c>
      <c r="L1009" s="44" t="s">
        <v>9430</v>
      </c>
      <c r="M1009" s="44" t="s">
        <v>14876</v>
      </c>
    </row>
    <row r="1010" customFormat="false" ht="22.35" hidden="false" customHeight="false" outlineLevel="0" collapsed="false">
      <c r="A1010" s="44" t="s">
        <v>16992</v>
      </c>
      <c r="B1010" s="44" t="s">
        <v>9425</v>
      </c>
      <c r="C1010" s="44" t="s">
        <v>9426</v>
      </c>
      <c r="D1010" s="44" t="s">
        <v>16993</v>
      </c>
      <c r="E1010" s="44" t="s">
        <v>6770</v>
      </c>
      <c r="F1010" s="44" t="s">
        <v>6771</v>
      </c>
      <c r="G1010" s="44" t="s">
        <v>14871</v>
      </c>
      <c r="H1010" s="44" t="s">
        <v>14872</v>
      </c>
      <c r="I1010" s="44" t="s">
        <v>14873</v>
      </c>
      <c r="J1010" s="44" t="s">
        <v>14874</v>
      </c>
      <c r="K1010" s="44" t="s">
        <v>14875</v>
      </c>
      <c r="L1010" s="44" t="s">
        <v>9430</v>
      </c>
      <c r="M1010" s="44" t="s">
        <v>14876</v>
      </c>
    </row>
    <row r="1011" customFormat="false" ht="22.35" hidden="false" customHeight="false" outlineLevel="0" collapsed="false">
      <c r="A1011" s="44" t="s">
        <v>16994</v>
      </c>
      <c r="B1011" s="44" t="s">
        <v>9425</v>
      </c>
      <c r="C1011" s="44" t="s">
        <v>9426</v>
      </c>
      <c r="D1011" s="44" t="s">
        <v>16995</v>
      </c>
      <c r="E1011" s="44" t="s">
        <v>227</v>
      </c>
      <c r="F1011" s="44" t="s">
        <v>228</v>
      </c>
      <c r="G1011" s="44" t="s">
        <v>14871</v>
      </c>
      <c r="H1011" s="44" t="s">
        <v>14872</v>
      </c>
      <c r="I1011" s="44" t="s">
        <v>14873</v>
      </c>
      <c r="J1011" s="44" t="s">
        <v>14874</v>
      </c>
      <c r="K1011" s="44" t="s">
        <v>14875</v>
      </c>
      <c r="L1011" s="44" t="s">
        <v>9430</v>
      </c>
      <c r="M1011" s="44" t="s">
        <v>14876</v>
      </c>
    </row>
    <row r="1012" customFormat="false" ht="22.35" hidden="false" customHeight="false" outlineLevel="0" collapsed="false">
      <c r="A1012" s="44" t="s">
        <v>16996</v>
      </c>
      <c r="B1012" s="44" t="s">
        <v>9431</v>
      </c>
      <c r="C1012" s="44" t="s">
        <v>9432</v>
      </c>
      <c r="D1012" s="44" t="s">
        <v>16997</v>
      </c>
      <c r="E1012" s="44" t="s">
        <v>16998</v>
      </c>
      <c r="F1012" s="44" t="s">
        <v>16999</v>
      </c>
      <c r="G1012" s="44" t="s">
        <v>14871</v>
      </c>
      <c r="H1012" s="44" t="s">
        <v>14872</v>
      </c>
      <c r="I1012" s="44" t="s">
        <v>14886</v>
      </c>
      <c r="J1012" s="44" t="s">
        <v>14874</v>
      </c>
      <c r="K1012" s="44" t="s">
        <v>14875</v>
      </c>
      <c r="L1012" s="44" t="s">
        <v>9435</v>
      </c>
      <c r="M1012" s="44" t="s">
        <v>14876</v>
      </c>
    </row>
    <row r="1013" customFormat="false" ht="22.35" hidden="false" customHeight="false" outlineLevel="0" collapsed="false">
      <c r="A1013" s="44" t="s">
        <v>17000</v>
      </c>
      <c r="B1013" s="44" t="s">
        <v>9431</v>
      </c>
      <c r="C1013" s="44" t="s">
        <v>9432</v>
      </c>
      <c r="D1013" s="44" t="s">
        <v>17001</v>
      </c>
      <c r="E1013" s="44"/>
      <c r="F1013" s="44"/>
      <c r="G1013" s="44" t="s">
        <v>14882</v>
      </c>
      <c r="H1013" s="44" t="s">
        <v>14872</v>
      </c>
      <c r="I1013" s="44" t="s">
        <v>14883</v>
      </c>
      <c r="J1013" s="44" t="s">
        <v>14874</v>
      </c>
      <c r="K1013" s="44" t="s">
        <v>14875</v>
      </c>
      <c r="L1013" s="44" t="s">
        <v>9435</v>
      </c>
      <c r="M1013" s="44" t="s">
        <v>14876</v>
      </c>
    </row>
    <row r="1014" customFormat="false" ht="22.35" hidden="false" customHeight="false" outlineLevel="0" collapsed="false">
      <c r="A1014" s="44" t="s">
        <v>17002</v>
      </c>
      <c r="B1014" s="44" t="s">
        <v>9431</v>
      </c>
      <c r="C1014" s="44" t="s">
        <v>9432</v>
      </c>
      <c r="D1014" s="44" t="s">
        <v>17003</v>
      </c>
      <c r="E1014" s="44" t="s">
        <v>2761</v>
      </c>
      <c r="F1014" s="44" t="s">
        <v>2762</v>
      </c>
      <c r="G1014" s="44" t="s">
        <v>14871</v>
      </c>
      <c r="H1014" s="44" t="s">
        <v>14872</v>
      </c>
      <c r="I1014" s="44" t="s">
        <v>14886</v>
      </c>
      <c r="J1014" s="44" t="s">
        <v>14874</v>
      </c>
      <c r="K1014" s="44" t="s">
        <v>14875</v>
      </c>
      <c r="L1014" s="44" t="s">
        <v>9435</v>
      </c>
      <c r="M1014" s="44" t="s">
        <v>14876</v>
      </c>
    </row>
    <row r="1015" customFormat="false" ht="22.35" hidden="false" customHeight="false" outlineLevel="0" collapsed="false">
      <c r="A1015" s="44" t="s">
        <v>17004</v>
      </c>
      <c r="B1015" s="44" t="s">
        <v>9431</v>
      </c>
      <c r="C1015" s="44" t="s">
        <v>9432</v>
      </c>
      <c r="D1015" s="44" t="s">
        <v>17005</v>
      </c>
      <c r="E1015" s="44" t="s">
        <v>16946</v>
      </c>
      <c r="F1015" s="44" t="s">
        <v>16947</v>
      </c>
      <c r="G1015" s="44" t="s">
        <v>14871</v>
      </c>
      <c r="H1015" s="44" t="s">
        <v>14872</v>
      </c>
      <c r="I1015" s="44" t="s">
        <v>14886</v>
      </c>
      <c r="J1015" s="44" t="s">
        <v>14874</v>
      </c>
      <c r="K1015" s="44" t="s">
        <v>14875</v>
      </c>
      <c r="L1015" s="44" t="s">
        <v>9435</v>
      </c>
      <c r="M1015" s="44" t="s">
        <v>14876</v>
      </c>
    </row>
    <row r="1016" customFormat="false" ht="22.35" hidden="false" customHeight="false" outlineLevel="0" collapsed="false">
      <c r="A1016" s="44" t="s">
        <v>17006</v>
      </c>
      <c r="B1016" s="44" t="s">
        <v>9436</v>
      </c>
      <c r="C1016" s="44" t="s">
        <v>9437</v>
      </c>
      <c r="D1016" s="44" t="s">
        <v>17007</v>
      </c>
      <c r="E1016" s="44" t="s">
        <v>2036</v>
      </c>
      <c r="F1016" s="44" t="s">
        <v>2037</v>
      </c>
      <c r="G1016" s="44" t="s">
        <v>14871</v>
      </c>
      <c r="H1016" s="44" t="s">
        <v>14872</v>
      </c>
      <c r="I1016" s="44" t="s">
        <v>14873</v>
      </c>
      <c r="J1016" s="44" t="s">
        <v>14874</v>
      </c>
      <c r="K1016" s="44" t="s">
        <v>14875</v>
      </c>
      <c r="L1016" s="44" t="s">
        <v>9441</v>
      </c>
      <c r="M1016" s="44" t="s">
        <v>14876</v>
      </c>
    </row>
    <row r="1017" customFormat="false" ht="22.35" hidden="false" customHeight="false" outlineLevel="0" collapsed="false">
      <c r="A1017" s="44" t="s">
        <v>17008</v>
      </c>
      <c r="B1017" s="44" t="s">
        <v>9436</v>
      </c>
      <c r="C1017" s="44" t="s">
        <v>9437</v>
      </c>
      <c r="D1017" s="44" t="s">
        <v>17009</v>
      </c>
      <c r="E1017" s="44" t="s">
        <v>5145</v>
      </c>
      <c r="F1017" s="44" t="s">
        <v>5146</v>
      </c>
      <c r="G1017" s="44" t="s">
        <v>14871</v>
      </c>
      <c r="H1017" s="44" t="s">
        <v>14872</v>
      </c>
      <c r="I1017" s="44" t="s">
        <v>14886</v>
      </c>
      <c r="J1017" s="44" t="s">
        <v>14874</v>
      </c>
      <c r="K1017" s="44" t="s">
        <v>14875</v>
      </c>
      <c r="L1017" s="44" t="s">
        <v>9441</v>
      </c>
      <c r="M1017" s="44" t="s">
        <v>14876</v>
      </c>
    </row>
    <row r="1018" customFormat="false" ht="22.35" hidden="false" customHeight="false" outlineLevel="0" collapsed="false">
      <c r="A1018" s="44" t="s">
        <v>17010</v>
      </c>
      <c r="B1018" s="44" t="s">
        <v>9436</v>
      </c>
      <c r="C1018" s="44" t="s">
        <v>9437</v>
      </c>
      <c r="D1018" s="44" t="s">
        <v>17011</v>
      </c>
      <c r="E1018" s="44" t="s">
        <v>14935</v>
      </c>
      <c r="F1018" s="44" t="s">
        <v>14936</v>
      </c>
      <c r="G1018" s="44" t="s">
        <v>14871</v>
      </c>
      <c r="H1018" s="44" t="s">
        <v>14872</v>
      </c>
      <c r="I1018" s="44" t="s">
        <v>14873</v>
      </c>
      <c r="J1018" s="44" t="s">
        <v>14874</v>
      </c>
      <c r="K1018" s="44" t="s">
        <v>14875</v>
      </c>
      <c r="L1018" s="44" t="s">
        <v>9441</v>
      </c>
      <c r="M1018" s="44" t="s">
        <v>14876</v>
      </c>
    </row>
    <row r="1019" customFormat="false" ht="22.35" hidden="false" customHeight="false" outlineLevel="0" collapsed="false">
      <c r="A1019" s="44" t="s">
        <v>17012</v>
      </c>
      <c r="B1019" s="44" t="s">
        <v>9436</v>
      </c>
      <c r="C1019" s="44" t="s">
        <v>9437</v>
      </c>
      <c r="D1019" s="44" t="s">
        <v>17013</v>
      </c>
      <c r="E1019" s="44"/>
      <c r="F1019" s="44"/>
      <c r="G1019" s="44" t="s">
        <v>14882</v>
      </c>
      <c r="H1019" s="44" t="s">
        <v>14872</v>
      </c>
      <c r="I1019" s="44" t="s">
        <v>14883</v>
      </c>
      <c r="J1019" s="44" t="s">
        <v>14874</v>
      </c>
      <c r="K1019" s="44" t="s">
        <v>14875</v>
      </c>
      <c r="L1019" s="44" t="s">
        <v>9441</v>
      </c>
      <c r="M1019" s="44" t="s">
        <v>14876</v>
      </c>
    </row>
    <row r="1020" customFormat="false" ht="22.35" hidden="false" customHeight="false" outlineLevel="0" collapsed="false">
      <c r="A1020" s="44" t="s">
        <v>17014</v>
      </c>
      <c r="B1020" s="44" t="s">
        <v>9436</v>
      </c>
      <c r="C1020" s="44" t="s">
        <v>9437</v>
      </c>
      <c r="D1020" s="44" t="s">
        <v>17015</v>
      </c>
      <c r="E1020" s="44"/>
      <c r="F1020" s="44"/>
      <c r="G1020" s="44" t="s">
        <v>14882</v>
      </c>
      <c r="H1020" s="44" t="s">
        <v>14872</v>
      </c>
      <c r="I1020" s="44" t="s">
        <v>14883</v>
      </c>
      <c r="J1020" s="44" t="s">
        <v>14874</v>
      </c>
      <c r="K1020" s="44" t="s">
        <v>14875</v>
      </c>
      <c r="L1020" s="44" t="s">
        <v>9441</v>
      </c>
      <c r="M1020" s="44" t="s">
        <v>14876</v>
      </c>
    </row>
    <row r="1021" customFormat="false" ht="22.35" hidden="false" customHeight="false" outlineLevel="0" collapsed="false">
      <c r="A1021" s="44" t="s">
        <v>17016</v>
      </c>
      <c r="B1021" s="44" t="s">
        <v>9442</v>
      </c>
      <c r="C1021" s="44" t="s">
        <v>9443</v>
      </c>
      <c r="D1021" s="44" t="s">
        <v>17017</v>
      </c>
      <c r="E1021" s="44" t="s">
        <v>388</v>
      </c>
      <c r="F1021" s="44" t="s">
        <v>389</v>
      </c>
      <c r="G1021" s="44" t="s">
        <v>14871</v>
      </c>
      <c r="H1021" s="44" t="s">
        <v>14872</v>
      </c>
      <c r="I1021" s="44" t="s">
        <v>14879</v>
      </c>
      <c r="J1021" s="44" t="s">
        <v>14874</v>
      </c>
      <c r="K1021" s="44" t="s">
        <v>14875</v>
      </c>
      <c r="L1021" s="44" t="s">
        <v>9446</v>
      </c>
      <c r="M1021" s="44" t="s">
        <v>14876</v>
      </c>
    </row>
    <row r="1022" customFormat="false" ht="22.35" hidden="false" customHeight="false" outlineLevel="0" collapsed="false">
      <c r="A1022" s="44" t="s">
        <v>17018</v>
      </c>
      <c r="B1022" s="44" t="s">
        <v>9442</v>
      </c>
      <c r="C1022" s="44" t="s">
        <v>9443</v>
      </c>
      <c r="D1022" s="44" t="s">
        <v>17019</v>
      </c>
      <c r="E1022" s="44"/>
      <c r="F1022" s="44"/>
      <c r="G1022" s="44" t="s">
        <v>14882</v>
      </c>
      <c r="H1022" s="44" t="s">
        <v>14872</v>
      </c>
      <c r="I1022" s="44" t="s">
        <v>14883</v>
      </c>
      <c r="J1022" s="44" t="s">
        <v>14874</v>
      </c>
      <c r="K1022" s="44" t="s">
        <v>14875</v>
      </c>
      <c r="L1022" s="44" t="s">
        <v>9446</v>
      </c>
      <c r="M1022" s="44" t="s">
        <v>14876</v>
      </c>
    </row>
    <row r="1023" customFormat="false" ht="22.35" hidden="false" customHeight="false" outlineLevel="0" collapsed="false">
      <c r="A1023" s="44" t="s">
        <v>17020</v>
      </c>
      <c r="B1023" s="44" t="s">
        <v>9442</v>
      </c>
      <c r="C1023" s="44" t="s">
        <v>9443</v>
      </c>
      <c r="D1023" s="44" t="s">
        <v>17021</v>
      </c>
      <c r="E1023" s="44"/>
      <c r="F1023" s="44"/>
      <c r="G1023" s="44" t="s">
        <v>14882</v>
      </c>
      <c r="H1023" s="44" t="s">
        <v>14872</v>
      </c>
      <c r="I1023" s="44" t="s">
        <v>14883</v>
      </c>
      <c r="J1023" s="44" t="s">
        <v>14874</v>
      </c>
      <c r="K1023" s="44" t="s">
        <v>14875</v>
      </c>
      <c r="L1023" s="44" t="s">
        <v>9446</v>
      </c>
      <c r="M1023" s="44" t="s">
        <v>14876</v>
      </c>
    </row>
    <row r="1024" customFormat="false" ht="22.35" hidden="false" customHeight="false" outlineLevel="0" collapsed="false">
      <c r="A1024" s="44" t="s">
        <v>17022</v>
      </c>
      <c r="B1024" s="44" t="s">
        <v>9442</v>
      </c>
      <c r="C1024" s="44" t="s">
        <v>9443</v>
      </c>
      <c r="D1024" s="44" t="s">
        <v>15382</v>
      </c>
      <c r="E1024" s="44" t="s">
        <v>15383</v>
      </c>
      <c r="F1024" s="44" t="s">
        <v>15384</v>
      </c>
      <c r="G1024" s="44" t="s">
        <v>14871</v>
      </c>
      <c r="H1024" s="44" t="s">
        <v>14872</v>
      </c>
      <c r="I1024" s="44" t="s">
        <v>14886</v>
      </c>
      <c r="J1024" s="44" t="s">
        <v>14874</v>
      </c>
      <c r="K1024" s="44" t="s">
        <v>14875</v>
      </c>
      <c r="L1024" s="44" t="s">
        <v>9446</v>
      </c>
      <c r="M1024" s="44" t="s">
        <v>14876</v>
      </c>
    </row>
    <row r="1025" customFormat="false" ht="22.35" hidden="false" customHeight="false" outlineLevel="0" collapsed="false">
      <c r="A1025" s="44" t="s">
        <v>17023</v>
      </c>
      <c r="B1025" s="44" t="s">
        <v>9442</v>
      </c>
      <c r="C1025" s="44" t="s">
        <v>9443</v>
      </c>
      <c r="D1025" s="44" t="s">
        <v>17024</v>
      </c>
      <c r="E1025" s="44"/>
      <c r="F1025" s="44"/>
      <c r="G1025" s="44" t="s">
        <v>14882</v>
      </c>
      <c r="H1025" s="44" t="s">
        <v>14872</v>
      </c>
      <c r="I1025" s="44" t="s">
        <v>14883</v>
      </c>
      <c r="J1025" s="44" t="s">
        <v>14874</v>
      </c>
      <c r="K1025" s="44" t="s">
        <v>14875</v>
      </c>
      <c r="L1025" s="44" t="s">
        <v>9446</v>
      </c>
      <c r="M1025" s="44" t="s">
        <v>14876</v>
      </c>
    </row>
    <row r="1026" customFormat="false" ht="22.35" hidden="false" customHeight="false" outlineLevel="0" collapsed="false">
      <c r="A1026" s="44" t="s">
        <v>17025</v>
      </c>
      <c r="B1026" s="44" t="s">
        <v>9442</v>
      </c>
      <c r="C1026" s="44" t="s">
        <v>9443</v>
      </c>
      <c r="D1026" s="44" t="s">
        <v>17026</v>
      </c>
      <c r="E1026" s="44"/>
      <c r="F1026" s="44"/>
      <c r="G1026" s="44" t="s">
        <v>14882</v>
      </c>
      <c r="H1026" s="44" t="s">
        <v>14872</v>
      </c>
      <c r="I1026" s="44" t="s">
        <v>14883</v>
      </c>
      <c r="J1026" s="44" t="s">
        <v>14874</v>
      </c>
      <c r="K1026" s="44" t="s">
        <v>14875</v>
      </c>
      <c r="L1026" s="44" t="s">
        <v>9446</v>
      </c>
      <c r="M1026" s="44" t="s">
        <v>14876</v>
      </c>
    </row>
    <row r="1027" customFormat="false" ht="22.35" hidden="false" customHeight="false" outlineLevel="0" collapsed="false">
      <c r="A1027" s="44" t="s">
        <v>17027</v>
      </c>
      <c r="B1027" s="44" t="s">
        <v>9447</v>
      </c>
      <c r="C1027" s="44" t="s">
        <v>9448</v>
      </c>
      <c r="D1027" s="44" t="s">
        <v>17028</v>
      </c>
      <c r="E1027" s="44" t="s">
        <v>207</v>
      </c>
      <c r="F1027" s="44" t="s">
        <v>208</v>
      </c>
      <c r="G1027" s="44" t="s">
        <v>14871</v>
      </c>
      <c r="H1027" s="44" t="s">
        <v>14872</v>
      </c>
      <c r="I1027" s="44" t="s">
        <v>14873</v>
      </c>
      <c r="J1027" s="44" t="s">
        <v>14874</v>
      </c>
      <c r="K1027" s="44" t="s">
        <v>14875</v>
      </c>
      <c r="L1027" s="44" t="s">
        <v>9451</v>
      </c>
      <c r="M1027" s="44" t="s">
        <v>14876</v>
      </c>
    </row>
    <row r="1028" customFormat="false" ht="22.35" hidden="false" customHeight="false" outlineLevel="0" collapsed="false">
      <c r="A1028" s="44" t="s">
        <v>17029</v>
      </c>
      <c r="B1028" s="44" t="s">
        <v>9447</v>
      </c>
      <c r="C1028" s="44" t="s">
        <v>9448</v>
      </c>
      <c r="D1028" s="44" t="s">
        <v>17030</v>
      </c>
      <c r="E1028" s="44" t="s">
        <v>522</v>
      </c>
      <c r="F1028" s="44" t="s">
        <v>523</v>
      </c>
      <c r="G1028" s="44" t="s">
        <v>14871</v>
      </c>
      <c r="H1028" s="44" t="s">
        <v>14872</v>
      </c>
      <c r="I1028" s="44" t="s">
        <v>14879</v>
      </c>
      <c r="J1028" s="44" t="s">
        <v>14874</v>
      </c>
      <c r="K1028" s="44" t="s">
        <v>14875</v>
      </c>
      <c r="L1028" s="44" t="s">
        <v>9451</v>
      </c>
      <c r="M1028" s="44" t="s">
        <v>14876</v>
      </c>
    </row>
    <row r="1029" customFormat="false" ht="22.35" hidden="false" customHeight="false" outlineLevel="0" collapsed="false">
      <c r="A1029" s="44" t="s">
        <v>17031</v>
      </c>
      <c r="B1029" s="44" t="s">
        <v>9447</v>
      </c>
      <c r="C1029" s="44" t="s">
        <v>9448</v>
      </c>
      <c r="D1029" s="44" t="s">
        <v>17032</v>
      </c>
      <c r="E1029" s="44" t="s">
        <v>916</v>
      </c>
      <c r="F1029" s="44" t="s">
        <v>917</v>
      </c>
      <c r="G1029" s="44" t="s">
        <v>14871</v>
      </c>
      <c r="H1029" s="44" t="s">
        <v>14872</v>
      </c>
      <c r="I1029" s="44" t="s">
        <v>14873</v>
      </c>
      <c r="J1029" s="44" t="s">
        <v>14874</v>
      </c>
      <c r="K1029" s="44" t="s">
        <v>14875</v>
      </c>
      <c r="L1029" s="44" t="s">
        <v>9451</v>
      </c>
      <c r="M1029" s="44" t="s">
        <v>14876</v>
      </c>
    </row>
    <row r="1030" customFormat="false" ht="22.35" hidden="false" customHeight="false" outlineLevel="0" collapsed="false">
      <c r="A1030" s="44" t="s">
        <v>17033</v>
      </c>
      <c r="B1030" s="44" t="s">
        <v>9447</v>
      </c>
      <c r="C1030" s="44" t="s">
        <v>9448</v>
      </c>
      <c r="D1030" s="44" t="s">
        <v>17034</v>
      </c>
      <c r="E1030" s="44"/>
      <c r="F1030" s="44"/>
      <c r="G1030" s="44" t="s">
        <v>14882</v>
      </c>
      <c r="H1030" s="44" t="s">
        <v>14872</v>
      </c>
      <c r="I1030" s="44" t="s">
        <v>14883</v>
      </c>
      <c r="J1030" s="44" t="s">
        <v>14874</v>
      </c>
      <c r="K1030" s="44" t="s">
        <v>14875</v>
      </c>
      <c r="L1030" s="44" t="s">
        <v>9451</v>
      </c>
      <c r="M1030" s="44" t="s">
        <v>14876</v>
      </c>
    </row>
    <row r="1031" customFormat="false" ht="22.35" hidden="false" customHeight="false" outlineLevel="0" collapsed="false">
      <c r="A1031" s="44" t="s">
        <v>17035</v>
      </c>
      <c r="B1031" s="44" t="s">
        <v>9447</v>
      </c>
      <c r="C1031" s="44" t="s">
        <v>9448</v>
      </c>
      <c r="D1031" s="44" t="s">
        <v>17036</v>
      </c>
      <c r="E1031" s="44"/>
      <c r="F1031" s="44"/>
      <c r="G1031" s="44" t="s">
        <v>14882</v>
      </c>
      <c r="H1031" s="44" t="s">
        <v>14872</v>
      </c>
      <c r="I1031" s="44" t="s">
        <v>14883</v>
      </c>
      <c r="J1031" s="44" t="s">
        <v>14874</v>
      </c>
      <c r="K1031" s="44" t="s">
        <v>14875</v>
      </c>
      <c r="L1031" s="44" t="s">
        <v>9451</v>
      </c>
      <c r="M1031" s="44" t="s">
        <v>14876</v>
      </c>
    </row>
    <row r="1032" customFormat="false" ht="22.35" hidden="false" customHeight="false" outlineLevel="0" collapsed="false">
      <c r="A1032" s="44" t="s">
        <v>17037</v>
      </c>
      <c r="B1032" s="44" t="s">
        <v>9447</v>
      </c>
      <c r="C1032" s="44" t="s">
        <v>9448</v>
      </c>
      <c r="D1032" s="44" t="s">
        <v>17038</v>
      </c>
      <c r="E1032" s="44" t="s">
        <v>180</v>
      </c>
      <c r="F1032" s="44" t="s">
        <v>47</v>
      </c>
      <c r="G1032" s="44" t="s">
        <v>14871</v>
      </c>
      <c r="H1032" s="44" t="s">
        <v>14872</v>
      </c>
      <c r="I1032" s="44" t="s">
        <v>14886</v>
      </c>
      <c r="J1032" s="44" t="s">
        <v>14874</v>
      </c>
      <c r="K1032" s="44" t="s">
        <v>14875</v>
      </c>
      <c r="L1032" s="44" t="s">
        <v>9451</v>
      </c>
      <c r="M1032" s="44" t="s">
        <v>14876</v>
      </c>
    </row>
    <row r="1033" customFormat="false" ht="22.35" hidden="false" customHeight="false" outlineLevel="0" collapsed="false">
      <c r="A1033" s="44" t="s">
        <v>17039</v>
      </c>
      <c r="B1033" s="44" t="s">
        <v>9452</v>
      </c>
      <c r="C1033" s="44" t="s">
        <v>9453</v>
      </c>
      <c r="D1033" s="44" t="s">
        <v>17040</v>
      </c>
      <c r="E1033" s="44" t="s">
        <v>17041</v>
      </c>
      <c r="F1033" s="44" t="s">
        <v>17042</v>
      </c>
      <c r="G1033" s="44" t="s">
        <v>14871</v>
      </c>
      <c r="H1033" s="44" t="s">
        <v>14872</v>
      </c>
      <c r="I1033" s="44" t="s">
        <v>14886</v>
      </c>
      <c r="J1033" s="44" t="s">
        <v>14874</v>
      </c>
      <c r="K1033" s="44" t="s">
        <v>14875</v>
      </c>
      <c r="L1033" s="44" t="s">
        <v>9456</v>
      </c>
      <c r="M1033" s="44" t="s">
        <v>14876</v>
      </c>
    </row>
    <row r="1034" customFormat="false" ht="22.35" hidden="false" customHeight="false" outlineLevel="0" collapsed="false">
      <c r="A1034" s="44" t="s">
        <v>17043</v>
      </c>
      <c r="B1034" s="44" t="s">
        <v>9452</v>
      </c>
      <c r="C1034" s="44" t="s">
        <v>9453</v>
      </c>
      <c r="D1034" s="44" t="s">
        <v>17044</v>
      </c>
      <c r="E1034" s="44"/>
      <c r="F1034" s="44"/>
      <c r="G1034" s="44" t="s">
        <v>14882</v>
      </c>
      <c r="H1034" s="44" t="s">
        <v>14872</v>
      </c>
      <c r="I1034" s="44" t="s">
        <v>14883</v>
      </c>
      <c r="J1034" s="44" t="s">
        <v>14874</v>
      </c>
      <c r="K1034" s="44" t="s">
        <v>14875</v>
      </c>
      <c r="L1034" s="44" t="s">
        <v>9456</v>
      </c>
      <c r="M1034" s="44" t="s">
        <v>14876</v>
      </c>
    </row>
    <row r="1035" customFormat="false" ht="22.35" hidden="false" customHeight="false" outlineLevel="0" collapsed="false">
      <c r="A1035" s="44" t="s">
        <v>17045</v>
      </c>
      <c r="B1035" s="44" t="s">
        <v>9452</v>
      </c>
      <c r="C1035" s="44" t="s">
        <v>9453</v>
      </c>
      <c r="D1035" s="44" t="s">
        <v>16479</v>
      </c>
      <c r="E1035" s="44" t="s">
        <v>16480</v>
      </c>
      <c r="F1035" s="44" t="s">
        <v>16481</v>
      </c>
      <c r="G1035" s="44" t="s">
        <v>14871</v>
      </c>
      <c r="H1035" s="44" t="s">
        <v>14872</v>
      </c>
      <c r="I1035" s="44" t="s">
        <v>14886</v>
      </c>
      <c r="J1035" s="44" t="s">
        <v>14874</v>
      </c>
      <c r="K1035" s="44" t="s">
        <v>14875</v>
      </c>
      <c r="L1035" s="44" t="s">
        <v>9456</v>
      </c>
      <c r="M1035" s="44" t="s">
        <v>14876</v>
      </c>
    </row>
    <row r="1036" customFormat="false" ht="22.35" hidden="false" customHeight="false" outlineLevel="0" collapsed="false">
      <c r="A1036" s="44" t="s">
        <v>17046</v>
      </c>
      <c r="B1036" s="44" t="s">
        <v>9452</v>
      </c>
      <c r="C1036" s="44" t="s">
        <v>9453</v>
      </c>
      <c r="D1036" s="44" t="s">
        <v>17047</v>
      </c>
      <c r="E1036" s="44"/>
      <c r="F1036" s="44"/>
      <c r="G1036" s="44" t="s">
        <v>14882</v>
      </c>
      <c r="H1036" s="44" t="s">
        <v>14872</v>
      </c>
      <c r="I1036" s="44" t="s">
        <v>14883</v>
      </c>
      <c r="J1036" s="44" t="s">
        <v>14874</v>
      </c>
      <c r="K1036" s="44" t="s">
        <v>14875</v>
      </c>
      <c r="L1036" s="44" t="s">
        <v>9456</v>
      </c>
      <c r="M1036" s="44" t="s">
        <v>14876</v>
      </c>
    </row>
    <row r="1037" customFormat="false" ht="22.35" hidden="false" customHeight="false" outlineLevel="0" collapsed="false">
      <c r="A1037" s="44" t="s">
        <v>17048</v>
      </c>
      <c r="B1037" s="44" t="s">
        <v>9452</v>
      </c>
      <c r="C1037" s="44" t="s">
        <v>9453</v>
      </c>
      <c r="D1037" s="44" t="s">
        <v>17049</v>
      </c>
      <c r="E1037" s="44"/>
      <c r="F1037" s="44"/>
      <c r="G1037" s="44" t="s">
        <v>14882</v>
      </c>
      <c r="H1037" s="44" t="s">
        <v>14872</v>
      </c>
      <c r="I1037" s="44" t="s">
        <v>14883</v>
      </c>
      <c r="J1037" s="44" t="s">
        <v>14874</v>
      </c>
      <c r="K1037" s="44" t="s">
        <v>14875</v>
      </c>
      <c r="L1037" s="44" t="s">
        <v>9456</v>
      </c>
      <c r="M1037" s="44" t="s">
        <v>14876</v>
      </c>
    </row>
    <row r="1038" customFormat="false" ht="22.35" hidden="false" customHeight="false" outlineLevel="0" collapsed="false">
      <c r="A1038" s="44" t="s">
        <v>17050</v>
      </c>
      <c r="B1038" s="44" t="s">
        <v>9452</v>
      </c>
      <c r="C1038" s="44" t="s">
        <v>9453</v>
      </c>
      <c r="D1038" s="44" t="s">
        <v>17051</v>
      </c>
      <c r="E1038" s="44"/>
      <c r="F1038" s="44"/>
      <c r="G1038" s="44" t="s">
        <v>14882</v>
      </c>
      <c r="H1038" s="44" t="s">
        <v>14872</v>
      </c>
      <c r="I1038" s="44" t="s">
        <v>14883</v>
      </c>
      <c r="J1038" s="44" t="s">
        <v>14874</v>
      </c>
      <c r="K1038" s="44" t="s">
        <v>14875</v>
      </c>
      <c r="L1038" s="44" t="s">
        <v>9456</v>
      </c>
      <c r="M1038" s="44" t="s">
        <v>14876</v>
      </c>
    </row>
    <row r="1039" customFormat="false" ht="22.35" hidden="false" customHeight="false" outlineLevel="0" collapsed="false">
      <c r="A1039" s="44" t="s">
        <v>17052</v>
      </c>
      <c r="B1039" s="44" t="s">
        <v>9457</v>
      </c>
      <c r="C1039" s="44" t="s">
        <v>9458</v>
      </c>
      <c r="D1039" s="44" t="s">
        <v>17053</v>
      </c>
      <c r="E1039" s="44" t="s">
        <v>4895</v>
      </c>
      <c r="F1039" s="44" t="s">
        <v>4896</v>
      </c>
      <c r="G1039" s="44" t="s">
        <v>14871</v>
      </c>
      <c r="H1039" s="44" t="s">
        <v>14872</v>
      </c>
      <c r="I1039" s="44" t="s">
        <v>14886</v>
      </c>
      <c r="J1039" s="44" t="s">
        <v>14874</v>
      </c>
      <c r="K1039" s="44" t="s">
        <v>14875</v>
      </c>
      <c r="L1039" s="44" t="s">
        <v>9462</v>
      </c>
      <c r="M1039" s="44" t="s">
        <v>14876</v>
      </c>
    </row>
    <row r="1040" customFormat="false" ht="22.35" hidden="false" customHeight="false" outlineLevel="0" collapsed="false">
      <c r="A1040" s="44" t="s">
        <v>17054</v>
      </c>
      <c r="B1040" s="44" t="s">
        <v>9457</v>
      </c>
      <c r="C1040" s="44" t="s">
        <v>9458</v>
      </c>
      <c r="D1040" s="44" t="s">
        <v>17055</v>
      </c>
      <c r="E1040" s="44" t="s">
        <v>3257</v>
      </c>
      <c r="F1040" s="44" t="s">
        <v>3258</v>
      </c>
      <c r="G1040" s="44" t="s">
        <v>14871</v>
      </c>
      <c r="H1040" s="44" t="s">
        <v>14872</v>
      </c>
      <c r="I1040" s="44" t="s">
        <v>14873</v>
      </c>
      <c r="J1040" s="44" t="s">
        <v>14874</v>
      </c>
      <c r="K1040" s="44" t="s">
        <v>14875</v>
      </c>
      <c r="L1040" s="44" t="s">
        <v>9462</v>
      </c>
      <c r="M1040" s="44" t="s">
        <v>14876</v>
      </c>
    </row>
    <row r="1041" customFormat="false" ht="22.35" hidden="false" customHeight="false" outlineLevel="0" collapsed="false">
      <c r="A1041" s="44" t="s">
        <v>17056</v>
      </c>
      <c r="B1041" s="44" t="s">
        <v>9457</v>
      </c>
      <c r="C1041" s="44" t="s">
        <v>9458</v>
      </c>
      <c r="D1041" s="44" t="s">
        <v>17057</v>
      </c>
      <c r="E1041" s="44" t="s">
        <v>6785</v>
      </c>
      <c r="F1041" s="44" t="s">
        <v>6786</v>
      </c>
      <c r="G1041" s="44" t="s">
        <v>14871</v>
      </c>
      <c r="H1041" s="44" t="s">
        <v>14872</v>
      </c>
      <c r="I1041" s="44" t="s">
        <v>14886</v>
      </c>
      <c r="J1041" s="44" t="s">
        <v>14874</v>
      </c>
      <c r="K1041" s="44" t="s">
        <v>14875</v>
      </c>
      <c r="L1041" s="44" t="s">
        <v>9462</v>
      </c>
      <c r="M1041" s="44" t="s">
        <v>14876</v>
      </c>
    </row>
    <row r="1042" customFormat="false" ht="22.35" hidden="false" customHeight="false" outlineLevel="0" collapsed="false">
      <c r="A1042" s="44" t="s">
        <v>17058</v>
      </c>
      <c r="B1042" s="44" t="s">
        <v>9457</v>
      </c>
      <c r="C1042" s="44" t="s">
        <v>9458</v>
      </c>
      <c r="D1042" s="44" t="s">
        <v>17059</v>
      </c>
      <c r="E1042" s="44"/>
      <c r="F1042" s="44"/>
      <c r="G1042" s="44" t="s">
        <v>14882</v>
      </c>
      <c r="H1042" s="44" t="s">
        <v>14872</v>
      </c>
      <c r="I1042" s="44" t="s">
        <v>14883</v>
      </c>
      <c r="J1042" s="44" t="s">
        <v>14874</v>
      </c>
      <c r="K1042" s="44" t="s">
        <v>14875</v>
      </c>
      <c r="L1042" s="44" t="s">
        <v>9462</v>
      </c>
      <c r="M1042" s="44" t="s">
        <v>14876</v>
      </c>
    </row>
    <row r="1043" customFormat="false" ht="22.35" hidden="false" customHeight="false" outlineLevel="0" collapsed="false">
      <c r="A1043" s="44" t="s">
        <v>17060</v>
      </c>
      <c r="B1043" s="44" t="s">
        <v>9457</v>
      </c>
      <c r="C1043" s="44" t="s">
        <v>9458</v>
      </c>
      <c r="D1043" s="44" t="s">
        <v>17061</v>
      </c>
      <c r="E1043" s="44"/>
      <c r="F1043" s="44"/>
      <c r="G1043" s="44" t="s">
        <v>14882</v>
      </c>
      <c r="H1043" s="44" t="s">
        <v>14872</v>
      </c>
      <c r="I1043" s="44" t="s">
        <v>14883</v>
      </c>
      <c r="J1043" s="44" t="s">
        <v>14874</v>
      </c>
      <c r="K1043" s="44" t="s">
        <v>14875</v>
      </c>
      <c r="L1043" s="44" t="s">
        <v>9462</v>
      </c>
      <c r="M1043" s="44" t="s">
        <v>14876</v>
      </c>
    </row>
    <row r="1044" customFormat="false" ht="22.35" hidden="false" customHeight="false" outlineLevel="0" collapsed="false">
      <c r="A1044" s="44" t="s">
        <v>17062</v>
      </c>
      <c r="B1044" s="44" t="s">
        <v>9457</v>
      </c>
      <c r="C1044" s="44" t="s">
        <v>9458</v>
      </c>
      <c r="D1044" s="44" t="s">
        <v>17063</v>
      </c>
      <c r="E1044" s="44"/>
      <c r="F1044" s="44"/>
      <c r="G1044" s="44" t="s">
        <v>14882</v>
      </c>
      <c r="H1044" s="44" t="s">
        <v>14872</v>
      </c>
      <c r="I1044" s="44" t="s">
        <v>14883</v>
      </c>
      <c r="J1044" s="44" t="s">
        <v>14874</v>
      </c>
      <c r="K1044" s="44" t="s">
        <v>14875</v>
      </c>
      <c r="L1044" s="44" t="s">
        <v>9462</v>
      </c>
      <c r="M1044" s="44" t="s">
        <v>14876</v>
      </c>
    </row>
    <row r="1045" customFormat="false" ht="22.35" hidden="false" customHeight="false" outlineLevel="0" collapsed="false">
      <c r="A1045" s="44" t="s">
        <v>17064</v>
      </c>
      <c r="B1045" s="44" t="s">
        <v>9463</v>
      </c>
      <c r="C1045" s="44" t="s">
        <v>9464</v>
      </c>
      <c r="D1045" s="44" t="s">
        <v>17065</v>
      </c>
      <c r="E1045" s="44"/>
      <c r="F1045" s="44"/>
      <c r="G1045" s="44" t="s">
        <v>14882</v>
      </c>
      <c r="H1045" s="44" t="s">
        <v>14872</v>
      </c>
      <c r="I1045" s="44" t="s">
        <v>14883</v>
      </c>
      <c r="J1045" s="44" t="s">
        <v>14874</v>
      </c>
      <c r="K1045" s="44" t="s">
        <v>14875</v>
      </c>
      <c r="L1045" s="44" t="s">
        <v>9467</v>
      </c>
      <c r="M1045" s="44" t="s">
        <v>14876</v>
      </c>
    </row>
    <row r="1046" customFormat="false" ht="22.35" hidden="false" customHeight="false" outlineLevel="0" collapsed="false">
      <c r="A1046" s="44" t="s">
        <v>17066</v>
      </c>
      <c r="B1046" s="44" t="s">
        <v>9463</v>
      </c>
      <c r="C1046" s="44" t="s">
        <v>9464</v>
      </c>
      <c r="D1046" s="44" t="s">
        <v>17067</v>
      </c>
      <c r="E1046" s="44"/>
      <c r="F1046" s="44"/>
      <c r="G1046" s="44" t="s">
        <v>14882</v>
      </c>
      <c r="H1046" s="44" t="s">
        <v>14872</v>
      </c>
      <c r="I1046" s="44" t="s">
        <v>14883</v>
      </c>
      <c r="J1046" s="44" t="s">
        <v>14874</v>
      </c>
      <c r="K1046" s="44" t="s">
        <v>14875</v>
      </c>
      <c r="L1046" s="44" t="s">
        <v>9467</v>
      </c>
      <c r="M1046" s="44" t="s">
        <v>14876</v>
      </c>
    </row>
    <row r="1047" customFormat="false" ht="22.35" hidden="false" customHeight="false" outlineLevel="0" collapsed="false">
      <c r="A1047" s="44" t="s">
        <v>17068</v>
      </c>
      <c r="B1047" s="44" t="s">
        <v>9463</v>
      </c>
      <c r="C1047" s="44" t="s">
        <v>9464</v>
      </c>
      <c r="D1047" s="44" t="s">
        <v>17069</v>
      </c>
      <c r="E1047" s="44"/>
      <c r="F1047" s="44"/>
      <c r="G1047" s="44" t="s">
        <v>14882</v>
      </c>
      <c r="H1047" s="44" t="s">
        <v>14872</v>
      </c>
      <c r="I1047" s="44" t="s">
        <v>14883</v>
      </c>
      <c r="J1047" s="44" t="s">
        <v>14874</v>
      </c>
      <c r="K1047" s="44" t="s">
        <v>14875</v>
      </c>
      <c r="L1047" s="44" t="s">
        <v>9467</v>
      </c>
      <c r="M1047" s="44" t="s">
        <v>14876</v>
      </c>
    </row>
    <row r="1048" customFormat="false" ht="22.35" hidden="false" customHeight="false" outlineLevel="0" collapsed="false">
      <c r="A1048" s="44" t="s">
        <v>17070</v>
      </c>
      <c r="B1048" s="44" t="s">
        <v>9463</v>
      </c>
      <c r="C1048" s="44" t="s">
        <v>9464</v>
      </c>
      <c r="D1048" s="44" t="s">
        <v>17071</v>
      </c>
      <c r="E1048" s="44" t="s">
        <v>211</v>
      </c>
      <c r="F1048" s="44" t="s">
        <v>212</v>
      </c>
      <c r="G1048" s="44" t="s">
        <v>14871</v>
      </c>
      <c r="H1048" s="44" t="s">
        <v>14872</v>
      </c>
      <c r="I1048" s="44" t="s">
        <v>14873</v>
      </c>
      <c r="J1048" s="44" t="s">
        <v>14874</v>
      </c>
      <c r="K1048" s="44" t="s">
        <v>14875</v>
      </c>
      <c r="L1048" s="44" t="s">
        <v>9467</v>
      </c>
      <c r="M1048" s="44" t="s">
        <v>14876</v>
      </c>
    </row>
    <row r="1049" customFormat="false" ht="22.35" hidden="false" customHeight="false" outlineLevel="0" collapsed="false">
      <c r="A1049" s="44" t="s">
        <v>17072</v>
      </c>
      <c r="B1049" s="44" t="s">
        <v>9463</v>
      </c>
      <c r="C1049" s="44" t="s">
        <v>9464</v>
      </c>
      <c r="D1049" s="44" t="s">
        <v>17073</v>
      </c>
      <c r="E1049" s="44" t="s">
        <v>3251</v>
      </c>
      <c r="F1049" s="44" t="s">
        <v>3252</v>
      </c>
      <c r="G1049" s="44" t="s">
        <v>14871</v>
      </c>
      <c r="H1049" s="44" t="s">
        <v>14872</v>
      </c>
      <c r="I1049" s="44" t="s">
        <v>14886</v>
      </c>
      <c r="J1049" s="44" t="s">
        <v>14874</v>
      </c>
      <c r="K1049" s="44" t="s">
        <v>14875</v>
      </c>
      <c r="L1049" s="44" t="s">
        <v>9467</v>
      </c>
      <c r="M1049" s="44" t="s">
        <v>14876</v>
      </c>
    </row>
    <row r="1050" customFormat="false" ht="22.35" hidden="false" customHeight="false" outlineLevel="0" collapsed="false">
      <c r="A1050" s="44" t="s">
        <v>17074</v>
      </c>
      <c r="B1050" s="44" t="s">
        <v>9463</v>
      </c>
      <c r="C1050" s="44" t="s">
        <v>9464</v>
      </c>
      <c r="D1050" s="44" t="s">
        <v>17075</v>
      </c>
      <c r="E1050" s="44" t="s">
        <v>2761</v>
      </c>
      <c r="F1050" s="44" t="s">
        <v>2762</v>
      </c>
      <c r="G1050" s="44" t="s">
        <v>14871</v>
      </c>
      <c r="H1050" s="44" t="s">
        <v>14872</v>
      </c>
      <c r="I1050" s="44" t="s">
        <v>14886</v>
      </c>
      <c r="J1050" s="44" t="s">
        <v>14874</v>
      </c>
      <c r="K1050" s="44" t="s">
        <v>14875</v>
      </c>
      <c r="L1050" s="44" t="s">
        <v>9467</v>
      </c>
      <c r="M1050" s="44" t="s">
        <v>14876</v>
      </c>
    </row>
    <row r="1051" customFormat="false" ht="22.35" hidden="false" customHeight="false" outlineLevel="0" collapsed="false">
      <c r="A1051" s="44" t="s">
        <v>17076</v>
      </c>
      <c r="B1051" s="44" t="s">
        <v>9468</v>
      </c>
      <c r="C1051" s="44" t="s">
        <v>9469</v>
      </c>
      <c r="D1051" s="44" t="s">
        <v>17077</v>
      </c>
      <c r="E1051" s="44" t="s">
        <v>17078</v>
      </c>
      <c r="F1051" s="44" t="s">
        <v>17079</v>
      </c>
      <c r="G1051" s="44" t="s">
        <v>14871</v>
      </c>
      <c r="H1051" s="44" t="s">
        <v>14872</v>
      </c>
      <c r="I1051" s="44" t="s">
        <v>14886</v>
      </c>
      <c r="J1051" s="44" t="s">
        <v>14874</v>
      </c>
      <c r="K1051" s="44" t="s">
        <v>14875</v>
      </c>
      <c r="L1051" s="44" t="s">
        <v>9473</v>
      </c>
      <c r="M1051" s="44" t="s">
        <v>14876</v>
      </c>
    </row>
    <row r="1052" customFormat="false" ht="22.35" hidden="false" customHeight="false" outlineLevel="0" collapsed="false">
      <c r="A1052" s="44" t="s">
        <v>17080</v>
      </c>
      <c r="B1052" s="44" t="s">
        <v>9468</v>
      </c>
      <c r="C1052" s="44" t="s">
        <v>9469</v>
      </c>
      <c r="D1052" s="44" t="s">
        <v>17081</v>
      </c>
      <c r="E1052" s="44" t="s">
        <v>527</v>
      </c>
      <c r="F1052" s="44" t="s">
        <v>528</v>
      </c>
      <c r="G1052" s="44" t="s">
        <v>14871</v>
      </c>
      <c r="H1052" s="44" t="s">
        <v>14872</v>
      </c>
      <c r="I1052" s="44" t="s">
        <v>14879</v>
      </c>
      <c r="J1052" s="44" t="s">
        <v>14874</v>
      </c>
      <c r="K1052" s="44" t="s">
        <v>14875</v>
      </c>
      <c r="L1052" s="44" t="s">
        <v>9473</v>
      </c>
      <c r="M1052" s="44" t="s">
        <v>14876</v>
      </c>
    </row>
    <row r="1053" customFormat="false" ht="22.35" hidden="false" customHeight="false" outlineLevel="0" collapsed="false">
      <c r="A1053" s="44" t="s">
        <v>17082</v>
      </c>
      <c r="B1053" s="44" t="s">
        <v>9468</v>
      </c>
      <c r="C1053" s="44" t="s">
        <v>9469</v>
      </c>
      <c r="D1053" s="44" t="s">
        <v>17083</v>
      </c>
      <c r="E1053" s="44" t="s">
        <v>200</v>
      </c>
      <c r="F1053" s="44" t="s">
        <v>201</v>
      </c>
      <c r="G1053" s="44" t="s">
        <v>14871</v>
      </c>
      <c r="H1053" s="44" t="s">
        <v>14872</v>
      </c>
      <c r="I1053" s="44" t="s">
        <v>14886</v>
      </c>
      <c r="J1053" s="44" t="s">
        <v>14874</v>
      </c>
      <c r="K1053" s="44" t="s">
        <v>14875</v>
      </c>
      <c r="L1053" s="44" t="s">
        <v>9473</v>
      </c>
      <c r="M1053" s="44" t="s">
        <v>14876</v>
      </c>
    </row>
    <row r="1054" customFormat="false" ht="22.35" hidden="false" customHeight="false" outlineLevel="0" collapsed="false">
      <c r="A1054" s="44" t="s">
        <v>17084</v>
      </c>
      <c r="B1054" s="44" t="s">
        <v>9468</v>
      </c>
      <c r="C1054" s="44" t="s">
        <v>9469</v>
      </c>
      <c r="D1054" s="44" t="s">
        <v>17085</v>
      </c>
      <c r="E1054" s="44"/>
      <c r="F1054" s="44"/>
      <c r="G1054" s="44" t="s">
        <v>14882</v>
      </c>
      <c r="H1054" s="44" t="s">
        <v>14872</v>
      </c>
      <c r="I1054" s="44" t="s">
        <v>14883</v>
      </c>
      <c r="J1054" s="44" t="s">
        <v>14874</v>
      </c>
      <c r="K1054" s="44" t="s">
        <v>14875</v>
      </c>
      <c r="L1054" s="44" t="s">
        <v>9473</v>
      </c>
      <c r="M1054" s="44" t="s">
        <v>14876</v>
      </c>
    </row>
    <row r="1055" customFormat="false" ht="22.35" hidden="false" customHeight="false" outlineLevel="0" collapsed="false">
      <c r="A1055" s="44" t="s">
        <v>17086</v>
      </c>
      <c r="B1055" s="44" t="s">
        <v>9468</v>
      </c>
      <c r="C1055" s="44" t="s">
        <v>9469</v>
      </c>
      <c r="D1055" s="44" t="s">
        <v>17087</v>
      </c>
      <c r="E1055" s="44" t="s">
        <v>934</v>
      </c>
      <c r="F1055" s="44" t="s">
        <v>935</v>
      </c>
      <c r="G1055" s="44" t="s">
        <v>14871</v>
      </c>
      <c r="H1055" s="44" t="s">
        <v>14872</v>
      </c>
      <c r="I1055" s="44" t="s">
        <v>14873</v>
      </c>
      <c r="J1055" s="44" t="s">
        <v>14874</v>
      </c>
      <c r="K1055" s="44" t="s">
        <v>14875</v>
      </c>
      <c r="L1055" s="44" t="s">
        <v>9473</v>
      </c>
      <c r="M1055" s="44" t="s">
        <v>14876</v>
      </c>
    </row>
    <row r="1056" customFormat="false" ht="22.35" hidden="false" customHeight="false" outlineLevel="0" collapsed="false">
      <c r="A1056" s="44" t="s">
        <v>17088</v>
      </c>
      <c r="B1056" s="44" t="s">
        <v>9468</v>
      </c>
      <c r="C1056" s="44" t="s">
        <v>9469</v>
      </c>
      <c r="D1056" s="44" t="s">
        <v>15541</v>
      </c>
      <c r="E1056" s="44"/>
      <c r="F1056" s="44"/>
      <c r="G1056" s="44" t="s">
        <v>14882</v>
      </c>
      <c r="H1056" s="44" t="s">
        <v>14872</v>
      </c>
      <c r="I1056" s="44" t="s">
        <v>14883</v>
      </c>
      <c r="J1056" s="44" t="s">
        <v>14874</v>
      </c>
      <c r="K1056" s="44" t="s">
        <v>14875</v>
      </c>
      <c r="L1056" s="44" t="s">
        <v>9473</v>
      </c>
      <c r="M1056" s="44" t="s">
        <v>14876</v>
      </c>
    </row>
    <row r="1057" customFormat="false" ht="22.35" hidden="false" customHeight="false" outlineLevel="0" collapsed="false">
      <c r="A1057" s="44" t="s">
        <v>17089</v>
      </c>
      <c r="B1057" s="44" t="s">
        <v>9474</v>
      </c>
      <c r="C1057" s="44" t="s">
        <v>9475</v>
      </c>
      <c r="D1057" s="44" t="s">
        <v>16487</v>
      </c>
      <c r="E1057" s="44" t="s">
        <v>16488</v>
      </c>
      <c r="F1057" s="44" t="s">
        <v>16489</v>
      </c>
      <c r="G1057" s="44" t="s">
        <v>14871</v>
      </c>
      <c r="H1057" s="44" t="s">
        <v>14872</v>
      </c>
      <c r="I1057" s="44" t="s">
        <v>14886</v>
      </c>
      <c r="J1057" s="44" t="s">
        <v>14874</v>
      </c>
      <c r="K1057" s="44" t="s">
        <v>14875</v>
      </c>
      <c r="L1057" s="44" t="s">
        <v>9478</v>
      </c>
      <c r="M1057" s="44" t="s">
        <v>14876</v>
      </c>
    </row>
    <row r="1058" customFormat="false" ht="22.35" hidden="false" customHeight="false" outlineLevel="0" collapsed="false">
      <c r="A1058" s="44" t="s">
        <v>17090</v>
      </c>
      <c r="B1058" s="44" t="s">
        <v>9474</v>
      </c>
      <c r="C1058" s="44" t="s">
        <v>9475</v>
      </c>
      <c r="D1058" s="44" t="s">
        <v>17091</v>
      </c>
      <c r="E1058" s="44"/>
      <c r="F1058" s="44"/>
      <c r="G1058" s="44" t="s">
        <v>14882</v>
      </c>
      <c r="H1058" s="44" t="s">
        <v>14872</v>
      </c>
      <c r="I1058" s="44" t="s">
        <v>14883</v>
      </c>
      <c r="J1058" s="44" t="s">
        <v>14874</v>
      </c>
      <c r="K1058" s="44" t="s">
        <v>14875</v>
      </c>
      <c r="L1058" s="44" t="s">
        <v>9478</v>
      </c>
      <c r="M1058" s="44" t="s">
        <v>14876</v>
      </c>
    </row>
    <row r="1059" customFormat="false" ht="22.35" hidden="false" customHeight="false" outlineLevel="0" collapsed="false">
      <c r="A1059" s="44" t="s">
        <v>17092</v>
      </c>
      <c r="B1059" s="44" t="s">
        <v>9474</v>
      </c>
      <c r="C1059" s="44" t="s">
        <v>9475</v>
      </c>
      <c r="D1059" s="44" t="s">
        <v>17093</v>
      </c>
      <c r="E1059" s="44" t="s">
        <v>4214</v>
      </c>
      <c r="F1059" s="44" t="s">
        <v>4215</v>
      </c>
      <c r="G1059" s="44" t="s">
        <v>14871</v>
      </c>
      <c r="H1059" s="44" t="s">
        <v>14872</v>
      </c>
      <c r="I1059" s="44" t="s">
        <v>14886</v>
      </c>
      <c r="J1059" s="44" t="s">
        <v>14874</v>
      </c>
      <c r="K1059" s="44" t="s">
        <v>14875</v>
      </c>
      <c r="L1059" s="44" t="s">
        <v>9478</v>
      </c>
      <c r="M1059" s="44" t="s">
        <v>14876</v>
      </c>
    </row>
    <row r="1060" customFormat="false" ht="22.35" hidden="false" customHeight="false" outlineLevel="0" collapsed="false">
      <c r="A1060" s="44" t="s">
        <v>17094</v>
      </c>
      <c r="B1060" s="44" t="s">
        <v>9474</v>
      </c>
      <c r="C1060" s="44" t="s">
        <v>9475</v>
      </c>
      <c r="D1060" s="44" t="s">
        <v>17095</v>
      </c>
      <c r="E1060" s="44" t="s">
        <v>3246</v>
      </c>
      <c r="F1060" s="44" t="s">
        <v>3247</v>
      </c>
      <c r="G1060" s="44" t="s">
        <v>14871</v>
      </c>
      <c r="H1060" s="44" t="s">
        <v>14872</v>
      </c>
      <c r="I1060" s="44" t="s">
        <v>14873</v>
      </c>
      <c r="J1060" s="44" t="s">
        <v>14874</v>
      </c>
      <c r="K1060" s="44" t="s">
        <v>14875</v>
      </c>
      <c r="L1060" s="44" t="s">
        <v>9478</v>
      </c>
      <c r="M1060" s="44" t="s">
        <v>14876</v>
      </c>
    </row>
    <row r="1061" customFormat="false" ht="22.35" hidden="false" customHeight="false" outlineLevel="0" collapsed="false">
      <c r="A1061" s="44" t="s">
        <v>17096</v>
      </c>
      <c r="B1061" s="44" t="s">
        <v>9474</v>
      </c>
      <c r="C1061" s="44" t="s">
        <v>9475</v>
      </c>
      <c r="D1061" s="44" t="s">
        <v>17097</v>
      </c>
      <c r="E1061" s="44" t="s">
        <v>180</v>
      </c>
      <c r="F1061" s="44" t="s">
        <v>47</v>
      </c>
      <c r="G1061" s="44" t="s">
        <v>14871</v>
      </c>
      <c r="H1061" s="44" t="s">
        <v>14872</v>
      </c>
      <c r="I1061" s="44" t="s">
        <v>14886</v>
      </c>
      <c r="J1061" s="44" t="s">
        <v>14874</v>
      </c>
      <c r="K1061" s="44" t="s">
        <v>14875</v>
      </c>
      <c r="L1061" s="44" t="s">
        <v>9478</v>
      </c>
      <c r="M1061" s="44" t="s">
        <v>14876</v>
      </c>
    </row>
    <row r="1062" customFormat="false" ht="22.35" hidden="false" customHeight="false" outlineLevel="0" collapsed="false">
      <c r="A1062" s="44" t="s">
        <v>17098</v>
      </c>
      <c r="B1062" s="44" t="s">
        <v>9479</v>
      </c>
      <c r="C1062" s="44" t="s">
        <v>9480</v>
      </c>
      <c r="D1062" s="44" t="s">
        <v>17099</v>
      </c>
      <c r="E1062" s="44" t="s">
        <v>211</v>
      </c>
      <c r="F1062" s="44" t="s">
        <v>212</v>
      </c>
      <c r="G1062" s="44" t="s">
        <v>14871</v>
      </c>
      <c r="H1062" s="44" t="s">
        <v>14872</v>
      </c>
      <c r="I1062" s="44" t="s">
        <v>14873</v>
      </c>
      <c r="J1062" s="44" t="s">
        <v>14874</v>
      </c>
      <c r="K1062" s="44" t="s">
        <v>14875</v>
      </c>
      <c r="L1062" s="44" t="s">
        <v>9482</v>
      </c>
      <c r="M1062" s="44" t="s">
        <v>14876</v>
      </c>
    </row>
    <row r="1063" customFormat="false" ht="22.35" hidden="false" customHeight="false" outlineLevel="0" collapsed="false">
      <c r="A1063" s="44" t="s">
        <v>17100</v>
      </c>
      <c r="B1063" s="44" t="s">
        <v>9479</v>
      </c>
      <c r="C1063" s="44" t="s">
        <v>9480</v>
      </c>
      <c r="D1063" s="44" t="s">
        <v>15026</v>
      </c>
      <c r="E1063" s="44" t="s">
        <v>522</v>
      </c>
      <c r="F1063" s="44" t="s">
        <v>523</v>
      </c>
      <c r="G1063" s="44" t="s">
        <v>14871</v>
      </c>
      <c r="H1063" s="44" t="s">
        <v>14872</v>
      </c>
      <c r="I1063" s="44" t="s">
        <v>14879</v>
      </c>
      <c r="J1063" s="44" t="s">
        <v>14874</v>
      </c>
      <c r="K1063" s="44" t="s">
        <v>14875</v>
      </c>
      <c r="L1063" s="44" t="s">
        <v>9482</v>
      </c>
      <c r="M1063" s="44" t="s">
        <v>14876</v>
      </c>
    </row>
    <row r="1064" customFormat="false" ht="22.35" hidden="false" customHeight="false" outlineLevel="0" collapsed="false">
      <c r="A1064" s="44" t="s">
        <v>17101</v>
      </c>
      <c r="B1064" s="44" t="s">
        <v>9479</v>
      </c>
      <c r="C1064" s="44" t="s">
        <v>9480</v>
      </c>
      <c r="D1064" s="44" t="s">
        <v>17102</v>
      </c>
      <c r="E1064" s="44" t="s">
        <v>4098</v>
      </c>
      <c r="F1064" s="44" t="s">
        <v>4099</v>
      </c>
      <c r="G1064" s="44" t="s">
        <v>14871</v>
      </c>
      <c r="H1064" s="44" t="s">
        <v>14872</v>
      </c>
      <c r="I1064" s="44" t="s">
        <v>14879</v>
      </c>
      <c r="J1064" s="44" t="s">
        <v>14874</v>
      </c>
      <c r="K1064" s="44" t="s">
        <v>14875</v>
      </c>
      <c r="L1064" s="44" t="s">
        <v>9482</v>
      </c>
      <c r="M1064" s="44" t="s">
        <v>14876</v>
      </c>
    </row>
    <row r="1065" customFormat="false" ht="22.35" hidden="false" customHeight="false" outlineLevel="0" collapsed="false">
      <c r="A1065" s="44" t="s">
        <v>17103</v>
      </c>
      <c r="B1065" s="44" t="s">
        <v>9479</v>
      </c>
      <c r="C1065" s="44" t="s">
        <v>9480</v>
      </c>
      <c r="D1065" s="44" t="s">
        <v>17104</v>
      </c>
      <c r="E1065" s="44" t="s">
        <v>5914</v>
      </c>
      <c r="F1065" s="44" t="s">
        <v>5915</v>
      </c>
      <c r="G1065" s="44" t="s">
        <v>14871</v>
      </c>
      <c r="H1065" s="44" t="s">
        <v>14872</v>
      </c>
      <c r="I1065" s="44" t="s">
        <v>14873</v>
      </c>
      <c r="J1065" s="44" t="s">
        <v>14874</v>
      </c>
      <c r="K1065" s="44" t="s">
        <v>14875</v>
      </c>
      <c r="L1065" s="44" t="s">
        <v>9482</v>
      </c>
      <c r="M1065" s="44" t="s">
        <v>14876</v>
      </c>
    </row>
    <row r="1066" customFormat="false" ht="22.35" hidden="false" customHeight="false" outlineLevel="0" collapsed="false">
      <c r="A1066" s="44" t="s">
        <v>17105</v>
      </c>
      <c r="B1066" s="44" t="s">
        <v>9479</v>
      </c>
      <c r="C1066" s="44" t="s">
        <v>9480</v>
      </c>
      <c r="D1066" s="44" t="s">
        <v>17106</v>
      </c>
      <c r="E1066" s="44" t="s">
        <v>2761</v>
      </c>
      <c r="F1066" s="44" t="s">
        <v>2762</v>
      </c>
      <c r="G1066" s="44" t="s">
        <v>14871</v>
      </c>
      <c r="H1066" s="44" t="s">
        <v>14872</v>
      </c>
      <c r="I1066" s="44" t="s">
        <v>14886</v>
      </c>
      <c r="J1066" s="44" t="s">
        <v>14874</v>
      </c>
      <c r="K1066" s="44" t="s">
        <v>14875</v>
      </c>
      <c r="L1066" s="44" t="s">
        <v>9482</v>
      </c>
      <c r="M1066" s="44" t="s">
        <v>14876</v>
      </c>
    </row>
    <row r="1067" customFormat="false" ht="22.35" hidden="false" customHeight="false" outlineLevel="0" collapsed="false">
      <c r="A1067" s="44" t="s">
        <v>17107</v>
      </c>
      <c r="B1067" s="44" t="s">
        <v>9483</v>
      </c>
      <c r="C1067" s="44" t="s">
        <v>9484</v>
      </c>
      <c r="D1067" s="44" t="s">
        <v>17108</v>
      </c>
      <c r="E1067" s="44" t="s">
        <v>4895</v>
      </c>
      <c r="F1067" s="44" t="s">
        <v>4896</v>
      </c>
      <c r="G1067" s="44" t="s">
        <v>14871</v>
      </c>
      <c r="H1067" s="44" t="s">
        <v>14872</v>
      </c>
      <c r="I1067" s="44" t="s">
        <v>14886</v>
      </c>
      <c r="J1067" s="44" t="s">
        <v>14874</v>
      </c>
      <c r="K1067" s="44" t="s">
        <v>14875</v>
      </c>
      <c r="L1067" s="44" t="s">
        <v>9488</v>
      </c>
      <c r="M1067" s="44" t="s">
        <v>14876</v>
      </c>
    </row>
    <row r="1068" customFormat="false" ht="22.35" hidden="false" customHeight="false" outlineLevel="0" collapsed="false">
      <c r="A1068" s="44" t="s">
        <v>17109</v>
      </c>
      <c r="B1068" s="44" t="s">
        <v>9483</v>
      </c>
      <c r="C1068" s="44" t="s">
        <v>9484</v>
      </c>
      <c r="D1068" s="44" t="s">
        <v>17110</v>
      </c>
      <c r="E1068" s="44" t="s">
        <v>211</v>
      </c>
      <c r="F1068" s="44" t="s">
        <v>212</v>
      </c>
      <c r="G1068" s="44" t="s">
        <v>14871</v>
      </c>
      <c r="H1068" s="44" t="s">
        <v>14872</v>
      </c>
      <c r="I1068" s="44" t="s">
        <v>14873</v>
      </c>
      <c r="J1068" s="44" t="s">
        <v>14874</v>
      </c>
      <c r="K1068" s="44" t="s">
        <v>14875</v>
      </c>
      <c r="L1068" s="44" t="s">
        <v>9488</v>
      </c>
      <c r="M1068" s="44" t="s">
        <v>14876</v>
      </c>
    </row>
    <row r="1069" customFormat="false" ht="22.35" hidden="false" customHeight="false" outlineLevel="0" collapsed="false">
      <c r="A1069" s="44" t="s">
        <v>17111</v>
      </c>
      <c r="B1069" s="44" t="s">
        <v>9483</v>
      </c>
      <c r="C1069" s="44" t="s">
        <v>9484</v>
      </c>
      <c r="D1069" s="44" t="s">
        <v>17112</v>
      </c>
      <c r="E1069" s="44" t="s">
        <v>6785</v>
      </c>
      <c r="F1069" s="44" t="s">
        <v>6786</v>
      </c>
      <c r="G1069" s="44" t="s">
        <v>14871</v>
      </c>
      <c r="H1069" s="44" t="s">
        <v>14872</v>
      </c>
      <c r="I1069" s="44" t="s">
        <v>14886</v>
      </c>
      <c r="J1069" s="44" t="s">
        <v>14874</v>
      </c>
      <c r="K1069" s="44" t="s">
        <v>14875</v>
      </c>
      <c r="L1069" s="44" t="s">
        <v>9488</v>
      </c>
      <c r="M1069" s="44" t="s">
        <v>14876</v>
      </c>
    </row>
    <row r="1070" customFormat="false" ht="22.35" hidden="false" customHeight="false" outlineLevel="0" collapsed="false">
      <c r="A1070" s="44" t="s">
        <v>17113</v>
      </c>
      <c r="B1070" s="44" t="s">
        <v>9483</v>
      </c>
      <c r="C1070" s="44" t="s">
        <v>9484</v>
      </c>
      <c r="D1070" s="44" t="s">
        <v>17114</v>
      </c>
      <c r="E1070" s="44"/>
      <c r="F1070" s="44"/>
      <c r="G1070" s="44" t="s">
        <v>14882</v>
      </c>
      <c r="H1070" s="44" t="s">
        <v>14872</v>
      </c>
      <c r="I1070" s="44" t="s">
        <v>14883</v>
      </c>
      <c r="J1070" s="44" t="s">
        <v>14874</v>
      </c>
      <c r="K1070" s="44" t="s">
        <v>14875</v>
      </c>
      <c r="L1070" s="44" t="s">
        <v>9488</v>
      </c>
      <c r="M1070" s="44" t="s">
        <v>14876</v>
      </c>
    </row>
    <row r="1071" customFormat="false" ht="22.35" hidden="false" customHeight="false" outlineLevel="0" collapsed="false">
      <c r="A1071" s="44" t="s">
        <v>17115</v>
      </c>
      <c r="B1071" s="44" t="s">
        <v>9483</v>
      </c>
      <c r="C1071" s="44" t="s">
        <v>9484</v>
      </c>
      <c r="D1071" s="44" t="s">
        <v>17116</v>
      </c>
      <c r="E1071" s="44"/>
      <c r="F1071" s="44"/>
      <c r="G1071" s="44" t="s">
        <v>14882</v>
      </c>
      <c r="H1071" s="44" t="s">
        <v>14872</v>
      </c>
      <c r="I1071" s="44" t="s">
        <v>14883</v>
      </c>
      <c r="J1071" s="44" t="s">
        <v>14874</v>
      </c>
      <c r="K1071" s="44" t="s">
        <v>14875</v>
      </c>
      <c r="L1071" s="44" t="s">
        <v>9488</v>
      </c>
      <c r="M1071" s="44" t="s">
        <v>14876</v>
      </c>
    </row>
    <row r="1072" customFormat="false" ht="22.35" hidden="false" customHeight="false" outlineLevel="0" collapsed="false">
      <c r="A1072" s="44" t="s">
        <v>17117</v>
      </c>
      <c r="B1072" s="44" t="s">
        <v>9489</v>
      </c>
      <c r="C1072" s="44" t="s">
        <v>9490</v>
      </c>
      <c r="D1072" s="44" t="s">
        <v>17118</v>
      </c>
      <c r="E1072" s="44" t="s">
        <v>17119</v>
      </c>
      <c r="F1072" s="44" t="s">
        <v>17120</v>
      </c>
      <c r="G1072" s="44" t="s">
        <v>14871</v>
      </c>
      <c r="H1072" s="44" t="s">
        <v>14872</v>
      </c>
      <c r="I1072" s="44" t="s">
        <v>14873</v>
      </c>
      <c r="J1072" s="44" t="s">
        <v>14874</v>
      </c>
      <c r="K1072" s="44" t="s">
        <v>14875</v>
      </c>
      <c r="L1072" s="44" t="s">
        <v>9494</v>
      </c>
      <c r="M1072" s="44" t="s">
        <v>14876</v>
      </c>
    </row>
    <row r="1073" customFormat="false" ht="22.35" hidden="false" customHeight="false" outlineLevel="0" collapsed="false">
      <c r="A1073" s="44" t="s">
        <v>17121</v>
      </c>
      <c r="B1073" s="44" t="s">
        <v>9489</v>
      </c>
      <c r="C1073" s="44" t="s">
        <v>9490</v>
      </c>
      <c r="D1073" s="44" t="s">
        <v>17122</v>
      </c>
      <c r="E1073" s="44" t="s">
        <v>15879</v>
      </c>
      <c r="F1073" s="44" t="s">
        <v>15880</v>
      </c>
      <c r="G1073" s="44" t="s">
        <v>14871</v>
      </c>
      <c r="H1073" s="44" t="s">
        <v>14872</v>
      </c>
      <c r="I1073" s="44" t="s">
        <v>14886</v>
      </c>
      <c r="J1073" s="44" t="s">
        <v>14874</v>
      </c>
      <c r="K1073" s="44" t="s">
        <v>14875</v>
      </c>
      <c r="L1073" s="44" t="s">
        <v>9494</v>
      </c>
      <c r="M1073" s="44" t="s">
        <v>14876</v>
      </c>
    </row>
    <row r="1074" customFormat="false" ht="22.35" hidden="false" customHeight="false" outlineLevel="0" collapsed="false">
      <c r="A1074" s="44" t="s">
        <v>17123</v>
      </c>
      <c r="B1074" s="44" t="s">
        <v>9489</v>
      </c>
      <c r="C1074" s="44" t="s">
        <v>9490</v>
      </c>
      <c r="D1074" s="44" t="s">
        <v>17124</v>
      </c>
      <c r="E1074" s="44"/>
      <c r="F1074" s="44"/>
      <c r="G1074" s="44" t="s">
        <v>14882</v>
      </c>
      <c r="H1074" s="44" t="s">
        <v>14872</v>
      </c>
      <c r="I1074" s="44" t="s">
        <v>14883</v>
      </c>
      <c r="J1074" s="44" t="s">
        <v>14874</v>
      </c>
      <c r="K1074" s="44" t="s">
        <v>14875</v>
      </c>
      <c r="L1074" s="44" t="s">
        <v>9494</v>
      </c>
      <c r="M1074" s="44" t="s">
        <v>14876</v>
      </c>
    </row>
    <row r="1075" customFormat="false" ht="22.35" hidden="false" customHeight="false" outlineLevel="0" collapsed="false">
      <c r="A1075" s="44" t="s">
        <v>17125</v>
      </c>
      <c r="B1075" s="44" t="s">
        <v>9489</v>
      </c>
      <c r="C1075" s="44" t="s">
        <v>9490</v>
      </c>
      <c r="D1075" s="44" t="s">
        <v>17126</v>
      </c>
      <c r="E1075" s="44"/>
      <c r="F1075" s="44"/>
      <c r="G1075" s="44" t="s">
        <v>14882</v>
      </c>
      <c r="H1075" s="44" t="s">
        <v>14872</v>
      </c>
      <c r="I1075" s="44" t="s">
        <v>14883</v>
      </c>
      <c r="J1075" s="44" t="s">
        <v>14874</v>
      </c>
      <c r="K1075" s="44" t="s">
        <v>14875</v>
      </c>
      <c r="L1075" s="44" t="s">
        <v>9494</v>
      </c>
      <c r="M1075" s="44" t="s">
        <v>14876</v>
      </c>
    </row>
    <row r="1076" customFormat="false" ht="22.35" hidden="false" customHeight="false" outlineLevel="0" collapsed="false">
      <c r="A1076" s="44" t="s">
        <v>17127</v>
      </c>
      <c r="B1076" s="44" t="s">
        <v>9489</v>
      </c>
      <c r="C1076" s="44" t="s">
        <v>9490</v>
      </c>
      <c r="D1076" s="44" t="s">
        <v>17128</v>
      </c>
      <c r="E1076" s="44"/>
      <c r="F1076" s="44"/>
      <c r="G1076" s="44" t="s">
        <v>14882</v>
      </c>
      <c r="H1076" s="44" t="s">
        <v>14872</v>
      </c>
      <c r="I1076" s="44" t="s">
        <v>14883</v>
      </c>
      <c r="J1076" s="44" t="s">
        <v>14874</v>
      </c>
      <c r="K1076" s="44" t="s">
        <v>14875</v>
      </c>
      <c r="L1076" s="44" t="s">
        <v>9494</v>
      </c>
      <c r="M1076" s="44" t="s">
        <v>14876</v>
      </c>
    </row>
    <row r="1077" customFormat="false" ht="32.8" hidden="false" customHeight="false" outlineLevel="0" collapsed="false">
      <c r="A1077" s="44" t="s">
        <v>17129</v>
      </c>
      <c r="B1077" s="44" t="s">
        <v>9495</v>
      </c>
      <c r="C1077" s="44" t="s">
        <v>9496</v>
      </c>
      <c r="D1077" s="44" t="s">
        <v>17130</v>
      </c>
      <c r="E1077" s="44" t="s">
        <v>4094</v>
      </c>
      <c r="F1077" s="44" t="s">
        <v>4095</v>
      </c>
      <c r="G1077" s="44" t="s">
        <v>14871</v>
      </c>
      <c r="H1077" s="44" t="s">
        <v>14872</v>
      </c>
      <c r="I1077" s="44" t="s">
        <v>14873</v>
      </c>
      <c r="J1077" s="44" t="s">
        <v>14874</v>
      </c>
      <c r="K1077" s="44" t="s">
        <v>14875</v>
      </c>
      <c r="L1077" s="44" t="s">
        <v>9501</v>
      </c>
      <c r="M1077" s="44" t="s">
        <v>14876</v>
      </c>
    </row>
    <row r="1078" customFormat="false" ht="32.8" hidden="false" customHeight="false" outlineLevel="0" collapsed="false">
      <c r="A1078" s="44" t="s">
        <v>17131</v>
      </c>
      <c r="B1078" s="44" t="s">
        <v>9495</v>
      </c>
      <c r="C1078" s="44" t="s">
        <v>9496</v>
      </c>
      <c r="D1078" s="44" t="s">
        <v>17132</v>
      </c>
      <c r="E1078" s="44" t="s">
        <v>2823</v>
      </c>
      <c r="F1078" s="44" t="s">
        <v>2408</v>
      </c>
      <c r="G1078" s="44" t="s">
        <v>14871</v>
      </c>
      <c r="H1078" s="44" t="s">
        <v>14872</v>
      </c>
      <c r="I1078" s="44" t="s">
        <v>14873</v>
      </c>
      <c r="J1078" s="44" t="s">
        <v>14874</v>
      </c>
      <c r="K1078" s="44" t="s">
        <v>14875</v>
      </c>
      <c r="L1078" s="44" t="s">
        <v>9501</v>
      </c>
      <c r="M1078" s="44" t="s">
        <v>14876</v>
      </c>
    </row>
    <row r="1079" customFormat="false" ht="32.8" hidden="false" customHeight="false" outlineLevel="0" collapsed="false">
      <c r="A1079" s="44" t="s">
        <v>17133</v>
      </c>
      <c r="B1079" s="44" t="s">
        <v>9495</v>
      </c>
      <c r="C1079" s="44" t="s">
        <v>9496</v>
      </c>
      <c r="D1079" s="44" t="s">
        <v>14972</v>
      </c>
      <c r="E1079" s="44" t="s">
        <v>1242</v>
      </c>
      <c r="F1079" s="44" t="s">
        <v>1243</v>
      </c>
      <c r="G1079" s="44" t="s">
        <v>14871</v>
      </c>
      <c r="H1079" s="44" t="s">
        <v>14872</v>
      </c>
      <c r="I1079" s="44" t="s">
        <v>14879</v>
      </c>
      <c r="J1079" s="44" t="s">
        <v>14874</v>
      </c>
      <c r="K1079" s="44" t="s">
        <v>14875</v>
      </c>
      <c r="L1079" s="44" t="s">
        <v>9501</v>
      </c>
      <c r="M1079" s="44" t="s">
        <v>14876</v>
      </c>
    </row>
    <row r="1080" customFormat="false" ht="32.8" hidden="false" customHeight="false" outlineLevel="0" collapsed="false">
      <c r="A1080" s="44" t="s">
        <v>17134</v>
      </c>
      <c r="B1080" s="44" t="s">
        <v>9495</v>
      </c>
      <c r="C1080" s="44" t="s">
        <v>9496</v>
      </c>
      <c r="D1080" s="44" t="s">
        <v>17135</v>
      </c>
      <c r="E1080" s="44" t="s">
        <v>17136</v>
      </c>
      <c r="F1080" s="44" t="s">
        <v>17137</v>
      </c>
      <c r="G1080" s="44" t="s">
        <v>14871</v>
      </c>
      <c r="H1080" s="44" t="s">
        <v>14872</v>
      </c>
      <c r="I1080" s="44" t="s">
        <v>14873</v>
      </c>
      <c r="J1080" s="44" t="s">
        <v>14874</v>
      </c>
      <c r="K1080" s="44" t="s">
        <v>14875</v>
      </c>
      <c r="L1080" s="44" t="s">
        <v>9501</v>
      </c>
      <c r="M1080" s="44" t="s">
        <v>14876</v>
      </c>
    </row>
    <row r="1081" customFormat="false" ht="32.8" hidden="false" customHeight="false" outlineLevel="0" collapsed="false">
      <c r="A1081" s="44" t="s">
        <v>17138</v>
      </c>
      <c r="B1081" s="44" t="s">
        <v>9495</v>
      </c>
      <c r="C1081" s="44" t="s">
        <v>9496</v>
      </c>
      <c r="D1081" s="44" t="s">
        <v>17139</v>
      </c>
      <c r="E1081" s="44"/>
      <c r="F1081" s="44"/>
      <c r="G1081" s="44" t="s">
        <v>14882</v>
      </c>
      <c r="H1081" s="44" t="s">
        <v>14872</v>
      </c>
      <c r="I1081" s="44" t="s">
        <v>14883</v>
      </c>
      <c r="J1081" s="44" t="s">
        <v>14874</v>
      </c>
      <c r="K1081" s="44" t="s">
        <v>14875</v>
      </c>
      <c r="L1081" s="44" t="s">
        <v>9501</v>
      </c>
      <c r="M1081" s="44" t="s">
        <v>14876</v>
      </c>
    </row>
    <row r="1082" customFormat="false" ht="22.35" hidden="false" customHeight="false" outlineLevel="0" collapsed="false">
      <c r="A1082" s="44" t="s">
        <v>17140</v>
      </c>
      <c r="B1082" s="44" t="s">
        <v>9502</v>
      </c>
      <c r="C1082" s="44" t="s">
        <v>9503</v>
      </c>
      <c r="D1082" s="44" t="s">
        <v>17141</v>
      </c>
      <c r="E1082" s="44" t="s">
        <v>17142</v>
      </c>
      <c r="F1082" s="44" t="s">
        <v>17143</v>
      </c>
      <c r="G1082" s="44" t="s">
        <v>14871</v>
      </c>
      <c r="H1082" s="44" t="s">
        <v>14872</v>
      </c>
      <c r="I1082" s="44" t="s">
        <v>14886</v>
      </c>
      <c r="J1082" s="44" t="s">
        <v>14874</v>
      </c>
      <c r="K1082" s="44" t="s">
        <v>14875</v>
      </c>
      <c r="L1082" s="44" t="s">
        <v>9508</v>
      </c>
      <c r="M1082" s="44" t="s">
        <v>14876</v>
      </c>
    </row>
    <row r="1083" customFormat="false" ht="22.35" hidden="false" customHeight="false" outlineLevel="0" collapsed="false">
      <c r="A1083" s="44" t="s">
        <v>17144</v>
      </c>
      <c r="B1083" s="44" t="s">
        <v>9502</v>
      </c>
      <c r="C1083" s="44" t="s">
        <v>9503</v>
      </c>
      <c r="D1083" s="44" t="s">
        <v>17145</v>
      </c>
      <c r="E1083" s="44"/>
      <c r="F1083" s="44"/>
      <c r="G1083" s="44" t="s">
        <v>14882</v>
      </c>
      <c r="H1083" s="44" t="s">
        <v>14872</v>
      </c>
      <c r="I1083" s="44" t="s">
        <v>14883</v>
      </c>
      <c r="J1083" s="44" t="s">
        <v>14874</v>
      </c>
      <c r="K1083" s="44" t="s">
        <v>14875</v>
      </c>
      <c r="L1083" s="44" t="s">
        <v>9508</v>
      </c>
      <c r="M1083" s="44" t="s">
        <v>14876</v>
      </c>
    </row>
    <row r="1084" customFormat="false" ht="22.35" hidden="false" customHeight="false" outlineLevel="0" collapsed="false">
      <c r="A1084" s="44" t="s">
        <v>17146</v>
      </c>
      <c r="B1084" s="44" t="s">
        <v>9502</v>
      </c>
      <c r="C1084" s="44" t="s">
        <v>9503</v>
      </c>
      <c r="D1084" s="44" t="s">
        <v>17147</v>
      </c>
      <c r="E1084" s="44" t="s">
        <v>2761</v>
      </c>
      <c r="F1084" s="44" t="s">
        <v>2762</v>
      </c>
      <c r="G1084" s="44" t="s">
        <v>14871</v>
      </c>
      <c r="H1084" s="44" t="s">
        <v>14872</v>
      </c>
      <c r="I1084" s="44" t="s">
        <v>14886</v>
      </c>
      <c r="J1084" s="44" t="s">
        <v>14874</v>
      </c>
      <c r="K1084" s="44" t="s">
        <v>14875</v>
      </c>
      <c r="L1084" s="44" t="s">
        <v>9508</v>
      </c>
      <c r="M1084" s="44" t="s">
        <v>14876</v>
      </c>
    </row>
    <row r="1085" customFormat="false" ht="22.35" hidden="false" customHeight="false" outlineLevel="0" collapsed="false">
      <c r="A1085" s="44" t="s">
        <v>17148</v>
      </c>
      <c r="B1085" s="44" t="s">
        <v>9502</v>
      </c>
      <c r="C1085" s="44" t="s">
        <v>9503</v>
      </c>
      <c r="D1085" s="44" t="s">
        <v>17149</v>
      </c>
      <c r="E1085" s="44" t="s">
        <v>17150</v>
      </c>
      <c r="F1085" s="44" t="s">
        <v>17151</v>
      </c>
      <c r="G1085" s="44" t="s">
        <v>14871</v>
      </c>
      <c r="H1085" s="44" t="s">
        <v>14872</v>
      </c>
      <c r="I1085" s="44" t="s">
        <v>14886</v>
      </c>
      <c r="J1085" s="44" t="s">
        <v>14874</v>
      </c>
      <c r="K1085" s="44" t="s">
        <v>14875</v>
      </c>
      <c r="L1085" s="44" t="s">
        <v>9508</v>
      </c>
      <c r="M1085" s="44" t="s">
        <v>14876</v>
      </c>
    </row>
    <row r="1086" customFormat="false" ht="22.35" hidden="false" customHeight="false" outlineLevel="0" collapsed="false">
      <c r="A1086" s="44" t="s">
        <v>17152</v>
      </c>
      <c r="B1086" s="44" t="s">
        <v>9502</v>
      </c>
      <c r="C1086" s="44" t="s">
        <v>9503</v>
      </c>
      <c r="D1086" s="44" t="s">
        <v>15754</v>
      </c>
      <c r="E1086" s="44" t="s">
        <v>15755</v>
      </c>
      <c r="F1086" s="44" t="s">
        <v>15756</v>
      </c>
      <c r="G1086" s="44" t="s">
        <v>14871</v>
      </c>
      <c r="H1086" s="44" t="s">
        <v>14872</v>
      </c>
      <c r="I1086" s="44" t="s">
        <v>14873</v>
      </c>
      <c r="J1086" s="44" t="s">
        <v>14874</v>
      </c>
      <c r="K1086" s="44" t="s">
        <v>14875</v>
      </c>
      <c r="L1086" s="44" t="s">
        <v>9508</v>
      </c>
      <c r="M1086" s="44" t="s">
        <v>14876</v>
      </c>
    </row>
    <row r="1087" customFormat="false" ht="22.35" hidden="false" customHeight="false" outlineLevel="0" collapsed="false">
      <c r="A1087" s="44" t="s">
        <v>17153</v>
      </c>
      <c r="B1087" s="44" t="s">
        <v>9502</v>
      </c>
      <c r="C1087" s="44" t="s">
        <v>9503</v>
      </c>
      <c r="D1087" s="44" t="s">
        <v>17154</v>
      </c>
      <c r="E1087" s="44"/>
      <c r="F1087" s="44"/>
      <c r="G1087" s="44" t="s">
        <v>14882</v>
      </c>
      <c r="H1087" s="44" t="s">
        <v>14872</v>
      </c>
      <c r="I1087" s="44" t="s">
        <v>14883</v>
      </c>
      <c r="J1087" s="44" t="s">
        <v>14874</v>
      </c>
      <c r="K1087" s="44" t="s">
        <v>14875</v>
      </c>
      <c r="L1087" s="44" t="s">
        <v>9508</v>
      </c>
      <c r="M1087" s="44" t="s">
        <v>14876</v>
      </c>
    </row>
    <row r="1088" customFormat="false" ht="22.35" hidden="false" customHeight="false" outlineLevel="0" collapsed="false">
      <c r="A1088" s="44" t="s">
        <v>17155</v>
      </c>
      <c r="B1088" s="44" t="s">
        <v>9509</v>
      </c>
      <c r="C1088" s="44" t="s">
        <v>9510</v>
      </c>
      <c r="D1088" s="44" t="s">
        <v>17156</v>
      </c>
      <c r="E1088" s="44"/>
      <c r="F1088" s="44"/>
      <c r="G1088" s="44" t="s">
        <v>14882</v>
      </c>
      <c r="H1088" s="44" t="s">
        <v>14872</v>
      </c>
      <c r="I1088" s="44" t="s">
        <v>14883</v>
      </c>
      <c r="J1088" s="44" t="s">
        <v>14874</v>
      </c>
      <c r="K1088" s="44" t="s">
        <v>14875</v>
      </c>
      <c r="L1088" s="44" t="s">
        <v>9513</v>
      </c>
      <c r="M1088" s="44" t="s">
        <v>14876</v>
      </c>
    </row>
    <row r="1089" customFormat="false" ht="22.35" hidden="false" customHeight="false" outlineLevel="0" collapsed="false">
      <c r="A1089" s="44" t="s">
        <v>17157</v>
      </c>
      <c r="B1089" s="44" t="s">
        <v>9509</v>
      </c>
      <c r="C1089" s="44" t="s">
        <v>9510</v>
      </c>
      <c r="D1089" s="44" t="s">
        <v>17158</v>
      </c>
      <c r="E1089" s="44" t="s">
        <v>4895</v>
      </c>
      <c r="F1089" s="44" t="s">
        <v>4896</v>
      </c>
      <c r="G1089" s="44" t="s">
        <v>14871</v>
      </c>
      <c r="H1089" s="44" t="s">
        <v>14872</v>
      </c>
      <c r="I1089" s="44" t="s">
        <v>14886</v>
      </c>
      <c r="J1089" s="44" t="s">
        <v>14874</v>
      </c>
      <c r="K1089" s="44" t="s">
        <v>14875</v>
      </c>
      <c r="L1089" s="44" t="s">
        <v>9513</v>
      </c>
      <c r="M1089" s="44" t="s">
        <v>14876</v>
      </c>
    </row>
    <row r="1090" customFormat="false" ht="22.35" hidden="false" customHeight="false" outlineLevel="0" collapsed="false">
      <c r="A1090" s="44" t="s">
        <v>17159</v>
      </c>
      <c r="B1090" s="44" t="s">
        <v>9509</v>
      </c>
      <c r="C1090" s="44" t="s">
        <v>9510</v>
      </c>
      <c r="D1090" s="44" t="s">
        <v>17160</v>
      </c>
      <c r="E1090" s="44"/>
      <c r="F1090" s="44"/>
      <c r="G1090" s="44" t="s">
        <v>14882</v>
      </c>
      <c r="H1090" s="44" t="s">
        <v>14872</v>
      </c>
      <c r="I1090" s="44" t="s">
        <v>14883</v>
      </c>
      <c r="J1090" s="44" t="s">
        <v>14874</v>
      </c>
      <c r="K1090" s="44" t="s">
        <v>14875</v>
      </c>
      <c r="L1090" s="44" t="s">
        <v>9513</v>
      </c>
      <c r="M1090" s="44" t="s">
        <v>14876</v>
      </c>
    </row>
    <row r="1091" customFormat="false" ht="22.35" hidden="false" customHeight="false" outlineLevel="0" collapsed="false">
      <c r="A1091" s="44" t="s">
        <v>17161</v>
      </c>
      <c r="B1091" s="44" t="s">
        <v>9509</v>
      </c>
      <c r="C1091" s="44" t="s">
        <v>9510</v>
      </c>
      <c r="D1091" s="44" t="s">
        <v>17162</v>
      </c>
      <c r="E1091" s="44"/>
      <c r="F1091" s="44"/>
      <c r="G1091" s="44" t="s">
        <v>14882</v>
      </c>
      <c r="H1091" s="44" t="s">
        <v>14872</v>
      </c>
      <c r="I1091" s="44" t="s">
        <v>14883</v>
      </c>
      <c r="J1091" s="44" t="s">
        <v>14874</v>
      </c>
      <c r="K1091" s="44" t="s">
        <v>14875</v>
      </c>
      <c r="L1091" s="44" t="s">
        <v>9513</v>
      </c>
      <c r="M1091" s="44" t="s">
        <v>14876</v>
      </c>
    </row>
    <row r="1092" customFormat="false" ht="22.35" hidden="false" customHeight="false" outlineLevel="0" collapsed="false">
      <c r="A1092" s="44" t="s">
        <v>17163</v>
      </c>
      <c r="B1092" s="44" t="s">
        <v>9509</v>
      </c>
      <c r="C1092" s="44" t="s">
        <v>9510</v>
      </c>
      <c r="D1092" s="44" t="s">
        <v>17164</v>
      </c>
      <c r="E1092" s="44" t="s">
        <v>3583</v>
      </c>
      <c r="F1092" s="44" t="s">
        <v>3584</v>
      </c>
      <c r="G1092" s="44" t="s">
        <v>14871</v>
      </c>
      <c r="H1092" s="44" t="s">
        <v>14872</v>
      </c>
      <c r="I1092" s="44" t="s">
        <v>14886</v>
      </c>
      <c r="J1092" s="44" t="s">
        <v>14874</v>
      </c>
      <c r="K1092" s="44" t="s">
        <v>14875</v>
      </c>
      <c r="L1092" s="44" t="s">
        <v>9513</v>
      </c>
      <c r="M1092" s="44" t="s">
        <v>14876</v>
      </c>
    </row>
    <row r="1093" customFormat="false" ht="22.35" hidden="false" customHeight="false" outlineLevel="0" collapsed="false">
      <c r="A1093" s="44" t="s">
        <v>17165</v>
      </c>
      <c r="B1093" s="44" t="s">
        <v>9514</v>
      </c>
      <c r="C1093" s="44" t="s">
        <v>9515</v>
      </c>
      <c r="D1093" s="44" t="s">
        <v>2432</v>
      </c>
      <c r="E1093" s="44" t="s">
        <v>16055</v>
      </c>
      <c r="F1093" s="44" t="s">
        <v>16056</v>
      </c>
      <c r="G1093" s="44" t="s">
        <v>14871</v>
      </c>
      <c r="H1093" s="44" t="s">
        <v>14872</v>
      </c>
      <c r="I1093" s="44" t="s">
        <v>14886</v>
      </c>
      <c r="J1093" s="44" t="s">
        <v>14874</v>
      </c>
      <c r="K1093" s="44" t="s">
        <v>14875</v>
      </c>
      <c r="L1093" s="44" t="s">
        <v>9518</v>
      </c>
      <c r="M1093" s="44" t="s">
        <v>14876</v>
      </c>
    </row>
    <row r="1094" customFormat="false" ht="22.35" hidden="false" customHeight="false" outlineLevel="0" collapsed="false">
      <c r="A1094" s="44" t="s">
        <v>17166</v>
      </c>
      <c r="B1094" s="44" t="s">
        <v>9514</v>
      </c>
      <c r="C1094" s="44" t="s">
        <v>9515</v>
      </c>
      <c r="D1094" s="44" t="s">
        <v>17167</v>
      </c>
      <c r="E1094" s="44"/>
      <c r="F1094" s="44"/>
      <c r="G1094" s="44" t="s">
        <v>14882</v>
      </c>
      <c r="H1094" s="44" t="s">
        <v>14872</v>
      </c>
      <c r="I1094" s="44" t="s">
        <v>14883</v>
      </c>
      <c r="J1094" s="44" t="s">
        <v>14874</v>
      </c>
      <c r="K1094" s="44" t="s">
        <v>14875</v>
      </c>
      <c r="L1094" s="44" t="s">
        <v>9518</v>
      </c>
      <c r="M1094" s="44" t="s">
        <v>14876</v>
      </c>
    </row>
    <row r="1095" customFormat="false" ht="22.35" hidden="false" customHeight="false" outlineLevel="0" collapsed="false">
      <c r="A1095" s="44" t="s">
        <v>17168</v>
      </c>
      <c r="B1095" s="44" t="s">
        <v>9514</v>
      </c>
      <c r="C1095" s="44" t="s">
        <v>9515</v>
      </c>
      <c r="D1095" s="44" t="s">
        <v>17169</v>
      </c>
      <c r="E1095" s="44" t="s">
        <v>3438</v>
      </c>
      <c r="F1095" s="44" t="s">
        <v>3439</v>
      </c>
      <c r="G1095" s="44" t="s">
        <v>14871</v>
      </c>
      <c r="H1095" s="44" t="s">
        <v>14872</v>
      </c>
      <c r="I1095" s="44" t="s">
        <v>14873</v>
      </c>
      <c r="J1095" s="44" t="s">
        <v>14874</v>
      </c>
      <c r="K1095" s="44" t="s">
        <v>14875</v>
      </c>
      <c r="L1095" s="44" t="s">
        <v>9518</v>
      </c>
      <c r="M1095" s="44" t="s">
        <v>14876</v>
      </c>
    </row>
    <row r="1096" customFormat="false" ht="22.35" hidden="false" customHeight="false" outlineLevel="0" collapsed="false">
      <c r="A1096" s="44" t="s">
        <v>17170</v>
      </c>
      <c r="B1096" s="44" t="s">
        <v>9514</v>
      </c>
      <c r="C1096" s="44" t="s">
        <v>9515</v>
      </c>
      <c r="D1096" s="44" t="s">
        <v>17171</v>
      </c>
      <c r="E1096" s="44" t="s">
        <v>17172</v>
      </c>
      <c r="F1096" s="44" t="s">
        <v>17173</v>
      </c>
      <c r="G1096" s="44" t="s">
        <v>14871</v>
      </c>
      <c r="H1096" s="44" t="s">
        <v>14872</v>
      </c>
      <c r="I1096" s="44" t="s">
        <v>14886</v>
      </c>
      <c r="J1096" s="44" t="s">
        <v>14874</v>
      </c>
      <c r="K1096" s="44" t="s">
        <v>14875</v>
      </c>
      <c r="L1096" s="44" t="s">
        <v>9518</v>
      </c>
      <c r="M1096" s="44" t="s">
        <v>14876</v>
      </c>
    </row>
    <row r="1097" customFormat="false" ht="22.35" hidden="false" customHeight="false" outlineLevel="0" collapsed="false">
      <c r="A1097" s="44" t="s">
        <v>17174</v>
      </c>
      <c r="B1097" s="44" t="s">
        <v>9514</v>
      </c>
      <c r="C1097" s="44" t="s">
        <v>9515</v>
      </c>
      <c r="D1097" s="44" t="s">
        <v>17175</v>
      </c>
      <c r="E1097" s="44" t="s">
        <v>17176</v>
      </c>
      <c r="F1097" s="44" t="s">
        <v>17177</v>
      </c>
      <c r="G1097" s="44" t="s">
        <v>14871</v>
      </c>
      <c r="H1097" s="44" t="s">
        <v>14872</v>
      </c>
      <c r="I1097" s="44" t="s">
        <v>14873</v>
      </c>
      <c r="J1097" s="44" t="s">
        <v>14874</v>
      </c>
      <c r="K1097" s="44" t="s">
        <v>14875</v>
      </c>
      <c r="L1097" s="44" t="s">
        <v>9518</v>
      </c>
      <c r="M1097" s="44" t="s">
        <v>14876</v>
      </c>
    </row>
    <row r="1098" customFormat="false" ht="22.35" hidden="false" customHeight="false" outlineLevel="0" collapsed="false">
      <c r="A1098" s="44" t="s">
        <v>17178</v>
      </c>
      <c r="B1098" s="44" t="s">
        <v>9514</v>
      </c>
      <c r="C1098" s="44" t="s">
        <v>9515</v>
      </c>
      <c r="D1098" s="44" t="s">
        <v>17179</v>
      </c>
      <c r="E1098" s="44"/>
      <c r="F1098" s="44"/>
      <c r="G1098" s="44" t="s">
        <v>14882</v>
      </c>
      <c r="H1098" s="44" t="s">
        <v>14872</v>
      </c>
      <c r="I1098" s="44" t="s">
        <v>14883</v>
      </c>
      <c r="J1098" s="44" t="s">
        <v>14874</v>
      </c>
      <c r="K1098" s="44" t="s">
        <v>14875</v>
      </c>
      <c r="L1098" s="44" t="s">
        <v>9518</v>
      </c>
      <c r="M1098" s="44" t="s">
        <v>14876</v>
      </c>
    </row>
    <row r="1099" customFormat="false" ht="22.35" hidden="false" customHeight="false" outlineLevel="0" collapsed="false">
      <c r="A1099" s="44" t="s">
        <v>17180</v>
      </c>
      <c r="B1099" s="44" t="s">
        <v>9519</v>
      </c>
      <c r="C1099" s="44" t="s">
        <v>9520</v>
      </c>
      <c r="D1099" s="44" t="s">
        <v>17181</v>
      </c>
      <c r="E1099" s="44" t="s">
        <v>196</v>
      </c>
      <c r="F1099" s="44" t="s">
        <v>59</v>
      </c>
      <c r="G1099" s="44" t="s">
        <v>14871</v>
      </c>
      <c r="H1099" s="44" t="s">
        <v>14872</v>
      </c>
      <c r="I1099" s="44" t="s">
        <v>14886</v>
      </c>
      <c r="J1099" s="44" t="s">
        <v>14874</v>
      </c>
      <c r="K1099" s="44" t="s">
        <v>14875</v>
      </c>
      <c r="L1099" s="44" t="s">
        <v>9524</v>
      </c>
      <c r="M1099" s="44" t="s">
        <v>14876</v>
      </c>
    </row>
    <row r="1100" customFormat="false" ht="22.35" hidden="false" customHeight="false" outlineLevel="0" collapsed="false">
      <c r="A1100" s="44" t="s">
        <v>17182</v>
      </c>
      <c r="B1100" s="44" t="s">
        <v>9519</v>
      </c>
      <c r="C1100" s="44" t="s">
        <v>9520</v>
      </c>
      <c r="D1100" s="44" t="s">
        <v>17183</v>
      </c>
      <c r="E1100" s="44" t="s">
        <v>3246</v>
      </c>
      <c r="F1100" s="44" t="s">
        <v>3247</v>
      </c>
      <c r="G1100" s="44" t="s">
        <v>14871</v>
      </c>
      <c r="H1100" s="44" t="s">
        <v>14872</v>
      </c>
      <c r="I1100" s="44" t="s">
        <v>14873</v>
      </c>
      <c r="J1100" s="44" t="s">
        <v>14874</v>
      </c>
      <c r="K1100" s="44" t="s">
        <v>14875</v>
      </c>
      <c r="L1100" s="44" t="s">
        <v>9524</v>
      </c>
      <c r="M1100" s="44" t="s">
        <v>14876</v>
      </c>
    </row>
    <row r="1101" customFormat="false" ht="22.35" hidden="false" customHeight="false" outlineLevel="0" collapsed="false">
      <c r="A1101" s="44" t="s">
        <v>17184</v>
      </c>
      <c r="B1101" s="44" t="s">
        <v>9519</v>
      </c>
      <c r="C1101" s="44" t="s">
        <v>9520</v>
      </c>
      <c r="D1101" s="44" t="s">
        <v>17185</v>
      </c>
      <c r="E1101" s="44"/>
      <c r="F1101" s="44"/>
      <c r="G1101" s="44" t="s">
        <v>14882</v>
      </c>
      <c r="H1101" s="44" t="s">
        <v>14872</v>
      </c>
      <c r="I1101" s="44" t="s">
        <v>14883</v>
      </c>
      <c r="J1101" s="44" t="s">
        <v>14874</v>
      </c>
      <c r="K1101" s="44" t="s">
        <v>14875</v>
      </c>
      <c r="L1101" s="44" t="s">
        <v>9524</v>
      </c>
      <c r="M1101" s="44" t="s">
        <v>14876</v>
      </c>
    </row>
    <row r="1102" customFormat="false" ht="22.35" hidden="false" customHeight="false" outlineLevel="0" collapsed="false">
      <c r="A1102" s="44" t="s">
        <v>17186</v>
      </c>
      <c r="B1102" s="44" t="s">
        <v>9519</v>
      </c>
      <c r="C1102" s="44" t="s">
        <v>9520</v>
      </c>
      <c r="D1102" s="44" t="s">
        <v>17187</v>
      </c>
      <c r="E1102" s="44"/>
      <c r="F1102" s="44"/>
      <c r="G1102" s="44" t="s">
        <v>14882</v>
      </c>
      <c r="H1102" s="44" t="s">
        <v>14872</v>
      </c>
      <c r="I1102" s="44" t="s">
        <v>14883</v>
      </c>
      <c r="J1102" s="44" t="s">
        <v>14874</v>
      </c>
      <c r="K1102" s="44" t="s">
        <v>14875</v>
      </c>
      <c r="L1102" s="44" t="s">
        <v>9524</v>
      </c>
      <c r="M1102" s="44" t="s">
        <v>14876</v>
      </c>
    </row>
    <row r="1103" customFormat="false" ht="22.35" hidden="false" customHeight="false" outlineLevel="0" collapsed="false">
      <c r="A1103" s="44" t="s">
        <v>17188</v>
      </c>
      <c r="B1103" s="44" t="s">
        <v>9519</v>
      </c>
      <c r="C1103" s="44" t="s">
        <v>9520</v>
      </c>
      <c r="D1103" s="44" t="s">
        <v>17189</v>
      </c>
      <c r="E1103" s="44"/>
      <c r="F1103" s="44"/>
      <c r="G1103" s="44" t="s">
        <v>14882</v>
      </c>
      <c r="H1103" s="44" t="s">
        <v>14872</v>
      </c>
      <c r="I1103" s="44" t="s">
        <v>14883</v>
      </c>
      <c r="J1103" s="44" t="s">
        <v>14874</v>
      </c>
      <c r="K1103" s="44" t="s">
        <v>14875</v>
      </c>
      <c r="L1103" s="44" t="s">
        <v>9524</v>
      </c>
      <c r="M1103" s="44" t="s">
        <v>14876</v>
      </c>
    </row>
    <row r="1104" customFormat="false" ht="22.35" hidden="false" customHeight="false" outlineLevel="0" collapsed="false">
      <c r="A1104" s="44" t="s">
        <v>17190</v>
      </c>
      <c r="B1104" s="44" t="s">
        <v>9525</v>
      </c>
      <c r="C1104" s="44" t="s">
        <v>9526</v>
      </c>
      <c r="D1104" s="44" t="s">
        <v>17191</v>
      </c>
      <c r="E1104" s="44"/>
      <c r="F1104" s="44"/>
      <c r="G1104" s="44" t="s">
        <v>14882</v>
      </c>
      <c r="H1104" s="44" t="s">
        <v>14872</v>
      </c>
      <c r="I1104" s="44" t="s">
        <v>14883</v>
      </c>
      <c r="J1104" s="44" t="s">
        <v>14874</v>
      </c>
      <c r="K1104" s="44" t="s">
        <v>14875</v>
      </c>
      <c r="L1104" s="44" t="s">
        <v>9531</v>
      </c>
      <c r="M1104" s="44" t="s">
        <v>14876</v>
      </c>
    </row>
    <row r="1105" customFormat="false" ht="22.35" hidden="false" customHeight="false" outlineLevel="0" collapsed="false">
      <c r="A1105" s="44" t="s">
        <v>17192</v>
      </c>
      <c r="B1105" s="44" t="s">
        <v>9525</v>
      </c>
      <c r="C1105" s="44" t="s">
        <v>9526</v>
      </c>
      <c r="D1105" s="44" t="s">
        <v>17193</v>
      </c>
      <c r="E1105" s="44" t="s">
        <v>4633</v>
      </c>
      <c r="F1105" s="44" t="s">
        <v>4634</v>
      </c>
      <c r="G1105" s="44" t="s">
        <v>14871</v>
      </c>
      <c r="H1105" s="44" t="s">
        <v>14872</v>
      </c>
      <c r="I1105" s="44" t="s">
        <v>14886</v>
      </c>
      <c r="J1105" s="44" t="s">
        <v>14874</v>
      </c>
      <c r="K1105" s="44" t="s">
        <v>14875</v>
      </c>
      <c r="L1105" s="44" t="s">
        <v>9531</v>
      </c>
      <c r="M1105" s="44" t="s">
        <v>14876</v>
      </c>
    </row>
    <row r="1106" customFormat="false" ht="22.35" hidden="false" customHeight="false" outlineLevel="0" collapsed="false">
      <c r="A1106" s="44" t="s">
        <v>17194</v>
      </c>
      <c r="B1106" s="44" t="s">
        <v>9525</v>
      </c>
      <c r="C1106" s="44" t="s">
        <v>9526</v>
      </c>
      <c r="D1106" s="44" t="s">
        <v>16325</v>
      </c>
      <c r="E1106" s="44" t="s">
        <v>3246</v>
      </c>
      <c r="F1106" s="44" t="s">
        <v>3247</v>
      </c>
      <c r="G1106" s="44" t="s">
        <v>14871</v>
      </c>
      <c r="H1106" s="44" t="s">
        <v>14872</v>
      </c>
      <c r="I1106" s="44" t="s">
        <v>14873</v>
      </c>
      <c r="J1106" s="44" t="s">
        <v>14874</v>
      </c>
      <c r="K1106" s="44" t="s">
        <v>14875</v>
      </c>
      <c r="L1106" s="44" t="s">
        <v>9531</v>
      </c>
      <c r="M1106" s="44" t="s">
        <v>14876</v>
      </c>
    </row>
    <row r="1107" customFormat="false" ht="22.35" hidden="false" customHeight="false" outlineLevel="0" collapsed="false">
      <c r="A1107" s="44" t="s">
        <v>17195</v>
      </c>
      <c r="B1107" s="44" t="s">
        <v>9525</v>
      </c>
      <c r="C1107" s="44" t="s">
        <v>9526</v>
      </c>
      <c r="D1107" s="44" t="s">
        <v>17196</v>
      </c>
      <c r="E1107" s="44"/>
      <c r="F1107" s="44"/>
      <c r="G1107" s="44" t="s">
        <v>14882</v>
      </c>
      <c r="H1107" s="44" t="s">
        <v>14872</v>
      </c>
      <c r="I1107" s="44" t="s">
        <v>14883</v>
      </c>
      <c r="J1107" s="44" t="s">
        <v>14874</v>
      </c>
      <c r="K1107" s="44" t="s">
        <v>14875</v>
      </c>
      <c r="L1107" s="44" t="s">
        <v>9531</v>
      </c>
      <c r="M1107" s="44" t="s">
        <v>14876</v>
      </c>
    </row>
    <row r="1108" customFormat="false" ht="22.35" hidden="false" customHeight="false" outlineLevel="0" collapsed="false">
      <c r="A1108" s="44" t="s">
        <v>17197</v>
      </c>
      <c r="B1108" s="44" t="s">
        <v>9525</v>
      </c>
      <c r="C1108" s="44" t="s">
        <v>9526</v>
      </c>
      <c r="D1108" s="44" t="s">
        <v>17198</v>
      </c>
      <c r="E1108" s="44"/>
      <c r="F1108" s="44"/>
      <c r="G1108" s="44" t="s">
        <v>14882</v>
      </c>
      <c r="H1108" s="44" t="s">
        <v>14872</v>
      </c>
      <c r="I1108" s="44" t="s">
        <v>14883</v>
      </c>
      <c r="J1108" s="44" t="s">
        <v>14874</v>
      </c>
      <c r="K1108" s="44" t="s">
        <v>14875</v>
      </c>
      <c r="L1108" s="44" t="s">
        <v>9531</v>
      </c>
      <c r="M1108" s="44" t="s">
        <v>14876</v>
      </c>
    </row>
    <row r="1109" customFormat="false" ht="22.35" hidden="false" customHeight="false" outlineLevel="0" collapsed="false">
      <c r="A1109" s="44" t="s">
        <v>17199</v>
      </c>
      <c r="B1109" s="44" t="s">
        <v>9532</v>
      </c>
      <c r="C1109" s="44" t="s">
        <v>9533</v>
      </c>
      <c r="D1109" s="44" t="s">
        <v>17200</v>
      </c>
      <c r="E1109" s="44" t="s">
        <v>4094</v>
      </c>
      <c r="F1109" s="44" t="s">
        <v>4095</v>
      </c>
      <c r="G1109" s="44" t="s">
        <v>14871</v>
      </c>
      <c r="H1109" s="44" t="s">
        <v>14872</v>
      </c>
      <c r="I1109" s="44" t="s">
        <v>14873</v>
      </c>
      <c r="J1109" s="44" t="s">
        <v>14874</v>
      </c>
      <c r="K1109" s="44" t="s">
        <v>14875</v>
      </c>
      <c r="L1109" s="44" t="s">
        <v>9536</v>
      </c>
      <c r="M1109" s="44" t="s">
        <v>14876</v>
      </c>
    </row>
    <row r="1110" customFormat="false" ht="22.35" hidden="false" customHeight="false" outlineLevel="0" collapsed="false">
      <c r="A1110" s="44" t="s">
        <v>17201</v>
      </c>
      <c r="B1110" s="44" t="s">
        <v>9532</v>
      </c>
      <c r="C1110" s="44" t="s">
        <v>9533</v>
      </c>
      <c r="D1110" s="44" t="s">
        <v>17202</v>
      </c>
      <c r="E1110" s="44" t="s">
        <v>17203</v>
      </c>
      <c r="F1110" s="44" t="s">
        <v>17204</v>
      </c>
      <c r="G1110" s="44" t="s">
        <v>14871</v>
      </c>
      <c r="H1110" s="44" t="s">
        <v>14872</v>
      </c>
      <c r="I1110" s="44" t="s">
        <v>14886</v>
      </c>
      <c r="J1110" s="44" t="s">
        <v>14874</v>
      </c>
      <c r="K1110" s="44" t="s">
        <v>14875</v>
      </c>
      <c r="L1110" s="44" t="s">
        <v>9536</v>
      </c>
      <c r="M1110" s="44" t="s">
        <v>14876</v>
      </c>
    </row>
    <row r="1111" customFormat="false" ht="22.35" hidden="false" customHeight="false" outlineLevel="0" collapsed="false">
      <c r="A1111" s="44" t="s">
        <v>17205</v>
      </c>
      <c r="B1111" s="44" t="s">
        <v>9532</v>
      </c>
      <c r="C1111" s="44" t="s">
        <v>9533</v>
      </c>
      <c r="D1111" s="44" t="s">
        <v>17206</v>
      </c>
      <c r="E1111" s="44" t="s">
        <v>3583</v>
      </c>
      <c r="F1111" s="44" t="s">
        <v>3584</v>
      </c>
      <c r="G1111" s="44" t="s">
        <v>14871</v>
      </c>
      <c r="H1111" s="44" t="s">
        <v>14872</v>
      </c>
      <c r="I1111" s="44" t="s">
        <v>14886</v>
      </c>
      <c r="J1111" s="44" t="s">
        <v>14874</v>
      </c>
      <c r="K1111" s="44" t="s">
        <v>14875</v>
      </c>
      <c r="L1111" s="44" t="s">
        <v>9536</v>
      </c>
      <c r="M1111" s="44" t="s">
        <v>14876</v>
      </c>
    </row>
    <row r="1112" customFormat="false" ht="22.35" hidden="false" customHeight="false" outlineLevel="0" collapsed="false">
      <c r="A1112" s="44" t="s">
        <v>17207</v>
      </c>
      <c r="B1112" s="44" t="s">
        <v>9532</v>
      </c>
      <c r="C1112" s="44" t="s">
        <v>9533</v>
      </c>
      <c r="D1112" s="44" t="s">
        <v>17208</v>
      </c>
      <c r="E1112" s="44"/>
      <c r="F1112" s="44"/>
      <c r="G1112" s="44" t="s">
        <v>14882</v>
      </c>
      <c r="H1112" s="44" t="s">
        <v>14872</v>
      </c>
      <c r="I1112" s="44" t="s">
        <v>14883</v>
      </c>
      <c r="J1112" s="44" t="s">
        <v>14874</v>
      </c>
      <c r="K1112" s="44" t="s">
        <v>14875</v>
      </c>
      <c r="L1112" s="44" t="s">
        <v>9536</v>
      </c>
      <c r="M1112" s="44" t="s">
        <v>14876</v>
      </c>
    </row>
    <row r="1113" customFormat="false" ht="22.35" hidden="false" customHeight="false" outlineLevel="0" collapsed="false">
      <c r="A1113" s="44" t="s">
        <v>17209</v>
      </c>
      <c r="B1113" s="44" t="s">
        <v>9537</v>
      </c>
      <c r="C1113" s="44" t="s">
        <v>9538</v>
      </c>
      <c r="D1113" s="44" t="s">
        <v>17210</v>
      </c>
      <c r="E1113" s="44" t="s">
        <v>17176</v>
      </c>
      <c r="F1113" s="44" t="s">
        <v>17177</v>
      </c>
      <c r="G1113" s="44" t="s">
        <v>14871</v>
      </c>
      <c r="H1113" s="44" t="s">
        <v>14872</v>
      </c>
      <c r="I1113" s="44" t="s">
        <v>14873</v>
      </c>
      <c r="J1113" s="44" t="s">
        <v>14874</v>
      </c>
      <c r="K1113" s="44" t="s">
        <v>14875</v>
      </c>
      <c r="L1113" s="44" t="s">
        <v>9542</v>
      </c>
      <c r="M1113" s="44" t="s">
        <v>14876</v>
      </c>
    </row>
    <row r="1114" customFormat="false" ht="22.35" hidden="false" customHeight="false" outlineLevel="0" collapsed="false">
      <c r="A1114" s="44" t="s">
        <v>17211</v>
      </c>
      <c r="B1114" s="44" t="s">
        <v>9537</v>
      </c>
      <c r="C1114" s="44" t="s">
        <v>9538</v>
      </c>
      <c r="D1114" s="44" t="s">
        <v>17212</v>
      </c>
      <c r="E1114" s="44" t="s">
        <v>16998</v>
      </c>
      <c r="F1114" s="44" t="s">
        <v>16999</v>
      </c>
      <c r="G1114" s="44" t="s">
        <v>14871</v>
      </c>
      <c r="H1114" s="44" t="s">
        <v>14872</v>
      </c>
      <c r="I1114" s="44" t="s">
        <v>14886</v>
      </c>
      <c r="J1114" s="44" t="s">
        <v>14874</v>
      </c>
      <c r="K1114" s="44" t="s">
        <v>14875</v>
      </c>
      <c r="L1114" s="44" t="s">
        <v>9542</v>
      </c>
      <c r="M1114" s="44" t="s">
        <v>14876</v>
      </c>
    </row>
    <row r="1115" customFormat="false" ht="22.35" hidden="false" customHeight="false" outlineLevel="0" collapsed="false">
      <c r="A1115" s="44" t="s">
        <v>17213</v>
      </c>
      <c r="B1115" s="44" t="s">
        <v>9537</v>
      </c>
      <c r="C1115" s="44" t="s">
        <v>9538</v>
      </c>
      <c r="D1115" s="44" t="s">
        <v>17214</v>
      </c>
      <c r="E1115" s="44" t="s">
        <v>4895</v>
      </c>
      <c r="F1115" s="44" t="s">
        <v>4896</v>
      </c>
      <c r="G1115" s="44" t="s">
        <v>14871</v>
      </c>
      <c r="H1115" s="44" t="s">
        <v>14872</v>
      </c>
      <c r="I1115" s="44" t="s">
        <v>14886</v>
      </c>
      <c r="J1115" s="44" t="s">
        <v>14874</v>
      </c>
      <c r="K1115" s="44" t="s">
        <v>14875</v>
      </c>
      <c r="L1115" s="44" t="s">
        <v>9542</v>
      </c>
      <c r="M1115" s="44" t="s">
        <v>14876</v>
      </c>
    </row>
    <row r="1116" customFormat="false" ht="22.35" hidden="false" customHeight="false" outlineLevel="0" collapsed="false">
      <c r="A1116" s="44" t="s">
        <v>17215</v>
      </c>
      <c r="B1116" s="44" t="s">
        <v>9537</v>
      </c>
      <c r="C1116" s="44" t="s">
        <v>9538</v>
      </c>
      <c r="D1116" s="44" t="s">
        <v>17216</v>
      </c>
      <c r="E1116" s="44"/>
      <c r="F1116" s="44"/>
      <c r="G1116" s="44" t="s">
        <v>14882</v>
      </c>
      <c r="H1116" s="44" t="s">
        <v>14872</v>
      </c>
      <c r="I1116" s="44" t="s">
        <v>14883</v>
      </c>
      <c r="J1116" s="44" t="s">
        <v>14874</v>
      </c>
      <c r="K1116" s="44" t="s">
        <v>14875</v>
      </c>
      <c r="L1116" s="44" t="s">
        <v>9542</v>
      </c>
      <c r="M1116" s="44" t="s">
        <v>14876</v>
      </c>
    </row>
    <row r="1117" customFormat="false" ht="22.35" hidden="false" customHeight="false" outlineLevel="0" collapsed="false">
      <c r="A1117" s="44" t="s">
        <v>17217</v>
      </c>
      <c r="B1117" s="44" t="s">
        <v>9543</v>
      </c>
      <c r="C1117" s="44" t="s">
        <v>9544</v>
      </c>
      <c r="D1117" s="44" t="s">
        <v>17218</v>
      </c>
      <c r="E1117" s="44" t="s">
        <v>207</v>
      </c>
      <c r="F1117" s="44" t="s">
        <v>208</v>
      </c>
      <c r="G1117" s="44" t="s">
        <v>14871</v>
      </c>
      <c r="H1117" s="44" t="s">
        <v>14872</v>
      </c>
      <c r="I1117" s="44" t="s">
        <v>14873</v>
      </c>
      <c r="J1117" s="44" t="s">
        <v>14874</v>
      </c>
      <c r="K1117" s="44" t="s">
        <v>14875</v>
      </c>
      <c r="L1117" s="44" t="s">
        <v>9547</v>
      </c>
      <c r="M1117" s="44" t="s">
        <v>14876</v>
      </c>
    </row>
    <row r="1118" customFormat="false" ht="22.35" hidden="false" customHeight="false" outlineLevel="0" collapsed="false">
      <c r="A1118" s="44" t="s">
        <v>17219</v>
      </c>
      <c r="B1118" s="44" t="s">
        <v>9543</v>
      </c>
      <c r="C1118" s="44" t="s">
        <v>9544</v>
      </c>
      <c r="D1118" s="44" t="s">
        <v>17220</v>
      </c>
      <c r="E1118" s="44" t="s">
        <v>17221</v>
      </c>
      <c r="F1118" s="44" t="s">
        <v>17222</v>
      </c>
      <c r="G1118" s="44" t="s">
        <v>14871</v>
      </c>
      <c r="H1118" s="44" t="s">
        <v>14872</v>
      </c>
      <c r="I1118" s="44" t="s">
        <v>14873</v>
      </c>
      <c r="J1118" s="44" t="s">
        <v>14874</v>
      </c>
      <c r="K1118" s="44" t="s">
        <v>14875</v>
      </c>
      <c r="L1118" s="44" t="s">
        <v>9547</v>
      </c>
      <c r="M1118" s="44" t="s">
        <v>14876</v>
      </c>
    </row>
    <row r="1119" customFormat="false" ht="22.35" hidden="false" customHeight="false" outlineLevel="0" collapsed="false">
      <c r="A1119" s="44" t="s">
        <v>17223</v>
      </c>
      <c r="B1119" s="44" t="s">
        <v>9543</v>
      </c>
      <c r="C1119" s="44" t="s">
        <v>9544</v>
      </c>
      <c r="D1119" s="44" t="s">
        <v>17224</v>
      </c>
      <c r="E1119" s="44" t="s">
        <v>2987</v>
      </c>
      <c r="F1119" s="44" t="s">
        <v>2988</v>
      </c>
      <c r="G1119" s="44" t="s">
        <v>14871</v>
      </c>
      <c r="H1119" s="44" t="s">
        <v>14872</v>
      </c>
      <c r="I1119" s="44" t="s">
        <v>14873</v>
      </c>
      <c r="J1119" s="44" t="s">
        <v>14874</v>
      </c>
      <c r="K1119" s="44" t="s">
        <v>14875</v>
      </c>
      <c r="L1119" s="44" t="s">
        <v>9547</v>
      </c>
      <c r="M1119" s="44" t="s">
        <v>14876</v>
      </c>
    </row>
    <row r="1120" customFormat="false" ht="22.35" hidden="false" customHeight="false" outlineLevel="0" collapsed="false">
      <c r="A1120" s="44" t="s">
        <v>17225</v>
      </c>
      <c r="B1120" s="44" t="s">
        <v>9543</v>
      </c>
      <c r="C1120" s="44" t="s">
        <v>9544</v>
      </c>
      <c r="D1120" s="44" t="s">
        <v>17226</v>
      </c>
      <c r="E1120" s="44"/>
      <c r="F1120" s="44"/>
      <c r="G1120" s="44" t="s">
        <v>14882</v>
      </c>
      <c r="H1120" s="44" t="s">
        <v>14872</v>
      </c>
      <c r="I1120" s="44" t="s">
        <v>14883</v>
      </c>
      <c r="J1120" s="44" t="s">
        <v>14874</v>
      </c>
      <c r="K1120" s="44" t="s">
        <v>14875</v>
      </c>
      <c r="L1120" s="44" t="s">
        <v>9547</v>
      </c>
      <c r="M1120" s="44" t="s">
        <v>14876</v>
      </c>
    </row>
    <row r="1121" customFormat="false" ht="22.35" hidden="false" customHeight="false" outlineLevel="0" collapsed="false">
      <c r="A1121" s="44" t="s">
        <v>17227</v>
      </c>
      <c r="B1121" s="44" t="s">
        <v>9548</v>
      </c>
      <c r="C1121" s="44" t="s">
        <v>9549</v>
      </c>
      <c r="D1121" s="44" t="s">
        <v>17228</v>
      </c>
      <c r="E1121" s="44" t="s">
        <v>17229</v>
      </c>
      <c r="F1121" s="44" t="s">
        <v>17230</v>
      </c>
      <c r="G1121" s="44" t="s">
        <v>14871</v>
      </c>
      <c r="H1121" s="44" t="s">
        <v>14872</v>
      </c>
      <c r="I1121" s="44" t="s">
        <v>14886</v>
      </c>
      <c r="J1121" s="44" t="s">
        <v>14874</v>
      </c>
      <c r="K1121" s="44" t="s">
        <v>14875</v>
      </c>
      <c r="L1121" s="44" t="s">
        <v>9552</v>
      </c>
      <c r="M1121" s="44" t="s">
        <v>14876</v>
      </c>
    </row>
    <row r="1122" customFormat="false" ht="22.35" hidden="false" customHeight="false" outlineLevel="0" collapsed="false">
      <c r="A1122" s="44" t="s">
        <v>17231</v>
      </c>
      <c r="B1122" s="44" t="s">
        <v>9548</v>
      </c>
      <c r="C1122" s="44" t="s">
        <v>9549</v>
      </c>
      <c r="D1122" s="44" t="s">
        <v>17232</v>
      </c>
      <c r="E1122" s="44" t="s">
        <v>17233</v>
      </c>
      <c r="F1122" s="44" t="s">
        <v>17234</v>
      </c>
      <c r="G1122" s="44" t="s">
        <v>14871</v>
      </c>
      <c r="H1122" s="44" t="s">
        <v>14872</v>
      </c>
      <c r="I1122" s="44" t="s">
        <v>14886</v>
      </c>
      <c r="J1122" s="44" t="s">
        <v>14874</v>
      </c>
      <c r="K1122" s="44" t="s">
        <v>14875</v>
      </c>
      <c r="L1122" s="44" t="s">
        <v>9552</v>
      </c>
      <c r="M1122" s="44" t="s">
        <v>14876</v>
      </c>
    </row>
    <row r="1123" customFormat="false" ht="22.35" hidden="false" customHeight="false" outlineLevel="0" collapsed="false">
      <c r="A1123" s="44" t="s">
        <v>17235</v>
      </c>
      <c r="B1123" s="44" t="s">
        <v>9548</v>
      </c>
      <c r="C1123" s="44" t="s">
        <v>9549</v>
      </c>
      <c r="D1123" s="44" t="s">
        <v>17236</v>
      </c>
      <c r="E1123" s="44" t="s">
        <v>200</v>
      </c>
      <c r="F1123" s="44" t="s">
        <v>201</v>
      </c>
      <c r="G1123" s="44" t="s">
        <v>14871</v>
      </c>
      <c r="H1123" s="44" t="s">
        <v>14872</v>
      </c>
      <c r="I1123" s="44" t="s">
        <v>14886</v>
      </c>
      <c r="J1123" s="44" t="s">
        <v>14874</v>
      </c>
      <c r="K1123" s="44" t="s">
        <v>14875</v>
      </c>
      <c r="L1123" s="44" t="s">
        <v>9552</v>
      </c>
      <c r="M1123" s="44" t="s">
        <v>14876</v>
      </c>
    </row>
    <row r="1124" customFormat="false" ht="22.35" hidden="false" customHeight="false" outlineLevel="0" collapsed="false">
      <c r="A1124" s="44" t="s">
        <v>17237</v>
      </c>
      <c r="B1124" s="44" t="s">
        <v>9548</v>
      </c>
      <c r="C1124" s="44" t="s">
        <v>9549</v>
      </c>
      <c r="D1124" s="44" t="s">
        <v>17238</v>
      </c>
      <c r="E1124" s="44" t="s">
        <v>925</v>
      </c>
      <c r="F1124" s="44" t="s">
        <v>926</v>
      </c>
      <c r="G1124" s="44" t="s">
        <v>14871</v>
      </c>
      <c r="H1124" s="44" t="s">
        <v>14872</v>
      </c>
      <c r="I1124" s="44" t="s">
        <v>14873</v>
      </c>
      <c r="J1124" s="44" t="s">
        <v>14874</v>
      </c>
      <c r="K1124" s="44" t="s">
        <v>14875</v>
      </c>
      <c r="L1124" s="44" t="s">
        <v>9552</v>
      </c>
      <c r="M1124" s="44" t="s">
        <v>14876</v>
      </c>
    </row>
    <row r="1125" customFormat="false" ht="22.35" hidden="false" customHeight="false" outlineLevel="0" collapsed="false">
      <c r="A1125" s="44" t="s">
        <v>17239</v>
      </c>
      <c r="B1125" s="44" t="s">
        <v>9548</v>
      </c>
      <c r="C1125" s="44" t="s">
        <v>9549</v>
      </c>
      <c r="D1125" s="44" t="s">
        <v>17240</v>
      </c>
      <c r="E1125" s="44" t="s">
        <v>14935</v>
      </c>
      <c r="F1125" s="44" t="s">
        <v>14936</v>
      </c>
      <c r="G1125" s="44" t="s">
        <v>14871</v>
      </c>
      <c r="H1125" s="44" t="s">
        <v>14872</v>
      </c>
      <c r="I1125" s="44" t="s">
        <v>14873</v>
      </c>
      <c r="J1125" s="44" t="s">
        <v>14874</v>
      </c>
      <c r="K1125" s="44" t="s">
        <v>14875</v>
      </c>
      <c r="L1125" s="44" t="s">
        <v>9552</v>
      </c>
      <c r="M1125" s="44" t="s">
        <v>14876</v>
      </c>
    </row>
    <row r="1126" customFormat="false" ht="22.35" hidden="false" customHeight="false" outlineLevel="0" collapsed="false">
      <c r="A1126" s="44" t="s">
        <v>17241</v>
      </c>
      <c r="B1126" s="44" t="s">
        <v>9553</v>
      </c>
      <c r="C1126" s="44" t="s">
        <v>9554</v>
      </c>
      <c r="D1126" s="44" t="s">
        <v>17242</v>
      </c>
      <c r="E1126" s="44" t="s">
        <v>2761</v>
      </c>
      <c r="F1126" s="44" t="s">
        <v>2762</v>
      </c>
      <c r="G1126" s="44" t="s">
        <v>14871</v>
      </c>
      <c r="H1126" s="44" t="s">
        <v>14872</v>
      </c>
      <c r="I1126" s="44" t="s">
        <v>14886</v>
      </c>
      <c r="J1126" s="44" t="s">
        <v>14874</v>
      </c>
      <c r="K1126" s="44" t="s">
        <v>14875</v>
      </c>
      <c r="L1126" s="44" t="s">
        <v>9557</v>
      </c>
      <c r="M1126" s="44" t="s">
        <v>14876</v>
      </c>
    </row>
    <row r="1127" customFormat="false" ht="22.35" hidden="false" customHeight="false" outlineLevel="0" collapsed="false">
      <c r="A1127" s="44" t="s">
        <v>17243</v>
      </c>
      <c r="B1127" s="44" t="s">
        <v>9553</v>
      </c>
      <c r="C1127" s="44" t="s">
        <v>9554</v>
      </c>
      <c r="D1127" s="44" t="s">
        <v>17244</v>
      </c>
      <c r="E1127" s="44"/>
      <c r="F1127" s="44"/>
      <c r="G1127" s="44" t="s">
        <v>14882</v>
      </c>
      <c r="H1127" s="44" t="s">
        <v>14872</v>
      </c>
      <c r="I1127" s="44" t="s">
        <v>14883</v>
      </c>
      <c r="J1127" s="44" t="s">
        <v>14874</v>
      </c>
      <c r="K1127" s="44" t="s">
        <v>14875</v>
      </c>
      <c r="L1127" s="44" t="s">
        <v>9557</v>
      </c>
      <c r="M1127" s="44" t="s">
        <v>14876</v>
      </c>
    </row>
    <row r="1128" customFormat="false" ht="22.35" hidden="false" customHeight="false" outlineLevel="0" collapsed="false">
      <c r="A1128" s="44" t="s">
        <v>17245</v>
      </c>
      <c r="B1128" s="44" t="s">
        <v>9553</v>
      </c>
      <c r="C1128" s="44" t="s">
        <v>9554</v>
      </c>
      <c r="D1128" s="44" t="s">
        <v>17246</v>
      </c>
      <c r="E1128" s="44"/>
      <c r="F1128" s="44"/>
      <c r="G1128" s="44" t="s">
        <v>14882</v>
      </c>
      <c r="H1128" s="44" t="s">
        <v>14872</v>
      </c>
      <c r="I1128" s="44" t="s">
        <v>14883</v>
      </c>
      <c r="J1128" s="44" t="s">
        <v>14874</v>
      </c>
      <c r="K1128" s="44" t="s">
        <v>14875</v>
      </c>
      <c r="L1128" s="44" t="s">
        <v>9557</v>
      </c>
      <c r="M1128" s="44" t="s">
        <v>14876</v>
      </c>
    </row>
    <row r="1129" customFormat="false" ht="22.35" hidden="false" customHeight="false" outlineLevel="0" collapsed="false">
      <c r="A1129" s="44" t="s">
        <v>17247</v>
      </c>
      <c r="B1129" s="44" t="s">
        <v>9553</v>
      </c>
      <c r="C1129" s="44" t="s">
        <v>9554</v>
      </c>
      <c r="D1129" s="44" t="s">
        <v>17248</v>
      </c>
      <c r="E1129" s="44"/>
      <c r="F1129" s="44"/>
      <c r="G1129" s="44" t="s">
        <v>14882</v>
      </c>
      <c r="H1129" s="44" t="s">
        <v>14872</v>
      </c>
      <c r="I1129" s="44" t="s">
        <v>14883</v>
      </c>
      <c r="J1129" s="44" t="s">
        <v>14874</v>
      </c>
      <c r="K1129" s="44" t="s">
        <v>14875</v>
      </c>
      <c r="L1129" s="44" t="s">
        <v>9557</v>
      </c>
      <c r="M1129" s="44" t="s">
        <v>14876</v>
      </c>
    </row>
    <row r="1130" customFormat="false" ht="22.35" hidden="false" customHeight="false" outlineLevel="0" collapsed="false">
      <c r="A1130" s="44" t="s">
        <v>17249</v>
      </c>
      <c r="B1130" s="44" t="s">
        <v>9553</v>
      </c>
      <c r="C1130" s="44" t="s">
        <v>9554</v>
      </c>
      <c r="D1130" s="44" t="s">
        <v>17250</v>
      </c>
      <c r="E1130" s="44"/>
      <c r="F1130" s="44"/>
      <c r="G1130" s="44" t="s">
        <v>14882</v>
      </c>
      <c r="H1130" s="44" t="s">
        <v>14872</v>
      </c>
      <c r="I1130" s="44" t="s">
        <v>14883</v>
      </c>
      <c r="J1130" s="44" t="s">
        <v>14874</v>
      </c>
      <c r="K1130" s="44" t="s">
        <v>14875</v>
      </c>
      <c r="L1130" s="44" t="s">
        <v>9557</v>
      </c>
      <c r="M1130" s="44" t="s">
        <v>14876</v>
      </c>
    </row>
    <row r="1131" customFormat="false" ht="22.35" hidden="false" customHeight="false" outlineLevel="0" collapsed="false">
      <c r="A1131" s="44" t="s">
        <v>17251</v>
      </c>
      <c r="B1131" s="44" t="s">
        <v>9558</v>
      </c>
      <c r="C1131" s="44" t="s">
        <v>9559</v>
      </c>
      <c r="D1131" s="44" t="s">
        <v>17252</v>
      </c>
      <c r="E1131" s="44" t="s">
        <v>17253</v>
      </c>
      <c r="F1131" s="44" t="s">
        <v>17254</v>
      </c>
      <c r="G1131" s="44" t="s">
        <v>14871</v>
      </c>
      <c r="H1131" s="44" t="s">
        <v>14872</v>
      </c>
      <c r="I1131" s="44" t="s">
        <v>14886</v>
      </c>
      <c r="J1131" s="44" t="s">
        <v>14874</v>
      </c>
      <c r="K1131" s="44" t="s">
        <v>14875</v>
      </c>
      <c r="L1131" s="44" t="s">
        <v>9562</v>
      </c>
      <c r="M1131" s="44" t="s">
        <v>14876</v>
      </c>
    </row>
    <row r="1132" customFormat="false" ht="22.35" hidden="false" customHeight="false" outlineLevel="0" collapsed="false">
      <c r="A1132" s="44" t="s">
        <v>17255</v>
      </c>
      <c r="B1132" s="44" t="s">
        <v>9558</v>
      </c>
      <c r="C1132" s="44" t="s">
        <v>9559</v>
      </c>
      <c r="D1132" s="44" t="s">
        <v>17256</v>
      </c>
      <c r="E1132" s="44"/>
      <c r="F1132" s="44"/>
      <c r="G1132" s="44" t="s">
        <v>14882</v>
      </c>
      <c r="H1132" s="44" t="s">
        <v>14872</v>
      </c>
      <c r="I1132" s="44" t="s">
        <v>14883</v>
      </c>
      <c r="J1132" s="44" t="s">
        <v>14874</v>
      </c>
      <c r="K1132" s="44" t="s">
        <v>14875</v>
      </c>
      <c r="L1132" s="44" t="s">
        <v>9562</v>
      </c>
      <c r="M1132" s="44" t="s">
        <v>14876</v>
      </c>
    </row>
    <row r="1133" customFormat="false" ht="22.35" hidden="false" customHeight="false" outlineLevel="0" collapsed="false">
      <c r="A1133" s="44" t="s">
        <v>17257</v>
      </c>
      <c r="B1133" s="44" t="s">
        <v>9558</v>
      </c>
      <c r="C1133" s="44" t="s">
        <v>9559</v>
      </c>
      <c r="D1133" s="44" t="s">
        <v>17258</v>
      </c>
      <c r="E1133" s="44" t="s">
        <v>2761</v>
      </c>
      <c r="F1133" s="44" t="s">
        <v>2762</v>
      </c>
      <c r="G1133" s="44" t="s">
        <v>14871</v>
      </c>
      <c r="H1133" s="44" t="s">
        <v>14872</v>
      </c>
      <c r="I1133" s="44" t="s">
        <v>14886</v>
      </c>
      <c r="J1133" s="44" t="s">
        <v>14874</v>
      </c>
      <c r="K1133" s="44" t="s">
        <v>14875</v>
      </c>
      <c r="L1133" s="44" t="s">
        <v>9562</v>
      </c>
      <c r="M1133" s="44" t="s">
        <v>14876</v>
      </c>
    </row>
    <row r="1134" customFormat="false" ht="22.35" hidden="false" customHeight="false" outlineLevel="0" collapsed="false">
      <c r="A1134" s="44" t="s">
        <v>17259</v>
      </c>
      <c r="B1134" s="44" t="s">
        <v>9558</v>
      </c>
      <c r="C1134" s="44" t="s">
        <v>9559</v>
      </c>
      <c r="D1134" s="44" t="s">
        <v>17260</v>
      </c>
      <c r="E1134" s="44" t="s">
        <v>527</v>
      </c>
      <c r="F1134" s="44" t="s">
        <v>528</v>
      </c>
      <c r="G1134" s="44" t="s">
        <v>14871</v>
      </c>
      <c r="H1134" s="44" t="s">
        <v>14872</v>
      </c>
      <c r="I1134" s="44" t="s">
        <v>14879</v>
      </c>
      <c r="J1134" s="44" t="s">
        <v>14874</v>
      </c>
      <c r="K1134" s="44" t="s">
        <v>14875</v>
      </c>
      <c r="L1134" s="44" t="s">
        <v>9562</v>
      </c>
      <c r="M1134" s="44" t="s">
        <v>14876</v>
      </c>
    </row>
    <row r="1135" customFormat="false" ht="22.35" hidden="false" customHeight="false" outlineLevel="0" collapsed="false">
      <c r="A1135" s="44" t="s">
        <v>17261</v>
      </c>
      <c r="B1135" s="44" t="s">
        <v>9558</v>
      </c>
      <c r="C1135" s="44" t="s">
        <v>9559</v>
      </c>
      <c r="D1135" s="44" t="s">
        <v>17262</v>
      </c>
      <c r="E1135" s="44"/>
      <c r="F1135" s="44"/>
      <c r="G1135" s="44" t="s">
        <v>14882</v>
      </c>
      <c r="H1135" s="44" t="s">
        <v>14872</v>
      </c>
      <c r="I1135" s="44" t="s">
        <v>14883</v>
      </c>
      <c r="J1135" s="44" t="s">
        <v>14874</v>
      </c>
      <c r="K1135" s="44" t="s">
        <v>14875</v>
      </c>
      <c r="L1135" s="44" t="s">
        <v>9562</v>
      </c>
      <c r="M1135" s="44" t="s">
        <v>14876</v>
      </c>
    </row>
    <row r="1136" customFormat="false" ht="22.35" hidden="false" customHeight="false" outlineLevel="0" collapsed="false">
      <c r="A1136" s="44" t="s">
        <v>17263</v>
      </c>
      <c r="B1136" s="44" t="s">
        <v>9563</v>
      </c>
      <c r="C1136" s="44" t="s">
        <v>9564</v>
      </c>
      <c r="D1136" s="44" t="s">
        <v>17264</v>
      </c>
      <c r="E1136" s="44"/>
      <c r="F1136" s="44"/>
      <c r="G1136" s="44" t="s">
        <v>14882</v>
      </c>
      <c r="H1136" s="44" t="s">
        <v>14872</v>
      </c>
      <c r="I1136" s="44" t="s">
        <v>14883</v>
      </c>
      <c r="J1136" s="44" t="s">
        <v>14874</v>
      </c>
      <c r="K1136" s="44" t="s">
        <v>14875</v>
      </c>
      <c r="L1136" s="44" t="s">
        <v>9568</v>
      </c>
      <c r="M1136" s="44" t="s">
        <v>14876</v>
      </c>
    </row>
    <row r="1137" customFormat="false" ht="22.35" hidden="false" customHeight="false" outlineLevel="0" collapsed="false">
      <c r="A1137" s="44" t="s">
        <v>17265</v>
      </c>
      <c r="B1137" s="44" t="s">
        <v>9563</v>
      </c>
      <c r="C1137" s="44" t="s">
        <v>9564</v>
      </c>
      <c r="D1137" s="44" t="s">
        <v>17266</v>
      </c>
      <c r="E1137" s="44"/>
      <c r="F1137" s="44"/>
      <c r="G1137" s="44" t="s">
        <v>14882</v>
      </c>
      <c r="H1137" s="44" t="s">
        <v>14872</v>
      </c>
      <c r="I1137" s="44" t="s">
        <v>14883</v>
      </c>
      <c r="J1137" s="44" t="s">
        <v>14874</v>
      </c>
      <c r="K1137" s="44" t="s">
        <v>14875</v>
      </c>
      <c r="L1137" s="44" t="s">
        <v>9568</v>
      </c>
      <c r="M1137" s="44" t="s">
        <v>14876</v>
      </c>
    </row>
    <row r="1138" customFormat="false" ht="22.35" hidden="false" customHeight="false" outlineLevel="0" collapsed="false">
      <c r="A1138" s="44" t="s">
        <v>17267</v>
      </c>
      <c r="B1138" s="44" t="s">
        <v>9563</v>
      </c>
      <c r="C1138" s="44" t="s">
        <v>9564</v>
      </c>
      <c r="D1138" s="44" t="s">
        <v>17268</v>
      </c>
      <c r="E1138" s="44"/>
      <c r="F1138" s="44"/>
      <c r="G1138" s="44" t="s">
        <v>14882</v>
      </c>
      <c r="H1138" s="44" t="s">
        <v>14872</v>
      </c>
      <c r="I1138" s="44" t="s">
        <v>14883</v>
      </c>
      <c r="J1138" s="44" t="s">
        <v>14874</v>
      </c>
      <c r="K1138" s="44" t="s">
        <v>14875</v>
      </c>
      <c r="L1138" s="44" t="s">
        <v>9568</v>
      </c>
      <c r="M1138" s="44" t="s">
        <v>14876</v>
      </c>
    </row>
    <row r="1139" customFormat="false" ht="22.35" hidden="false" customHeight="false" outlineLevel="0" collapsed="false">
      <c r="A1139" s="44" t="s">
        <v>17269</v>
      </c>
      <c r="B1139" s="44" t="s">
        <v>9563</v>
      </c>
      <c r="C1139" s="44" t="s">
        <v>9564</v>
      </c>
      <c r="D1139" s="44" t="s">
        <v>17270</v>
      </c>
      <c r="E1139" s="44"/>
      <c r="F1139" s="44"/>
      <c r="G1139" s="44" t="s">
        <v>14882</v>
      </c>
      <c r="H1139" s="44" t="s">
        <v>14872</v>
      </c>
      <c r="I1139" s="44" t="s">
        <v>14883</v>
      </c>
      <c r="J1139" s="44" t="s">
        <v>14874</v>
      </c>
      <c r="K1139" s="44" t="s">
        <v>14875</v>
      </c>
      <c r="L1139" s="44" t="s">
        <v>9568</v>
      </c>
      <c r="M1139" s="44" t="s">
        <v>14876</v>
      </c>
    </row>
    <row r="1140" customFormat="false" ht="22.35" hidden="false" customHeight="false" outlineLevel="0" collapsed="false">
      <c r="A1140" s="44" t="s">
        <v>17271</v>
      </c>
      <c r="B1140" s="44" t="s">
        <v>9569</v>
      </c>
      <c r="C1140" s="44" t="s">
        <v>9570</v>
      </c>
      <c r="D1140" s="44" t="s">
        <v>17272</v>
      </c>
      <c r="E1140" s="44" t="s">
        <v>17273</v>
      </c>
      <c r="F1140" s="44" t="s">
        <v>17274</v>
      </c>
      <c r="G1140" s="44" t="s">
        <v>14871</v>
      </c>
      <c r="H1140" s="44" t="s">
        <v>14872</v>
      </c>
      <c r="I1140" s="44" t="s">
        <v>14879</v>
      </c>
      <c r="J1140" s="44" t="s">
        <v>14874</v>
      </c>
      <c r="K1140" s="44" t="s">
        <v>14875</v>
      </c>
      <c r="L1140" s="44" t="s">
        <v>9573</v>
      </c>
      <c r="M1140" s="44" t="s">
        <v>14876</v>
      </c>
    </row>
    <row r="1141" customFormat="false" ht="22.35" hidden="false" customHeight="false" outlineLevel="0" collapsed="false">
      <c r="A1141" s="44" t="s">
        <v>17275</v>
      </c>
      <c r="B1141" s="44" t="s">
        <v>9569</v>
      </c>
      <c r="C1141" s="44" t="s">
        <v>9570</v>
      </c>
      <c r="D1141" s="44" t="s">
        <v>17276</v>
      </c>
      <c r="E1141" s="44" t="s">
        <v>223</v>
      </c>
      <c r="F1141" s="44" t="s">
        <v>224</v>
      </c>
      <c r="G1141" s="44" t="s">
        <v>14871</v>
      </c>
      <c r="H1141" s="44" t="s">
        <v>14872</v>
      </c>
      <c r="I1141" s="44" t="s">
        <v>14879</v>
      </c>
      <c r="J1141" s="44" t="s">
        <v>14874</v>
      </c>
      <c r="K1141" s="44" t="s">
        <v>14875</v>
      </c>
      <c r="L1141" s="44" t="s">
        <v>9573</v>
      </c>
      <c r="M1141" s="44" t="s">
        <v>14876</v>
      </c>
    </row>
    <row r="1142" customFormat="false" ht="22.35" hidden="false" customHeight="false" outlineLevel="0" collapsed="false">
      <c r="A1142" s="44" t="s">
        <v>17277</v>
      </c>
      <c r="B1142" s="44" t="s">
        <v>9569</v>
      </c>
      <c r="C1142" s="44" t="s">
        <v>9570</v>
      </c>
      <c r="D1142" s="44" t="s">
        <v>17278</v>
      </c>
      <c r="E1142" s="44" t="s">
        <v>6764</v>
      </c>
      <c r="F1142" s="44" t="s">
        <v>6765</v>
      </c>
      <c r="G1142" s="44" t="s">
        <v>14871</v>
      </c>
      <c r="H1142" s="44" t="s">
        <v>14872</v>
      </c>
      <c r="I1142" s="44" t="s">
        <v>14873</v>
      </c>
      <c r="J1142" s="44" t="s">
        <v>14874</v>
      </c>
      <c r="K1142" s="44" t="s">
        <v>14875</v>
      </c>
      <c r="L1142" s="44" t="s">
        <v>9573</v>
      </c>
      <c r="M1142" s="44" t="s">
        <v>14876</v>
      </c>
    </row>
    <row r="1143" customFormat="false" ht="22.35" hidden="false" customHeight="false" outlineLevel="0" collapsed="false">
      <c r="A1143" s="44" t="s">
        <v>17279</v>
      </c>
      <c r="B1143" s="44" t="s">
        <v>9569</v>
      </c>
      <c r="C1143" s="44" t="s">
        <v>9570</v>
      </c>
      <c r="D1143" s="44" t="s">
        <v>17280</v>
      </c>
      <c r="E1143" s="44"/>
      <c r="F1143" s="44"/>
      <c r="G1143" s="44" t="s">
        <v>14882</v>
      </c>
      <c r="H1143" s="44" t="s">
        <v>14872</v>
      </c>
      <c r="I1143" s="44" t="s">
        <v>14883</v>
      </c>
      <c r="J1143" s="44" t="s">
        <v>14874</v>
      </c>
      <c r="K1143" s="44" t="s">
        <v>14875</v>
      </c>
      <c r="L1143" s="44" t="s">
        <v>9573</v>
      </c>
      <c r="M1143" s="44" t="s">
        <v>14876</v>
      </c>
    </row>
    <row r="1144" customFormat="false" ht="22.35" hidden="false" customHeight="false" outlineLevel="0" collapsed="false">
      <c r="A1144" s="44" t="s">
        <v>17281</v>
      </c>
      <c r="B1144" s="44" t="s">
        <v>9574</v>
      </c>
      <c r="C1144" s="44" t="s">
        <v>9575</v>
      </c>
      <c r="D1144" s="44" t="s">
        <v>17282</v>
      </c>
      <c r="E1144" s="44" t="s">
        <v>17283</v>
      </c>
      <c r="F1144" s="44" t="s">
        <v>17284</v>
      </c>
      <c r="G1144" s="44" t="s">
        <v>14871</v>
      </c>
      <c r="H1144" s="44" t="s">
        <v>14872</v>
      </c>
      <c r="I1144" s="44" t="s">
        <v>14886</v>
      </c>
      <c r="J1144" s="44" t="s">
        <v>14874</v>
      </c>
      <c r="K1144" s="44" t="s">
        <v>14875</v>
      </c>
      <c r="L1144" s="44" t="s">
        <v>9578</v>
      </c>
      <c r="M1144" s="44" t="s">
        <v>14876</v>
      </c>
    </row>
    <row r="1145" customFormat="false" ht="22.35" hidden="false" customHeight="false" outlineLevel="0" collapsed="false">
      <c r="A1145" s="44" t="s">
        <v>17285</v>
      </c>
      <c r="B1145" s="44" t="s">
        <v>9574</v>
      </c>
      <c r="C1145" s="44" t="s">
        <v>9575</v>
      </c>
      <c r="D1145" s="44" t="s">
        <v>17286</v>
      </c>
      <c r="E1145" s="44" t="s">
        <v>17287</v>
      </c>
      <c r="F1145" s="44" t="s">
        <v>17288</v>
      </c>
      <c r="G1145" s="44" t="s">
        <v>14871</v>
      </c>
      <c r="H1145" s="44" t="s">
        <v>14872</v>
      </c>
      <c r="I1145" s="44" t="s">
        <v>14886</v>
      </c>
      <c r="J1145" s="44" t="s">
        <v>14874</v>
      </c>
      <c r="K1145" s="44" t="s">
        <v>14875</v>
      </c>
      <c r="L1145" s="44" t="s">
        <v>9578</v>
      </c>
      <c r="M1145" s="44" t="s">
        <v>14876</v>
      </c>
    </row>
    <row r="1146" customFormat="false" ht="22.35" hidden="false" customHeight="false" outlineLevel="0" collapsed="false">
      <c r="A1146" s="44" t="s">
        <v>17289</v>
      </c>
      <c r="B1146" s="44" t="s">
        <v>9574</v>
      </c>
      <c r="C1146" s="44" t="s">
        <v>9575</v>
      </c>
      <c r="D1146" s="44" t="s">
        <v>17290</v>
      </c>
      <c r="E1146" s="44"/>
      <c r="F1146" s="44"/>
      <c r="G1146" s="44" t="s">
        <v>14882</v>
      </c>
      <c r="H1146" s="44" t="s">
        <v>14872</v>
      </c>
      <c r="I1146" s="44" t="s">
        <v>14883</v>
      </c>
      <c r="J1146" s="44" t="s">
        <v>14874</v>
      </c>
      <c r="K1146" s="44" t="s">
        <v>14875</v>
      </c>
      <c r="L1146" s="44" t="s">
        <v>9578</v>
      </c>
      <c r="M1146" s="44" t="s">
        <v>14876</v>
      </c>
    </row>
    <row r="1147" customFormat="false" ht="22.35" hidden="false" customHeight="false" outlineLevel="0" collapsed="false">
      <c r="A1147" s="44" t="s">
        <v>17291</v>
      </c>
      <c r="B1147" s="44" t="s">
        <v>9574</v>
      </c>
      <c r="C1147" s="44" t="s">
        <v>9575</v>
      </c>
      <c r="D1147" s="44" t="s">
        <v>16526</v>
      </c>
      <c r="E1147" s="44" t="s">
        <v>2761</v>
      </c>
      <c r="F1147" s="44" t="s">
        <v>2762</v>
      </c>
      <c r="G1147" s="44" t="s">
        <v>14871</v>
      </c>
      <c r="H1147" s="44" t="s">
        <v>14872</v>
      </c>
      <c r="I1147" s="44" t="s">
        <v>14886</v>
      </c>
      <c r="J1147" s="44" t="s">
        <v>14874</v>
      </c>
      <c r="K1147" s="44" t="s">
        <v>14875</v>
      </c>
      <c r="L1147" s="44" t="s">
        <v>9578</v>
      </c>
      <c r="M1147" s="44" t="s">
        <v>14876</v>
      </c>
    </row>
    <row r="1148" customFormat="false" ht="22.35" hidden="false" customHeight="false" outlineLevel="0" collapsed="false">
      <c r="A1148" s="44" t="s">
        <v>17292</v>
      </c>
      <c r="B1148" s="44" t="s">
        <v>9579</v>
      </c>
      <c r="C1148" s="44" t="s">
        <v>9580</v>
      </c>
      <c r="D1148" s="44" t="s">
        <v>17293</v>
      </c>
      <c r="E1148" s="44" t="s">
        <v>17283</v>
      </c>
      <c r="F1148" s="44" t="s">
        <v>17284</v>
      </c>
      <c r="G1148" s="44" t="s">
        <v>14871</v>
      </c>
      <c r="H1148" s="44" t="s">
        <v>14872</v>
      </c>
      <c r="I1148" s="44" t="s">
        <v>14886</v>
      </c>
      <c r="J1148" s="44" t="s">
        <v>14874</v>
      </c>
      <c r="K1148" s="44" t="s">
        <v>14875</v>
      </c>
      <c r="L1148" s="44" t="s">
        <v>9583</v>
      </c>
      <c r="M1148" s="44" t="s">
        <v>14876</v>
      </c>
    </row>
    <row r="1149" customFormat="false" ht="22.35" hidden="false" customHeight="false" outlineLevel="0" collapsed="false">
      <c r="A1149" s="44" t="s">
        <v>17294</v>
      </c>
      <c r="B1149" s="44" t="s">
        <v>9579</v>
      </c>
      <c r="C1149" s="44" t="s">
        <v>9580</v>
      </c>
      <c r="D1149" s="44" t="s">
        <v>17295</v>
      </c>
      <c r="E1149" s="44" t="s">
        <v>17296</v>
      </c>
      <c r="F1149" s="44" t="s">
        <v>17297</v>
      </c>
      <c r="G1149" s="44" t="s">
        <v>14871</v>
      </c>
      <c r="H1149" s="44" t="s">
        <v>14872</v>
      </c>
      <c r="I1149" s="44" t="s">
        <v>14886</v>
      </c>
      <c r="J1149" s="44" t="s">
        <v>14874</v>
      </c>
      <c r="K1149" s="44" t="s">
        <v>14875</v>
      </c>
      <c r="L1149" s="44" t="s">
        <v>9583</v>
      </c>
      <c r="M1149" s="44" t="s">
        <v>14876</v>
      </c>
    </row>
    <row r="1150" customFormat="false" ht="22.35" hidden="false" customHeight="false" outlineLevel="0" collapsed="false">
      <c r="A1150" s="44" t="s">
        <v>17298</v>
      </c>
      <c r="B1150" s="44" t="s">
        <v>9579</v>
      </c>
      <c r="C1150" s="44" t="s">
        <v>9580</v>
      </c>
      <c r="D1150" s="44" t="s">
        <v>17299</v>
      </c>
      <c r="E1150" s="44"/>
      <c r="F1150" s="44"/>
      <c r="G1150" s="44" t="s">
        <v>14882</v>
      </c>
      <c r="H1150" s="44" t="s">
        <v>14872</v>
      </c>
      <c r="I1150" s="44" t="s">
        <v>14883</v>
      </c>
      <c r="J1150" s="44" t="s">
        <v>14874</v>
      </c>
      <c r="K1150" s="44" t="s">
        <v>14875</v>
      </c>
      <c r="L1150" s="44" t="s">
        <v>9583</v>
      </c>
      <c r="M1150" s="44" t="s">
        <v>14876</v>
      </c>
    </row>
    <row r="1151" customFormat="false" ht="22.35" hidden="false" customHeight="false" outlineLevel="0" collapsed="false">
      <c r="A1151" s="44" t="s">
        <v>17300</v>
      </c>
      <c r="B1151" s="44" t="s">
        <v>9579</v>
      </c>
      <c r="C1151" s="44" t="s">
        <v>9580</v>
      </c>
      <c r="D1151" s="44" t="s">
        <v>14900</v>
      </c>
      <c r="E1151" s="44" t="s">
        <v>254</v>
      </c>
      <c r="F1151" s="44" t="s">
        <v>255</v>
      </c>
      <c r="G1151" s="44" t="s">
        <v>14871</v>
      </c>
      <c r="H1151" s="44" t="s">
        <v>14872</v>
      </c>
      <c r="I1151" s="44" t="s">
        <v>14879</v>
      </c>
      <c r="J1151" s="44" t="s">
        <v>14874</v>
      </c>
      <c r="K1151" s="44" t="s">
        <v>14875</v>
      </c>
      <c r="L1151" s="44" t="s">
        <v>9583</v>
      </c>
      <c r="M1151" s="44" t="s">
        <v>14876</v>
      </c>
    </row>
    <row r="1152" customFormat="false" ht="22.35" hidden="false" customHeight="false" outlineLevel="0" collapsed="false">
      <c r="A1152" s="44" t="s">
        <v>17301</v>
      </c>
      <c r="B1152" s="44" t="s">
        <v>9579</v>
      </c>
      <c r="C1152" s="44" t="s">
        <v>9580</v>
      </c>
      <c r="D1152" s="44" t="s">
        <v>17260</v>
      </c>
      <c r="E1152" s="44" t="s">
        <v>527</v>
      </c>
      <c r="F1152" s="44" t="s">
        <v>528</v>
      </c>
      <c r="G1152" s="44" t="s">
        <v>14871</v>
      </c>
      <c r="H1152" s="44" t="s">
        <v>14872</v>
      </c>
      <c r="I1152" s="44" t="s">
        <v>14879</v>
      </c>
      <c r="J1152" s="44" t="s">
        <v>14874</v>
      </c>
      <c r="K1152" s="44" t="s">
        <v>14875</v>
      </c>
      <c r="L1152" s="44" t="s">
        <v>9583</v>
      </c>
      <c r="M1152" s="44" t="s">
        <v>14876</v>
      </c>
    </row>
    <row r="1153" customFormat="false" ht="22.35" hidden="false" customHeight="false" outlineLevel="0" collapsed="false">
      <c r="A1153" s="44" t="s">
        <v>17302</v>
      </c>
      <c r="B1153" s="44" t="s">
        <v>9579</v>
      </c>
      <c r="C1153" s="44" t="s">
        <v>9580</v>
      </c>
      <c r="D1153" s="44" t="s">
        <v>17303</v>
      </c>
      <c r="E1153" s="44"/>
      <c r="F1153" s="44"/>
      <c r="G1153" s="44" t="s">
        <v>14882</v>
      </c>
      <c r="H1153" s="44" t="s">
        <v>14872</v>
      </c>
      <c r="I1153" s="44" t="s">
        <v>14883</v>
      </c>
      <c r="J1153" s="44" t="s">
        <v>14874</v>
      </c>
      <c r="K1153" s="44" t="s">
        <v>14875</v>
      </c>
      <c r="L1153" s="44" t="s">
        <v>9583</v>
      </c>
      <c r="M1153" s="44" t="s">
        <v>14876</v>
      </c>
    </row>
    <row r="1154" customFormat="false" ht="22.35" hidden="false" customHeight="false" outlineLevel="0" collapsed="false">
      <c r="A1154" s="44" t="s">
        <v>17304</v>
      </c>
      <c r="B1154" s="44" t="s">
        <v>9584</v>
      </c>
      <c r="C1154" s="44" t="s">
        <v>9585</v>
      </c>
      <c r="D1154" s="44" t="s">
        <v>17305</v>
      </c>
      <c r="E1154" s="44" t="s">
        <v>17306</v>
      </c>
      <c r="F1154" s="44" t="s">
        <v>17307</v>
      </c>
      <c r="G1154" s="44" t="s">
        <v>14871</v>
      </c>
      <c r="H1154" s="44" t="s">
        <v>14872</v>
      </c>
      <c r="I1154" s="44" t="s">
        <v>14873</v>
      </c>
      <c r="J1154" s="44" t="s">
        <v>14874</v>
      </c>
      <c r="K1154" s="44" t="s">
        <v>14875</v>
      </c>
      <c r="L1154" s="44" t="s">
        <v>9588</v>
      </c>
      <c r="M1154" s="44" t="s">
        <v>14876</v>
      </c>
    </row>
    <row r="1155" customFormat="false" ht="22.35" hidden="false" customHeight="false" outlineLevel="0" collapsed="false">
      <c r="A1155" s="44" t="s">
        <v>17308</v>
      </c>
      <c r="B1155" s="44" t="s">
        <v>9584</v>
      </c>
      <c r="C1155" s="44" t="s">
        <v>9585</v>
      </c>
      <c r="D1155" s="44" t="s">
        <v>17309</v>
      </c>
      <c r="E1155" s="44"/>
      <c r="F1155" s="44"/>
      <c r="G1155" s="44" t="s">
        <v>14882</v>
      </c>
      <c r="H1155" s="44" t="s">
        <v>14872</v>
      </c>
      <c r="I1155" s="44" t="s">
        <v>14883</v>
      </c>
      <c r="J1155" s="44" t="s">
        <v>14874</v>
      </c>
      <c r="K1155" s="44" t="s">
        <v>14875</v>
      </c>
      <c r="L1155" s="44" t="s">
        <v>9588</v>
      </c>
      <c r="M1155" s="44" t="s">
        <v>14876</v>
      </c>
    </row>
    <row r="1156" customFormat="false" ht="22.35" hidden="false" customHeight="false" outlineLevel="0" collapsed="false">
      <c r="A1156" s="44" t="s">
        <v>17310</v>
      </c>
      <c r="B1156" s="44" t="s">
        <v>9584</v>
      </c>
      <c r="C1156" s="44" t="s">
        <v>9585</v>
      </c>
      <c r="D1156" s="44" t="s">
        <v>17311</v>
      </c>
      <c r="E1156" s="44" t="s">
        <v>231</v>
      </c>
      <c r="F1156" s="44" t="s">
        <v>232</v>
      </c>
      <c r="G1156" s="44" t="s">
        <v>14871</v>
      </c>
      <c r="H1156" s="44" t="s">
        <v>14872</v>
      </c>
      <c r="I1156" s="44" t="s">
        <v>14873</v>
      </c>
      <c r="J1156" s="44" t="s">
        <v>14874</v>
      </c>
      <c r="K1156" s="44" t="s">
        <v>14875</v>
      </c>
      <c r="L1156" s="44" t="s">
        <v>9588</v>
      </c>
      <c r="M1156" s="44" t="s">
        <v>14876</v>
      </c>
    </row>
    <row r="1157" customFormat="false" ht="22.35" hidden="false" customHeight="false" outlineLevel="0" collapsed="false">
      <c r="A1157" s="44" t="s">
        <v>17312</v>
      </c>
      <c r="B1157" s="44" t="s">
        <v>9584</v>
      </c>
      <c r="C1157" s="44" t="s">
        <v>9585</v>
      </c>
      <c r="D1157" s="44" t="s">
        <v>17313</v>
      </c>
      <c r="E1157" s="44"/>
      <c r="F1157" s="44"/>
      <c r="G1157" s="44" t="s">
        <v>14882</v>
      </c>
      <c r="H1157" s="44" t="s">
        <v>14872</v>
      </c>
      <c r="I1157" s="44" t="s">
        <v>14883</v>
      </c>
      <c r="J1157" s="44" t="s">
        <v>14874</v>
      </c>
      <c r="K1157" s="44" t="s">
        <v>14875</v>
      </c>
      <c r="L1157" s="44" t="s">
        <v>9588</v>
      </c>
      <c r="M1157" s="44" t="s">
        <v>14876</v>
      </c>
    </row>
    <row r="1158" customFormat="false" ht="22.35" hidden="false" customHeight="false" outlineLevel="0" collapsed="false">
      <c r="A1158" s="44" t="s">
        <v>17314</v>
      </c>
      <c r="B1158" s="44" t="s">
        <v>9584</v>
      </c>
      <c r="C1158" s="44" t="s">
        <v>9585</v>
      </c>
      <c r="D1158" s="44" t="s">
        <v>17315</v>
      </c>
      <c r="E1158" s="44" t="s">
        <v>4895</v>
      </c>
      <c r="F1158" s="44" t="s">
        <v>4896</v>
      </c>
      <c r="G1158" s="44" t="s">
        <v>14871</v>
      </c>
      <c r="H1158" s="44" t="s">
        <v>14872</v>
      </c>
      <c r="I1158" s="44" t="s">
        <v>14886</v>
      </c>
      <c r="J1158" s="44" t="s">
        <v>14874</v>
      </c>
      <c r="K1158" s="44" t="s">
        <v>14875</v>
      </c>
      <c r="L1158" s="44" t="s">
        <v>9588</v>
      </c>
      <c r="M1158" s="44" t="s">
        <v>14876</v>
      </c>
    </row>
    <row r="1159" customFormat="false" ht="22.35" hidden="false" customHeight="false" outlineLevel="0" collapsed="false">
      <c r="A1159" s="44" t="s">
        <v>17316</v>
      </c>
      <c r="B1159" s="44" t="s">
        <v>9589</v>
      </c>
      <c r="C1159" s="44" t="s">
        <v>9590</v>
      </c>
      <c r="D1159" s="44" t="s">
        <v>17317</v>
      </c>
      <c r="E1159" s="44" t="s">
        <v>4094</v>
      </c>
      <c r="F1159" s="44" t="s">
        <v>4095</v>
      </c>
      <c r="G1159" s="44" t="s">
        <v>14871</v>
      </c>
      <c r="H1159" s="44" t="s">
        <v>14872</v>
      </c>
      <c r="I1159" s="44" t="s">
        <v>14873</v>
      </c>
      <c r="J1159" s="44" t="s">
        <v>14874</v>
      </c>
      <c r="K1159" s="44" t="s">
        <v>14875</v>
      </c>
      <c r="L1159" s="44" t="s">
        <v>9595</v>
      </c>
      <c r="M1159" s="44" t="s">
        <v>14876</v>
      </c>
    </row>
    <row r="1160" customFormat="false" ht="22.35" hidden="false" customHeight="false" outlineLevel="0" collapsed="false">
      <c r="A1160" s="44" t="s">
        <v>17318</v>
      </c>
      <c r="B1160" s="44" t="s">
        <v>9589</v>
      </c>
      <c r="C1160" s="44" t="s">
        <v>9590</v>
      </c>
      <c r="D1160" s="44" t="s">
        <v>17319</v>
      </c>
      <c r="E1160" s="44" t="s">
        <v>17320</v>
      </c>
      <c r="F1160" s="44" t="s">
        <v>17321</v>
      </c>
      <c r="G1160" s="44" t="s">
        <v>14871</v>
      </c>
      <c r="H1160" s="44" t="s">
        <v>14872</v>
      </c>
      <c r="I1160" s="44" t="s">
        <v>14873</v>
      </c>
      <c r="J1160" s="44" t="s">
        <v>14874</v>
      </c>
      <c r="K1160" s="44" t="s">
        <v>14875</v>
      </c>
      <c r="L1160" s="44" t="s">
        <v>9595</v>
      </c>
      <c r="M1160" s="44" t="s">
        <v>14876</v>
      </c>
    </row>
    <row r="1161" customFormat="false" ht="22.35" hidden="false" customHeight="false" outlineLevel="0" collapsed="false">
      <c r="A1161" s="44" t="s">
        <v>17322</v>
      </c>
      <c r="B1161" s="44" t="s">
        <v>9589</v>
      </c>
      <c r="C1161" s="44" t="s">
        <v>9590</v>
      </c>
      <c r="D1161" s="44" t="s">
        <v>17323</v>
      </c>
      <c r="E1161" s="44" t="s">
        <v>994</v>
      </c>
      <c r="F1161" s="44" t="s">
        <v>995</v>
      </c>
      <c r="G1161" s="44" t="s">
        <v>14871</v>
      </c>
      <c r="H1161" s="44" t="s">
        <v>14872</v>
      </c>
      <c r="I1161" s="44" t="s">
        <v>14873</v>
      </c>
      <c r="J1161" s="44" t="s">
        <v>14874</v>
      </c>
      <c r="K1161" s="44" t="s">
        <v>14875</v>
      </c>
      <c r="L1161" s="44" t="s">
        <v>9595</v>
      </c>
      <c r="M1161" s="44" t="s">
        <v>14876</v>
      </c>
    </row>
    <row r="1162" customFormat="false" ht="22.35" hidden="false" customHeight="false" outlineLevel="0" collapsed="false">
      <c r="A1162" s="44" t="s">
        <v>17324</v>
      </c>
      <c r="B1162" s="44" t="s">
        <v>9589</v>
      </c>
      <c r="C1162" s="44" t="s">
        <v>9590</v>
      </c>
      <c r="D1162" s="44" t="s">
        <v>14896</v>
      </c>
      <c r="E1162" s="44" t="s">
        <v>2473</v>
      </c>
      <c r="F1162" s="44" t="s">
        <v>2474</v>
      </c>
      <c r="G1162" s="44" t="s">
        <v>14871</v>
      </c>
      <c r="H1162" s="44" t="s">
        <v>14872</v>
      </c>
      <c r="I1162" s="44" t="s">
        <v>14879</v>
      </c>
      <c r="J1162" s="44" t="s">
        <v>14874</v>
      </c>
      <c r="K1162" s="44" t="s">
        <v>14875</v>
      </c>
      <c r="L1162" s="44" t="s">
        <v>9595</v>
      </c>
      <c r="M1162" s="44" t="s">
        <v>14876</v>
      </c>
    </row>
    <row r="1163" customFormat="false" ht="22.35" hidden="false" customHeight="false" outlineLevel="0" collapsed="false">
      <c r="A1163" s="44" t="s">
        <v>17325</v>
      </c>
      <c r="B1163" s="44" t="s">
        <v>9589</v>
      </c>
      <c r="C1163" s="44" t="s">
        <v>9590</v>
      </c>
      <c r="D1163" s="44" t="s">
        <v>15382</v>
      </c>
      <c r="E1163" s="44" t="s">
        <v>15383</v>
      </c>
      <c r="F1163" s="44" t="s">
        <v>15384</v>
      </c>
      <c r="G1163" s="44" t="s">
        <v>14871</v>
      </c>
      <c r="H1163" s="44" t="s">
        <v>14872</v>
      </c>
      <c r="I1163" s="44" t="s">
        <v>14886</v>
      </c>
      <c r="J1163" s="44" t="s">
        <v>14874</v>
      </c>
      <c r="K1163" s="44" t="s">
        <v>14875</v>
      </c>
      <c r="L1163" s="44" t="s">
        <v>9595</v>
      </c>
      <c r="M1163" s="44" t="s">
        <v>14876</v>
      </c>
    </row>
    <row r="1164" customFormat="false" ht="22.35" hidden="false" customHeight="false" outlineLevel="0" collapsed="false">
      <c r="A1164" s="44" t="s">
        <v>17326</v>
      </c>
      <c r="B1164" s="44" t="s">
        <v>9596</v>
      </c>
      <c r="C1164" s="44" t="s">
        <v>9597</v>
      </c>
      <c r="D1164" s="44" t="s">
        <v>17327</v>
      </c>
      <c r="E1164" s="44" t="s">
        <v>17328</v>
      </c>
      <c r="F1164" s="44" t="s">
        <v>17329</v>
      </c>
      <c r="G1164" s="44" t="s">
        <v>14871</v>
      </c>
      <c r="H1164" s="44" t="s">
        <v>14872</v>
      </c>
      <c r="I1164" s="44" t="s">
        <v>14873</v>
      </c>
      <c r="J1164" s="44" t="s">
        <v>14874</v>
      </c>
      <c r="K1164" s="44" t="s">
        <v>14875</v>
      </c>
      <c r="L1164" s="44" t="s">
        <v>9602</v>
      </c>
      <c r="M1164" s="44" t="s">
        <v>14876</v>
      </c>
    </row>
    <row r="1165" customFormat="false" ht="22.35" hidden="false" customHeight="false" outlineLevel="0" collapsed="false">
      <c r="A1165" s="44" t="s">
        <v>17330</v>
      </c>
      <c r="B1165" s="44" t="s">
        <v>9596</v>
      </c>
      <c r="C1165" s="44" t="s">
        <v>9597</v>
      </c>
      <c r="D1165" s="44" t="s">
        <v>17331</v>
      </c>
      <c r="E1165" s="44" t="s">
        <v>211</v>
      </c>
      <c r="F1165" s="44" t="s">
        <v>212</v>
      </c>
      <c r="G1165" s="44" t="s">
        <v>14871</v>
      </c>
      <c r="H1165" s="44" t="s">
        <v>14872</v>
      </c>
      <c r="I1165" s="44" t="s">
        <v>14873</v>
      </c>
      <c r="J1165" s="44" t="s">
        <v>14874</v>
      </c>
      <c r="K1165" s="44" t="s">
        <v>14875</v>
      </c>
      <c r="L1165" s="44" t="s">
        <v>9602</v>
      </c>
      <c r="M1165" s="44" t="s">
        <v>14876</v>
      </c>
    </row>
    <row r="1166" customFormat="false" ht="22.35" hidden="false" customHeight="false" outlineLevel="0" collapsed="false">
      <c r="A1166" s="44" t="s">
        <v>17332</v>
      </c>
      <c r="B1166" s="44" t="s">
        <v>9596</v>
      </c>
      <c r="C1166" s="44" t="s">
        <v>9597</v>
      </c>
      <c r="D1166" s="44" t="s">
        <v>17333</v>
      </c>
      <c r="E1166" s="44" t="s">
        <v>17334</v>
      </c>
      <c r="F1166" s="44" t="s">
        <v>17335</v>
      </c>
      <c r="G1166" s="44" t="s">
        <v>14871</v>
      </c>
      <c r="H1166" s="44" t="s">
        <v>14872</v>
      </c>
      <c r="I1166" s="44" t="s">
        <v>14873</v>
      </c>
      <c r="J1166" s="44" t="s">
        <v>14874</v>
      </c>
      <c r="K1166" s="44" t="s">
        <v>14875</v>
      </c>
      <c r="L1166" s="44" t="s">
        <v>9602</v>
      </c>
      <c r="M1166" s="44" t="s">
        <v>14876</v>
      </c>
    </row>
    <row r="1167" customFormat="false" ht="22.35" hidden="false" customHeight="false" outlineLevel="0" collapsed="false">
      <c r="A1167" s="44" t="s">
        <v>17336</v>
      </c>
      <c r="B1167" s="44" t="s">
        <v>9596</v>
      </c>
      <c r="C1167" s="44" t="s">
        <v>9597</v>
      </c>
      <c r="D1167" s="44" t="s">
        <v>17337</v>
      </c>
      <c r="E1167" s="44" t="s">
        <v>4219</v>
      </c>
      <c r="F1167" s="44" t="s">
        <v>4220</v>
      </c>
      <c r="G1167" s="44" t="s">
        <v>14871</v>
      </c>
      <c r="H1167" s="44" t="s">
        <v>14872</v>
      </c>
      <c r="I1167" s="44" t="s">
        <v>14886</v>
      </c>
      <c r="J1167" s="44" t="s">
        <v>14874</v>
      </c>
      <c r="K1167" s="44" t="s">
        <v>14875</v>
      </c>
      <c r="L1167" s="44" t="s">
        <v>9602</v>
      </c>
      <c r="M1167" s="44" t="s">
        <v>14876</v>
      </c>
    </row>
    <row r="1168" customFormat="false" ht="22.35" hidden="false" customHeight="false" outlineLevel="0" collapsed="false">
      <c r="A1168" s="44" t="s">
        <v>17338</v>
      </c>
      <c r="B1168" s="44" t="s">
        <v>9596</v>
      </c>
      <c r="C1168" s="44" t="s">
        <v>9597</v>
      </c>
      <c r="D1168" s="44" t="s">
        <v>17339</v>
      </c>
      <c r="E1168" s="44"/>
      <c r="F1168" s="44"/>
      <c r="G1168" s="44" t="s">
        <v>14882</v>
      </c>
      <c r="H1168" s="44" t="s">
        <v>14872</v>
      </c>
      <c r="I1168" s="44" t="s">
        <v>14883</v>
      </c>
      <c r="J1168" s="44" t="s">
        <v>14874</v>
      </c>
      <c r="K1168" s="44" t="s">
        <v>14875</v>
      </c>
      <c r="L1168" s="44" t="s">
        <v>9602</v>
      </c>
      <c r="M1168" s="44" t="s">
        <v>14876</v>
      </c>
    </row>
    <row r="1169" customFormat="false" ht="22.35" hidden="false" customHeight="false" outlineLevel="0" collapsed="false">
      <c r="A1169" s="44" t="s">
        <v>17340</v>
      </c>
      <c r="B1169" s="44" t="s">
        <v>9603</v>
      </c>
      <c r="C1169" s="44" t="s">
        <v>9604</v>
      </c>
      <c r="D1169" s="44" t="s">
        <v>15931</v>
      </c>
      <c r="E1169" s="44" t="s">
        <v>15550</v>
      </c>
      <c r="F1169" s="44" t="s">
        <v>15551</v>
      </c>
      <c r="G1169" s="44" t="s">
        <v>14871</v>
      </c>
      <c r="H1169" s="44" t="s">
        <v>14872</v>
      </c>
      <c r="I1169" s="44" t="s">
        <v>14873</v>
      </c>
      <c r="J1169" s="44" t="s">
        <v>14874</v>
      </c>
      <c r="K1169" s="44" t="s">
        <v>14875</v>
      </c>
      <c r="L1169" s="44" t="s">
        <v>9610</v>
      </c>
      <c r="M1169" s="44" t="s">
        <v>14876</v>
      </c>
    </row>
    <row r="1170" customFormat="false" ht="22.35" hidden="false" customHeight="false" outlineLevel="0" collapsed="false">
      <c r="A1170" s="44" t="s">
        <v>17341</v>
      </c>
      <c r="B1170" s="44" t="s">
        <v>9603</v>
      </c>
      <c r="C1170" s="44" t="s">
        <v>9604</v>
      </c>
      <c r="D1170" s="44" t="s">
        <v>17342</v>
      </c>
      <c r="E1170" s="44" t="s">
        <v>1793</v>
      </c>
      <c r="F1170" s="44" t="s">
        <v>1794</v>
      </c>
      <c r="G1170" s="44" t="s">
        <v>14871</v>
      </c>
      <c r="H1170" s="44" t="s">
        <v>14872</v>
      </c>
      <c r="I1170" s="44" t="s">
        <v>14873</v>
      </c>
      <c r="J1170" s="44" t="s">
        <v>14874</v>
      </c>
      <c r="K1170" s="44" t="s">
        <v>14875</v>
      </c>
      <c r="L1170" s="44" t="s">
        <v>9610</v>
      </c>
      <c r="M1170" s="44" t="s">
        <v>14876</v>
      </c>
    </row>
    <row r="1171" customFormat="false" ht="22.35" hidden="false" customHeight="false" outlineLevel="0" collapsed="false">
      <c r="A1171" s="44" t="s">
        <v>17343</v>
      </c>
      <c r="B1171" s="44" t="s">
        <v>9603</v>
      </c>
      <c r="C1171" s="44" t="s">
        <v>9604</v>
      </c>
      <c r="D1171" s="44" t="s">
        <v>17344</v>
      </c>
      <c r="E1171" s="44" t="s">
        <v>17345</v>
      </c>
      <c r="F1171" s="44" t="s">
        <v>17346</v>
      </c>
      <c r="G1171" s="44" t="s">
        <v>14871</v>
      </c>
      <c r="H1171" s="44" t="s">
        <v>14872</v>
      </c>
      <c r="I1171" s="44" t="s">
        <v>14873</v>
      </c>
      <c r="J1171" s="44" t="s">
        <v>14874</v>
      </c>
      <c r="K1171" s="44" t="s">
        <v>14875</v>
      </c>
      <c r="L1171" s="44" t="s">
        <v>9610</v>
      </c>
      <c r="M1171" s="44" t="s">
        <v>14876</v>
      </c>
    </row>
    <row r="1172" customFormat="false" ht="22.35" hidden="false" customHeight="false" outlineLevel="0" collapsed="false">
      <c r="A1172" s="44" t="s">
        <v>17347</v>
      </c>
      <c r="B1172" s="44" t="s">
        <v>9603</v>
      </c>
      <c r="C1172" s="44" t="s">
        <v>9604</v>
      </c>
      <c r="D1172" s="44" t="s">
        <v>17348</v>
      </c>
      <c r="E1172" s="44" t="s">
        <v>3451</v>
      </c>
      <c r="F1172" s="44" t="s">
        <v>3452</v>
      </c>
      <c r="G1172" s="44" t="s">
        <v>14871</v>
      </c>
      <c r="H1172" s="44" t="s">
        <v>14872</v>
      </c>
      <c r="I1172" s="44" t="s">
        <v>14873</v>
      </c>
      <c r="J1172" s="44" t="s">
        <v>14874</v>
      </c>
      <c r="K1172" s="44" t="s">
        <v>14875</v>
      </c>
      <c r="L1172" s="44" t="s">
        <v>9610</v>
      </c>
      <c r="M1172" s="44" t="s">
        <v>14876</v>
      </c>
    </row>
    <row r="1173" customFormat="false" ht="22.35" hidden="false" customHeight="false" outlineLevel="0" collapsed="false">
      <c r="A1173" s="44" t="s">
        <v>17349</v>
      </c>
      <c r="B1173" s="44" t="s">
        <v>9603</v>
      </c>
      <c r="C1173" s="44" t="s">
        <v>9604</v>
      </c>
      <c r="D1173" s="44" t="s">
        <v>17350</v>
      </c>
      <c r="E1173" s="44"/>
      <c r="F1173" s="44"/>
      <c r="G1173" s="44" t="s">
        <v>14882</v>
      </c>
      <c r="H1173" s="44" t="s">
        <v>14872</v>
      </c>
      <c r="I1173" s="44" t="s">
        <v>14883</v>
      </c>
      <c r="J1173" s="44" t="s">
        <v>14874</v>
      </c>
      <c r="K1173" s="44" t="s">
        <v>14875</v>
      </c>
      <c r="L1173" s="44" t="s">
        <v>9610</v>
      </c>
      <c r="M1173" s="44" t="s">
        <v>14876</v>
      </c>
    </row>
    <row r="1174" customFormat="false" ht="22.35" hidden="false" customHeight="false" outlineLevel="0" collapsed="false">
      <c r="A1174" s="44" t="s">
        <v>17351</v>
      </c>
      <c r="B1174" s="44" t="s">
        <v>9611</v>
      </c>
      <c r="C1174" s="44" t="s">
        <v>9612</v>
      </c>
      <c r="D1174" s="44" t="s">
        <v>17352</v>
      </c>
      <c r="E1174" s="44" t="s">
        <v>17353</v>
      </c>
      <c r="F1174" s="44" t="s">
        <v>17354</v>
      </c>
      <c r="G1174" s="44" t="s">
        <v>14871</v>
      </c>
      <c r="H1174" s="44" t="s">
        <v>14872</v>
      </c>
      <c r="I1174" s="44" t="s">
        <v>14873</v>
      </c>
      <c r="J1174" s="44" t="s">
        <v>14874</v>
      </c>
      <c r="K1174" s="44" t="s">
        <v>14875</v>
      </c>
      <c r="L1174" s="44" t="s">
        <v>9614</v>
      </c>
      <c r="M1174" s="44" t="s">
        <v>14876</v>
      </c>
    </row>
    <row r="1175" customFormat="false" ht="22.35" hidden="false" customHeight="false" outlineLevel="0" collapsed="false">
      <c r="A1175" s="44" t="s">
        <v>17355</v>
      </c>
      <c r="B1175" s="44" t="s">
        <v>9611</v>
      </c>
      <c r="C1175" s="44" t="s">
        <v>9612</v>
      </c>
      <c r="D1175" s="44" t="s">
        <v>17356</v>
      </c>
      <c r="E1175" s="44" t="s">
        <v>2554</v>
      </c>
      <c r="F1175" s="44" t="s">
        <v>2555</v>
      </c>
      <c r="G1175" s="44" t="s">
        <v>14871</v>
      </c>
      <c r="H1175" s="44" t="s">
        <v>14872</v>
      </c>
      <c r="I1175" s="44" t="s">
        <v>14879</v>
      </c>
      <c r="J1175" s="44" t="s">
        <v>14874</v>
      </c>
      <c r="K1175" s="44" t="s">
        <v>14875</v>
      </c>
      <c r="L1175" s="44" t="s">
        <v>9614</v>
      </c>
      <c r="M1175" s="44" t="s">
        <v>14876</v>
      </c>
    </row>
    <row r="1176" customFormat="false" ht="22.35" hidden="false" customHeight="false" outlineLevel="0" collapsed="false">
      <c r="A1176" s="44" t="s">
        <v>17357</v>
      </c>
      <c r="B1176" s="44" t="s">
        <v>9611</v>
      </c>
      <c r="C1176" s="44" t="s">
        <v>9612</v>
      </c>
      <c r="D1176" s="44" t="s">
        <v>14924</v>
      </c>
      <c r="E1176" s="44" t="s">
        <v>2761</v>
      </c>
      <c r="F1176" s="44" t="s">
        <v>2762</v>
      </c>
      <c r="G1176" s="44" t="s">
        <v>14871</v>
      </c>
      <c r="H1176" s="44" t="s">
        <v>14872</v>
      </c>
      <c r="I1176" s="44" t="s">
        <v>14886</v>
      </c>
      <c r="J1176" s="44" t="s">
        <v>14874</v>
      </c>
      <c r="K1176" s="44" t="s">
        <v>14875</v>
      </c>
      <c r="L1176" s="44" t="s">
        <v>9614</v>
      </c>
      <c r="M1176" s="44" t="s">
        <v>14876</v>
      </c>
    </row>
    <row r="1177" customFormat="false" ht="22.35" hidden="false" customHeight="false" outlineLevel="0" collapsed="false">
      <c r="A1177" s="44" t="s">
        <v>17358</v>
      </c>
      <c r="B1177" s="44" t="s">
        <v>9611</v>
      </c>
      <c r="C1177" s="44" t="s">
        <v>9612</v>
      </c>
      <c r="D1177" s="44" t="s">
        <v>17359</v>
      </c>
      <c r="E1177" s="44" t="s">
        <v>207</v>
      </c>
      <c r="F1177" s="44" t="s">
        <v>208</v>
      </c>
      <c r="G1177" s="44" t="s">
        <v>14871</v>
      </c>
      <c r="H1177" s="44" t="s">
        <v>14872</v>
      </c>
      <c r="I1177" s="44" t="s">
        <v>14873</v>
      </c>
      <c r="J1177" s="44" t="s">
        <v>14874</v>
      </c>
      <c r="K1177" s="44" t="s">
        <v>14875</v>
      </c>
      <c r="L1177" s="44" t="s">
        <v>9614</v>
      </c>
      <c r="M1177" s="44" t="s">
        <v>14876</v>
      </c>
    </row>
    <row r="1178" customFormat="false" ht="22.35" hidden="false" customHeight="false" outlineLevel="0" collapsed="false">
      <c r="A1178" s="44" t="s">
        <v>17360</v>
      </c>
      <c r="B1178" s="44" t="s">
        <v>9611</v>
      </c>
      <c r="C1178" s="44" t="s">
        <v>9612</v>
      </c>
      <c r="D1178" s="44" t="s">
        <v>17361</v>
      </c>
      <c r="E1178" s="44"/>
      <c r="F1178" s="44"/>
      <c r="G1178" s="44" t="s">
        <v>14882</v>
      </c>
      <c r="H1178" s="44" t="s">
        <v>14872</v>
      </c>
      <c r="I1178" s="44" t="s">
        <v>14883</v>
      </c>
      <c r="J1178" s="44" t="s">
        <v>14874</v>
      </c>
      <c r="K1178" s="44" t="s">
        <v>14875</v>
      </c>
      <c r="L1178" s="44" t="s">
        <v>9614</v>
      </c>
      <c r="M1178" s="44" t="s">
        <v>14876</v>
      </c>
    </row>
    <row r="1179" customFormat="false" ht="22.35" hidden="false" customHeight="false" outlineLevel="0" collapsed="false">
      <c r="A1179" s="44" t="s">
        <v>17362</v>
      </c>
      <c r="B1179" s="44" t="s">
        <v>9615</v>
      </c>
      <c r="C1179" s="44" t="s">
        <v>9616</v>
      </c>
      <c r="D1179" s="44" t="s">
        <v>17363</v>
      </c>
      <c r="E1179" s="44" t="s">
        <v>2245</v>
      </c>
      <c r="F1179" s="44" t="s">
        <v>2246</v>
      </c>
      <c r="G1179" s="44" t="s">
        <v>14871</v>
      </c>
      <c r="H1179" s="44" t="s">
        <v>14872</v>
      </c>
      <c r="I1179" s="44" t="s">
        <v>14873</v>
      </c>
      <c r="J1179" s="44" t="s">
        <v>14874</v>
      </c>
      <c r="K1179" s="44" t="s">
        <v>14875</v>
      </c>
      <c r="L1179" s="44" t="s">
        <v>9620</v>
      </c>
      <c r="M1179" s="44" t="s">
        <v>14876</v>
      </c>
    </row>
    <row r="1180" customFormat="false" ht="22.35" hidden="false" customHeight="false" outlineLevel="0" collapsed="false">
      <c r="A1180" s="44" t="s">
        <v>17364</v>
      </c>
      <c r="B1180" s="44" t="s">
        <v>9615</v>
      </c>
      <c r="C1180" s="44" t="s">
        <v>9616</v>
      </c>
      <c r="D1180" s="44" t="s">
        <v>17365</v>
      </c>
      <c r="E1180" s="44" t="s">
        <v>200</v>
      </c>
      <c r="F1180" s="44" t="s">
        <v>201</v>
      </c>
      <c r="G1180" s="44" t="s">
        <v>14871</v>
      </c>
      <c r="H1180" s="44" t="s">
        <v>14872</v>
      </c>
      <c r="I1180" s="44" t="s">
        <v>14886</v>
      </c>
      <c r="J1180" s="44" t="s">
        <v>14874</v>
      </c>
      <c r="K1180" s="44" t="s">
        <v>14875</v>
      </c>
      <c r="L1180" s="44" t="s">
        <v>9620</v>
      </c>
      <c r="M1180" s="44" t="s">
        <v>14876</v>
      </c>
    </row>
    <row r="1181" customFormat="false" ht="22.35" hidden="false" customHeight="false" outlineLevel="0" collapsed="false">
      <c r="A1181" s="44" t="s">
        <v>17366</v>
      </c>
      <c r="B1181" s="44" t="s">
        <v>9615</v>
      </c>
      <c r="C1181" s="44" t="s">
        <v>9616</v>
      </c>
      <c r="D1181" s="44" t="s">
        <v>16526</v>
      </c>
      <c r="E1181" s="44" t="s">
        <v>2761</v>
      </c>
      <c r="F1181" s="44" t="s">
        <v>2762</v>
      </c>
      <c r="G1181" s="44" t="s">
        <v>14871</v>
      </c>
      <c r="H1181" s="44" t="s">
        <v>14872</v>
      </c>
      <c r="I1181" s="44" t="s">
        <v>14886</v>
      </c>
      <c r="J1181" s="44" t="s">
        <v>14874</v>
      </c>
      <c r="K1181" s="44" t="s">
        <v>14875</v>
      </c>
      <c r="L1181" s="44" t="s">
        <v>9620</v>
      </c>
      <c r="M1181" s="44" t="s">
        <v>14876</v>
      </c>
    </row>
    <row r="1182" customFormat="false" ht="22.35" hidden="false" customHeight="false" outlineLevel="0" collapsed="false">
      <c r="A1182" s="44" t="s">
        <v>17367</v>
      </c>
      <c r="B1182" s="44" t="s">
        <v>9615</v>
      </c>
      <c r="C1182" s="44" t="s">
        <v>9616</v>
      </c>
      <c r="D1182" s="44" t="s">
        <v>17368</v>
      </c>
      <c r="E1182" s="44" t="s">
        <v>231</v>
      </c>
      <c r="F1182" s="44" t="s">
        <v>232</v>
      </c>
      <c r="G1182" s="44" t="s">
        <v>14871</v>
      </c>
      <c r="H1182" s="44" t="s">
        <v>14872</v>
      </c>
      <c r="I1182" s="44" t="s">
        <v>14873</v>
      </c>
      <c r="J1182" s="44" t="s">
        <v>14874</v>
      </c>
      <c r="K1182" s="44" t="s">
        <v>14875</v>
      </c>
      <c r="L1182" s="44" t="s">
        <v>9620</v>
      </c>
      <c r="M1182" s="44" t="s">
        <v>14876</v>
      </c>
    </row>
    <row r="1183" customFormat="false" ht="22.35" hidden="false" customHeight="false" outlineLevel="0" collapsed="false">
      <c r="A1183" s="44" t="s">
        <v>17369</v>
      </c>
      <c r="B1183" s="44" t="s">
        <v>9615</v>
      </c>
      <c r="C1183" s="44" t="s">
        <v>9616</v>
      </c>
      <c r="D1183" s="44" t="s">
        <v>17370</v>
      </c>
      <c r="E1183" s="44" t="s">
        <v>4098</v>
      </c>
      <c r="F1183" s="44" t="s">
        <v>4099</v>
      </c>
      <c r="G1183" s="44" t="s">
        <v>14871</v>
      </c>
      <c r="H1183" s="44" t="s">
        <v>14872</v>
      </c>
      <c r="I1183" s="44" t="s">
        <v>14879</v>
      </c>
      <c r="J1183" s="44" t="s">
        <v>14874</v>
      </c>
      <c r="K1183" s="44" t="s">
        <v>14875</v>
      </c>
      <c r="L1183" s="44" t="s">
        <v>9620</v>
      </c>
      <c r="M1183" s="44" t="s">
        <v>14876</v>
      </c>
    </row>
    <row r="1184" customFormat="false" ht="22.35" hidden="false" customHeight="false" outlineLevel="0" collapsed="false">
      <c r="A1184" s="44" t="s">
        <v>17371</v>
      </c>
      <c r="B1184" s="44" t="s">
        <v>9621</v>
      </c>
      <c r="C1184" s="44" t="s">
        <v>9622</v>
      </c>
      <c r="D1184" s="44" t="s">
        <v>17372</v>
      </c>
      <c r="E1184" s="44" t="s">
        <v>14935</v>
      </c>
      <c r="F1184" s="44" t="s">
        <v>14936</v>
      </c>
      <c r="G1184" s="44" t="s">
        <v>14871</v>
      </c>
      <c r="H1184" s="44" t="s">
        <v>14872</v>
      </c>
      <c r="I1184" s="44" t="s">
        <v>14873</v>
      </c>
      <c r="J1184" s="44" t="s">
        <v>14874</v>
      </c>
      <c r="K1184" s="44" t="s">
        <v>14875</v>
      </c>
      <c r="L1184" s="44" t="s">
        <v>9625</v>
      </c>
      <c r="M1184" s="44" t="s">
        <v>14876</v>
      </c>
    </row>
    <row r="1185" customFormat="false" ht="22.35" hidden="false" customHeight="false" outlineLevel="0" collapsed="false">
      <c r="A1185" s="44" t="s">
        <v>17373</v>
      </c>
      <c r="B1185" s="44" t="s">
        <v>9621</v>
      </c>
      <c r="C1185" s="44" t="s">
        <v>9622</v>
      </c>
      <c r="D1185" s="44" t="s">
        <v>17374</v>
      </c>
      <c r="E1185" s="44" t="s">
        <v>17375</v>
      </c>
      <c r="F1185" s="44" t="s">
        <v>17376</v>
      </c>
      <c r="G1185" s="44" t="s">
        <v>14871</v>
      </c>
      <c r="H1185" s="44" t="s">
        <v>14872</v>
      </c>
      <c r="I1185" s="44" t="s">
        <v>14873</v>
      </c>
      <c r="J1185" s="44" t="s">
        <v>14874</v>
      </c>
      <c r="K1185" s="44" t="s">
        <v>14875</v>
      </c>
      <c r="L1185" s="44" t="s">
        <v>9625</v>
      </c>
      <c r="M1185" s="44" t="s">
        <v>14876</v>
      </c>
    </row>
    <row r="1186" customFormat="false" ht="22.35" hidden="false" customHeight="false" outlineLevel="0" collapsed="false">
      <c r="A1186" s="44" t="s">
        <v>17377</v>
      </c>
      <c r="B1186" s="44" t="s">
        <v>9621</v>
      </c>
      <c r="C1186" s="44" t="s">
        <v>9622</v>
      </c>
      <c r="D1186" s="44" t="s">
        <v>17378</v>
      </c>
      <c r="E1186" s="44"/>
      <c r="F1186" s="44"/>
      <c r="G1186" s="44" t="s">
        <v>14882</v>
      </c>
      <c r="H1186" s="44" t="s">
        <v>14872</v>
      </c>
      <c r="I1186" s="44" t="s">
        <v>14883</v>
      </c>
      <c r="J1186" s="44" t="s">
        <v>14874</v>
      </c>
      <c r="K1186" s="44" t="s">
        <v>14875</v>
      </c>
      <c r="L1186" s="44" t="s">
        <v>9625</v>
      </c>
      <c r="M1186" s="44" t="s">
        <v>14876</v>
      </c>
    </row>
    <row r="1187" customFormat="false" ht="22.35" hidden="false" customHeight="false" outlineLevel="0" collapsed="false">
      <c r="A1187" s="44" t="s">
        <v>17379</v>
      </c>
      <c r="B1187" s="44" t="s">
        <v>9621</v>
      </c>
      <c r="C1187" s="44" t="s">
        <v>9622</v>
      </c>
      <c r="D1187" s="44" t="s">
        <v>16051</v>
      </c>
      <c r="E1187" s="44" t="s">
        <v>211</v>
      </c>
      <c r="F1187" s="44" t="s">
        <v>212</v>
      </c>
      <c r="G1187" s="44" t="s">
        <v>14871</v>
      </c>
      <c r="H1187" s="44" t="s">
        <v>14872</v>
      </c>
      <c r="I1187" s="44" t="s">
        <v>14873</v>
      </c>
      <c r="J1187" s="44" t="s">
        <v>14874</v>
      </c>
      <c r="K1187" s="44" t="s">
        <v>14875</v>
      </c>
      <c r="L1187" s="44" t="s">
        <v>9625</v>
      </c>
      <c r="M1187" s="44" t="s">
        <v>14876</v>
      </c>
    </row>
    <row r="1188" customFormat="false" ht="22.35" hidden="false" customHeight="false" outlineLevel="0" collapsed="false">
      <c r="A1188" s="44" t="s">
        <v>17380</v>
      </c>
      <c r="B1188" s="44" t="s">
        <v>9621</v>
      </c>
      <c r="C1188" s="44" t="s">
        <v>9622</v>
      </c>
      <c r="D1188" s="44" t="s">
        <v>15960</v>
      </c>
      <c r="E1188" s="44"/>
      <c r="F1188" s="44"/>
      <c r="G1188" s="44" t="s">
        <v>14882</v>
      </c>
      <c r="H1188" s="44" t="s">
        <v>14872</v>
      </c>
      <c r="I1188" s="44" t="s">
        <v>14883</v>
      </c>
      <c r="J1188" s="44" t="s">
        <v>14874</v>
      </c>
      <c r="K1188" s="44" t="s">
        <v>14875</v>
      </c>
      <c r="L1188" s="44" t="s">
        <v>9625</v>
      </c>
      <c r="M1188" s="44" t="s">
        <v>14876</v>
      </c>
    </row>
    <row r="1189" customFormat="false" ht="22.35" hidden="false" customHeight="false" outlineLevel="0" collapsed="false">
      <c r="A1189" s="44" t="s">
        <v>17381</v>
      </c>
      <c r="B1189" s="44" t="s">
        <v>9621</v>
      </c>
      <c r="C1189" s="44" t="s">
        <v>9622</v>
      </c>
      <c r="D1189" s="44" t="s">
        <v>15016</v>
      </c>
      <c r="E1189" s="44" t="s">
        <v>2232</v>
      </c>
      <c r="F1189" s="44" t="s">
        <v>2233</v>
      </c>
      <c r="G1189" s="44" t="s">
        <v>14871</v>
      </c>
      <c r="H1189" s="44" t="s">
        <v>14872</v>
      </c>
      <c r="I1189" s="44" t="s">
        <v>14879</v>
      </c>
      <c r="J1189" s="44" t="s">
        <v>14874</v>
      </c>
      <c r="K1189" s="44" t="s">
        <v>14875</v>
      </c>
      <c r="L1189" s="44" t="s">
        <v>9625</v>
      </c>
      <c r="M1189" s="44" t="s">
        <v>14876</v>
      </c>
    </row>
    <row r="1190" customFormat="false" ht="22.35" hidden="false" customHeight="false" outlineLevel="0" collapsed="false">
      <c r="A1190" s="44" t="s">
        <v>17382</v>
      </c>
      <c r="B1190" s="44" t="s">
        <v>9626</v>
      </c>
      <c r="C1190" s="44" t="s">
        <v>9627</v>
      </c>
      <c r="D1190" s="44" t="s">
        <v>17383</v>
      </c>
      <c r="E1190" s="44" t="s">
        <v>527</v>
      </c>
      <c r="F1190" s="44" t="s">
        <v>528</v>
      </c>
      <c r="G1190" s="44" t="s">
        <v>14871</v>
      </c>
      <c r="H1190" s="44" t="s">
        <v>14872</v>
      </c>
      <c r="I1190" s="44" t="s">
        <v>14879</v>
      </c>
      <c r="J1190" s="44" t="s">
        <v>14874</v>
      </c>
      <c r="K1190" s="44" t="s">
        <v>14875</v>
      </c>
      <c r="L1190" s="44" t="s">
        <v>9630</v>
      </c>
      <c r="M1190" s="44" t="s">
        <v>14876</v>
      </c>
    </row>
    <row r="1191" customFormat="false" ht="22.35" hidden="false" customHeight="false" outlineLevel="0" collapsed="false">
      <c r="A1191" s="44" t="s">
        <v>17384</v>
      </c>
      <c r="B1191" s="44" t="s">
        <v>9626</v>
      </c>
      <c r="C1191" s="44" t="s">
        <v>9627</v>
      </c>
      <c r="D1191" s="44" t="s">
        <v>17385</v>
      </c>
      <c r="E1191" s="44" t="s">
        <v>2200</v>
      </c>
      <c r="F1191" s="44" t="s">
        <v>2201</v>
      </c>
      <c r="G1191" s="44" t="s">
        <v>14871</v>
      </c>
      <c r="H1191" s="44" t="s">
        <v>14872</v>
      </c>
      <c r="I1191" s="44" t="s">
        <v>14873</v>
      </c>
      <c r="J1191" s="44" t="s">
        <v>14874</v>
      </c>
      <c r="K1191" s="44" t="s">
        <v>14875</v>
      </c>
      <c r="L1191" s="44" t="s">
        <v>9630</v>
      </c>
      <c r="M1191" s="44" t="s">
        <v>14876</v>
      </c>
    </row>
    <row r="1192" customFormat="false" ht="22.35" hidden="false" customHeight="false" outlineLevel="0" collapsed="false">
      <c r="A1192" s="44" t="s">
        <v>17386</v>
      </c>
      <c r="B1192" s="44" t="s">
        <v>9626</v>
      </c>
      <c r="C1192" s="44" t="s">
        <v>9627</v>
      </c>
      <c r="D1192" s="44" t="s">
        <v>17387</v>
      </c>
      <c r="E1192" s="44" t="s">
        <v>2761</v>
      </c>
      <c r="F1192" s="44" t="s">
        <v>2762</v>
      </c>
      <c r="G1192" s="44" t="s">
        <v>14871</v>
      </c>
      <c r="H1192" s="44" t="s">
        <v>14872</v>
      </c>
      <c r="I1192" s="44" t="s">
        <v>14886</v>
      </c>
      <c r="J1192" s="44" t="s">
        <v>14874</v>
      </c>
      <c r="K1192" s="44" t="s">
        <v>14875</v>
      </c>
      <c r="L1192" s="44" t="s">
        <v>9630</v>
      </c>
      <c r="M1192" s="44" t="s">
        <v>14876</v>
      </c>
    </row>
    <row r="1193" customFormat="false" ht="22.35" hidden="false" customHeight="false" outlineLevel="0" collapsed="false">
      <c r="A1193" s="44" t="s">
        <v>17388</v>
      </c>
      <c r="B1193" s="44" t="s">
        <v>9626</v>
      </c>
      <c r="C1193" s="44" t="s">
        <v>9627</v>
      </c>
      <c r="D1193" s="44" t="s">
        <v>15190</v>
      </c>
      <c r="E1193" s="44" t="s">
        <v>1039</v>
      </c>
      <c r="F1193" s="44" t="s">
        <v>1040</v>
      </c>
      <c r="G1193" s="44" t="s">
        <v>14871</v>
      </c>
      <c r="H1193" s="44" t="s">
        <v>14872</v>
      </c>
      <c r="I1193" s="44" t="s">
        <v>14873</v>
      </c>
      <c r="J1193" s="44" t="s">
        <v>14874</v>
      </c>
      <c r="K1193" s="44" t="s">
        <v>14875</v>
      </c>
      <c r="L1193" s="44" t="s">
        <v>9630</v>
      </c>
      <c r="M1193" s="44" t="s">
        <v>14876</v>
      </c>
    </row>
    <row r="1194" customFormat="false" ht="22.35" hidden="false" customHeight="false" outlineLevel="0" collapsed="false">
      <c r="A1194" s="44" t="s">
        <v>17389</v>
      </c>
      <c r="B1194" s="44" t="s">
        <v>9626</v>
      </c>
      <c r="C1194" s="44" t="s">
        <v>9627</v>
      </c>
      <c r="D1194" s="44" t="s">
        <v>17390</v>
      </c>
      <c r="E1194" s="44"/>
      <c r="F1194" s="44"/>
      <c r="G1194" s="44" t="s">
        <v>14882</v>
      </c>
      <c r="H1194" s="44" t="s">
        <v>14872</v>
      </c>
      <c r="I1194" s="44" t="s">
        <v>14883</v>
      </c>
      <c r="J1194" s="44" t="s">
        <v>14874</v>
      </c>
      <c r="K1194" s="44" t="s">
        <v>14875</v>
      </c>
      <c r="L1194" s="44" t="s">
        <v>9630</v>
      </c>
      <c r="M1194" s="44" t="s">
        <v>14876</v>
      </c>
    </row>
    <row r="1195" customFormat="false" ht="22.35" hidden="false" customHeight="false" outlineLevel="0" collapsed="false">
      <c r="A1195" s="44" t="s">
        <v>17391</v>
      </c>
      <c r="B1195" s="44" t="s">
        <v>9631</v>
      </c>
      <c r="C1195" s="44" t="s">
        <v>9632</v>
      </c>
      <c r="D1195" s="44" t="s">
        <v>17392</v>
      </c>
      <c r="E1195" s="44" t="s">
        <v>1039</v>
      </c>
      <c r="F1195" s="44" t="s">
        <v>1040</v>
      </c>
      <c r="G1195" s="44" t="s">
        <v>14871</v>
      </c>
      <c r="H1195" s="44" t="s">
        <v>14872</v>
      </c>
      <c r="I1195" s="44" t="s">
        <v>14873</v>
      </c>
      <c r="J1195" s="44" t="s">
        <v>14874</v>
      </c>
      <c r="K1195" s="44" t="s">
        <v>14875</v>
      </c>
      <c r="L1195" s="44" t="s">
        <v>9637</v>
      </c>
      <c r="M1195" s="44" t="s">
        <v>14876</v>
      </c>
    </row>
    <row r="1196" customFormat="false" ht="22.35" hidden="false" customHeight="false" outlineLevel="0" collapsed="false">
      <c r="A1196" s="44" t="s">
        <v>17393</v>
      </c>
      <c r="B1196" s="44" t="s">
        <v>9631</v>
      </c>
      <c r="C1196" s="44" t="s">
        <v>9632</v>
      </c>
      <c r="D1196" s="44" t="s">
        <v>17394</v>
      </c>
      <c r="E1196" s="44"/>
      <c r="F1196" s="44"/>
      <c r="G1196" s="44" t="s">
        <v>14882</v>
      </c>
      <c r="H1196" s="44" t="s">
        <v>14872</v>
      </c>
      <c r="I1196" s="44" t="s">
        <v>14883</v>
      </c>
      <c r="J1196" s="44" t="s">
        <v>14874</v>
      </c>
      <c r="K1196" s="44" t="s">
        <v>14875</v>
      </c>
      <c r="L1196" s="44" t="s">
        <v>9637</v>
      </c>
      <c r="M1196" s="44" t="s">
        <v>14876</v>
      </c>
    </row>
    <row r="1197" customFormat="false" ht="22.35" hidden="false" customHeight="false" outlineLevel="0" collapsed="false">
      <c r="A1197" s="44" t="s">
        <v>17395</v>
      </c>
      <c r="B1197" s="44" t="s">
        <v>9631</v>
      </c>
      <c r="C1197" s="44" t="s">
        <v>9632</v>
      </c>
      <c r="D1197" s="44" t="s">
        <v>17396</v>
      </c>
      <c r="E1197" s="44"/>
      <c r="F1197" s="44"/>
      <c r="G1197" s="44" t="s">
        <v>14882</v>
      </c>
      <c r="H1197" s="44" t="s">
        <v>14872</v>
      </c>
      <c r="I1197" s="44" t="s">
        <v>14883</v>
      </c>
      <c r="J1197" s="44" t="s">
        <v>14874</v>
      </c>
      <c r="K1197" s="44" t="s">
        <v>14875</v>
      </c>
      <c r="L1197" s="44" t="s">
        <v>9637</v>
      </c>
      <c r="M1197" s="44" t="s">
        <v>14876</v>
      </c>
    </row>
    <row r="1198" customFormat="false" ht="22.35" hidden="false" customHeight="false" outlineLevel="0" collapsed="false">
      <c r="A1198" s="44" t="s">
        <v>17397</v>
      </c>
      <c r="B1198" s="44" t="s">
        <v>9631</v>
      </c>
      <c r="C1198" s="44" t="s">
        <v>9632</v>
      </c>
      <c r="D1198" s="44" t="s">
        <v>17398</v>
      </c>
      <c r="E1198" s="44"/>
      <c r="F1198" s="44"/>
      <c r="G1198" s="44" t="s">
        <v>14882</v>
      </c>
      <c r="H1198" s="44" t="s">
        <v>14872</v>
      </c>
      <c r="I1198" s="44" t="s">
        <v>14883</v>
      </c>
      <c r="J1198" s="44" t="s">
        <v>14874</v>
      </c>
      <c r="K1198" s="44" t="s">
        <v>14875</v>
      </c>
      <c r="L1198" s="44" t="s">
        <v>9637</v>
      </c>
      <c r="M1198" s="44" t="s">
        <v>14876</v>
      </c>
    </row>
    <row r="1199" customFormat="false" ht="22.35" hidden="false" customHeight="false" outlineLevel="0" collapsed="false">
      <c r="A1199" s="44" t="s">
        <v>17399</v>
      </c>
      <c r="B1199" s="44" t="s">
        <v>9631</v>
      </c>
      <c r="C1199" s="44" t="s">
        <v>9632</v>
      </c>
      <c r="D1199" s="44" t="s">
        <v>17400</v>
      </c>
      <c r="E1199" s="44"/>
      <c r="F1199" s="44"/>
      <c r="G1199" s="44" t="s">
        <v>14882</v>
      </c>
      <c r="H1199" s="44" t="s">
        <v>14872</v>
      </c>
      <c r="I1199" s="44" t="s">
        <v>14883</v>
      </c>
      <c r="J1199" s="44" t="s">
        <v>14874</v>
      </c>
      <c r="K1199" s="44" t="s">
        <v>14875</v>
      </c>
      <c r="L1199" s="44" t="s">
        <v>9637</v>
      </c>
      <c r="M1199" s="44" t="s">
        <v>14876</v>
      </c>
    </row>
    <row r="1200" customFormat="false" ht="22.35" hidden="false" customHeight="false" outlineLevel="0" collapsed="false">
      <c r="A1200" s="44" t="s">
        <v>17401</v>
      </c>
      <c r="B1200" s="44" t="s">
        <v>9631</v>
      </c>
      <c r="C1200" s="44" t="s">
        <v>9632</v>
      </c>
      <c r="D1200" s="44" t="s">
        <v>17402</v>
      </c>
      <c r="E1200" s="44" t="s">
        <v>4633</v>
      </c>
      <c r="F1200" s="44" t="s">
        <v>4634</v>
      </c>
      <c r="G1200" s="44" t="s">
        <v>14871</v>
      </c>
      <c r="H1200" s="44" t="s">
        <v>14872</v>
      </c>
      <c r="I1200" s="44" t="s">
        <v>14886</v>
      </c>
      <c r="J1200" s="44" t="s">
        <v>14874</v>
      </c>
      <c r="K1200" s="44" t="s">
        <v>14875</v>
      </c>
      <c r="L1200" s="44" t="s">
        <v>9637</v>
      </c>
      <c r="M1200" s="44" t="s">
        <v>14876</v>
      </c>
    </row>
    <row r="1201" customFormat="false" ht="22.35" hidden="false" customHeight="false" outlineLevel="0" collapsed="false">
      <c r="A1201" s="44" t="s">
        <v>17403</v>
      </c>
      <c r="B1201" s="44" t="s">
        <v>9638</v>
      </c>
      <c r="C1201" s="44" t="s">
        <v>9639</v>
      </c>
      <c r="D1201" s="44" t="s">
        <v>17404</v>
      </c>
      <c r="E1201" s="44"/>
      <c r="F1201" s="44"/>
      <c r="G1201" s="44" t="s">
        <v>14882</v>
      </c>
      <c r="H1201" s="44" t="s">
        <v>14872</v>
      </c>
      <c r="I1201" s="44" t="s">
        <v>14883</v>
      </c>
      <c r="J1201" s="44" t="s">
        <v>14874</v>
      </c>
      <c r="K1201" s="44" t="s">
        <v>14875</v>
      </c>
      <c r="L1201" s="44" t="s">
        <v>9643</v>
      </c>
      <c r="M1201" s="44" t="s">
        <v>14876</v>
      </c>
    </row>
    <row r="1202" customFormat="false" ht="22.35" hidden="false" customHeight="false" outlineLevel="0" collapsed="false">
      <c r="A1202" s="44" t="s">
        <v>17405</v>
      </c>
      <c r="B1202" s="44" t="s">
        <v>9638</v>
      </c>
      <c r="C1202" s="44" t="s">
        <v>9639</v>
      </c>
      <c r="D1202" s="44" t="s">
        <v>17406</v>
      </c>
      <c r="E1202" s="44"/>
      <c r="F1202" s="44"/>
      <c r="G1202" s="44" t="s">
        <v>14882</v>
      </c>
      <c r="H1202" s="44" t="s">
        <v>14872</v>
      </c>
      <c r="I1202" s="44" t="s">
        <v>14883</v>
      </c>
      <c r="J1202" s="44" t="s">
        <v>14874</v>
      </c>
      <c r="K1202" s="44" t="s">
        <v>14875</v>
      </c>
      <c r="L1202" s="44" t="s">
        <v>9643</v>
      </c>
      <c r="M1202" s="44" t="s">
        <v>14876</v>
      </c>
    </row>
    <row r="1203" customFormat="false" ht="22.35" hidden="false" customHeight="false" outlineLevel="0" collapsed="false">
      <c r="A1203" s="44" t="s">
        <v>17407</v>
      </c>
      <c r="B1203" s="44" t="s">
        <v>9638</v>
      </c>
      <c r="C1203" s="44" t="s">
        <v>9639</v>
      </c>
      <c r="D1203" s="44" t="s">
        <v>17408</v>
      </c>
      <c r="E1203" s="44"/>
      <c r="F1203" s="44"/>
      <c r="G1203" s="44" t="s">
        <v>14882</v>
      </c>
      <c r="H1203" s="44" t="s">
        <v>14872</v>
      </c>
      <c r="I1203" s="44" t="s">
        <v>14883</v>
      </c>
      <c r="J1203" s="44" t="s">
        <v>14874</v>
      </c>
      <c r="K1203" s="44" t="s">
        <v>14875</v>
      </c>
      <c r="L1203" s="44" t="s">
        <v>9643</v>
      </c>
      <c r="M1203" s="44" t="s">
        <v>14876</v>
      </c>
    </row>
    <row r="1204" customFormat="false" ht="22.35" hidden="false" customHeight="false" outlineLevel="0" collapsed="false">
      <c r="A1204" s="44" t="s">
        <v>17409</v>
      </c>
      <c r="B1204" s="44" t="s">
        <v>9638</v>
      </c>
      <c r="C1204" s="44" t="s">
        <v>9639</v>
      </c>
      <c r="D1204" s="44" t="s">
        <v>17410</v>
      </c>
      <c r="E1204" s="44" t="s">
        <v>4214</v>
      </c>
      <c r="F1204" s="44" t="s">
        <v>4215</v>
      </c>
      <c r="G1204" s="44" t="s">
        <v>14871</v>
      </c>
      <c r="H1204" s="44" t="s">
        <v>14872</v>
      </c>
      <c r="I1204" s="44" t="s">
        <v>14886</v>
      </c>
      <c r="J1204" s="44" t="s">
        <v>14874</v>
      </c>
      <c r="K1204" s="44" t="s">
        <v>14875</v>
      </c>
      <c r="L1204" s="44" t="s">
        <v>9643</v>
      </c>
      <c r="M1204" s="44" t="s">
        <v>14876</v>
      </c>
    </row>
    <row r="1205" customFormat="false" ht="22.35" hidden="false" customHeight="false" outlineLevel="0" collapsed="false">
      <c r="A1205" s="44" t="s">
        <v>17411</v>
      </c>
      <c r="B1205" s="44" t="s">
        <v>9638</v>
      </c>
      <c r="C1205" s="44" t="s">
        <v>9639</v>
      </c>
      <c r="D1205" s="44" t="s">
        <v>17412</v>
      </c>
      <c r="E1205" s="44"/>
      <c r="F1205" s="44"/>
      <c r="G1205" s="44" t="s">
        <v>14882</v>
      </c>
      <c r="H1205" s="44" t="s">
        <v>14872</v>
      </c>
      <c r="I1205" s="44" t="s">
        <v>14883</v>
      </c>
      <c r="J1205" s="44" t="s">
        <v>14874</v>
      </c>
      <c r="K1205" s="44" t="s">
        <v>14875</v>
      </c>
      <c r="L1205" s="44" t="s">
        <v>9643</v>
      </c>
      <c r="M1205" s="44" t="s">
        <v>14876</v>
      </c>
    </row>
    <row r="1206" customFormat="false" ht="22.35" hidden="false" customHeight="false" outlineLevel="0" collapsed="false">
      <c r="A1206" s="44" t="s">
        <v>17413</v>
      </c>
      <c r="B1206" s="44" t="s">
        <v>9638</v>
      </c>
      <c r="C1206" s="44" t="s">
        <v>9639</v>
      </c>
      <c r="D1206" s="44" t="s">
        <v>17414</v>
      </c>
      <c r="E1206" s="44"/>
      <c r="F1206" s="44"/>
      <c r="G1206" s="44" t="s">
        <v>14882</v>
      </c>
      <c r="H1206" s="44" t="s">
        <v>14872</v>
      </c>
      <c r="I1206" s="44" t="s">
        <v>14883</v>
      </c>
      <c r="J1206" s="44" t="s">
        <v>14874</v>
      </c>
      <c r="K1206" s="44" t="s">
        <v>14875</v>
      </c>
      <c r="L1206" s="44" t="s">
        <v>9643</v>
      </c>
      <c r="M1206" s="44" t="s">
        <v>14876</v>
      </c>
    </row>
    <row r="1207" customFormat="false" ht="22.35" hidden="false" customHeight="false" outlineLevel="0" collapsed="false">
      <c r="A1207" s="44" t="s">
        <v>17415</v>
      </c>
      <c r="B1207" s="44" t="s">
        <v>9644</v>
      </c>
      <c r="C1207" s="44" t="s">
        <v>9645</v>
      </c>
      <c r="D1207" s="44" t="s">
        <v>17416</v>
      </c>
      <c r="E1207" s="44"/>
      <c r="F1207" s="44"/>
      <c r="G1207" s="44" t="s">
        <v>14882</v>
      </c>
      <c r="H1207" s="44" t="s">
        <v>14872</v>
      </c>
      <c r="I1207" s="44" t="s">
        <v>14883</v>
      </c>
      <c r="J1207" s="44" t="s">
        <v>14874</v>
      </c>
      <c r="K1207" s="44" t="s">
        <v>14875</v>
      </c>
      <c r="L1207" s="44" t="s">
        <v>9650</v>
      </c>
      <c r="M1207" s="44" t="s">
        <v>14876</v>
      </c>
    </row>
    <row r="1208" customFormat="false" ht="22.35" hidden="false" customHeight="false" outlineLevel="0" collapsed="false">
      <c r="A1208" s="44" t="s">
        <v>17417</v>
      </c>
      <c r="B1208" s="44" t="s">
        <v>9644</v>
      </c>
      <c r="C1208" s="44" t="s">
        <v>9645</v>
      </c>
      <c r="D1208" s="44" t="s">
        <v>17418</v>
      </c>
      <c r="E1208" s="44" t="s">
        <v>4895</v>
      </c>
      <c r="F1208" s="44" t="s">
        <v>4896</v>
      </c>
      <c r="G1208" s="44" t="s">
        <v>14871</v>
      </c>
      <c r="H1208" s="44" t="s">
        <v>14872</v>
      </c>
      <c r="I1208" s="44" t="s">
        <v>14886</v>
      </c>
      <c r="J1208" s="44" t="s">
        <v>14874</v>
      </c>
      <c r="K1208" s="44" t="s">
        <v>14875</v>
      </c>
      <c r="L1208" s="44" t="s">
        <v>9650</v>
      </c>
      <c r="M1208" s="44" t="s">
        <v>14876</v>
      </c>
    </row>
    <row r="1209" customFormat="false" ht="22.35" hidden="false" customHeight="false" outlineLevel="0" collapsed="false">
      <c r="A1209" s="44" t="s">
        <v>17419</v>
      </c>
      <c r="B1209" s="44" t="s">
        <v>9644</v>
      </c>
      <c r="C1209" s="44" t="s">
        <v>9645</v>
      </c>
      <c r="D1209" s="44" t="s">
        <v>17420</v>
      </c>
      <c r="E1209" s="44"/>
      <c r="F1209" s="44"/>
      <c r="G1209" s="44" t="s">
        <v>14882</v>
      </c>
      <c r="H1209" s="44" t="s">
        <v>14872</v>
      </c>
      <c r="I1209" s="44" t="s">
        <v>14883</v>
      </c>
      <c r="J1209" s="44" t="s">
        <v>14874</v>
      </c>
      <c r="K1209" s="44" t="s">
        <v>14875</v>
      </c>
      <c r="L1209" s="44" t="s">
        <v>9650</v>
      </c>
      <c r="M1209" s="44" t="s">
        <v>14876</v>
      </c>
    </row>
    <row r="1210" customFormat="false" ht="22.35" hidden="false" customHeight="false" outlineLevel="0" collapsed="false">
      <c r="A1210" s="44" t="s">
        <v>17421</v>
      </c>
      <c r="B1210" s="44" t="s">
        <v>9644</v>
      </c>
      <c r="C1210" s="44" t="s">
        <v>9645</v>
      </c>
      <c r="D1210" s="44" t="s">
        <v>15998</v>
      </c>
      <c r="E1210" s="44" t="s">
        <v>200</v>
      </c>
      <c r="F1210" s="44" t="s">
        <v>201</v>
      </c>
      <c r="G1210" s="44" t="s">
        <v>14871</v>
      </c>
      <c r="H1210" s="44" t="s">
        <v>14872</v>
      </c>
      <c r="I1210" s="44" t="s">
        <v>14886</v>
      </c>
      <c r="J1210" s="44" t="s">
        <v>14874</v>
      </c>
      <c r="K1210" s="44" t="s">
        <v>14875</v>
      </c>
      <c r="L1210" s="44" t="s">
        <v>9650</v>
      </c>
      <c r="M1210" s="44" t="s">
        <v>14876</v>
      </c>
    </row>
    <row r="1211" customFormat="false" ht="22.35" hidden="false" customHeight="false" outlineLevel="0" collapsed="false">
      <c r="A1211" s="44" t="s">
        <v>17422</v>
      </c>
      <c r="B1211" s="44" t="s">
        <v>9644</v>
      </c>
      <c r="C1211" s="44" t="s">
        <v>9645</v>
      </c>
      <c r="D1211" s="44" t="s">
        <v>17423</v>
      </c>
      <c r="E1211" s="44"/>
      <c r="F1211" s="44"/>
      <c r="G1211" s="44" t="s">
        <v>14882</v>
      </c>
      <c r="H1211" s="44" t="s">
        <v>14872</v>
      </c>
      <c r="I1211" s="44" t="s">
        <v>14883</v>
      </c>
      <c r="J1211" s="44" t="s">
        <v>14874</v>
      </c>
      <c r="K1211" s="44" t="s">
        <v>14875</v>
      </c>
      <c r="L1211" s="44" t="s">
        <v>9650</v>
      </c>
      <c r="M1211" s="44" t="s">
        <v>14876</v>
      </c>
    </row>
    <row r="1212" customFormat="false" ht="22.35" hidden="false" customHeight="false" outlineLevel="0" collapsed="false">
      <c r="A1212" s="44" t="s">
        <v>17424</v>
      </c>
      <c r="B1212" s="44" t="s">
        <v>9644</v>
      </c>
      <c r="C1212" s="44" t="s">
        <v>9645</v>
      </c>
      <c r="D1212" s="44" t="s">
        <v>17425</v>
      </c>
      <c r="E1212" s="44"/>
      <c r="F1212" s="44"/>
      <c r="G1212" s="44" t="s">
        <v>14882</v>
      </c>
      <c r="H1212" s="44" t="s">
        <v>14872</v>
      </c>
      <c r="I1212" s="44" t="s">
        <v>14883</v>
      </c>
      <c r="J1212" s="44" t="s">
        <v>14874</v>
      </c>
      <c r="K1212" s="44" t="s">
        <v>14875</v>
      </c>
      <c r="L1212" s="44" t="s">
        <v>9650</v>
      </c>
      <c r="M1212" s="44" t="s">
        <v>14876</v>
      </c>
    </row>
    <row r="1213" customFormat="false" ht="22.35" hidden="false" customHeight="false" outlineLevel="0" collapsed="false">
      <c r="A1213" s="44" t="s">
        <v>17426</v>
      </c>
      <c r="B1213" s="44" t="s">
        <v>9651</v>
      </c>
      <c r="C1213" s="44" t="s">
        <v>9652</v>
      </c>
      <c r="D1213" s="44" t="s">
        <v>17427</v>
      </c>
      <c r="E1213" s="44" t="s">
        <v>4098</v>
      </c>
      <c r="F1213" s="44" t="s">
        <v>4099</v>
      </c>
      <c r="G1213" s="44" t="s">
        <v>14871</v>
      </c>
      <c r="H1213" s="44" t="s">
        <v>14872</v>
      </c>
      <c r="I1213" s="44" t="s">
        <v>14879</v>
      </c>
      <c r="J1213" s="44" t="s">
        <v>14874</v>
      </c>
      <c r="K1213" s="44" t="s">
        <v>14875</v>
      </c>
      <c r="L1213" s="44" t="s">
        <v>9655</v>
      </c>
      <c r="M1213" s="44" t="s">
        <v>14876</v>
      </c>
    </row>
    <row r="1214" customFormat="false" ht="22.35" hidden="false" customHeight="false" outlineLevel="0" collapsed="false">
      <c r="A1214" s="44" t="s">
        <v>17428</v>
      </c>
      <c r="B1214" s="44" t="s">
        <v>9651</v>
      </c>
      <c r="C1214" s="44" t="s">
        <v>9652</v>
      </c>
      <c r="D1214" s="44" t="s">
        <v>17429</v>
      </c>
      <c r="E1214" s="44" t="s">
        <v>2196</v>
      </c>
      <c r="F1214" s="44" t="s">
        <v>2197</v>
      </c>
      <c r="G1214" s="44" t="s">
        <v>14871</v>
      </c>
      <c r="H1214" s="44" t="s">
        <v>14872</v>
      </c>
      <c r="I1214" s="44" t="s">
        <v>14873</v>
      </c>
      <c r="J1214" s="44" t="s">
        <v>14874</v>
      </c>
      <c r="K1214" s="44" t="s">
        <v>14875</v>
      </c>
      <c r="L1214" s="44" t="s">
        <v>9655</v>
      </c>
      <c r="M1214" s="44" t="s">
        <v>14876</v>
      </c>
    </row>
    <row r="1215" customFormat="false" ht="22.35" hidden="false" customHeight="false" outlineLevel="0" collapsed="false">
      <c r="A1215" s="44" t="s">
        <v>17430</v>
      </c>
      <c r="B1215" s="44" t="s">
        <v>9651</v>
      </c>
      <c r="C1215" s="44" t="s">
        <v>9652</v>
      </c>
      <c r="D1215" s="44" t="s">
        <v>16048</v>
      </c>
      <c r="E1215" s="44"/>
      <c r="F1215" s="44"/>
      <c r="G1215" s="44" t="s">
        <v>14882</v>
      </c>
      <c r="H1215" s="44" t="s">
        <v>14872</v>
      </c>
      <c r="I1215" s="44" t="s">
        <v>14883</v>
      </c>
      <c r="J1215" s="44" t="s">
        <v>14874</v>
      </c>
      <c r="K1215" s="44" t="s">
        <v>14875</v>
      </c>
      <c r="L1215" s="44" t="s">
        <v>9655</v>
      </c>
      <c r="M1215" s="44" t="s">
        <v>14876</v>
      </c>
    </row>
    <row r="1216" customFormat="false" ht="22.35" hidden="false" customHeight="false" outlineLevel="0" collapsed="false">
      <c r="A1216" s="44" t="s">
        <v>17431</v>
      </c>
      <c r="B1216" s="44" t="s">
        <v>9651</v>
      </c>
      <c r="C1216" s="44" t="s">
        <v>9652</v>
      </c>
      <c r="D1216" s="44" t="s">
        <v>15454</v>
      </c>
      <c r="E1216" s="44" t="s">
        <v>215</v>
      </c>
      <c r="F1216" s="44" t="s">
        <v>216</v>
      </c>
      <c r="G1216" s="44" t="s">
        <v>14871</v>
      </c>
      <c r="H1216" s="44" t="s">
        <v>14872</v>
      </c>
      <c r="I1216" s="44" t="s">
        <v>14873</v>
      </c>
      <c r="J1216" s="44" t="s">
        <v>14874</v>
      </c>
      <c r="K1216" s="44" t="s">
        <v>14875</v>
      </c>
      <c r="L1216" s="44" t="s">
        <v>9655</v>
      </c>
      <c r="M1216" s="44" t="s">
        <v>14876</v>
      </c>
    </row>
    <row r="1217" customFormat="false" ht="22.35" hidden="false" customHeight="false" outlineLevel="0" collapsed="false">
      <c r="A1217" s="44" t="s">
        <v>17432</v>
      </c>
      <c r="B1217" s="44" t="s">
        <v>9651</v>
      </c>
      <c r="C1217" s="44" t="s">
        <v>9652</v>
      </c>
      <c r="D1217" s="44" t="s">
        <v>17433</v>
      </c>
      <c r="E1217" s="44"/>
      <c r="F1217" s="44"/>
      <c r="G1217" s="44" t="s">
        <v>14882</v>
      </c>
      <c r="H1217" s="44" t="s">
        <v>14872</v>
      </c>
      <c r="I1217" s="44" t="s">
        <v>14883</v>
      </c>
      <c r="J1217" s="44" t="s">
        <v>14874</v>
      </c>
      <c r="K1217" s="44" t="s">
        <v>14875</v>
      </c>
      <c r="L1217" s="44" t="s">
        <v>9655</v>
      </c>
      <c r="M1217" s="44" t="s">
        <v>14876</v>
      </c>
    </row>
    <row r="1218" customFormat="false" ht="22.35" hidden="false" customHeight="false" outlineLevel="0" collapsed="false">
      <c r="A1218" s="44" t="s">
        <v>17434</v>
      </c>
      <c r="B1218" s="44" t="s">
        <v>9656</v>
      </c>
      <c r="C1218" s="44" t="s">
        <v>9657</v>
      </c>
      <c r="D1218" s="44" t="s">
        <v>17435</v>
      </c>
      <c r="E1218" s="44" t="s">
        <v>4895</v>
      </c>
      <c r="F1218" s="44" t="s">
        <v>4896</v>
      </c>
      <c r="G1218" s="44" t="s">
        <v>14871</v>
      </c>
      <c r="H1218" s="44" t="s">
        <v>14872</v>
      </c>
      <c r="I1218" s="44" t="s">
        <v>14886</v>
      </c>
      <c r="J1218" s="44" t="s">
        <v>14874</v>
      </c>
      <c r="K1218" s="44" t="s">
        <v>14875</v>
      </c>
      <c r="L1218" s="44" t="s">
        <v>9661</v>
      </c>
      <c r="M1218" s="44" t="s">
        <v>14876</v>
      </c>
    </row>
    <row r="1219" customFormat="false" ht="22.35" hidden="false" customHeight="false" outlineLevel="0" collapsed="false">
      <c r="A1219" s="44" t="s">
        <v>17436</v>
      </c>
      <c r="B1219" s="44" t="s">
        <v>9656</v>
      </c>
      <c r="C1219" s="44" t="s">
        <v>9657</v>
      </c>
      <c r="D1219" s="44" t="s">
        <v>17437</v>
      </c>
      <c r="E1219" s="44" t="s">
        <v>4895</v>
      </c>
      <c r="F1219" s="44" t="s">
        <v>4896</v>
      </c>
      <c r="G1219" s="44" t="s">
        <v>14871</v>
      </c>
      <c r="H1219" s="44" t="s">
        <v>14872</v>
      </c>
      <c r="I1219" s="44" t="s">
        <v>14886</v>
      </c>
      <c r="J1219" s="44" t="s">
        <v>14874</v>
      </c>
      <c r="K1219" s="44" t="s">
        <v>14875</v>
      </c>
      <c r="L1219" s="44" t="s">
        <v>9661</v>
      </c>
      <c r="M1219" s="44" t="s">
        <v>14876</v>
      </c>
    </row>
    <row r="1220" customFormat="false" ht="22.35" hidden="false" customHeight="false" outlineLevel="0" collapsed="false">
      <c r="A1220" s="44" t="s">
        <v>17438</v>
      </c>
      <c r="B1220" s="44" t="s">
        <v>9656</v>
      </c>
      <c r="C1220" s="44" t="s">
        <v>9657</v>
      </c>
      <c r="D1220" s="44" t="s">
        <v>16325</v>
      </c>
      <c r="E1220" s="44" t="s">
        <v>3246</v>
      </c>
      <c r="F1220" s="44" t="s">
        <v>3247</v>
      </c>
      <c r="G1220" s="44" t="s">
        <v>14871</v>
      </c>
      <c r="H1220" s="44" t="s">
        <v>14872</v>
      </c>
      <c r="I1220" s="44" t="s">
        <v>14873</v>
      </c>
      <c r="J1220" s="44" t="s">
        <v>14874</v>
      </c>
      <c r="K1220" s="44" t="s">
        <v>14875</v>
      </c>
      <c r="L1220" s="44" t="s">
        <v>9661</v>
      </c>
      <c r="M1220" s="44" t="s">
        <v>14876</v>
      </c>
    </row>
    <row r="1221" customFormat="false" ht="22.35" hidden="false" customHeight="false" outlineLevel="0" collapsed="false">
      <c r="A1221" s="44" t="s">
        <v>17439</v>
      </c>
      <c r="B1221" s="44" t="s">
        <v>9656</v>
      </c>
      <c r="C1221" s="44" t="s">
        <v>9657</v>
      </c>
      <c r="D1221" s="44" t="s">
        <v>17440</v>
      </c>
      <c r="E1221" s="44"/>
      <c r="F1221" s="44"/>
      <c r="G1221" s="44" t="s">
        <v>14882</v>
      </c>
      <c r="H1221" s="44" t="s">
        <v>14872</v>
      </c>
      <c r="I1221" s="44" t="s">
        <v>14883</v>
      </c>
      <c r="J1221" s="44" t="s">
        <v>14874</v>
      </c>
      <c r="K1221" s="44" t="s">
        <v>14875</v>
      </c>
      <c r="L1221" s="44" t="s">
        <v>9661</v>
      </c>
      <c r="M1221" s="44" t="s">
        <v>14876</v>
      </c>
    </row>
    <row r="1222" customFormat="false" ht="22.35" hidden="false" customHeight="false" outlineLevel="0" collapsed="false">
      <c r="A1222" s="44" t="s">
        <v>17441</v>
      </c>
      <c r="B1222" s="44" t="s">
        <v>9662</v>
      </c>
      <c r="C1222" s="44" t="s">
        <v>9663</v>
      </c>
      <c r="D1222" s="44" t="s">
        <v>17442</v>
      </c>
      <c r="E1222" s="44" t="s">
        <v>17443</v>
      </c>
      <c r="F1222" s="44" t="s">
        <v>17444</v>
      </c>
      <c r="G1222" s="44" t="s">
        <v>14871</v>
      </c>
      <c r="H1222" s="44" t="s">
        <v>14872</v>
      </c>
      <c r="I1222" s="44" t="s">
        <v>14873</v>
      </c>
      <c r="J1222" s="44" t="s">
        <v>14874</v>
      </c>
      <c r="K1222" s="44" t="s">
        <v>14875</v>
      </c>
      <c r="L1222" s="44" t="s">
        <v>9667</v>
      </c>
      <c r="M1222" s="44" t="s">
        <v>14876</v>
      </c>
    </row>
    <row r="1223" customFormat="false" ht="22.35" hidden="false" customHeight="false" outlineLevel="0" collapsed="false">
      <c r="A1223" s="44" t="s">
        <v>17445</v>
      </c>
      <c r="B1223" s="44" t="s">
        <v>9662</v>
      </c>
      <c r="C1223" s="44" t="s">
        <v>9663</v>
      </c>
      <c r="D1223" s="44" t="s">
        <v>17446</v>
      </c>
      <c r="E1223" s="44" t="s">
        <v>211</v>
      </c>
      <c r="F1223" s="44" t="s">
        <v>212</v>
      </c>
      <c r="G1223" s="44" t="s">
        <v>14871</v>
      </c>
      <c r="H1223" s="44" t="s">
        <v>14872</v>
      </c>
      <c r="I1223" s="44" t="s">
        <v>14873</v>
      </c>
      <c r="J1223" s="44" t="s">
        <v>14874</v>
      </c>
      <c r="K1223" s="44" t="s">
        <v>14875</v>
      </c>
      <c r="L1223" s="44" t="s">
        <v>9667</v>
      </c>
      <c r="M1223" s="44" t="s">
        <v>14876</v>
      </c>
    </row>
    <row r="1224" customFormat="false" ht="22.35" hidden="false" customHeight="false" outlineLevel="0" collapsed="false">
      <c r="A1224" s="44" t="s">
        <v>17447</v>
      </c>
      <c r="B1224" s="44" t="s">
        <v>9662</v>
      </c>
      <c r="C1224" s="44" t="s">
        <v>9663</v>
      </c>
      <c r="D1224" s="44" t="s">
        <v>17448</v>
      </c>
      <c r="E1224" s="44"/>
      <c r="F1224" s="44"/>
      <c r="G1224" s="44" t="s">
        <v>14882</v>
      </c>
      <c r="H1224" s="44" t="s">
        <v>14872</v>
      </c>
      <c r="I1224" s="44" t="s">
        <v>14883</v>
      </c>
      <c r="J1224" s="44" t="s">
        <v>14874</v>
      </c>
      <c r="K1224" s="44" t="s">
        <v>14875</v>
      </c>
      <c r="L1224" s="44" t="s">
        <v>9667</v>
      </c>
      <c r="M1224" s="44" t="s">
        <v>14876</v>
      </c>
    </row>
    <row r="1225" customFormat="false" ht="22.35" hidden="false" customHeight="false" outlineLevel="0" collapsed="false">
      <c r="A1225" s="44" t="s">
        <v>17449</v>
      </c>
      <c r="B1225" s="44" t="s">
        <v>9662</v>
      </c>
      <c r="C1225" s="44" t="s">
        <v>9663</v>
      </c>
      <c r="D1225" s="44" t="s">
        <v>17047</v>
      </c>
      <c r="E1225" s="44"/>
      <c r="F1225" s="44"/>
      <c r="G1225" s="44" t="s">
        <v>14882</v>
      </c>
      <c r="H1225" s="44" t="s">
        <v>14872</v>
      </c>
      <c r="I1225" s="44" t="s">
        <v>14883</v>
      </c>
      <c r="J1225" s="44" t="s">
        <v>14874</v>
      </c>
      <c r="K1225" s="44" t="s">
        <v>14875</v>
      </c>
      <c r="L1225" s="44" t="s">
        <v>9667</v>
      </c>
      <c r="M1225" s="44" t="s">
        <v>14876</v>
      </c>
    </row>
    <row r="1226" customFormat="false" ht="22.35" hidden="false" customHeight="false" outlineLevel="0" collapsed="false">
      <c r="A1226" s="44" t="s">
        <v>17450</v>
      </c>
      <c r="B1226" s="44" t="s">
        <v>9662</v>
      </c>
      <c r="C1226" s="44" t="s">
        <v>9663</v>
      </c>
      <c r="D1226" s="44" t="s">
        <v>15115</v>
      </c>
      <c r="E1226" s="44" t="s">
        <v>3451</v>
      </c>
      <c r="F1226" s="44" t="s">
        <v>3452</v>
      </c>
      <c r="G1226" s="44" t="s">
        <v>14871</v>
      </c>
      <c r="H1226" s="44" t="s">
        <v>14872</v>
      </c>
      <c r="I1226" s="44" t="s">
        <v>14873</v>
      </c>
      <c r="J1226" s="44" t="s">
        <v>14874</v>
      </c>
      <c r="K1226" s="44" t="s">
        <v>14875</v>
      </c>
      <c r="L1226" s="44" t="s">
        <v>9667</v>
      </c>
      <c r="M1226" s="44" t="s">
        <v>14876</v>
      </c>
    </row>
    <row r="1227" customFormat="false" ht="22.35" hidden="false" customHeight="false" outlineLevel="0" collapsed="false">
      <c r="A1227" s="44" t="s">
        <v>17451</v>
      </c>
      <c r="B1227" s="44" t="s">
        <v>9662</v>
      </c>
      <c r="C1227" s="44" t="s">
        <v>9663</v>
      </c>
      <c r="D1227" s="44" t="s">
        <v>17452</v>
      </c>
      <c r="E1227" s="44"/>
      <c r="F1227" s="44"/>
      <c r="G1227" s="44" t="s">
        <v>14882</v>
      </c>
      <c r="H1227" s="44" t="s">
        <v>14872</v>
      </c>
      <c r="I1227" s="44" t="s">
        <v>14883</v>
      </c>
      <c r="J1227" s="44" t="s">
        <v>14874</v>
      </c>
      <c r="K1227" s="44" t="s">
        <v>14875</v>
      </c>
      <c r="L1227" s="44" t="s">
        <v>9667</v>
      </c>
      <c r="M1227" s="44" t="s">
        <v>14876</v>
      </c>
    </row>
    <row r="1228" customFormat="false" ht="22.35" hidden="false" customHeight="false" outlineLevel="0" collapsed="false">
      <c r="A1228" s="44" t="s">
        <v>17453</v>
      </c>
      <c r="B1228" s="44" t="s">
        <v>9662</v>
      </c>
      <c r="C1228" s="44" t="s">
        <v>9663</v>
      </c>
      <c r="D1228" s="44" t="s">
        <v>17454</v>
      </c>
      <c r="E1228" s="44" t="s">
        <v>2057</v>
      </c>
      <c r="F1228" s="44" t="s">
        <v>2058</v>
      </c>
      <c r="G1228" s="44" t="s">
        <v>14871</v>
      </c>
      <c r="H1228" s="44" t="s">
        <v>14872</v>
      </c>
      <c r="I1228" s="44" t="s">
        <v>14879</v>
      </c>
      <c r="J1228" s="44" t="s">
        <v>14874</v>
      </c>
      <c r="K1228" s="44" t="s">
        <v>14875</v>
      </c>
      <c r="L1228" s="44" t="s">
        <v>9667</v>
      </c>
      <c r="M1228" s="44" t="s">
        <v>14876</v>
      </c>
    </row>
    <row r="1229" customFormat="false" ht="22.35" hidden="false" customHeight="false" outlineLevel="0" collapsed="false">
      <c r="A1229" s="44" t="s">
        <v>17455</v>
      </c>
      <c r="B1229" s="44" t="s">
        <v>9668</v>
      </c>
      <c r="C1229" s="44" t="s">
        <v>9669</v>
      </c>
      <c r="D1229" s="44" t="s">
        <v>17456</v>
      </c>
      <c r="E1229" s="44"/>
      <c r="F1229" s="44"/>
      <c r="G1229" s="44" t="s">
        <v>14882</v>
      </c>
      <c r="H1229" s="44" t="s">
        <v>14872</v>
      </c>
      <c r="I1229" s="44" t="s">
        <v>14883</v>
      </c>
      <c r="J1229" s="44" t="s">
        <v>14874</v>
      </c>
      <c r="K1229" s="44" t="s">
        <v>14875</v>
      </c>
      <c r="L1229" s="44" t="s">
        <v>9672</v>
      </c>
      <c r="M1229" s="44" t="s">
        <v>14876</v>
      </c>
    </row>
    <row r="1230" customFormat="false" ht="22.35" hidden="false" customHeight="false" outlineLevel="0" collapsed="false">
      <c r="A1230" s="44" t="s">
        <v>17457</v>
      </c>
      <c r="B1230" s="44" t="s">
        <v>9668</v>
      </c>
      <c r="C1230" s="44" t="s">
        <v>9669</v>
      </c>
      <c r="D1230" s="44" t="s">
        <v>16121</v>
      </c>
      <c r="E1230" s="44"/>
      <c r="F1230" s="44"/>
      <c r="G1230" s="44" t="s">
        <v>14882</v>
      </c>
      <c r="H1230" s="44" t="s">
        <v>14872</v>
      </c>
      <c r="I1230" s="44" t="s">
        <v>14883</v>
      </c>
      <c r="J1230" s="44" t="s">
        <v>14874</v>
      </c>
      <c r="K1230" s="44" t="s">
        <v>14875</v>
      </c>
      <c r="L1230" s="44" t="s">
        <v>9672</v>
      </c>
      <c r="M1230" s="44" t="s">
        <v>14876</v>
      </c>
    </row>
    <row r="1231" customFormat="false" ht="22.35" hidden="false" customHeight="false" outlineLevel="0" collapsed="false">
      <c r="A1231" s="44" t="s">
        <v>17458</v>
      </c>
      <c r="B1231" s="44" t="s">
        <v>9668</v>
      </c>
      <c r="C1231" s="44" t="s">
        <v>9669</v>
      </c>
      <c r="D1231" s="44" t="s">
        <v>17459</v>
      </c>
      <c r="E1231" s="44"/>
      <c r="F1231" s="44"/>
      <c r="G1231" s="44" t="s">
        <v>14882</v>
      </c>
      <c r="H1231" s="44" t="s">
        <v>14872</v>
      </c>
      <c r="I1231" s="44" t="s">
        <v>14883</v>
      </c>
      <c r="J1231" s="44" t="s">
        <v>14874</v>
      </c>
      <c r="K1231" s="44" t="s">
        <v>14875</v>
      </c>
      <c r="L1231" s="44" t="s">
        <v>9672</v>
      </c>
      <c r="M1231" s="44" t="s">
        <v>14876</v>
      </c>
    </row>
    <row r="1232" customFormat="false" ht="22.35" hidden="false" customHeight="false" outlineLevel="0" collapsed="false">
      <c r="A1232" s="44" t="s">
        <v>17460</v>
      </c>
      <c r="B1232" s="44" t="s">
        <v>9668</v>
      </c>
      <c r="C1232" s="44" t="s">
        <v>9669</v>
      </c>
      <c r="D1232" s="44" t="s">
        <v>17461</v>
      </c>
      <c r="E1232" s="44"/>
      <c r="F1232" s="44"/>
      <c r="G1232" s="44" t="s">
        <v>14882</v>
      </c>
      <c r="H1232" s="44" t="s">
        <v>14872</v>
      </c>
      <c r="I1232" s="44" t="s">
        <v>14883</v>
      </c>
      <c r="J1232" s="44" t="s">
        <v>14874</v>
      </c>
      <c r="K1232" s="44" t="s">
        <v>14875</v>
      </c>
      <c r="L1232" s="44" t="s">
        <v>9672</v>
      </c>
      <c r="M1232" s="44" t="s">
        <v>14876</v>
      </c>
    </row>
    <row r="1233" customFormat="false" ht="22.35" hidden="false" customHeight="false" outlineLevel="0" collapsed="false">
      <c r="A1233" s="44" t="s">
        <v>17462</v>
      </c>
      <c r="B1233" s="44" t="s">
        <v>9668</v>
      </c>
      <c r="C1233" s="44" t="s">
        <v>9669</v>
      </c>
      <c r="D1233" s="44" t="s">
        <v>17463</v>
      </c>
      <c r="E1233" s="44"/>
      <c r="F1233" s="44"/>
      <c r="G1233" s="44" t="s">
        <v>14882</v>
      </c>
      <c r="H1233" s="44" t="s">
        <v>14872</v>
      </c>
      <c r="I1233" s="44" t="s">
        <v>14883</v>
      </c>
      <c r="J1233" s="44" t="s">
        <v>14874</v>
      </c>
      <c r="K1233" s="44" t="s">
        <v>14875</v>
      </c>
      <c r="L1233" s="44" t="s">
        <v>9672</v>
      </c>
      <c r="M1233" s="44" t="s">
        <v>14876</v>
      </c>
    </row>
    <row r="1234" customFormat="false" ht="22.35" hidden="false" customHeight="false" outlineLevel="0" collapsed="false">
      <c r="A1234" s="44" t="s">
        <v>17464</v>
      </c>
      <c r="B1234" s="44" t="s">
        <v>9673</v>
      </c>
      <c r="C1234" s="44" t="s">
        <v>9674</v>
      </c>
      <c r="D1234" s="44" t="s">
        <v>17465</v>
      </c>
      <c r="E1234" s="44" t="s">
        <v>211</v>
      </c>
      <c r="F1234" s="44" t="s">
        <v>212</v>
      </c>
      <c r="G1234" s="44" t="s">
        <v>14871</v>
      </c>
      <c r="H1234" s="44" t="s">
        <v>14872</v>
      </c>
      <c r="I1234" s="44" t="s">
        <v>14873</v>
      </c>
      <c r="J1234" s="44" t="s">
        <v>14874</v>
      </c>
      <c r="K1234" s="44" t="s">
        <v>14875</v>
      </c>
      <c r="L1234" s="44" t="s">
        <v>9680</v>
      </c>
      <c r="M1234" s="44" t="s">
        <v>14876</v>
      </c>
    </row>
    <row r="1235" customFormat="false" ht="22.35" hidden="false" customHeight="false" outlineLevel="0" collapsed="false">
      <c r="A1235" s="44" t="s">
        <v>17466</v>
      </c>
      <c r="B1235" s="44" t="s">
        <v>9673</v>
      </c>
      <c r="C1235" s="44" t="s">
        <v>9674</v>
      </c>
      <c r="D1235" s="44" t="s">
        <v>17467</v>
      </c>
      <c r="E1235" s="44" t="s">
        <v>211</v>
      </c>
      <c r="F1235" s="44" t="s">
        <v>212</v>
      </c>
      <c r="G1235" s="44" t="s">
        <v>14871</v>
      </c>
      <c r="H1235" s="44" t="s">
        <v>14872</v>
      </c>
      <c r="I1235" s="44" t="s">
        <v>14873</v>
      </c>
      <c r="J1235" s="44" t="s">
        <v>14874</v>
      </c>
      <c r="K1235" s="44" t="s">
        <v>14875</v>
      </c>
      <c r="L1235" s="44" t="s">
        <v>9680</v>
      </c>
      <c r="M1235" s="44" t="s">
        <v>14876</v>
      </c>
    </row>
    <row r="1236" customFormat="false" ht="22.35" hidden="false" customHeight="false" outlineLevel="0" collapsed="false">
      <c r="A1236" s="44" t="s">
        <v>17468</v>
      </c>
      <c r="B1236" s="44" t="s">
        <v>9673</v>
      </c>
      <c r="C1236" s="44" t="s">
        <v>9674</v>
      </c>
      <c r="D1236" s="44" t="s">
        <v>17469</v>
      </c>
      <c r="E1236" s="44"/>
      <c r="F1236" s="44"/>
      <c r="G1236" s="44" t="s">
        <v>14882</v>
      </c>
      <c r="H1236" s="44" t="s">
        <v>14872</v>
      </c>
      <c r="I1236" s="44" t="s">
        <v>14883</v>
      </c>
      <c r="J1236" s="44" t="s">
        <v>14874</v>
      </c>
      <c r="K1236" s="44" t="s">
        <v>14875</v>
      </c>
      <c r="L1236" s="44" t="s">
        <v>9680</v>
      </c>
      <c r="M1236" s="44" t="s">
        <v>14876</v>
      </c>
    </row>
    <row r="1237" customFormat="false" ht="22.35" hidden="false" customHeight="false" outlineLevel="0" collapsed="false">
      <c r="A1237" s="44" t="s">
        <v>17470</v>
      </c>
      <c r="B1237" s="44" t="s">
        <v>9673</v>
      </c>
      <c r="C1237" s="44" t="s">
        <v>9674</v>
      </c>
      <c r="D1237" s="44" t="s">
        <v>17471</v>
      </c>
      <c r="E1237" s="44" t="s">
        <v>3246</v>
      </c>
      <c r="F1237" s="44" t="s">
        <v>3247</v>
      </c>
      <c r="G1237" s="44" t="s">
        <v>14871</v>
      </c>
      <c r="H1237" s="44" t="s">
        <v>14872</v>
      </c>
      <c r="I1237" s="44" t="s">
        <v>14873</v>
      </c>
      <c r="J1237" s="44" t="s">
        <v>14874</v>
      </c>
      <c r="K1237" s="44" t="s">
        <v>14875</v>
      </c>
      <c r="L1237" s="44" t="s">
        <v>9680</v>
      </c>
      <c r="M1237" s="44" t="s">
        <v>14876</v>
      </c>
    </row>
    <row r="1238" customFormat="false" ht="22.35" hidden="false" customHeight="false" outlineLevel="0" collapsed="false">
      <c r="A1238" s="44" t="s">
        <v>17472</v>
      </c>
      <c r="B1238" s="44" t="s">
        <v>9681</v>
      </c>
      <c r="C1238" s="44" t="s">
        <v>9682</v>
      </c>
      <c r="D1238" s="44" t="s">
        <v>17473</v>
      </c>
      <c r="E1238" s="44" t="s">
        <v>922</v>
      </c>
      <c r="F1238" s="44" t="s">
        <v>923</v>
      </c>
      <c r="G1238" s="44" t="s">
        <v>14871</v>
      </c>
      <c r="H1238" s="44" t="s">
        <v>14872</v>
      </c>
      <c r="I1238" s="44" t="s">
        <v>14886</v>
      </c>
      <c r="J1238" s="44" t="s">
        <v>14874</v>
      </c>
      <c r="K1238" s="44" t="s">
        <v>14875</v>
      </c>
      <c r="L1238" s="44" t="s">
        <v>9685</v>
      </c>
      <c r="M1238" s="44" t="s">
        <v>14876</v>
      </c>
    </row>
    <row r="1239" customFormat="false" ht="22.35" hidden="false" customHeight="false" outlineLevel="0" collapsed="false">
      <c r="A1239" s="44" t="s">
        <v>17474</v>
      </c>
      <c r="B1239" s="44" t="s">
        <v>9681</v>
      </c>
      <c r="C1239" s="44" t="s">
        <v>9682</v>
      </c>
      <c r="D1239" s="44" t="s">
        <v>17475</v>
      </c>
      <c r="E1239" s="44"/>
      <c r="F1239" s="44"/>
      <c r="G1239" s="44" t="s">
        <v>14882</v>
      </c>
      <c r="H1239" s="44" t="s">
        <v>14872</v>
      </c>
      <c r="I1239" s="44" t="s">
        <v>14883</v>
      </c>
      <c r="J1239" s="44" t="s">
        <v>14874</v>
      </c>
      <c r="K1239" s="44" t="s">
        <v>14875</v>
      </c>
      <c r="L1239" s="44" t="s">
        <v>9685</v>
      </c>
      <c r="M1239" s="44" t="s">
        <v>14876</v>
      </c>
    </row>
    <row r="1240" customFormat="false" ht="22.35" hidden="false" customHeight="false" outlineLevel="0" collapsed="false">
      <c r="A1240" s="44" t="s">
        <v>17476</v>
      </c>
      <c r="B1240" s="44" t="s">
        <v>9681</v>
      </c>
      <c r="C1240" s="44" t="s">
        <v>9682</v>
      </c>
      <c r="D1240" s="44" t="s">
        <v>17477</v>
      </c>
      <c r="E1240" s="44"/>
      <c r="F1240" s="44"/>
      <c r="G1240" s="44" t="s">
        <v>14882</v>
      </c>
      <c r="H1240" s="44" t="s">
        <v>14872</v>
      </c>
      <c r="I1240" s="44" t="s">
        <v>14883</v>
      </c>
      <c r="J1240" s="44" t="s">
        <v>14874</v>
      </c>
      <c r="K1240" s="44" t="s">
        <v>14875</v>
      </c>
      <c r="L1240" s="44" t="s">
        <v>9685</v>
      </c>
      <c r="M1240" s="44" t="s">
        <v>14876</v>
      </c>
    </row>
    <row r="1241" customFormat="false" ht="22.35" hidden="false" customHeight="false" outlineLevel="0" collapsed="false">
      <c r="A1241" s="44" t="s">
        <v>17478</v>
      </c>
      <c r="B1241" s="44" t="s">
        <v>9681</v>
      </c>
      <c r="C1241" s="44" t="s">
        <v>9682</v>
      </c>
      <c r="D1241" s="44" t="s">
        <v>17479</v>
      </c>
      <c r="E1241" s="44"/>
      <c r="F1241" s="44"/>
      <c r="G1241" s="44" t="s">
        <v>14882</v>
      </c>
      <c r="H1241" s="44" t="s">
        <v>14872</v>
      </c>
      <c r="I1241" s="44" t="s">
        <v>14883</v>
      </c>
      <c r="J1241" s="44" t="s">
        <v>14874</v>
      </c>
      <c r="K1241" s="44" t="s">
        <v>14875</v>
      </c>
      <c r="L1241" s="44" t="s">
        <v>9685</v>
      </c>
      <c r="M1241" s="44" t="s">
        <v>14876</v>
      </c>
    </row>
    <row r="1242" customFormat="false" ht="22.35" hidden="false" customHeight="false" outlineLevel="0" collapsed="false">
      <c r="A1242" s="44" t="s">
        <v>17480</v>
      </c>
      <c r="B1242" s="44" t="s">
        <v>9686</v>
      </c>
      <c r="C1242" s="44" t="s">
        <v>9687</v>
      </c>
      <c r="D1242" s="44" t="s">
        <v>2432</v>
      </c>
      <c r="E1242" s="44" t="s">
        <v>16055</v>
      </c>
      <c r="F1242" s="44" t="s">
        <v>16056</v>
      </c>
      <c r="G1242" s="44" t="s">
        <v>14871</v>
      </c>
      <c r="H1242" s="44" t="s">
        <v>14872</v>
      </c>
      <c r="I1242" s="44" t="s">
        <v>14886</v>
      </c>
      <c r="J1242" s="44" t="s">
        <v>14874</v>
      </c>
      <c r="K1242" s="44" t="s">
        <v>14875</v>
      </c>
      <c r="L1242" s="44" t="s">
        <v>9690</v>
      </c>
      <c r="M1242" s="44" t="s">
        <v>14876</v>
      </c>
    </row>
    <row r="1243" customFormat="false" ht="22.35" hidden="false" customHeight="false" outlineLevel="0" collapsed="false">
      <c r="A1243" s="44" t="s">
        <v>17481</v>
      </c>
      <c r="B1243" s="44" t="s">
        <v>9686</v>
      </c>
      <c r="C1243" s="44" t="s">
        <v>9687</v>
      </c>
      <c r="D1243" s="44" t="s">
        <v>17482</v>
      </c>
      <c r="E1243" s="44"/>
      <c r="F1243" s="44"/>
      <c r="G1243" s="44" t="s">
        <v>14882</v>
      </c>
      <c r="H1243" s="44" t="s">
        <v>14872</v>
      </c>
      <c r="I1243" s="44" t="s">
        <v>14883</v>
      </c>
      <c r="J1243" s="44" t="s">
        <v>14874</v>
      </c>
      <c r="K1243" s="44" t="s">
        <v>14875</v>
      </c>
      <c r="L1243" s="44" t="s">
        <v>9690</v>
      </c>
      <c r="M1243" s="44" t="s">
        <v>14876</v>
      </c>
    </row>
    <row r="1244" customFormat="false" ht="22.35" hidden="false" customHeight="false" outlineLevel="0" collapsed="false">
      <c r="A1244" s="44" t="s">
        <v>17483</v>
      </c>
      <c r="B1244" s="44" t="s">
        <v>9686</v>
      </c>
      <c r="C1244" s="44" t="s">
        <v>9687</v>
      </c>
      <c r="D1244" s="44" t="s">
        <v>17484</v>
      </c>
      <c r="E1244" s="44" t="s">
        <v>17485</v>
      </c>
      <c r="F1244" s="44" t="s">
        <v>17486</v>
      </c>
      <c r="G1244" s="44" t="s">
        <v>14871</v>
      </c>
      <c r="H1244" s="44" t="s">
        <v>14872</v>
      </c>
      <c r="I1244" s="44" t="s">
        <v>14886</v>
      </c>
      <c r="J1244" s="44" t="s">
        <v>14874</v>
      </c>
      <c r="K1244" s="44" t="s">
        <v>14875</v>
      </c>
      <c r="L1244" s="44" t="s">
        <v>9690</v>
      </c>
      <c r="M1244" s="44" t="s">
        <v>14876</v>
      </c>
    </row>
    <row r="1245" customFormat="false" ht="22.35" hidden="false" customHeight="false" outlineLevel="0" collapsed="false">
      <c r="A1245" s="44" t="s">
        <v>17487</v>
      </c>
      <c r="B1245" s="44" t="s">
        <v>9686</v>
      </c>
      <c r="C1245" s="44" t="s">
        <v>9687</v>
      </c>
      <c r="D1245" s="44" t="s">
        <v>17488</v>
      </c>
      <c r="E1245" s="44"/>
      <c r="F1245" s="44"/>
      <c r="G1245" s="44" t="s">
        <v>14882</v>
      </c>
      <c r="H1245" s="44" t="s">
        <v>14872</v>
      </c>
      <c r="I1245" s="44" t="s">
        <v>14883</v>
      </c>
      <c r="J1245" s="44" t="s">
        <v>14874</v>
      </c>
      <c r="K1245" s="44" t="s">
        <v>14875</v>
      </c>
      <c r="L1245" s="44" t="s">
        <v>9690</v>
      </c>
      <c r="M1245" s="44" t="s">
        <v>14876</v>
      </c>
    </row>
    <row r="1246" customFormat="false" ht="22.35" hidden="false" customHeight="false" outlineLevel="0" collapsed="false">
      <c r="A1246" s="44" t="s">
        <v>17489</v>
      </c>
      <c r="B1246" s="44" t="s">
        <v>9686</v>
      </c>
      <c r="C1246" s="44" t="s">
        <v>9687</v>
      </c>
      <c r="D1246" s="44" t="s">
        <v>17490</v>
      </c>
      <c r="E1246" s="44" t="s">
        <v>4633</v>
      </c>
      <c r="F1246" s="44" t="s">
        <v>4634</v>
      </c>
      <c r="G1246" s="44" t="s">
        <v>14871</v>
      </c>
      <c r="H1246" s="44" t="s">
        <v>14872</v>
      </c>
      <c r="I1246" s="44" t="s">
        <v>14886</v>
      </c>
      <c r="J1246" s="44" t="s">
        <v>14874</v>
      </c>
      <c r="K1246" s="44" t="s">
        <v>14875</v>
      </c>
      <c r="L1246" s="44" t="s">
        <v>9690</v>
      </c>
      <c r="M1246" s="44" t="s">
        <v>14876</v>
      </c>
    </row>
    <row r="1247" customFormat="false" ht="22.35" hidden="false" customHeight="false" outlineLevel="0" collapsed="false">
      <c r="A1247" s="44" t="s">
        <v>17491</v>
      </c>
      <c r="B1247" s="44" t="s">
        <v>9691</v>
      </c>
      <c r="C1247" s="44" t="s">
        <v>9692</v>
      </c>
      <c r="D1247" s="44" t="s">
        <v>17141</v>
      </c>
      <c r="E1247" s="44" t="s">
        <v>17142</v>
      </c>
      <c r="F1247" s="44" t="s">
        <v>17143</v>
      </c>
      <c r="G1247" s="44" t="s">
        <v>14871</v>
      </c>
      <c r="H1247" s="44" t="s">
        <v>14872</v>
      </c>
      <c r="I1247" s="44" t="s">
        <v>14886</v>
      </c>
      <c r="J1247" s="44" t="s">
        <v>14874</v>
      </c>
      <c r="K1247" s="44" t="s">
        <v>14875</v>
      </c>
      <c r="L1247" s="44" t="s">
        <v>9696</v>
      </c>
      <c r="M1247" s="44" t="s">
        <v>14876</v>
      </c>
    </row>
    <row r="1248" customFormat="false" ht="22.35" hidden="false" customHeight="false" outlineLevel="0" collapsed="false">
      <c r="A1248" s="44" t="s">
        <v>17492</v>
      </c>
      <c r="B1248" s="44" t="s">
        <v>9691</v>
      </c>
      <c r="C1248" s="44" t="s">
        <v>9692</v>
      </c>
      <c r="D1248" s="44" t="s">
        <v>17493</v>
      </c>
      <c r="E1248" s="44" t="s">
        <v>2761</v>
      </c>
      <c r="F1248" s="44" t="s">
        <v>2762</v>
      </c>
      <c r="G1248" s="44" t="s">
        <v>14871</v>
      </c>
      <c r="H1248" s="44" t="s">
        <v>14872</v>
      </c>
      <c r="I1248" s="44" t="s">
        <v>14886</v>
      </c>
      <c r="J1248" s="44" t="s">
        <v>14874</v>
      </c>
      <c r="K1248" s="44" t="s">
        <v>14875</v>
      </c>
      <c r="L1248" s="44" t="s">
        <v>9696</v>
      </c>
      <c r="M1248" s="44" t="s">
        <v>14876</v>
      </c>
    </row>
    <row r="1249" customFormat="false" ht="22.35" hidden="false" customHeight="false" outlineLevel="0" collapsed="false">
      <c r="A1249" s="44" t="s">
        <v>17494</v>
      </c>
      <c r="B1249" s="44" t="s">
        <v>9691</v>
      </c>
      <c r="C1249" s="44" t="s">
        <v>9692</v>
      </c>
      <c r="D1249" s="44" t="s">
        <v>17495</v>
      </c>
      <c r="E1249" s="44" t="s">
        <v>4895</v>
      </c>
      <c r="F1249" s="44" t="s">
        <v>4896</v>
      </c>
      <c r="G1249" s="44" t="s">
        <v>14871</v>
      </c>
      <c r="H1249" s="44" t="s">
        <v>14872</v>
      </c>
      <c r="I1249" s="44" t="s">
        <v>14886</v>
      </c>
      <c r="J1249" s="44" t="s">
        <v>14874</v>
      </c>
      <c r="K1249" s="44" t="s">
        <v>14875</v>
      </c>
      <c r="L1249" s="44" t="s">
        <v>9696</v>
      </c>
      <c r="M1249" s="44" t="s">
        <v>14876</v>
      </c>
    </row>
    <row r="1250" customFormat="false" ht="22.35" hidden="false" customHeight="false" outlineLevel="0" collapsed="false">
      <c r="A1250" s="44" t="s">
        <v>17496</v>
      </c>
      <c r="B1250" s="44" t="s">
        <v>9691</v>
      </c>
      <c r="C1250" s="44" t="s">
        <v>9692</v>
      </c>
      <c r="D1250" s="44" t="s">
        <v>17497</v>
      </c>
      <c r="E1250" s="44"/>
      <c r="F1250" s="44"/>
      <c r="G1250" s="44" t="s">
        <v>14882</v>
      </c>
      <c r="H1250" s="44" t="s">
        <v>14872</v>
      </c>
      <c r="I1250" s="44" t="s">
        <v>14883</v>
      </c>
      <c r="J1250" s="44" t="s">
        <v>14874</v>
      </c>
      <c r="K1250" s="44" t="s">
        <v>14875</v>
      </c>
      <c r="L1250" s="44" t="s">
        <v>9696</v>
      </c>
      <c r="M1250" s="44" t="s">
        <v>14876</v>
      </c>
    </row>
    <row r="1251" customFormat="false" ht="22.35" hidden="false" customHeight="false" outlineLevel="0" collapsed="false">
      <c r="A1251" s="44" t="s">
        <v>17498</v>
      </c>
      <c r="B1251" s="44" t="s">
        <v>9697</v>
      </c>
      <c r="C1251" s="44" t="s">
        <v>9698</v>
      </c>
      <c r="D1251" s="44" t="s">
        <v>17499</v>
      </c>
      <c r="E1251" s="44" t="s">
        <v>4094</v>
      </c>
      <c r="F1251" s="44" t="s">
        <v>4095</v>
      </c>
      <c r="G1251" s="44" t="s">
        <v>14871</v>
      </c>
      <c r="H1251" s="44" t="s">
        <v>14872</v>
      </c>
      <c r="I1251" s="44" t="s">
        <v>14873</v>
      </c>
      <c r="J1251" s="44" t="s">
        <v>14874</v>
      </c>
      <c r="K1251" s="44" t="s">
        <v>14875</v>
      </c>
      <c r="L1251" s="44" t="s">
        <v>9701</v>
      </c>
      <c r="M1251" s="44" t="s">
        <v>14876</v>
      </c>
    </row>
    <row r="1252" customFormat="false" ht="22.35" hidden="false" customHeight="false" outlineLevel="0" collapsed="false">
      <c r="A1252" s="44" t="s">
        <v>17500</v>
      </c>
      <c r="B1252" s="44" t="s">
        <v>9697</v>
      </c>
      <c r="C1252" s="44" t="s">
        <v>9698</v>
      </c>
      <c r="D1252" s="44" t="s">
        <v>17501</v>
      </c>
      <c r="E1252" s="44" t="s">
        <v>3542</v>
      </c>
      <c r="F1252" s="44" t="s">
        <v>3543</v>
      </c>
      <c r="G1252" s="44" t="s">
        <v>14871</v>
      </c>
      <c r="H1252" s="44" t="s">
        <v>14872</v>
      </c>
      <c r="I1252" s="44" t="s">
        <v>14873</v>
      </c>
      <c r="J1252" s="44" t="s">
        <v>14874</v>
      </c>
      <c r="K1252" s="44" t="s">
        <v>14875</v>
      </c>
      <c r="L1252" s="44" t="s">
        <v>9701</v>
      </c>
      <c r="M1252" s="44" t="s">
        <v>14876</v>
      </c>
    </row>
    <row r="1253" customFormat="false" ht="22.35" hidden="false" customHeight="false" outlineLevel="0" collapsed="false">
      <c r="A1253" s="44" t="s">
        <v>17502</v>
      </c>
      <c r="B1253" s="44" t="s">
        <v>9697</v>
      </c>
      <c r="C1253" s="44" t="s">
        <v>9698</v>
      </c>
      <c r="D1253" s="44" t="s">
        <v>17128</v>
      </c>
      <c r="E1253" s="44"/>
      <c r="F1253" s="44"/>
      <c r="G1253" s="44" t="s">
        <v>14882</v>
      </c>
      <c r="H1253" s="44" t="s">
        <v>14872</v>
      </c>
      <c r="I1253" s="44" t="s">
        <v>14883</v>
      </c>
      <c r="J1253" s="44" t="s">
        <v>14874</v>
      </c>
      <c r="K1253" s="44" t="s">
        <v>14875</v>
      </c>
      <c r="L1253" s="44" t="s">
        <v>9701</v>
      </c>
      <c r="M1253" s="44" t="s">
        <v>14876</v>
      </c>
    </row>
    <row r="1254" customFormat="false" ht="22.35" hidden="false" customHeight="false" outlineLevel="0" collapsed="false">
      <c r="A1254" s="44" t="s">
        <v>17503</v>
      </c>
      <c r="B1254" s="44" t="s">
        <v>9697</v>
      </c>
      <c r="C1254" s="44" t="s">
        <v>9698</v>
      </c>
      <c r="D1254" s="44" t="s">
        <v>17504</v>
      </c>
      <c r="E1254" s="44"/>
      <c r="F1254" s="44"/>
      <c r="G1254" s="44" t="s">
        <v>14882</v>
      </c>
      <c r="H1254" s="44" t="s">
        <v>14872</v>
      </c>
      <c r="I1254" s="44" t="s">
        <v>14883</v>
      </c>
      <c r="J1254" s="44" t="s">
        <v>14874</v>
      </c>
      <c r="K1254" s="44" t="s">
        <v>14875</v>
      </c>
      <c r="L1254" s="44" t="s">
        <v>9701</v>
      </c>
      <c r="M1254" s="44" t="s">
        <v>14876</v>
      </c>
    </row>
    <row r="1255" customFormat="false" ht="22.35" hidden="false" customHeight="false" outlineLevel="0" collapsed="false">
      <c r="A1255" s="44" t="s">
        <v>17505</v>
      </c>
      <c r="B1255" s="44" t="s">
        <v>9702</v>
      </c>
      <c r="C1255" s="44" t="s">
        <v>9703</v>
      </c>
      <c r="D1255" s="44" t="s">
        <v>17506</v>
      </c>
      <c r="E1255" s="44"/>
      <c r="F1255" s="44"/>
      <c r="G1255" s="44" t="s">
        <v>14882</v>
      </c>
      <c r="H1255" s="44" t="s">
        <v>14872</v>
      </c>
      <c r="I1255" s="44" t="s">
        <v>14883</v>
      </c>
      <c r="J1255" s="44" t="s">
        <v>14874</v>
      </c>
      <c r="K1255" s="44" t="s">
        <v>14875</v>
      </c>
      <c r="L1255" s="44" t="s">
        <v>9709</v>
      </c>
      <c r="M1255" s="44" t="s">
        <v>14876</v>
      </c>
    </row>
    <row r="1256" customFormat="false" ht="22.35" hidden="false" customHeight="false" outlineLevel="0" collapsed="false">
      <c r="A1256" s="44" t="s">
        <v>17507</v>
      </c>
      <c r="B1256" s="44" t="s">
        <v>9702</v>
      </c>
      <c r="C1256" s="44" t="s">
        <v>9703</v>
      </c>
      <c r="D1256" s="44" t="s">
        <v>17508</v>
      </c>
      <c r="E1256" s="44" t="s">
        <v>3257</v>
      </c>
      <c r="F1256" s="44" t="s">
        <v>3258</v>
      </c>
      <c r="G1256" s="44" t="s">
        <v>14871</v>
      </c>
      <c r="H1256" s="44" t="s">
        <v>14872</v>
      </c>
      <c r="I1256" s="44" t="s">
        <v>14873</v>
      </c>
      <c r="J1256" s="44" t="s">
        <v>14874</v>
      </c>
      <c r="K1256" s="44" t="s">
        <v>14875</v>
      </c>
      <c r="L1256" s="44" t="s">
        <v>9709</v>
      </c>
      <c r="M1256" s="44" t="s">
        <v>14876</v>
      </c>
    </row>
    <row r="1257" customFormat="false" ht="22.35" hidden="false" customHeight="false" outlineLevel="0" collapsed="false">
      <c r="A1257" s="44" t="s">
        <v>17509</v>
      </c>
      <c r="B1257" s="44" t="s">
        <v>9702</v>
      </c>
      <c r="C1257" s="44" t="s">
        <v>9703</v>
      </c>
      <c r="D1257" s="44" t="s">
        <v>17510</v>
      </c>
      <c r="E1257" s="44"/>
      <c r="F1257" s="44"/>
      <c r="G1257" s="44" t="s">
        <v>14882</v>
      </c>
      <c r="H1257" s="44" t="s">
        <v>14872</v>
      </c>
      <c r="I1257" s="44" t="s">
        <v>14883</v>
      </c>
      <c r="J1257" s="44" t="s">
        <v>14874</v>
      </c>
      <c r="K1257" s="44" t="s">
        <v>14875</v>
      </c>
      <c r="L1257" s="44" t="s">
        <v>9709</v>
      </c>
      <c r="M1257" s="44" t="s">
        <v>14876</v>
      </c>
    </row>
    <row r="1258" customFormat="false" ht="22.35" hidden="false" customHeight="false" outlineLevel="0" collapsed="false">
      <c r="A1258" s="44" t="s">
        <v>17511</v>
      </c>
      <c r="B1258" s="44" t="s">
        <v>9702</v>
      </c>
      <c r="C1258" s="44" t="s">
        <v>9703</v>
      </c>
      <c r="D1258" s="44" t="s">
        <v>17512</v>
      </c>
      <c r="E1258" s="44" t="s">
        <v>5906</v>
      </c>
      <c r="F1258" s="44" t="s">
        <v>130</v>
      </c>
      <c r="G1258" s="44" t="s">
        <v>14871</v>
      </c>
      <c r="H1258" s="44" t="s">
        <v>14872</v>
      </c>
      <c r="I1258" s="44" t="s">
        <v>14886</v>
      </c>
      <c r="J1258" s="44" t="s">
        <v>14874</v>
      </c>
      <c r="K1258" s="44" t="s">
        <v>14875</v>
      </c>
      <c r="L1258" s="44" t="s">
        <v>9709</v>
      </c>
      <c r="M1258" s="44" t="s">
        <v>14876</v>
      </c>
    </row>
    <row r="1259" customFormat="false" ht="22.35" hidden="false" customHeight="false" outlineLevel="0" collapsed="false">
      <c r="A1259" s="44" t="s">
        <v>17513</v>
      </c>
      <c r="B1259" s="44" t="s">
        <v>9702</v>
      </c>
      <c r="C1259" s="44" t="s">
        <v>9703</v>
      </c>
      <c r="D1259" s="44" t="s">
        <v>17514</v>
      </c>
      <c r="E1259" s="44" t="s">
        <v>200</v>
      </c>
      <c r="F1259" s="44" t="s">
        <v>201</v>
      </c>
      <c r="G1259" s="44" t="s">
        <v>14871</v>
      </c>
      <c r="H1259" s="44" t="s">
        <v>14872</v>
      </c>
      <c r="I1259" s="44" t="s">
        <v>14886</v>
      </c>
      <c r="J1259" s="44" t="s">
        <v>14874</v>
      </c>
      <c r="K1259" s="44" t="s">
        <v>14875</v>
      </c>
      <c r="L1259" s="44" t="s">
        <v>9709</v>
      </c>
      <c r="M1259" s="44" t="s">
        <v>14876</v>
      </c>
    </row>
    <row r="1260" customFormat="false" ht="22.35" hidden="false" customHeight="false" outlineLevel="0" collapsed="false">
      <c r="A1260" s="44" t="s">
        <v>17515</v>
      </c>
      <c r="B1260" s="44" t="s">
        <v>9710</v>
      </c>
      <c r="C1260" s="44" t="s">
        <v>9711</v>
      </c>
      <c r="D1260" s="44" t="s">
        <v>17516</v>
      </c>
      <c r="E1260" s="44" t="s">
        <v>17517</v>
      </c>
      <c r="F1260" s="44" t="s">
        <v>17518</v>
      </c>
      <c r="G1260" s="44" t="s">
        <v>14871</v>
      </c>
      <c r="H1260" s="44" t="s">
        <v>14872</v>
      </c>
      <c r="I1260" s="44" t="s">
        <v>14873</v>
      </c>
      <c r="J1260" s="44" t="s">
        <v>14874</v>
      </c>
      <c r="K1260" s="44" t="s">
        <v>14875</v>
      </c>
      <c r="L1260" s="44" t="s">
        <v>9715</v>
      </c>
      <c r="M1260" s="44" t="s">
        <v>14876</v>
      </c>
    </row>
    <row r="1261" customFormat="false" ht="22.35" hidden="false" customHeight="false" outlineLevel="0" collapsed="false">
      <c r="A1261" s="44" t="s">
        <v>17519</v>
      </c>
      <c r="B1261" s="44" t="s">
        <v>9710</v>
      </c>
      <c r="C1261" s="44" t="s">
        <v>9711</v>
      </c>
      <c r="D1261" s="44" t="s">
        <v>17520</v>
      </c>
      <c r="E1261" s="44"/>
      <c r="F1261" s="44"/>
      <c r="G1261" s="44" t="s">
        <v>14882</v>
      </c>
      <c r="H1261" s="44" t="s">
        <v>14872</v>
      </c>
      <c r="I1261" s="44" t="s">
        <v>14883</v>
      </c>
      <c r="J1261" s="44" t="s">
        <v>14874</v>
      </c>
      <c r="K1261" s="44" t="s">
        <v>14875</v>
      </c>
      <c r="L1261" s="44" t="s">
        <v>9715</v>
      </c>
      <c r="M1261" s="44" t="s">
        <v>14876</v>
      </c>
    </row>
    <row r="1262" customFormat="false" ht="22.35" hidden="false" customHeight="false" outlineLevel="0" collapsed="false">
      <c r="A1262" s="44" t="s">
        <v>17521</v>
      </c>
      <c r="B1262" s="44" t="s">
        <v>9710</v>
      </c>
      <c r="C1262" s="44" t="s">
        <v>9711</v>
      </c>
      <c r="D1262" s="44" t="s">
        <v>17522</v>
      </c>
      <c r="E1262" s="44" t="s">
        <v>2200</v>
      </c>
      <c r="F1262" s="44" t="s">
        <v>2201</v>
      </c>
      <c r="G1262" s="44" t="s">
        <v>14871</v>
      </c>
      <c r="H1262" s="44" t="s">
        <v>14872</v>
      </c>
      <c r="I1262" s="44" t="s">
        <v>14873</v>
      </c>
      <c r="J1262" s="44" t="s">
        <v>14874</v>
      </c>
      <c r="K1262" s="44" t="s">
        <v>14875</v>
      </c>
      <c r="L1262" s="44" t="s">
        <v>9715</v>
      </c>
      <c r="M1262" s="44" t="s">
        <v>14876</v>
      </c>
    </row>
    <row r="1263" customFormat="false" ht="22.35" hidden="false" customHeight="false" outlineLevel="0" collapsed="false">
      <c r="A1263" s="44" t="s">
        <v>17523</v>
      </c>
      <c r="B1263" s="44" t="s">
        <v>9710</v>
      </c>
      <c r="C1263" s="44" t="s">
        <v>9711</v>
      </c>
      <c r="D1263" s="44" t="s">
        <v>17524</v>
      </c>
      <c r="E1263" s="44" t="s">
        <v>196</v>
      </c>
      <c r="F1263" s="44" t="s">
        <v>59</v>
      </c>
      <c r="G1263" s="44" t="s">
        <v>14871</v>
      </c>
      <c r="H1263" s="44" t="s">
        <v>14872</v>
      </c>
      <c r="I1263" s="44" t="s">
        <v>14886</v>
      </c>
      <c r="J1263" s="44" t="s">
        <v>14874</v>
      </c>
      <c r="K1263" s="44" t="s">
        <v>14875</v>
      </c>
      <c r="L1263" s="44" t="s">
        <v>9715</v>
      </c>
      <c r="M1263" s="44" t="s">
        <v>14876</v>
      </c>
    </row>
    <row r="1264" customFormat="false" ht="22.35" hidden="false" customHeight="false" outlineLevel="0" collapsed="false">
      <c r="A1264" s="44" t="s">
        <v>17525</v>
      </c>
      <c r="B1264" s="44" t="s">
        <v>9710</v>
      </c>
      <c r="C1264" s="44" t="s">
        <v>9711</v>
      </c>
      <c r="D1264" s="44" t="s">
        <v>17526</v>
      </c>
      <c r="E1264" s="44" t="s">
        <v>3589</v>
      </c>
      <c r="F1264" s="44" t="s">
        <v>3590</v>
      </c>
      <c r="G1264" s="44" t="s">
        <v>14871</v>
      </c>
      <c r="H1264" s="44" t="s">
        <v>14872</v>
      </c>
      <c r="I1264" s="44" t="s">
        <v>14886</v>
      </c>
      <c r="J1264" s="44" t="s">
        <v>14874</v>
      </c>
      <c r="K1264" s="44" t="s">
        <v>14875</v>
      </c>
      <c r="L1264" s="44" t="s">
        <v>9715</v>
      </c>
      <c r="M1264" s="44" t="s">
        <v>14876</v>
      </c>
    </row>
    <row r="1265" customFormat="false" ht="22.35" hidden="false" customHeight="false" outlineLevel="0" collapsed="false">
      <c r="A1265" s="44" t="s">
        <v>17527</v>
      </c>
      <c r="B1265" s="44" t="s">
        <v>9716</v>
      </c>
      <c r="C1265" s="44" t="s">
        <v>9717</v>
      </c>
      <c r="D1265" s="44" t="s">
        <v>17528</v>
      </c>
      <c r="E1265" s="44" t="s">
        <v>17529</v>
      </c>
      <c r="F1265" s="44" t="s">
        <v>17530</v>
      </c>
      <c r="G1265" s="44" t="s">
        <v>14871</v>
      </c>
      <c r="H1265" s="44" t="s">
        <v>14872</v>
      </c>
      <c r="I1265" s="44" t="s">
        <v>14886</v>
      </c>
      <c r="J1265" s="44" t="s">
        <v>14874</v>
      </c>
      <c r="K1265" s="44" t="s">
        <v>14875</v>
      </c>
      <c r="L1265" s="44" t="s">
        <v>9721</v>
      </c>
      <c r="M1265" s="44" t="s">
        <v>14876</v>
      </c>
    </row>
    <row r="1266" customFormat="false" ht="22.35" hidden="false" customHeight="false" outlineLevel="0" collapsed="false">
      <c r="A1266" s="44" t="s">
        <v>17531</v>
      </c>
      <c r="B1266" s="44" t="s">
        <v>9716</v>
      </c>
      <c r="C1266" s="44" t="s">
        <v>9717</v>
      </c>
      <c r="D1266" s="44" t="s">
        <v>17532</v>
      </c>
      <c r="E1266" s="44" t="s">
        <v>1238</v>
      </c>
      <c r="F1266" s="44" t="s">
        <v>1239</v>
      </c>
      <c r="G1266" s="44" t="s">
        <v>14871</v>
      </c>
      <c r="H1266" s="44" t="s">
        <v>14872</v>
      </c>
      <c r="I1266" s="44" t="s">
        <v>14879</v>
      </c>
      <c r="J1266" s="44" t="s">
        <v>14874</v>
      </c>
      <c r="K1266" s="44" t="s">
        <v>14875</v>
      </c>
      <c r="L1266" s="44" t="s">
        <v>9721</v>
      </c>
      <c r="M1266" s="44" t="s">
        <v>14876</v>
      </c>
    </row>
    <row r="1267" customFormat="false" ht="22.35" hidden="false" customHeight="false" outlineLevel="0" collapsed="false">
      <c r="A1267" s="44" t="s">
        <v>17533</v>
      </c>
      <c r="B1267" s="44" t="s">
        <v>9716</v>
      </c>
      <c r="C1267" s="44" t="s">
        <v>9717</v>
      </c>
      <c r="D1267" s="44" t="s">
        <v>16295</v>
      </c>
      <c r="E1267" s="44" t="s">
        <v>934</v>
      </c>
      <c r="F1267" s="44" t="s">
        <v>935</v>
      </c>
      <c r="G1267" s="44" t="s">
        <v>14871</v>
      </c>
      <c r="H1267" s="44" t="s">
        <v>14872</v>
      </c>
      <c r="I1267" s="44" t="s">
        <v>14873</v>
      </c>
      <c r="J1267" s="44" t="s">
        <v>14874</v>
      </c>
      <c r="K1267" s="44" t="s">
        <v>14875</v>
      </c>
      <c r="L1267" s="44" t="s">
        <v>9721</v>
      </c>
      <c r="M1267" s="44" t="s">
        <v>14876</v>
      </c>
    </row>
    <row r="1268" customFormat="false" ht="22.35" hidden="false" customHeight="false" outlineLevel="0" collapsed="false">
      <c r="A1268" s="44" t="s">
        <v>17534</v>
      </c>
      <c r="B1268" s="44" t="s">
        <v>9716</v>
      </c>
      <c r="C1268" s="44" t="s">
        <v>9717</v>
      </c>
      <c r="D1268" s="44" t="s">
        <v>14896</v>
      </c>
      <c r="E1268" s="44" t="s">
        <v>2473</v>
      </c>
      <c r="F1268" s="44" t="s">
        <v>2474</v>
      </c>
      <c r="G1268" s="44" t="s">
        <v>14871</v>
      </c>
      <c r="H1268" s="44" t="s">
        <v>14872</v>
      </c>
      <c r="I1268" s="44" t="s">
        <v>14879</v>
      </c>
      <c r="J1268" s="44" t="s">
        <v>14874</v>
      </c>
      <c r="K1268" s="44" t="s">
        <v>14875</v>
      </c>
      <c r="L1268" s="44" t="s">
        <v>9721</v>
      </c>
      <c r="M1268" s="44" t="s">
        <v>14876</v>
      </c>
    </row>
    <row r="1269" customFormat="false" ht="22.35" hidden="false" customHeight="false" outlineLevel="0" collapsed="false">
      <c r="A1269" s="44" t="s">
        <v>17535</v>
      </c>
      <c r="B1269" s="44" t="s">
        <v>9716</v>
      </c>
      <c r="C1269" s="44" t="s">
        <v>9717</v>
      </c>
      <c r="D1269" s="44" t="s">
        <v>17536</v>
      </c>
      <c r="E1269" s="44" t="s">
        <v>17537</v>
      </c>
      <c r="F1269" s="44" t="s">
        <v>17538</v>
      </c>
      <c r="G1269" s="44" t="s">
        <v>14871</v>
      </c>
      <c r="H1269" s="44" t="s">
        <v>14872</v>
      </c>
      <c r="I1269" s="44" t="s">
        <v>14886</v>
      </c>
      <c r="J1269" s="44" t="s">
        <v>14874</v>
      </c>
      <c r="K1269" s="44" t="s">
        <v>14875</v>
      </c>
      <c r="L1269" s="44" t="s">
        <v>9721</v>
      </c>
      <c r="M1269" s="44" t="s">
        <v>14876</v>
      </c>
    </row>
    <row r="1270" customFormat="false" ht="22.35" hidden="false" customHeight="false" outlineLevel="0" collapsed="false">
      <c r="A1270" s="44" t="s">
        <v>17539</v>
      </c>
      <c r="B1270" s="44" t="s">
        <v>9716</v>
      </c>
      <c r="C1270" s="44" t="s">
        <v>9717</v>
      </c>
      <c r="D1270" s="44" t="s">
        <v>17540</v>
      </c>
      <c r="E1270" s="44" t="s">
        <v>15102</v>
      </c>
      <c r="F1270" s="44" t="s">
        <v>15103</v>
      </c>
      <c r="G1270" s="44" t="s">
        <v>14871</v>
      </c>
      <c r="H1270" s="44" t="s">
        <v>14872</v>
      </c>
      <c r="I1270" s="44" t="s">
        <v>14886</v>
      </c>
      <c r="J1270" s="44" t="s">
        <v>14874</v>
      </c>
      <c r="K1270" s="44" t="s">
        <v>14875</v>
      </c>
      <c r="L1270" s="44" t="s">
        <v>9721</v>
      </c>
      <c r="M1270" s="44" t="s">
        <v>14876</v>
      </c>
    </row>
    <row r="1271" customFormat="false" ht="22.35" hidden="false" customHeight="false" outlineLevel="0" collapsed="false">
      <c r="A1271" s="44" t="s">
        <v>17541</v>
      </c>
      <c r="B1271" s="44" t="s">
        <v>9722</v>
      </c>
      <c r="C1271" s="44" t="s">
        <v>9723</v>
      </c>
      <c r="D1271" s="44" t="s">
        <v>17542</v>
      </c>
      <c r="E1271" s="44"/>
      <c r="F1271" s="44"/>
      <c r="G1271" s="44" t="s">
        <v>14882</v>
      </c>
      <c r="H1271" s="44" t="s">
        <v>14872</v>
      </c>
      <c r="I1271" s="44" t="s">
        <v>14883</v>
      </c>
      <c r="J1271" s="44" t="s">
        <v>14874</v>
      </c>
      <c r="K1271" s="44" t="s">
        <v>14875</v>
      </c>
      <c r="L1271" s="44" t="s">
        <v>9728</v>
      </c>
      <c r="M1271" s="44" t="s">
        <v>14876</v>
      </c>
    </row>
    <row r="1272" customFormat="false" ht="22.35" hidden="false" customHeight="false" outlineLevel="0" collapsed="false">
      <c r="A1272" s="44" t="s">
        <v>17543</v>
      </c>
      <c r="B1272" s="44" t="s">
        <v>9722</v>
      </c>
      <c r="C1272" s="44" t="s">
        <v>9723</v>
      </c>
      <c r="D1272" s="44" t="s">
        <v>17544</v>
      </c>
      <c r="E1272" s="44"/>
      <c r="F1272" s="44"/>
      <c r="G1272" s="44" t="s">
        <v>14882</v>
      </c>
      <c r="H1272" s="44" t="s">
        <v>14872</v>
      </c>
      <c r="I1272" s="44" t="s">
        <v>14883</v>
      </c>
      <c r="J1272" s="44" t="s">
        <v>14874</v>
      </c>
      <c r="K1272" s="44" t="s">
        <v>14875</v>
      </c>
      <c r="L1272" s="44" t="s">
        <v>9728</v>
      </c>
      <c r="M1272" s="44" t="s">
        <v>14876</v>
      </c>
    </row>
    <row r="1273" customFormat="false" ht="22.35" hidden="false" customHeight="false" outlineLevel="0" collapsed="false">
      <c r="A1273" s="44" t="s">
        <v>17545</v>
      </c>
      <c r="B1273" s="44" t="s">
        <v>9722</v>
      </c>
      <c r="C1273" s="44" t="s">
        <v>9723</v>
      </c>
      <c r="D1273" s="44" t="s">
        <v>14974</v>
      </c>
      <c r="E1273" s="44" t="s">
        <v>207</v>
      </c>
      <c r="F1273" s="44" t="s">
        <v>208</v>
      </c>
      <c r="G1273" s="44" t="s">
        <v>14871</v>
      </c>
      <c r="H1273" s="44" t="s">
        <v>14872</v>
      </c>
      <c r="I1273" s="44" t="s">
        <v>14873</v>
      </c>
      <c r="J1273" s="44" t="s">
        <v>14874</v>
      </c>
      <c r="K1273" s="44" t="s">
        <v>14875</v>
      </c>
      <c r="L1273" s="44" t="s">
        <v>9728</v>
      </c>
      <c r="M1273" s="44" t="s">
        <v>14876</v>
      </c>
    </row>
    <row r="1274" customFormat="false" ht="22.35" hidden="false" customHeight="false" outlineLevel="0" collapsed="false">
      <c r="A1274" s="44" t="s">
        <v>17546</v>
      </c>
      <c r="B1274" s="44" t="s">
        <v>9722</v>
      </c>
      <c r="C1274" s="44" t="s">
        <v>9723</v>
      </c>
      <c r="D1274" s="44" t="s">
        <v>17547</v>
      </c>
      <c r="E1274" s="44" t="s">
        <v>276</v>
      </c>
      <c r="F1274" s="44" t="s">
        <v>277</v>
      </c>
      <c r="G1274" s="44" t="s">
        <v>14871</v>
      </c>
      <c r="H1274" s="44" t="s">
        <v>14872</v>
      </c>
      <c r="I1274" s="44" t="s">
        <v>14879</v>
      </c>
      <c r="J1274" s="44" t="s">
        <v>14874</v>
      </c>
      <c r="K1274" s="44" t="s">
        <v>14875</v>
      </c>
      <c r="L1274" s="44" t="s">
        <v>9728</v>
      </c>
      <c r="M1274" s="44" t="s">
        <v>14876</v>
      </c>
    </row>
    <row r="1275" customFormat="false" ht="22.35" hidden="false" customHeight="false" outlineLevel="0" collapsed="false">
      <c r="A1275" s="44" t="s">
        <v>17548</v>
      </c>
      <c r="B1275" s="44" t="s">
        <v>9722</v>
      </c>
      <c r="C1275" s="44" t="s">
        <v>9723</v>
      </c>
      <c r="D1275" s="44" t="s">
        <v>17549</v>
      </c>
      <c r="E1275" s="44" t="s">
        <v>3578</v>
      </c>
      <c r="F1275" s="44" t="s">
        <v>3579</v>
      </c>
      <c r="G1275" s="44" t="s">
        <v>14871</v>
      </c>
      <c r="H1275" s="44" t="s">
        <v>14872</v>
      </c>
      <c r="I1275" s="44" t="s">
        <v>14886</v>
      </c>
      <c r="J1275" s="44" t="s">
        <v>14874</v>
      </c>
      <c r="K1275" s="44" t="s">
        <v>14875</v>
      </c>
      <c r="L1275" s="44" t="s">
        <v>9728</v>
      </c>
      <c r="M1275" s="44" t="s">
        <v>14876</v>
      </c>
    </row>
    <row r="1276" customFormat="false" ht="22.35" hidden="false" customHeight="false" outlineLevel="0" collapsed="false">
      <c r="A1276" s="44" t="s">
        <v>17550</v>
      </c>
      <c r="B1276" s="44" t="s">
        <v>9722</v>
      </c>
      <c r="C1276" s="44" t="s">
        <v>9723</v>
      </c>
      <c r="D1276" s="44" t="s">
        <v>17551</v>
      </c>
      <c r="E1276" s="44"/>
      <c r="F1276" s="44"/>
      <c r="G1276" s="44" t="s">
        <v>14882</v>
      </c>
      <c r="H1276" s="44" t="s">
        <v>14872</v>
      </c>
      <c r="I1276" s="44" t="s">
        <v>14883</v>
      </c>
      <c r="J1276" s="44" t="s">
        <v>14874</v>
      </c>
      <c r="K1276" s="44" t="s">
        <v>14875</v>
      </c>
      <c r="L1276" s="44" t="s">
        <v>9728</v>
      </c>
      <c r="M1276" s="44" t="s">
        <v>14876</v>
      </c>
    </row>
    <row r="1277" customFormat="false" ht="22.35" hidden="false" customHeight="false" outlineLevel="0" collapsed="false">
      <c r="A1277" s="44" t="s">
        <v>17552</v>
      </c>
      <c r="B1277" s="44" t="s">
        <v>9729</v>
      </c>
      <c r="C1277" s="44" t="s">
        <v>9730</v>
      </c>
      <c r="D1277" s="44" t="s">
        <v>17553</v>
      </c>
      <c r="E1277" s="44"/>
      <c r="F1277" s="44"/>
      <c r="G1277" s="44" t="s">
        <v>14882</v>
      </c>
      <c r="H1277" s="44" t="s">
        <v>14872</v>
      </c>
      <c r="I1277" s="44" t="s">
        <v>14883</v>
      </c>
      <c r="J1277" s="44" t="s">
        <v>14874</v>
      </c>
      <c r="K1277" s="44" t="s">
        <v>14875</v>
      </c>
      <c r="L1277" s="44" t="s">
        <v>9735</v>
      </c>
      <c r="M1277" s="44" t="s">
        <v>14876</v>
      </c>
    </row>
    <row r="1278" customFormat="false" ht="22.35" hidden="false" customHeight="false" outlineLevel="0" collapsed="false">
      <c r="A1278" s="44" t="s">
        <v>17554</v>
      </c>
      <c r="B1278" s="44" t="s">
        <v>9729</v>
      </c>
      <c r="C1278" s="44" t="s">
        <v>9730</v>
      </c>
      <c r="D1278" s="44" t="s">
        <v>17555</v>
      </c>
      <c r="E1278" s="44" t="s">
        <v>3578</v>
      </c>
      <c r="F1278" s="44" t="s">
        <v>3579</v>
      </c>
      <c r="G1278" s="44" t="s">
        <v>14871</v>
      </c>
      <c r="H1278" s="44" t="s">
        <v>14872</v>
      </c>
      <c r="I1278" s="44" t="s">
        <v>14886</v>
      </c>
      <c r="J1278" s="44" t="s">
        <v>14874</v>
      </c>
      <c r="K1278" s="44" t="s">
        <v>14875</v>
      </c>
      <c r="L1278" s="44" t="s">
        <v>9735</v>
      </c>
      <c r="M1278" s="44" t="s">
        <v>14876</v>
      </c>
    </row>
    <row r="1279" customFormat="false" ht="22.35" hidden="false" customHeight="false" outlineLevel="0" collapsed="false">
      <c r="A1279" s="44" t="s">
        <v>17556</v>
      </c>
      <c r="B1279" s="44" t="s">
        <v>9729</v>
      </c>
      <c r="C1279" s="44" t="s">
        <v>9730</v>
      </c>
      <c r="D1279" s="44" t="s">
        <v>17557</v>
      </c>
      <c r="E1279" s="44" t="s">
        <v>231</v>
      </c>
      <c r="F1279" s="44" t="s">
        <v>232</v>
      </c>
      <c r="G1279" s="44" t="s">
        <v>14871</v>
      </c>
      <c r="H1279" s="44" t="s">
        <v>14872</v>
      </c>
      <c r="I1279" s="44" t="s">
        <v>14873</v>
      </c>
      <c r="J1279" s="44" t="s">
        <v>14874</v>
      </c>
      <c r="K1279" s="44" t="s">
        <v>14875</v>
      </c>
      <c r="L1279" s="44" t="s">
        <v>9735</v>
      </c>
      <c r="M1279" s="44" t="s">
        <v>14876</v>
      </c>
    </row>
    <row r="1280" customFormat="false" ht="22.35" hidden="false" customHeight="false" outlineLevel="0" collapsed="false">
      <c r="A1280" s="44" t="s">
        <v>17558</v>
      </c>
      <c r="B1280" s="44" t="s">
        <v>9729</v>
      </c>
      <c r="C1280" s="44" t="s">
        <v>9730</v>
      </c>
      <c r="D1280" s="44" t="s">
        <v>17559</v>
      </c>
      <c r="E1280" s="44"/>
      <c r="F1280" s="44"/>
      <c r="G1280" s="44" t="s">
        <v>14882</v>
      </c>
      <c r="H1280" s="44" t="s">
        <v>14872</v>
      </c>
      <c r="I1280" s="44" t="s">
        <v>14883</v>
      </c>
      <c r="J1280" s="44" t="s">
        <v>14874</v>
      </c>
      <c r="K1280" s="44" t="s">
        <v>14875</v>
      </c>
      <c r="L1280" s="44" t="s">
        <v>9735</v>
      </c>
      <c r="M1280" s="44" t="s">
        <v>14876</v>
      </c>
    </row>
    <row r="1281" customFormat="false" ht="22.35" hidden="false" customHeight="false" outlineLevel="0" collapsed="false">
      <c r="A1281" s="44" t="s">
        <v>17560</v>
      </c>
      <c r="B1281" s="44" t="s">
        <v>9729</v>
      </c>
      <c r="C1281" s="44" t="s">
        <v>9730</v>
      </c>
      <c r="D1281" s="44" t="s">
        <v>17561</v>
      </c>
      <c r="E1281" s="44" t="s">
        <v>17562</v>
      </c>
      <c r="F1281" s="44" t="s">
        <v>17563</v>
      </c>
      <c r="G1281" s="44" t="s">
        <v>14871</v>
      </c>
      <c r="H1281" s="44" t="s">
        <v>14872</v>
      </c>
      <c r="I1281" s="44" t="s">
        <v>14886</v>
      </c>
      <c r="J1281" s="44" t="s">
        <v>14874</v>
      </c>
      <c r="K1281" s="44" t="s">
        <v>14875</v>
      </c>
      <c r="L1281" s="44" t="s">
        <v>9735</v>
      </c>
      <c r="M1281" s="44" t="s">
        <v>14876</v>
      </c>
    </row>
    <row r="1282" customFormat="false" ht="22.35" hidden="false" customHeight="false" outlineLevel="0" collapsed="false">
      <c r="A1282" s="44" t="s">
        <v>17564</v>
      </c>
      <c r="B1282" s="44" t="s">
        <v>9736</v>
      </c>
      <c r="C1282" s="44" t="s">
        <v>9737</v>
      </c>
      <c r="D1282" s="44" t="s">
        <v>17565</v>
      </c>
      <c r="E1282" s="44"/>
      <c r="F1282" s="44"/>
      <c r="G1282" s="44" t="s">
        <v>14882</v>
      </c>
      <c r="H1282" s="44" t="s">
        <v>14872</v>
      </c>
      <c r="I1282" s="44" t="s">
        <v>14883</v>
      </c>
      <c r="J1282" s="44" t="s">
        <v>14874</v>
      </c>
      <c r="K1282" s="44" t="s">
        <v>14875</v>
      </c>
      <c r="L1282" s="44" t="s">
        <v>9743</v>
      </c>
      <c r="M1282" s="44" t="s">
        <v>14876</v>
      </c>
    </row>
    <row r="1283" customFormat="false" ht="22.35" hidden="false" customHeight="false" outlineLevel="0" collapsed="false">
      <c r="A1283" s="44" t="s">
        <v>17566</v>
      </c>
      <c r="B1283" s="44" t="s">
        <v>9736</v>
      </c>
      <c r="C1283" s="44" t="s">
        <v>9737</v>
      </c>
      <c r="D1283" s="44" t="s">
        <v>17567</v>
      </c>
      <c r="E1283" s="44" t="s">
        <v>280</v>
      </c>
      <c r="F1283" s="44" t="s">
        <v>281</v>
      </c>
      <c r="G1283" s="44" t="s">
        <v>14871</v>
      </c>
      <c r="H1283" s="44" t="s">
        <v>14872</v>
      </c>
      <c r="I1283" s="44" t="s">
        <v>14873</v>
      </c>
      <c r="J1283" s="44" t="s">
        <v>14874</v>
      </c>
      <c r="K1283" s="44" t="s">
        <v>14875</v>
      </c>
      <c r="L1283" s="44" t="s">
        <v>9743</v>
      </c>
      <c r="M1283" s="44" t="s">
        <v>14876</v>
      </c>
    </row>
    <row r="1284" customFormat="false" ht="22.35" hidden="false" customHeight="false" outlineLevel="0" collapsed="false">
      <c r="A1284" s="44" t="s">
        <v>17568</v>
      </c>
      <c r="B1284" s="44" t="s">
        <v>9736</v>
      </c>
      <c r="C1284" s="44" t="s">
        <v>9737</v>
      </c>
      <c r="D1284" s="44" t="s">
        <v>17569</v>
      </c>
      <c r="E1284" s="44" t="s">
        <v>1741</v>
      </c>
      <c r="F1284" s="44" t="s">
        <v>1742</v>
      </c>
      <c r="G1284" s="44" t="s">
        <v>14871</v>
      </c>
      <c r="H1284" s="44" t="s">
        <v>14872</v>
      </c>
      <c r="I1284" s="44" t="s">
        <v>14873</v>
      </c>
      <c r="J1284" s="44" t="s">
        <v>14874</v>
      </c>
      <c r="K1284" s="44" t="s">
        <v>14875</v>
      </c>
      <c r="L1284" s="44" t="s">
        <v>9743</v>
      </c>
      <c r="M1284" s="44" t="s">
        <v>14876</v>
      </c>
    </row>
    <row r="1285" customFormat="false" ht="22.35" hidden="false" customHeight="false" outlineLevel="0" collapsed="false">
      <c r="A1285" s="44" t="s">
        <v>17570</v>
      </c>
      <c r="B1285" s="44" t="s">
        <v>9736</v>
      </c>
      <c r="C1285" s="44" t="s">
        <v>9737</v>
      </c>
      <c r="D1285" s="44" t="s">
        <v>17571</v>
      </c>
      <c r="E1285" s="44"/>
      <c r="F1285" s="44"/>
      <c r="G1285" s="44" t="s">
        <v>14882</v>
      </c>
      <c r="H1285" s="44" t="s">
        <v>14872</v>
      </c>
      <c r="I1285" s="44" t="s">
        <v>14883</v>
      </c>
      <c r="J1285" s="44" t="s">
        <v>14874</v>
      </c>
      <c r="K1285" s="44" t="s">
        <v>14875</v>
      </c>
      <c r="L1285" s="44" t="s">
        <v>9743</v>
      </c>
      <c r="M1285" s="44" t="s">
        <v>14876</v>
      </c>
    </row>
    <row r="1286" customFormat="false" ht="22.35" hidden="false" customHeight="false" outlineLevel="0" collapsed="false">
      <c r="A1286" s="44" t="s">
        <v>17572</v>
      </c>
      <c r="B1286" s="44" t="s">
        <v>9736</v>
      </c>
      <c r="C1286" s="44" t="s">
        <v>9737</v>
      </c>
      <c r="D1286" s="44" t="s">
        <v>17573</v>
      </c>
      <c r="E1286" s="44"/>
      <c r="F1286" s="44"/>
      <c r="G1286" s="44" t="s">
        <v>14882</v>
      </c>
      <c r="H1286" s="44" t="s">
        <v>14872</v>
      </c>
      <c r="I1286" s="44" t="s">
        <v>14883</v>
      </c>
      <c r="J1286" s="44" t="s">
        <v>14874</v>
      </c>
      <c r="K1286" s="44" t="s">
        <v>14875</v>
      </c>
      <c r="L1286" s="44" t="s">
        <v>9743</v>
      </c>
      <c r="M1286" s="44" t="s">
        <v>14876</v>
      </c>
    </row>
    <row r="1287" customFormat="false" ht="22.35" hidden="false" customHeight="false" outlineLevel="0" collapsed="false">
      <c r="A1287" s="44" t="s">
        <v>17574</v>
      </c>
      <c r="B1287" s="44" t="s">
        <v>9736</v>
      </c>
      <c r="C1287" s="44" t="s">
        <v>9737</v>
      </c>
      <c r="D1287" s="44" t="s">
        <v>17575</v>
      </c>
      <c r="E1287" s="44"/>
      <c r="F1287" s="44"/>
      <c r="G1287" s="44" t="s">
        <v>14882</v>
      </c>
      <c r="H1287" s="44" t="s">
        <v>14872</v>
      </c>
      <c r="I1287" s="44" t="s">
        <v>14883</v>
      </c>
      <c r="J1287" s="44" t="s">
        <v>14874</v>
      </c>
      <c r="K1287" s="44" t="s">
        <v>14875</v>
      </c>
      <c r="L1287" s="44" t="s">
        <v>9743</v>
      </c>
      <c r="M1287" s="44" t="s">
        <v>14876</v>
      </c>
    </row>
    <row r="1288" customFormat="false" ht="22.35" hidden="false" customHeight="false" outlineLevel="0" collapsed="false">
      <c r="A1288" s="44" t="s">
        <v>17576</v>
      </c>
      <c r="B1288" s="44" t="s">
        <v>9744</v>
      </c>
      <c r="C1288" s="44" t="s">
        <v>9745</v>
      </c>
      <c r="D1288" s="44" t="s">
        <v>17577</v>
      </c>
      <c r="E1288" s="44" t="s">
        <v>940</v>
      </c>
      <c r="F1288" s="44" t="s">
        <v>941</v>
      </c>
      <c r="G1288" s="44" t="s">
        <v>14871</v>
      </c>
      <c r="H1288" s="44" t="s">
        <v>14872</v>
      </c>
      <c r="I1288" s="44" t="s">
        <v>14879</v>
      </c>
      <c r="J1288" s="44" t="s">
        <v>14874</v>
      </c>
      <c r="K1288" s="44" t="s">
        <v>14875</v>
      </c>
      <c r="L1288" s="44" t="s">
        <v>9750</v>
      </c>
      <c r="M1288" s="44" t="s">
        <v>14876</v>
      </c>
    </row>
    <row r="1289" customFormat="false" ht="22.35" hidden="false" customHeight="false" outlineLevel="0" collapsed="false">
      <c r="A1289" s="44" t="s">
        <v>17578</v>
      </c>
      <c r="B1289" s="44" t="s">
        <v>9744</v>
      </c>
      <c r="C1289" s="44" t="s">
        <v>9745</v>
      </c>
      <c r="D1289" s="44" t="s">
        <v>17579</v>
      </c>
      <c r="E1289" s="44"/>
      <c r="F1289" s="44"/>
      <c r="G1289" s="44" t="s">
        <v>14882</v>
      </c>
      <c r="H1289" s="44" t="s">
        <v>14872</v>
      </c>
      <c r="I1289" s="44" t="s">
        <v>14883</v>
      </c>
      <c r="J1289" s="44" t="s">
        <v>14874</v>
      </c>
      <c r="K1289" s="44" t="s">
        <v>14875</v>
      </c>
      <c r="L1289" s="44" t="s">
        <v>9750</v>
      </c>
      <c r="M1289" s="44" t="s">
        <v>14876</v>
      </c>
    </row>
    <row r="1290" customFormat="false" ht="22.35" hidden="false" customHeight="false" outlineLevel="0" collapsed="false">
      <c r="A1290" s="44" t="s">
        <v>17580</v>
      </c>
      <c r="B1290" s="44" t="s">
        <v>9744</v>
      </c>
      <c r="C1290" s="44" t="s">
        <v>9745</v>
      </c>
      <c r="D1290" s="44" t="s">
        <v>17581</v>
      </c>
      <c r="E1290" s="44" t="s">
        <v>1238</v>
      </c>
      <c r="F1290" s="44" t="s">
        <v>1239</v>
      </c>
      <c r="G1290" s="44" t="s">
        <v>14871</v>
      </c>
      <c r="H1290" s="44" t="s">
        <v>14872</v>
      </c>
      <c r="I1290" s="44" t="s">
        <v>14879</v>
      </c>
      <c r="J1290" s="44" t="s">
        <v>14874</v>
      </c>
      <c r="K1290" s="44" t="s">
        <v>14875</v>
      </c>
      <c r="L1290" s="44" t="s">
        <v>9750</v>
      </c>
      <c r="M1290" s="44" t="s">
        <v>14876</v>
      </c>
    </row>
    <row r="1291" customFormat="false" ht="22.35" hidden="false" customHeight="false" outlineLevel="0" collapsed="false">
      <c r="A1291" s="44" t="s">
        <v>17582</v>
      </c>
      <c r="B1291" s="44" t="s">
        <v>9744</v>
      </c>
      <c r="C1291" s="44" t="s">
        <v>9745</v>
      </c>
      <c r="D1291" s="44" t="s">
        <v>17583</v>
      </c>
      <c r="E1291" s="44" t="s">
        <v>3583</v>
      </c>
      <c r="F1291" s="44" t="s">
        <v>3584</v>
      </c>
      <c r="G1291" s="44" t="s">
        <v>14871</v>
      </c>
      <c r="H1291" s="44" t="s">
        <v>14872</v>
      </c>
      <c r="I1291" s="44" t="s">
        <v>14886</v>
      </c>
      <c r="J1291" s="44" t="s">
        <v>14874</v>
      </c>
      <c r="K1291" s="44" t="s">
        <v>14875</v>
      </c>
      <c r="L1291" s="44" t="s">
        <v>9750</v>
      </c>
      <c r="M1291" s="44" t="s">
        <v>14876</v>
      </c>
    </row>
    <row r="1292" customFormat="false" ht="22.35" hidden="false" customHeight="false" outlineLevel="0" collapsed="false">
      <c r="A1292" s="44" t="s">
        <v>17584</v>
      </c>
      <c r="B1292" s="44" t="s">
        <v>9744</v>
      </c>
      <c r="C1292" s="44" t="s">
        <v>9745</v>
      </c>
      <c r="D1292" s="44" t="s">
        <v>17585</v>
      </c>
      <c r="E1292" s="44"/>
      <c r="F1292" s="44"/>
      <c r="G1292" s="44" t="s">
        <v>14882</v>
      </c>
      <c r="H1292" s="44" t="s">
        <v>14872</v>
      </c>
      <c r="I1292" s="44" t="s">
        <v>14883</v>
      </c>
      <c r="J1292" s="44" t="s">
        <v>14874</v>
      </c>
      <c r="K1292" s="44" t="s">
        <v>14875</v>
      </c>
      <c r="L1292" s="44" t="s">
        <v>9750</v>
      </c>
      <c r="M1292" s="44" t="s">
        <v>14876</v>
      </c>
    </row>
    <row r="1293" customFormat="false" ht="22.35" hidden="false" customHeight="false" outlineLevel="0" collapsed="false">
      <c r="A1293" s="44" t="s">
        <v>17586</v>
      </c>
      <c r="B1293" s="44" t="s">
        <v>9751</v>
      </c>
      <c r="C1293" s="44" t="s">
        <v>9752</v>
      </c>
      <c r="D1293" s="44" t="s">
        <v>17587</v>
      </c>
      <c r="E1293" s="44"/>
      <c r="F1293" s="44"/>
      <c r="G1293" s="44" t="s">
        <v>14882</v>
      </c>
      <c r="H1293" s="44" t="s">
        <v>14872</v>
      </c>
      <c r="I1293" s="44" t="s">
        <v>14883</v>
      </c>
      <c r="J1293" s="44" t="s">
        <v>14874</v>
      </c>
      <c r="K1293" s="44" t="s">
        <v>14875</v>
      </c>
      <c r="L1293" s="44" t="s">
        <v>9756</v>
      </c>
      <c r="M1293" s="44" t="s">
        <v>14876</v>
      </c>
    </row>
    <row r="1294" customFormat="false" ht="22.35" hidden="false" customHeight="false" outlineLevel="0" collapsed="false">
      <c r="A1294" s="44" t="s">
        <v>17588</v>
      </c>
      <c r="B1294" s="44" t="s">
        <v>9751</v>
      </c>
      <c r="C1294" s="44" t="s">
        <v>9752</v>
      </c>
      <c r="D1294" s="44" t="s">
        <v>17589</v>
      </c>
      <c r="E1294" s="44"/>
      <c r="F1294" s="44"/>
      <c r="G1294" s="44" t="s">
        <v>14882</v>
      </c>
      <c r="H1294" s="44" t="s">
        <v>14872</v>
      </c>
      <c r="I1294" s="44" t="s">
        <v>14883</v>
      </c>
      <c r="J1294" s="44" t="s">
        <v>14874</v>
      </c>
      <c r="K1294" s="44" t="s">
        <v>14875</v>
      </c>
      <c r="L1294" s="44" t="s">
        <v>9756</v>
      </c>
      <c r="M1294" s="44" t="s">
        <v>14876</v>
      </c>
    </row>
    <row r="1295" customFormat="false" ht="22.35" hidden="false" customHeight="false" outlineLevel="0" collapsed="false">
      <c r="A1295" s="44" t="s">
        <v>17590</v>
      </c>
      <c r="B1295" s="44" t="s">
        <v>9751</v>
      </c>
      <c r="C1295" s="44" t="s">
        <v>9752</v>
      </c>
      <c r="D1295" s="44" t="s">
        <v>17591</v>
      </c>
      <c r="E1295" s="44" t="s">
        <v>925</v>
      </c>
      <c r="F1295" s="44" t="s">
        <v>926</v>
      </c>
      <c r="G1295" s="44" t="s">
        <v>14871</v>
      </c>
      <c r="H1295" s="44" t="s">
        <v>14872</v>
      </c>
      <c r="I1295" s="44" t="s">
        <v>14873</v>
      </c>
      <c r="J1295" s="44" t="s">
        <v>14874</v>
      </c>
      <c r="K1295" s="44" t="s">
        <v>14875</v>
      </c>
      <c r="L1295" s="44" t="s">
        <v>9756</v>
      </c>
      <c r="M1295" s="44" t="s">
        <v>14876</v>
      </c>
    </row>
    <row r="1296" customFormat="false" ht="22.35" hidden="false" customHeight="false" outlineLevel="0" collapsed="false">
      <c r="A1296" s="44" t="s">
        <v>17592</v>
      </c>
      <c r="B1296" s="44" t="s">
        <v>9751</v>
      </c>
      <c r="C1296" s="44" t="s">
        <v>9752</v>
      </c>
      <c r="D1296" s="44" t="s">
        <v>17593</v>
      </c>
      <c r="E1296" s="44" t="s">
        <v>4052</v>
      </c>
      <c r="F1296" s="44" t="s">
        <v>4053</v>
      </c>
      <c r="G1296" s="44" t="s">
        <v>14871</v>
      </c>
      <c r="H1296" s="44" t="s">
        <v>14872</v>
      </c>
      <c r="I1296" s="44" t="s">
        <v>14873</v>
      </c>
      <c r="J1296" s="44" t="s">
        <v>14874</v>
      </c>
      <c r="K1296" s="44" t="s">
        <v>14875</v>
      </c>
      <c r="L1296" s="44" t="s">
        <v>9756</v>
      </c>
      <c r="M1296" s="44" t="s">
        <v>14876</v>
      </c>
    </row>
    <row r="1297" customFormat="false" ht="22.35" hidden="false" customHeight="false" outlineLevel="0" collapsed="false">
      <c r="A1297" s="44" t="s">
        <v>17594</v>
      </c>
      <c r="B1297" s="44" t="s">
        <v>9751</v>
      </c>
      <c r="C1297" s="44" t="s">
        <v>9752</v>
      </c>
      <c r="D1297" s="44" t="s">
        <v>17595</v>
      </c>
      <c r="E1297" s="44" t="s">
        <v>15511</v>
      </c>
      <c r="F1297" s="44" t="s">
        <v>15512</v>
      </c>
      <c r="G1297" s="44" t="s">
        <v>14871</v>
      </c>
      <c r="H1297" s="44" t="s">
        <v>14872</v>
      </c>
      <c r="I1297" s="44" t="s">
        <v>14886</v>
      </c>
      <c r="J1297" s="44" t="s">
        <v>14874</v>
      </c>
      <c r="K1297" s="44" t="s">
        <v>14875</v>
      </c>
      <c r="L1297" s="44" t="s">
        <v>9756</v>
      </c>
      <c r="M1297" s="44" t="s">
        <v>14876</v>
      </c>
    </row>
    <row r="1298" customFormat="false" ht="22.35" hidden="false" customHeight="false" outlineLevel="0" collapsed="false">
      <c r="A1298" s="44" t="s">
        <v>17596</v>
      </c>
      <c r="B1298" s="44" t="s">
        <v>9751</v>
      </c>
      <c r="C1298" s="44" t="s">
        <v>9752</v>
      </c>
      <c r="D1298" s="44" t="s">
        <v>17597</v>
      </c>
      <c r="E1298" s="44" t="s">
        <v>925</v>
      </c>
      <c r="F1298" s="44" t="s">
        <v>926</v>
      </c>
      <c r="G1298" s="44" t="s">
        <v>14871</v>
      </c>
      <c r="H1298" s="44" t="s">
        <v>14872</v>
      </c>
      <c r="I1298" s="44" t="s">
        <v>14873</v>
      </c>
      <c r="J1298" s="44" t="s">
        <v>14874</v>
      </c>
      <c r="K1298" s="44" t="s">
        <v>14875</v>
      </c>
      <c r="L1298" s="44" t="s">
        <v>9756</v>
      </c>
      <c r="M1298" s="44" t="s">
        <v>14876</v>
      </c>
    </row>
    <row r="1299" customFormat="false" ht="22.35" hidden="false" customHeight="false" outlineLevel="0" collapsed="false">
      <c r="A1299" s="44" t="s">
        <v>17598</v>
      </c>
      <c r="B1299" s="44" t="s">
        <v>9757</v>
      </c>
      <c r="C1299" s="44" t="s">
        <v>9758</v>
      </c>
      <c r="D1299" s="44" t="s">
        <v>17599</v>
      </c>
      <c r="E1299" s="44" t="s">
        <v>17600</v>
      </c>
      <c r="F1299" s="44" t="s">
        <v>17601</v>
      </c>
      <c r="G1299" s="44" t="s">
        <v>14871</v>
      </c>
      <c r="H1299" s="44" t="s">
        <v>14872</v>
      </c>
      <c r="I1299" s="44" t="s">
        <v>14873</v>
      </c>
      <c r="J1299" s="44" t="s">
        <v>14874</v>
      </c>
      <c r="K1299" s="44" t="s">
        <v>14875</v>
      </c>
      <c r="L1299" s="44" t="s">
        <v>9763</v>
      </c>
      <c r="M1299" s="44" t="s">
        <v>14876</v>
      </c>
    </row>
    <row r="1300" customFormat="false" ht="22.35" hidden="false" customHeight="false" outlineLevel="0" collapsed="false">
      <c r="A1300" s="44" t="s">
        <v>17602</v>
      </c>
      <c r="B1300" s="44" t="s">
        <v>9757</v>
      </c>
      <c r="C1300" s="44" t="s">
        <v>9758</v>
      </c>
      <c r="D1300" s="44" t="s">
        <v>17603</v>
      </c>
      <c r="E1300" s="44" t="s">
        <v>994</v>
      </c>
      <c r="F1300" s="44" t="s">
        <v>995</v>
      </c>
      <c r="G1300" s="44" t="s">
        <v>14871</v>
      </c>
      <c r="H1300" s="44" t="s">
        <v>14872</v>
      </c>
      <c r="I1300" s="44" t="s">
        <v>14873</v>
      </c>
      <c r="J1300" s="44" t="s">
        <v>14874</v>
      </c>
      <c r="K1300" s="44" t="s">
        <v>14875</v>
      </c>
      <c r="L1300" s="44" t="s">
        <v>9763</v>
      </c>
      <c r="M1300" s="44" t="s">
        <v>14876</v>
      </c>
    </row>
    <row r="1301" customFormat="false" ht="22.35" hidden="false" customHeight="false" outlineLevel="0" collapsed="false">
      <c r="A1301" s="44" t="s">
        <v>17604</v>
      </c>
      <c r="B1301" s="44" t="s">
        <v>9757</v>
      </c>
      <c r="C1301" s="44" t="s">
        <v>9758</v>
      </c>
      <c r="D1301" s="44" t="s">
        <v>17605</v>
      </c>
      <c r="E1301" s="44" t="s">
        <v>231</v>
      </c>
      <c r="F1301" s="44" t="s">
        <v>232</v>
      </c>
      <c r="G1301" s="44" t="s">
        <v>14871</v>
      </c>
      <c r="H1301" s="44" t="s">
        <v>14872</v>
      </c>
      <c r="I1301" s="44" t="s">
        <v>14873</v>
      </c>
      <c r="J1301" s="44" t="s">
        <v>14874</v>
      </c>
      <c r="K1301" s="44" t="s">
        <v>14875</v>
      </c>
      <c r="L1301" s="44" t="s">
        <v>9763</v>
      </c>
      <c r="M1301" s="44" t="s">
        <v>14876</v>
      </c>
    </row>
    <row r="1302" customFormat="false" ht="22.35" hidden="false" customHeight="false" outlineLevel="0" collapsed="false">
      <c r="A1302" s="44" t="s">
        <v>17606</v>
      </c>
      <c r="B1302" s="44" t="s">
        <v>9757</v>
      </c>
      <c r="C1302" s="44" t="s">
        <v>9758</v>
      </c>
      <c r="D1302" s="44" t="s">
        <v>17607</v>
      </c>
      <c r="E1302" s="44"/>
      <c r="F1302" s="44"/>
      <c r="G1302" s="44" t="s">
        <v>14882</v>
      </c>
      <c r="H1302" s="44" t="s">
        <v>14872</v>
      </c>
      <c r="I1302" s="44" t="s">
        <v>14883</v>
      </c>
      <c r="J1302" s="44" t="s">
        <v>14874</v>
      </c>
      <c r="K1302" s="44" t="s">
        <v>14875</v>
      </c>
      <c r="L1302" s="44" t="s">
        <v>9763</v>
      </c>
      <c r="M1302" s="44" t="s">
        <v>14876</v>
      </c>
    </row>
    <row r="1303" customFormat="false" ht="22.35" hidden="false" customHeight="false" outlineLevel="0" collapsed="false">
      <c r="A1303" s="44" t="s">
        <v>17608</v>
      </c>
      <c r="B1303" s="44" t="s">
        <v>9757</v>
      </c>
      <c r="C1303" s="44" t="s">
        <v>9758</v>
      </c>
      <c r="D1303" s="44" t="s">
        <v>17609</v>
      </c>
      <c r="E1303" s="44" t="s">
        <v>231</v>
      </c>
      <c r="F1303" s="44" t="s">
        <v>232</v>
      </c>
      <c r="G1303" s="44" t="s">
        <v>14871</v>
      </c>
      <c r="H1303" s="44" t="s">
        <v>14872</v>
      </c>
      <c r="I1303" s="44" t="s">
        <v>14873</v>
      </c>
      <c r="J1303" s="44" t="s">
        <v>14874</v>
      </c>
      <c r="K1303" s="44" t="s">
        <v>14875</v>
      </c>
      <c r="L1303" s="44" t="s">
        <v>9763</v>
      </c>
      <c r="M1303" s="44" t="s">
        <v>14876</v>
      </c>
    </row>
    <row r="1304" customFormat="false" ht="22.35" hidden="false" customHeight="false" outlineLevel="0" collapsed="false">
      <c r="A1304" s="44" t="s">
        <v>17610</v>
      </c>
      <c r="B1304" s="44" t="s">
        <v>9764</v>
      </c>
      <c r="C1304" s="44" t="s">
        <v>9765</v>
      </c>
      <c r="D1304" s="44" t="s">
        <v>17611</v>
      </c>
      <c r="E1304" s="44"/>
      <c r="F1304" s="44"/>
      <c r="G1304" s="44" t="s">
        <v>14882</v>
      </c>
      <c r="H1304" s="44" t="s">
        <v>14872</v>
      </c>
      <c r="I1304" s="44" t="s">
        <v>14883</v>
      </c>
      <c r="J1304" s="44" t="s">
        <v>14874</v>
      </c>
      <c r="K1304" s="44" t="s">
        <v>14875</v>
      </c>
      <c r="L1304" s="44" t="s">
        <v>9769</v>
      </c>
      <c r="M1304" s="44" t="s">
        <v>14876</v>
      </c>
    </row>
    <row r="1305" customFormat="false" ht="22.35" hidden="false" customHeight="false" outlineLevel="0" collapsed="false">
      <c r="A1305" s="44" t="s">
        <v>17612</v>
      </c>
      <c r="B1305" s="44" t="s">
        <v>9764</v>
      </c>
      <c r="C1305" s="44" t="s">
        <v>9765</v>
      </c>
      <c r="D1305" s="44" t="s">
        <v>17613</v>
      </c>
      <c r="E1305" s="44" t="s">
        <v>17614</v>
      </c>
      <c r="F1305" s="44" t="s">
        <v>17615</v>
      </c>
      <c r="G1305" s="44" t="s">
        <v>14871</v>
      </c>
      <c r="H1305" s="44" t="s">
        <v>14872</v>
      </c>
      <c r="I1305" s="44" t="s">
        <v>14873</v>
      </c>
      <c r="J1305" s="44" t="s">
        <v>14874</v>
      </c>
      <c r="K1305" s="44" t="s">
        <v>14875</v>
      </c>
      <c r="L1305" s="44" t="s">
        <v>9769</v>
      </c>
      <c r="M1305" s="44" t="s">
        <v>14876</v>
      </c>
    </row>
    <row r="1306" customFormat="false" ht="22.35" hidden="false" customHeight="false" outlineLevel="0" collapsed="false">
      <c r="A1306" s="44" t="s">
        <v>17616</v>
      </c>
      <c r="B1306" s="44" t="s">
        <v>9764</v>
      </c>
      <c r="C1306" s="44" t="s">
        <v>9765</v>
      </c>
      <c r="D1306" s="44" t="s">
        <v>17617</v>
      </c>
      <c r="E1306" s="44"/>
      <c r="F1306" s="44"/>
      <c r="G1306" s="44" t="s">
        <v>14882</v>
      </c>
      <c r="H1306" s="44" t="s">
        <v>14872</v>
      </c>
      <c r="I1306" s="44" t="s">
        <v>14883</v>
      </c>
      <c r="J1306" s="44" t="s">
        <v>14874</v>
      </c>
      <c r="K1306" s="44" t="s">
        <v>14875</v>
      </c>
      <c r="L1306" s="44" t="s">
        <v>9769</v>
      </c>
      <c r="M1306" s="44" t="s">
        <v>14876</v>
      </c>
    </row>
    <row r="1307" customFormat="false" ht="22.35" hidden="false" customHeight="false" outlineLevel="0" collapsed="false">
      <c r="A1307" s="44" t="s">
        <v>17618</v>
      </c>
      <c r="B1307" s="44" t="s">
        <v>9764</v>
      </c>
      <c r="C1307" s="44" t="s">
        <v>9765</v>
      </c>
      <c r="D1307" s="44" t="s">
        <v>15491</v>
      </c>
      <c r="E1307" s="44"/>
      <c r="F1307" s="44"/>
      <c r="G1307" s="44" t="s">
        <v>14882</v>
      </c>
      <c r="H1307" s="44" t="s">
        <v>14872</v>
      </c>
      <c r="I1307" s="44" t="s">
        <v>14883</v>
      </c>
      <c r="J1307" s="44" t="s">
        <v>14874</v>
      </c>
      <c r="K1307" s="44" t="s">
        <v>14875</v>
      </c>
      <c r="L1307" s="44" t="s">
        <v>9769</v>
      </c>
      <c r="M1307" s="44" t="s">
        <v>14876</v>
      </c>
    </row>
    <row r="1308" customFormat="false" ht="22.35" hidden="false" customHeight="false" outlineLevel="0" collapsed="false">
      <c r="A1308" s="44" t="s">
        <v>17619</v>
      </c>
      <c r="B1308" s="44" t="s">
        <v>9764</v>
      </c>
      <c r="C1308" s="44" t="s">
        <v>9765</v>
      </c>
      <c r="D1308" s="44" t="s">
        <v>17620</v>
      </c>
      <c r="E1308" s="44"/>
      <c r="F1308" s="44"/>
      <c r="G1308" s="44" t="s">
        <v>14882</v>
      </c>
      <c r="H1308" s="44" t="s">
        <v>14872</v>
      </c>
      <c r="I1308" s="44" t="s">
        <v>14883</v>
      </c>
      <c r="J1308" s="44" t="s">
        <v>14874</v>
      </c>
      <c r="K1308" s="44" t="s">
        <v>14875</v>
      </c>
      <c r="L1308" s="44" t="s">
        <v>9769</v>
      </c>
      <c r="M1308" s="44" t="s">
        <v>14876</v>
      </c>
    </row>
    <row r="1309" customFormat="false" ht="22.35" hidden="false" customHeight="false" outlineLevel="0" collapsed="false">
      <c r="A1309" s="44" t="s">
        <v>17621</v>
      </c>
      <c r="B1309" s="44" t="s">
        <v>9770</v>
      </c>
      <c r="C1309" s="44" t="s">
        <v>9771</v>
      </c>
      <c r="D1309" s="44" t="s">
        <v>17622</v>
      </c>
      <c r="E1309" s="44" t="s">
        <v>2171</v>
      </c>
      <c r="F1309" s="44" t="s">
        <v>2172</v>
      </c>
      <c r="G1309" s="44" t="s">
        <v>14871</v>
      </c>
      <c r="H1309" s="44" t="s">
        <v>14872</v>
      </c>
      <c r="I1309" s="44" t="s">
        <v>14873</v>
      </c>
      <c r="J1309" s="44" t="s">
        <v>14874</v>
      </c>
      <c r="K1309" s="44" t="s">
        <v>14875</v>
      </c>
      <c r="L1309" s="44" t="s">
        <v>9776</v>
      </c>
      <c r="M1309" s="44" t="s">
        <v>14876</v>
      </c>
    </row>
    <row r="1310" customFormat="false" ht="22.35" hidden="false" customHeight="false" outlineLevel="0" collapsed="false">
      <c r="A1310" s="44" t="s">
        <v>17623</v>
      </c>
      <c r="B1310" s="44" t="s">
        <v>9770</v>
      </c>
      <c r="C1310" s="44" t="s">
        <v>9771</v>
      </c>
      <c r="D1310" s="44" t="s">
        <v>17624</v>
      </c>
      <c r="E1310" s="44" t="s">
        <v>3164</v>
      </c>
      <c r="F1310" s="44" t="s">
        <v>3165</v>
      </c>
      <c r="G1310" s="44" t="s">
        <v>14871</v>
      </c>
      <c r="H1310" s="44" t="s">
        <v>14872</v>
      </c>
      <c r="I1310" s="44" t="s">
        <v>14879</v>
      </c>
      <c r="J1310" s="44" t="s">
        <v>14874</v>
      </c>
      <c r="K1310" s="44" t="s">
        <v>14875</v>
      </c>
      <c r="L1310" s="44" t="s">
        <v>9776</v>
      </c>
      <c r="M1310" s="44" t="s">
        <v>14876</v>
      </c>
    </row>
    <row r="1311" customFormat="false" ht="22.35" hidden="false" customHeight="false" outlineLevel="0" collapsed="false">
      <c r="A1311" s="44" t="s">
        <v>17625</v>
      </c>
      <c r="B1311" s="44" t="s">
        <v>9770</v>
      </c>
      <c r="C1311" s="44" t="s">
        <v>9771</v>
      </c>
      <c r="D1311" s="44" t="s">
        <v>17626</v>
      </c>
      <c r="E1311" s="44" t="s">
        <v>4214</v>
      </c>
      <c r="F1311" s="44" t="s">
        <v>4215</v>
      </c>
      <c r="G1311" s="44" t="s">
        <v>14871</v>
      </c>
      <c r="H1311" s="44" t="s">
        <v>14872</v>
      </c>
      <c r="I1311" s="44" t="s">
        <v>14886</v>
      </c>
      <c r="J1311" s="44" t="s">
        <v>14874</v>
      </c>
      <c r="K1311" s="44" t="s">
        <v>14875</v>
      </c>
      <c r="L1311" s="44" t="s">
        <v>9776</v>
      </c>
      <c r="M1311" s="44" t="s">
        <v>14876</v>
      </c>
    </row>
    <row r="1312" customFormat="false" ht="22.35" hidden="false" customHeight="false" outlineLevel="0" collapsed="false">
      <c r="A1312" s="44" t="s">
        <v>17627</v>
      </c>
      <c r="B1312" s="44" t="s">
        <v>9770</v>
      </c>
      <c r="C1312" s="44" t="s">
        <v>9771</v>
      </c>
      <c r="D1312" s="44" t="s">
        <v>17628</v>
      </c>
      <c r="E1312" s="44" t="s">
        <v>17629</v>
      </c>
      <c r="F1312" s="44" t="s">
        <v>17630</v>
      </c>
      <c r="G1312" s="44" t="s">
        <v>14871</v>
      </c>
      <c r="H1312" s="44" t="s">
        <v>14872</v>
      </c>
      <c r="I1312" s="44" t="s">
        <v>14873</v>
      </c>
      <c r="J1312" s="44" t="s">
        <v>14874</v>
      </c>
      <c r="K1312" s="44" t="s">
        <v>14875</v>
      </c>
      <c r="L1312" s="44" t="s">
        <v>9776</v>
      </c>
      <c r="M1312" s="44" t="s">
        <v>14876</v>
      </c>
    </row>
    <row r="1313" customFormat="false" ht="22.35" hidden="false" customHeight="false" outlineLevel="0" collapsed="false">
      <c r="A1313" s="44" t="s">
        <v>17631</v>
      </c>
      <c r="B1313" s="44" t="s">
        <v>9770</v>
      </c>
      <c r="C1313" s="44" t="s">
        <v>9771</v>
      </c>
      <c r="D1313" s="44" t="s">
        <v>17632</v>
      </c>
      <c r="E1313" s="44"/>
      <c r="F1313" s="44"/>
      <c r="G1313" s="44" t="s">
        <v>14882</v>
      </c>
      <c r="H1313" s="44" t="s">
        <v>14872</v>
      </c>
      <c r="I1313" s="44" t="s">
        <v>14883</v>
      </c>
      <c r="J1313" s="44" t="s">
        <v>14874</v>
      </c>
      <c r="K1313" s="44" t="s">
        <v>14875</v>
      </c>
      <c r="L1313" s="44" t="s">
        <v>9776</v>
      </c>
      <c r="M1313" s="44" t="s">
        <v>14876</v>
      </c>
    </row>
    <row r="1314" customFormat="false" ht="22.35" hidden="false" customHeight="false" outlineLevel="0" collapsed="false">
      <c r="A1314" s="44" t="s">
        <v>17633</v>
      </c>
      <c r="B1314" s="44" t="s">
        <v>9777</v>
      </c>
      <c r="C1314" s="44" t="s">
        <v>9778</v>
      </c>
      <c r="D1314" s="44" t="s">
        <v>17634</v>
      </c>
      <c r="E1314" s="44" t="s">
        <v>17635</v>
      </c>
      <c r="F1314" s="44" t="s">
        <v>17636</v>
      </c>
      <c r="G1314" s="44" t="s">
        <v>14871</v>
      </c>
      <c r="H1314" s="44" t="s">
        <v>14872</v>
      </c>
      <c r="I1314" s="44" t="s">
        <v>14873</v>
      </c>
      <c r="J1314" s="44" t="s">
        <v>14874</v>
      </c>
      <c r="K1314" s="44" t="s">
        <v>14875</v>
      </c>
      <c r="L1314" s="44" t="s">
        <v>9783</v>
      </c>
      <c r="M1314" s="44" t="s">
        <v>14876</v>
      </c>
    </row>
    <row r="1315" customFormat="false" ht="22.35" hidden="false" customHeight="false" outlineLevel="0" collapsed="false">
      <c r="A1315" s="44" t="s">
        <v>17637</v>
      </c>
      <c r="B1315" s="44" t="s">
        <v>9777</v>
      </c>
      <c r="C1315" s="44" t="s">
        <v>9778</v>
      </c>
      <c r="D1315" s="44" t="s">
        <v>17638</v>
      </c>
      <c r="E1315" s="44"/>
      <c r="F1315" s="44"/>
      <c r="G1315" s="44" t="s">
        <v>14882</v>
      </c>
      <c r="H1315" s="44" t="s">
        <v>14872</v>
      </c>
      <c r="I1315" s="44" t="s">
        <v>14883</v>
      </c>
      <c r="J1315" s="44" t="s">
        <v>14874</v>
      </c>
      <c r="K1315" s="44" t="s">
        <v>14875</v>
      </c>
      <c r="L1315" s="44" t="s">
        <v>9783</v>
      </c>
      <c r="M1315" s="44" t="s">
        <v>14876</v>
      </c>
    </row>
    <row r="1316" customFormat="false" ht="22.35" hidden="false" customHeight="false" outlineLevel="0" collapsed="false">
      <c r="A1316" s="44" t="s">
        <v>17639</v>
      </c>
      <c r="B1316" s="44" t="s">
        <v>9777</v>
      </c>
      <c r="C1316" s="44" t="s">
        <v>9778</v>
      </c>
      <c r="D1316" s="44" t="s">
        <v>14976</v>
      </c>
      <c r="E1316" s="44" t="s">
        <v>231</v>
      </c>
      <c r="F1316" s="44" t="s">
        <v>232</v>
      </c>
      <c r="G1316" s="44" t="s">
        <v>14871</v>
      </c>
      <c r="H1316" s="44" t="s">
        <v>14872</v>
      </c>
      <c r="I1316" s="44" t="s">
        <v>14873</v>
      </c>
      <c r="J1316" s="44" t="s">
        <v>14874</v>
      </c>
      <c r="K1316" s="44" t="s">
        <v>14875</v>
      </c>
      <c r="L1316" s="44" t="s">
        <v>9783</v>
      </c>
      <c r="M1316" s="44" t="s">
        <v>14876</v>
      </c>
    </row>
    <row r="1317" customFormat="false" ht="22.35" hidden="false" customHeight="false" outlineLevel="0" collapsed="false">
      <c r="A1317" s="44" t="s">
        <v>17640</v>
      </c>
      <c r="B1317" s="44" t="s">
        <v>9777</v>
      </c>
      <c r="C1317" s="44" t="s">
        <v>9778</v>
      </c>
      <c r="D1317" s="44" t="s">
        <v>17641</v>
      </c>
      <c r="E1317" s="44" t="s">
        <v>1793</v>
      </c>
      <c r="F1317" s="44" t="s">
        <v>1794</v>
      </c>
      <c r="G1317" s="44" t="s">
        <v>14871</v>
      </c>
      <c r="H1317" s="44" t="s">
        <v>14872</v>
      </c>
      <c r="I1317" s="44" t="s">
        <v>14873</v>
      </c>
      <c r="J1317" s="44" t="s">
        <v>14874</v>
      </c>
      <c r="K1317" s="44" t="s">
        <v>14875</v>
      </c>
      <c r="L1317" s="44" t="s">
        <v>9783</v>
      </c>
      <c r="M1317" s="44" t="s">
        <v>14876</v>
      </c>
    </row>
    <row r="1318" customFormat="false" ht="22.35" hidden="false" customHeight="false" outlineLevel="0" collapsed="false">
      <c r="A1318" s="44" t="s">
        <v>17642</v>
      </c>
      <c r="B1318" s="44" t="s">
        <v>9777</v>
      </c>
      <c r="C1318" s="44" t="s">
        <v>9778</v>
      </c>
      <c r="D1318" s="44" t="s">
        <v>17643</v>
      </c>
      <c r="E1318" s="44" t="s">
        <v>1233</v>
      </c>
      <c r="F1318" s="44" t="s">
        <v>1234</v>
      </c>
      <c r="G1318" s="44" t="s">
        <v>14871</v>
      </c>
      <c r="H1318" s="44" t="s">
        <v>14872</v>
      </c>
      <c r="I1318" s="44" t="s">
        <v>14873</v>
      </c>
      <c r="J1318" s="44" t="s">
        <v>14874</v>
      </c>
      <c r="K1318" s="44" t="s">
        <v>14875</v>
      </c>
      <c r="L1318" s="44" t="s">
        <v>9783</v>
      </c>
      <c r="M1318" s="44" t="s">
        <v>14876</v>
      </c>
    </row>
    <row r="1319" customFormat="false" ht="22.35" hidden="false" customHeight="false" outlineLevel="0" collapsed="false">
      <c r="A1319" s="44" t="s">
        <v>17644</v>
      </c>
      <c r="B1319" s="44" t="s">
        <v>9777</v>
      </c>
      <c r="C1319" s="44" t="s">
        <v>9778</v>
      </c>
      <c r="D1319" s="44" t="s">
        <v>17645</v>
      </c>
      <c r="E1319" s="44" t="s">
        <v>200</v>
      </c>
      <c r="F1319" s="44" t="s">
        <v>201</v>
      </c>
      <c r="G1319" s="44" t="s">
        <v>14871</v>
      </c>
      <c r="H1319" s="44" t="s">
        <v>14872</v>
      </c>
      <c r="I1319" s="44" t="s">
        <v>14886</v>
      </c>
      <c r="J1319" s="44" t="s">
        <v>14874</v>
      </c>
      <c r="K1319" s="44" t="s">
        <v>14875</v>
      </c>
      <c r="L1319" s="44" t="s">
        <v>9783</v>
      </c>
      <c r="M1319" s="44" t="s">
        <v>14876</v>
      </c>
    </row>
    <row r="1320" customFormat="false" ht="22.35" hidden="false" customHeight="false" outlineLevel="0" collapsed="false">
      <c r="A1320" s="44" t="s">
        <v>17646</v>
      </c>
      <c r="B1320" s="44" t="s">
        <v>9784</v>
      </c>
      <c r="C1320" s="44" t="s">
        <v>9785</v>
      </c>
      <c r="D1320" s="44" t="s">
        <v>17647</v>
      </c>
      <c r="E1320" s="44" t="s">
        <v>15550</v>
      </c>
      <c r="F1320" s="44" t="s">
        <v>15551</v>
      </c>
      <c r="G1320" s="44" t="s">
        <v>14871</v>
      </c>
      <c r="H1320" s="44" t="s">
        <v>14872</v>
      </c>
      <c r="I1320" s="44" t="s">
        <v>14873</v>
      </c>
      <c r="J1320" s="44" t="s">
        <v>14874</v>
      </c>
      <c r="K1320" s="44" t="s">
        <v>14875</v>
      </c>
      <c r="L1320" s="44" t="s">
        <v>9789</v>
      </c>
      <c r="M1320" s="44" t="s">
        <v>14876</v>
      </c>
    </row>
    <row r="1321" customFormat="false" ht="22.35" hidden="false" customHeight="false" outlineLevel="0" collapsed="false">
      <c r="A1321" s="44" t="s">
        <v>17648</v>
      </c>
      <c r="B1321" s="44" t="s">
        <v>9784</v>
      </c>
      <c r="C1321" s="44" t="s">
        <v>9785</v>
      </c>
      <c r="D1321" s="44" t="s">
        <v>17649</v>
      </c>
      <c r="E1321" s="44" t="s">
        <v>200</v>
      </c>
      <c r="F1321" s="44" t="s">
        <v>201</v>
      </c>
      <c r="G1321" s="44" t="s">
        <v>14871</v>
      </c>
      <c r="H1321" s="44" t="s">
        <v>14872</v>
      </c>
      <c r="I1321" s="44" t="s">
        <v>14886</v>
      </c>
      <c r="J1321" s="44" t="s">
        <v>14874</v>
      </c>
      <c r="K1321" s="44" t="s">
        <v>14875</v>
      </c>
      <c r="L1321" s="44" t="s">
        <v>9789</v>
      </c>
      <c r="M1321" s="44" t="s">
        <v>14876</v>
      </c>
    </row>
    <row r="1322" customFormat="false" ht="22.35" hidden="false" customHeight="false" outlineLevel="0" collapsed="false">
      <c r="A1322" s="44" t="s">
        <v>17650</v>
      </c>
      <c r="B1322" s="44" t="s">
        <v>9784</v>
      </c>
      <c r="C1322" s="44" t="s">
        <v>9785</v>
      </c>
      <c r="D1322" s="44" t="s">
        <v>16329</v>
      </c>
      <c r="E1322" s="44" t="s">
        <v>594</v>
      </c>
      <c r="F1322" s="44" t="s">
        <v>595</v>
      </c>
      <c r="G1322" s="44" t="s">
        <v>14871</v>
      </c>
      <c r="H1322" s="44" t="s">
        <v>14872</v>
      </c>
      <c r="I1322" s="44" t="s">
        <v>14879</v>
      </c>
      <c r="J1322" s="44" t="s">
        <v>14874</v>
      </c>
      <c r="K1322" s="44" t="s">
        <v>14875</v>
      </c>
      <c r="L1322" s="44" t="s">
        <v>9789</v>
      </c>
      <c r="M1322" s="44" t="s">
        <v>14876</v>
      </c>
    </row>
    <row r="1323" customFormat="false" ht="22.35" hidden="false" customHeight="false" outlineLevel="0" collapsed="false">
      <c r="A1323" s="44" t="s">
        <v>17651</v>
      </c>
      <c r="B1323" s="44" t="s">
        <v>9784</v>
      </c>
      <c r="C1323" s="44" t="s">
        <v>9785</v>
      </c>
      <c r="D1323" s="44" t="s">
        <v>17652</v>
      </c>
      <c r="E1323" s="44" t="s">
        <v>1233</v>
      </c>
      <c r="F1323" s="44" t="s">
        <v>1234</v>
      </c>
      <c r="G1323" s="44" t="s">
        <v>14871</v>
      </c>
      <c r="H1323" s="44" t="s">
        <v>14872</v>
      </c>
      <c r="I1323" s="44" t="s">
        <v>14873</v>
      </c>
      <c r="J1323" s="44" t="s">
        <v>14874</v>
      </c>
      <c r="K1323" s="44" t="s">
        <v>14875</v>
      </c>
      <c r="L1323" s="44" t="s">
        <v>9789</v>
      </c>
      <c r="M1323" s="44" t="s">
        <v>14876</v>
      </c>
    </row>
    <row r="1324" customFormat="false" ht="22.35" hidden="false" customHeight="false" outlineLevel="0" collapsed="false">
      <c r="A1324" s="44" t="s">
        <v>17653</v>
      </c>
      <c r="B1324" s="44" t="s">
        <v>9784</v>
      </c>
      <c r="C1324" s="44" t="s">
        <v>9785</v>
      </c>
      <c r="D1324" s="44" t="s">
        <v>17654</v>
      </c>
      <c r="E1324" s="44"/>
      <c r="F1324" s="44"/>
      <c r="G1324" s="44" t="s">
        <v>14882</v>
      </c>
      <c r="H1324" s="44" t="s">
        <v>14872</v>
      </c>
      <c r="I1324" s="44" t="s">
        <v>14883</v>
      </c>
      <c r="J1324" s="44" t="s">
        <v>14874</v>
      </c>
      <c r="K1324" s="44" t="s">
        <v>14875</v>
      </c>
      <c r="L1324" s="44" t="s">
        <v>9789</v>
      </c>
      <c r="M1324" s="44" t="s">
        <v>14876</v>
      </c>
    </row>
    <row r="1325" customFormat="false" ht="22.35" hidden="false" customHeight="false" outlineLevel="0" collapsed="false">
      <c r="A1325" s="44" t="s">
        <v>17655</v>
      </c>
      <c r="B1325" s="44" t="s">
        <v>9784</v>
      </c>
      <c r="C1325" s="44" t="s">
        <v>9785</v>
      </c>
      <c r="D1325" s="44" t="s">
        <v>17656</v>
      </c>
      <c r="E1325" s="44" t="s">
        <v>4214</v>
      </c>
      <c r="F1325" s="44" t="s">
        <v>4215</v>
      </c>
      <c r="G1325" s="44" t="s">
        <v>14871</v>
      </c>
      <c r="H1325" s="44" t="s">
        <v>14872</v>
      </c>
      <c r="I1325" s="44" t="s">
        <v>14886</v>
      </c>
      <c r="J1325" s="44" t="s">
        <v>14874</v>
      </c>
      <c r="K1325" s="44" t="s">
        <v>14875</v>
      </c>
      <c r="L1325" s="44" t="s">
        <v>9789</v>
      </c>
      <c r="M1325" s="44" t="s">
        <v>14876</v>
      </c>
    </row>
    <row r="1326" customFormat="false" ht="22.35" hidden="false" customHeight="false" outlineLevel="0" collapsed="false">
      <c r="A1326" s="44" t="s">
        <v>17657</v>
      </c>
      <c r="B1326" s="44" t="s">
        <v>9790</v>
      </c>
      <c r="C1326" s="44" t="s">
        <v>9791</v>
      </c>
      <c r="D1326" s="44" t="s">
        <v>17658</v>
      </c>
      <c r="E1326" s="44" t="s">
        <v>196</v>
      </c>
      <c r="F1326" s="44" t="s">
        <v>59</v>
      </c>
      <c r="G1326" s="44" t="s">
        <v>14871</v>
      </c>
      <c r="H1326" s="44" t="s">
        <v>14872</v>
      </c>
      <c r="I1326" s="44" t="s">
        <v>14886</v>
      </c>
      <c r="J1326" s="44" t="s">
        <v>14874</v>
      </c>
      <c r="K1326" s="44" t="s">
        <v>14875</v>
      </c>
      <c r="L1326" s="44" t="s">
        <v>9794</v>
      </c>
      <c r="M1326" s="44" t="s">
        <v>14876</v>
      </c>
    </row>
    <row r="1327" customFormat="false" ht="22.35" hidden="false" customHeight="false" outlineLevel="0" collapsed="false">
      <c r="A1327" s="44" t="s">
        <v>17659</v>
      </c>
      <c r="B1327" s="44" t="s">
        <v>9790</v>
      </c>
      <c r="C1327" s="44" t="s">
        <v>9791</v>
      </c>
      <c r="D1327" s="44" t="s">
        <v>17660</v>
      </c>
      <c r="E1327" s="44"/>
      <c r="F1327" s="44"/>
      <c r="G1327" s="44" t="s">
        <v>14882</v>
      </c>
      <c r="H1327" s="44" t="s">
        <v>14872</v>
      </c>
      <c r="I1327" s="44" t="s">
        <v>14883</v>
      </c>
      <c r="J1327" s="44" t="s">
        <v>14874</v>
      </c>
      <c r="K1327" s="44" t="s">
        <v>14875</v>
      </c>
      <c r="L1327" s="44" t="s">
        <v>9794</v>
      </c>
      <c r="M1327" s="44" t="s">
        <v>14876</v>
      </c>
    </row>
    <row r="1328" customFormat="false" ht="22.35" hidden="false" customHeight="false" outlineLevel="0" collapsed="false">
      <c r="A1328" s="44" t="s">
        <v>17661</v>
      </c>
      <c r="B1328" s="44" t="s">
        <v>9790</v>
      </c>
      <c r="C1328" s="44" t="s">
        <v>9791</v>
      </c>
      <c r="D1328" s="44" t="s">
        <v>17662</v>
      </c>
      <c r="E1328" s="44"/>
      <c r="F1328" s="44"/>
      <c r="G1328" s="44" t="s">
        <v>14882</v>
      </c>
      <c r="H1328" s="44" t="s">
        <v>14872</v>
      </c>
      <c r="I1328" s="44" t="s">
        <v>14883</v>
      </c>
      <c r="J1328" s="44" t="s">
        <v>14874</v>
      </c>
      <c r="K1328" s="44" t="s">
        <v>14875</v>
      </c>
      <c r="L1328" s="44" t="s">
        <v>9794</v>
      </c>
      <c r="M1328" s="44" t="s">
        <v>14876</v>
      </c>
    </row>
    <row r="1329" customFormat="false" ht="22.35" hidden="false" customHeight="false" outlineLevel="0" collapsed="false">
      <c r="A1329" s="44" t="s">
        <v>17663</v>
      </c>
      <c r="B1329" s="44" t="s">
        <v>9790</v>
      </c>
      <c r="C1329" s="44" t="s">
        <v>9791</v>
      </c>
      <c r="D1329" s="44" t="s">
        <v>17664</v>
      </c>
      <c r="E1329" s="44" t="s">
        <v>522</v>
      </c>
      <c r="F1329" s="44" t="s">
        <v>523</v>
      </c>
      <c r="G1329" s="44" t="s">
        <v>14871</v>
      </c>
      <c r="H1329" s="44" t="s">
        <v>14872</v>
      </c>
      <c r="I1329" s="44" t="s">
        <v>14879</v>
      </c>
      <c r="J1329" s="44" t="s">
        <v>14874</v>
      </c>
      <c r="K1329" s="44" t="s">
        <v>14875</v>
      </c>
      <c r="L1329" s="44" t="s">
        <v>9794</v>
      </c>
      <c r="M1329" s="44" t="s">
        <v>14876</v>
      </c>
    </row>
    <row r="1330" customFormat="false" ht="22.35" hidden="false" customHeight="false" outlineLevel="0" collapsed="false">
      <c r="A1330" s="44" t="s">
        <v>17665</v>
      </c>
      <c r="B1330" s="44" t="s">
        <v>9790</v>
      </c>
      <c r="C1330" s="44" t="s">
        <v>9791</v>
      </c>
      <c r="D1330" s="44" t="s">
        <v>17666</v>
      </c>
      <c r="E1330" s="44" t="s">
        <v>3438</v>
      </c>
      <c r="F1330" s="44" t="s">
        <v>3439</v>
      </c>
      <c r="G1330" s="44" t="s">
        <v>14871</v>
      </c>
      <c r="H1330" s="44" t="s">
        <v>14872</v>
      </c>
      <c r="I1330" s="44" t="s">
        <v>14873</v>
      </c>
      <c r="J1330" s="44" t="s">
        <v>14874</v>
      </c>
      <c r="K1330" s="44" t="s">
        <v>14875</v>
      </c>
      <c r="L1330" s="44" t="s">
        <v>9794</v>
      </c>
      <c r="M1330" s="44" t="s">
        <v>14876</v>
      </c>
    </row>
    <row r="1331" customFormat="false" ht="22.35" hidden="false" customHeight="false" outlineLevel="0" collapsed="false">
      <c r="A1331" s="44" t="s">
        <v>17667</v>
      </c>
      <c r="B1331" s="44" t="s">
        <v>9795</v>
      </c>
      <c r="C1331" s="44" t="s">
        <v>9796</v>
      </c>
      <c r="D1331" s="44" t="s">
        <v>17668</v>
      </c>
      <c r="E1331" s="44" t="s">
        <v>17669</v>
      </c>
      <c r="F1331" s="44" t="s">
        <v>17670</v>
      </c>
      <c r="G1331" s="44" t="s">
        <v>14871</v>
      </c>
      <c r="H1331" s="44" t="s">
        <v>14872</v>
      </c>
      <c r="I1331" s="44" t="s">
        <v>14886</v>
      </c>
      <c r="J1331" s="44" t="s">
        <v>14874</v>
      </c>
      <c r="K1331" s="44" t="s">
        <v>14875</v>
      </c>
      <c r="L1331" s="44" t="s">
        <v>9800</v>
      </c>
      <c r="M1331" s="44" t="s">
        <v>14876</v>
      </c>
    </row>
    <row r="1332" customFormat="false" ht="22.35" hidden="false" customHeight="false" outlineLevel="0" collapsed="false">
      <c r="A1332" s="44" t="s">
        <v>17671</v>
      </c>
      <c r="B1332" s="44" t="s">
        <v>9795</v>
      </c>
      <c r="C1332" s="44" t="s">
        <v>9796</v>
      </c>
      <c r="D1332" s="44" t="s">
        <v>17672</v>
      </c>
      <c r="E1332" s="44" t="s">
        <v>1793</v>
      </c>
      <c r="F1332" s="44" t="s">
        <v>1794</v>
      </c>
      <c r="G1332" s="44" t="s">
        <v>14871</v>
      </c>
      <c r="H1332" s="44" t="s">
        <v>14872</v>
      </c>
      <c r="I1332" s="44" t="s">
        <v>14873</v>
      </c>
      <c r="J1332" s="44" t="s">
        <v>14874</v>
      </c>
      <c r="K1332" s="44" t="s">
        <v>14875</v>
      </c>
      <c r="L1332" s="44" t="s">
        <v>9800</v>
      </c>
      <c r="M1332" s="44" t="s">
        <v>14876</v>
      </c>
    </row>
    <row r="1333" customFormat="false" ht="22.35" hidden="false" customHeight="false" outlineLevel="0" collapsed="false">
      <c r="A1333" s="44" t="s">
        <v>17673</v>
      </c>
      <c r="B1333" s="44" t="s">
        <v>9795</v>
      </c>
      <c r="C1333" s="44" t="s">
        <v>9796</v>
      </c>
      <c r="D1333" s="44" t="s">
        <v>15695</v>
      </c>
      <c r="E1333" s="44"/>
      <c r="F1333" s="44"/>
      <c r="G1333" s="44" t="s">
        <v>14882</v>
      </c>
      <c r="H1333" s="44" t="s">
        <v>14872</v>
      </c>
      <c r="I1333" s="44" t="s">
        <v>14883</v>
      </c>
      <c r="J1333" s="44" t="s">
        <v>14874</v>
      </c>
      <c r="K1333" s="44" t="s">
        <v>14875</v>
      </c>
      <c r="L1333" s="44" t="s">
        <v>9800</v>
      </c>
      <c r="M1333" s="44" t="s">
        <v>14876</v>
      </c>
    </row>
    <row r="1334" customFormat="false" ht="22.35" hidden="false" customHeight="false" outlineLevel="0" collapsed="false">
      <c r="A1334" s="44" t="s">
        <v>17674</v>
      </c>
      <c r="B1334" s="44" t="s">
        <v>9795</v>
      </c>
      <c r="C1334" s="44" t="s">
        <v>9796</v>
      </c>
      <c r="D1334" s="44" t="s">
        <v>17675</v>
      </c>
      <c r="E1334" s="44"/>
      <c r="F1334" s="44"/>
      <c r="G1334" s="44" t="s">
        <v>14882</v>
      </c>
      <c r="H1334" s="44" t="s">
        <v>14872</v>
      </c>
      <c r="I1334" s="44" t="s">
        <v>14883</v>
      </c>
      <c r="J1334" s="44" t="s">
        <v>14874</v>
      </c>
      <c r="K1334" s="44" t="s">
        <v>14875</v>
      </c>
      <c r="L1334" s="44" t="s">
        <v>9800</v>
      </c>
      <c r="M1334" s="44" t="s">
        <v>14876</v>
      </c>
    </row>
    <row r="1335" customFormat="false" ht="22.35" hidden="false" customHeight="false" outlineLevel="0" collapsed="false">
      <c r="A1335" s="44" t="s">
        <v>17676</v>
      </c>
      <c r="B1335" s="44" t="s">
        <v>9795</v>
      </c>
      <c r="C1335" s="44" t="s">
        <v>9796</v>
      </c>
      <c r="D1335" s="44" t="s">
        <v>17677</v>
      </c>
      <c r="E1335" s="44" t="s">
        <v>3592</v>
      </c>
      <c r="F1335" s="44" t="s">
        <v>3593</v>
      </c>
      <c r="G1335" s="44" t="s">
        <v>14871</v>
      </c>
      <c r="H1335" s="44" t="s">
        <v>14872</v>
      </c>
      <c r="I1335" s="44" t="s">
        <v>14873</v>
      </c>
      <c r="J1335" s="44" t="s">
        <v>14874</v>
      </c>
      <c r="K1335" s="44" t="s">
        <v>14875</v>
      </c>
      <c r="L1335" s="44" t="s">
        <v>9800</v>
      </c>
      <c r="M1335" s="44" t="s">
        <v>14876</v>
      </c>
    </row>
    <row r="1336" customFormat="false" ht="22.35" hidden="false" customHeight="false" outlineLevel="0" collapsed="false">
      <c r="A1336" s="44" t="s">
        <v>17678</v>
      </c>
      <c r="B1336" s="44" t="s">
        <v>9801</v>
      </c>
      <c r="C1336" s="44" t="s">
        <v>9802</v>
      </c>
      <c r="D1336" s="44" t="s">
        <v>17679</v>
      </c>
      <c r="E1336" s="44" t="s">
        <v>594</v>
      </c>
      <c r="F1336" s="44" t="s">
        <v>595</v>
      </c>
      <c r="G1336" s="44" t="s">
        <v>14871</v>
      </c>
      <c r="H1336" s="44" t="s">
        <v>14872</v>
      </c>
      <c r="I1336" s="44" t="s">
        <v>14879</v>
      </c>
      <c r="J1336" s="44" t="s">
        <v>14874</v>
      </c>
      <c r="K1336" s="44" t="s">
        <v>14875</v>
      </c>
      <c r="L1336" s="44" t="s">
        <v>9807</v>
      </c>
      <c r="M1336" s="44" t="s">
        <v>14876</v>
      </c>
    </row>
    <row r="1337" customFormat="false" ht="22.35" hidden="false" customHeight="false" outlineLevel="0" collapsed="false">
      <c r="A1337" s="44" t="s">
        <v>17680</v>
      </c>
      <c r="B1337" s="44" t="s">
        <v>9801</v>
      </c>
      <c r="C1337" s="44" t="s">
        <v>9802</v>
      </c>
      <c r="D1337" s="44" t="s">
        <v>17681</v>
      </c>
      <c r="E1337" s="44" t="s">
        <v>1741</v>
      </c>
      <c r="F1337" s="44" t="s">
        <v>1742</v>
      </c>
      <c r="G1337" s="44" t="s">
        <v>14871</v>
      </c>
      <c r="H1337" s="44" t="s">
        <v>14872</v>
      </c>
      <c r="I1337" s="44" t="s">
        <v>14873</v>
      </c>
      <c r="J1337" s="44" t="s">
        <v>14874</v>
      </c>
      <c r="K1337" s="44" t="s">
        <v>14875</v>
      </c>
      <c r="L1337" s="44" t="s">
        <v>9807</v>
      </c>
      <c r="M1337" s="44" t="s">
        <v>14876</v>
      </c>
    </row>
    <row r="1338" customFormat="false" ht="22.35" hidden="false" customHeight="false" outlineLevel="0" collapsed="false">
      <c r="A1338" s="44" t="s">
        <v>17682</v>
      </c>
      <c r="B1338" s="44" t="s">
        <v>9801</v>
      </c>
      <c r="C1338" s="44" t="s">
        <v>9802</v>
      </c>
      <c r="D1338" s="44" t="s">
        <v>17683</v>
      </c>
      <c r="E1338" s="44" t="s">
        <v>16998</v>
      </c>
      <c r="F1338" s="44" t="s">
        <v>16999</v>
      </c>
      <c r="G1338" s="44" t="s">
        <v>14871</v>
      </c>
      <c r="H1338" s="44" t="s">
        <v>14872</v>
      </c>
      <c r="I1338" s="44" t="s">
        <v>14886</v>
      </c>
      <c r="J1338" s="44" t="s">
        <v>14874</v>
      </c>
      <c r="K1338" s="44" t="s">
        <v>14875</v>
      </c>
      <c r="L1338" s="44" t="s">
        <v>9807</v>
      </c>
      <c r="M1338" s="44" t="s">
        <v>14876</v>
      </c>
    </row>
    <row r="1339" customFormat="false" ht="22.35" hidden="false" customHeight="false" outlineLevel="0" collapsed="false">
      <c r="A1339" s="44" t="s">
        <v>17684</v>
      </c>
      <c r="B1339" s="44" t="s">
        <v>9801</v>
      </c>
      <c r="C1339" s="44" t="s">
        <v>9802</v>
      </c>
      <c r="D1339" s="44" t="s">
        <v>17685</v>
      </c>
      <c r="E1339" s="44"/>
      <c r="F1339" s="44"/>
      <c r="G1339" s="44" t="s">
        <v>14882</v>
      </c>
      <c r="H1339" s="44" t="s">
        <v>14872</v>
      </c>
      <c r="I1339" s="44" t="s">
        <v>14883</v>
      </c>
      <c r="J1339" s="44" t="s">
        <v>14874</v>
      </c>
      <c r="K1339" s="44" t="s">
        <v>14875</v>
      </c>
      <c r="L1339" s="44" t="s">
        <v>9807</v>
      </c>
      <c r="M1339" s="44" t="s">
        <v>14876</v>
      </c>
    </row>
    <row r="1340" customFormat="false" ht="22.35" hidden="false" customHeight="false" outlineLevel="0" collapsed="false">
      <c r="A1340" s="44" t="s">
        <v>17686</v>
      </c>
      <c r="B1340" s="44" t="s">
        <v>9801</v>
      </c>
      <c r="C1340" s="44" t="s">
        <v>9802</v>
      </c>
      <c r="D1340" s="44" t="s">
        <v>17687</v>
      </c>
      <c r="E1340" s="44" t="s">
        <v>3254</v>
      </c>
      <c r="F1340" s="44" t="s">
        <v>3255</v>
      </c>
      <c r="G1340" s="44" t="s">
        <v>14871</v>
      </c>
      <c r="H1340" s="44" t="s">
        <v>14872</v>
      </c>
      <c r="I1340" s="44" t="s">
        <v>14886</v>
      </c>
      <c r="J1340" s="44" t="s">
        <v>14874</v>
      </c>
      <c r="K1340" s="44" t="s">
        <v>14875</v>
      </c>
      <c r="L1340" s="44" t="s">
        <v>9807</v>
      </c>
      <c r="M1340" s="44" t="s">
        <v>14876</v>
      </c>
    </row>
    <row r="1341" customFormat="false" ht="22.35" hidden="false" customHeight="false" outlineLevel="0" collapsed="false">
      <c r="A1341" s="44" t="s">
        <v>17688</v>
      </c>
      <c r="B1341" s="44" t="s">
        <v>9808</v>
      </c>
      <c r="C1341" s="44" t="s">
        <v>9809</v>
      </c>
      <c r="D1341" s="44" t="s">
        <v>17689</v>
      </c>
      <c r="E1341" s="44" t="s">
        <v>17690</v>
      </c>
      <c r="F1341" s="44" t="s">
        <v>17691</v>
      </c>
      <c r="G1341" s="44" t="s">
        <v>14871</v>
      </c>
      <c r="H1341" s="44" t="s">
        <v>14872</v>
      </c>
      <c r="I1341" s="44" t="s">
        <v>14886</v>
      </c>
      <c r="J1341" s="44" t="s">
        <v>14874</v>
      </c>
      <c r="K1341" s="44" t="s">
        <v>14875</v>
      </c>
      <c r="L1341" s="44" t="s">
        <v>9814</v>
      </c>
      <c r="M1341" s="44" t="s">
        <v>14876</v>
      </c>
    </row>
    <row r="1342" customFormat="false" ht="22.35" hidden="false" customHeight="false" outlineLevel="0" collapsed="false">
      <c r="A1342" s="44" t="s">
        <v>17692</v>
      </c>
      <c r="B1342" s="44" t="s">
        <v>9808</v>
      </c>
      <c r="C1342" s="44" t="s">
        <v>9809</v>
      </c>
      <c r="D1342" s="44" t="s">
        <v>17693</v>
      </c>
      <c r="E1342" s="44"/>
      <c r="F1342" s="44"/>
      <c r="G1342" s="44" t="s">
        <v>14882</v>
      </c>
      <c r="H1342" s="44" t="s">
        <v>14872</v>
      </c>
      <c r="I1342" s="44" t="s">
        <v>14883</v>
      </c>
      <c r="J1342" s="44" t="s">
        <v>14874</v>
      </c>
      <c r="K1342" s="44" t="s">
        <v>14875</v>
      </c>
      <c r="L1342" s="44" t="s">
        <v>9814</v>
      </c>
      <c r="M1342" s="44" t="s">
        <v>14876</v>
      </c>
    </row>
    <row r="1343" customFormat="false" ht="22.35" hidden="false" customHeight="false" outlineLevel="0" collapsed="false">
      <c r="A1343" s="44" t="s">
        <v>17694</v>
      </c>
      <c r="B1343" s="44" t="s">
        <v>9808</v>
      </c>
      <c r="C1343" s="44" t="s">
        <v>9809</v>
      </c>
      <c r="D1343" s="44" t="s">
        <v>17695</v>
      </c>
      <c r="E1343" s="44" t="s">
        <v>1693</v>
      </c>
      <c r="F1343" s="44" t="s">
        <v>1694</v>
      </c>
      <c r="G1343" s="44" t="s">
        <v>14871</v>
      </c>
      <c r="H1343" s="44" t="s">
        <v>14872</v>
      </c>
      <c r="I1343" s="44" t="s">
        <v>14879</v>
      </c>
      <c r="J1343" s="44" t="s">
        <v>14874</v>
      </c>
      <c r="K1343" s="44" t="s">
        <v>14875</v>
      </c>
      <c r="L1343" s="44" t="s">
        <v>9814</v>
      </c>
      <c r="M1343" s="44" t="s">
        <v>14876</v>
      </c>
    </row>
    <row r="1344" customFormat="false" ht="22.35" hidden="false" customHeight="false" outlineLevel="0" collapsed="false">
      <c r="A1344" s="44" t="s">
        <v>17696</v>
      </c>
      <c r="B1344" s="44" t="s">
        <v>9808</v>
      </c>
      <c r="C1344" s="44" t="s">
        <v>9809</v>
      </c>
      <c r="D1344" s="44" t="s">
        <v>17697</v>
      </c>
      <c r="E1344" s="44"/>
      <c r="F1344" s="44"/>
      <c r="G1344" s="44" t="s">
        <v>14882</v>
      </c>
      <c r="H1344" s="44" t="s">
        <v>14872</v>
      </c>
      <c r="I1344" s="44" t="s">
        <v>14883</v>
      </c>
      <c r="J1344" s="44" t="s">
        <v>14874</v>
      </c>
      <c r="K1344" s="44" t="s">
        <v>14875</v>
      </c>
      <c r="L1344" s="44" t="s">
        <v>9814</v>
      </c>
      <c r="M1344" s="44" t="s">
        <v>14876</v>
      </c>
    </row>
    <row r="1345" customFormat="false" ht="22.35" hidden="false" customHeight="false" outlineLevel="0" collapsed="false">
      <c r="A1345" s="44" t="s">
        <v>17698</v>
      </c>
      <c r="B1345" s="44" t="s">
        <v>9808</v>
      </c>
      <c r="C1345" s="44" t="s">
        <v>9809</v>
      </c>
      <c r="D1345" s="44" t="s">
        <v>17699</v>
      </c>
      <c r="E1345" s="44" t="s">
        <v>192</v>
      </c>
      <c r="F1345" s="44" t="s">
        <v>55</v>
      </c>
      <c r="G1345" s="44" t="s">
        <v>14871</v>
      </c>
      <c r="H1345" s="44" t="s">
        <v>14872</v>
      </c>
      <c r="I1345" s="44" t="s">
        <v>14886</v>
      </c>
      <c r="J1345" s="44" t="s">
        <v>14874</v>
      </c>
      <c r="K1345" s="44" t="s">
        <v>14875</v>
      </c>
      <c r="L1345" s="44" t="s">
        <v>9814</v>
      </c>
      <c r="M1345" s="44" t="s">
        <v>14876</v>
      </c>
    </row>
    <row r="1346" customFormat="false" ht="22.35" hidden="false" customHeight="false" outlineLevel="0" collapsed="false">
      <c r="A1346" s="44" t="s">
        <v>17700</v>
      </c>
      <c r="B1346" s="44" t="s">
        <v>9808</v>
      </c>
      <c r="C1346" s="44" t="s">
        <v>9809</v>
      </c>
      <c r="D1346" s="44" t="s">
        <v>14924</v>
      </c>
      <c r="E1346" s="44" t="s">
        <v>2761</v>
      </c>
      <c r="F1346" s="44" t="s">
        <v>2762</v>
      </c>
      <c r="G1346" s="44" t="s">
        <v>14871</v>
      </c>
      <c r="H1346" s="44" t="s">
        <v>14872</v>
      </c>
      <c r="I1346" s="44" t="s">
        <v>14886</v>
      </c>
      <c r="J1346" s="44" t="s">
        <v>14874</v>
      </c>
      <c r="K1346" s="44" t="s">
        <v>14875</v>
      </c>
      <c r="L1346" s="44" t="s">
        <v>9814</v>
      </c>
      <c r="M1346" s="44" t="s">
        <v>14876</v>
      </c>
    </row>
    <row r="1347" customFormat="false" ht="22.35" hidden="false" customHeight="false" outlineLevel="0" collapsed="false">
      <c r="A1347" s="44" t="s">
        <v>17701</v>
      </c>
      <c r="B1347" s="44" t="s">
        <v>9815</v>
      </c>
      <c r="C1347" s="44" t="s">
        <v>9816</v>
      </c>
      <c r="D1347" s="44" t="s">
        <v>17702</v>
      </c>
      <c r="E1347" s="44"/>
      <c r="F1347" s="44"/>
      <c r="G1347" s="44" t="s">
        <v>14882</v>
      </c>
      <c r="H1347" s="44" t="s">
        <v>14872</v>
      </c>
      <c r="I1347" s="44" t="s">
        <v>14883</v>
      </c>
      <c r="J1347" s="44" t="s">
        <v>14874</v>
      </c>
      <c r="K1347" s="44" t="s">
        <v>14875</v>
      </c>
      <c r="L1347" s="44" t="s">
        <v>9821</v>
      </c>
      <c r="M1347" s="44" t="s">
        <v>14876</v>
      </c>
    </row>
    <row r="1348" customFormat="false" ht="22.35" hidden="false" customHeight="false" outlineLevel="0" collapsed="false">
      <c r="A1348" s="44" t="s">
        <v>17703</v>
      </c>
      <c r="B1348" s="44" t="s">
        <v>9815</v>
      </c>
      <c r="C1348" s="44" t="s">
        <v>9816</v>
      </c>
      <c r="D1348" s="44" t="s">
        <v>15417</v>
      </c>
      <c r="E1348" s="44" t="s">
        <v>196</v>
      </c>
      <c r="F1348" s="44" t="s">
        <v>59</v>
      </c>
      <c r="G1348" s="44" t="s">
        <v>14871</v>
      </c>
      <c r="H1348" s="44" t="s">
        <v>14872</v>
      </c>
      <c r="I1348" s="44" t="s">
        <v>14886</v>
      </c>
      <c r="J1348" s="44" t="s">
        <v>14874</v>
      </c>
      <c r="K1348" s="44" t="s">
        <v>14875</v>
      </c>
      <c r="L1348" s="44" t="s">
        <v>9821</v>
      </c>
      <c r="M1348" s="44" t="s">
        <v>14876</v>
      </c>
    </row>
    <row r="1349" customFormat="false" ht="22.35" hidden="false" customHeight="false" outlineLevel="0" collapsed="false">
      <c r="A1349" s="44" t="s">
        <v>17704</v>
      </c>
      <c r="B1349" s="44" t="s">
        <v>9815</v>
      </c>
      <c r="C1349" s="44" t="s">
        <v>9816</v>
      </c>
      <c r="D1349" s="44" t="s">
        <v>16604</v>
      </c>
      <c r="E1349" s="44"/>
      <c r="F1349" s="44"/>
      <c r="G1349" s="44" t="s">
        <v>14882</v>
      </c>
      <c r="H1349" s="44" t="s">
        <v>14872</v>
      </c>
      <c r="I1349" s="44" t="s">
        <v>14883</v>
      </c>
      <c r="J1349" s="44" t="s">
        <v>14874</v>
      </c>
      <c r="K1349" s="44" t="s">
        <v>14875</v>
      </c>
      <c r="L1349" s="44" t="s">
        <v>9821</v>
      </c>
      <c r="M1349" s="44" t="s">
        <v>14876</v>
      </c>
    </row>
    <row r="1350" customFormat="false" ht="22.35" hidden="false" customHeight="false" outlineLevel="0" collapsed="false">
      <c r="A1350" s="44" t="s">
        <v>17705</v>
      </c>
      <c r="B1350" s="44" t="s">
        <v>9815</v>
      </c>
      <c r="C1350" s="44" t="s">
        <v>9816</v>
      </c>
      <c r="D1350" s="44" t="s">
        <v>14976</v>
      </c>
      <c r="E1350" s="44" t="s">
        <v>231</v>
      </c>
      <c r="F1350" s="44" t="s">
        <v>232</v>
      </c>
      <c r="G1350" s="44" t="s">
        <v>14871</v>
      </c>
      <c r="H1350" s="44" t="s">
        <v>14872</v>
      </c>
      <c r="I1350" s="44" t="s">
        <v>14873</v>
      </c>
      <c r="J1350" s="44" t="s">
        <v>14874</v>
      </c>
      <c r="K1350" s="44" t="s">
        <v>14875</v>
      </c>
      <c r="L1350" s="44" t="s">
        <v>9821</v>
      </c>
      <c r="M1350" s="44" t="s">
        <v>14876</v>
      </c>
    </row>
    <row r="1351" customFormat="false" ht="22.35" hidden="false" customHeight="false" outlineLevel="0" collapsed="false">
      <c r="A1351" s="44" t="s">
        <v>17706</v>
      </c>
      <c r="B1351" s="44" t="s">
        <v>9815</v>
      </c>
      <c r="C1351" s="44" t="s">
        <v>9816</v>
      </c>
      <c r="D1351" s="44" t="s">
        <v>17707</v>
      </c>
      <c r="E1351" s="44" t="s">
        <v>223</v>
      </c>
      <c r="F1351" s="44" t="s">
        <v>224</v>
      </c>
      <c r="G1351" s="44" t="s">
        <v>14871</v>
      </c>
      <c r="H1351" s="44" t="s">
        <v>14872</v>
      </c>
      <c r="I1351" s="44" t="s">
        <v>14879</v>
      </c>
      <c r="J1351" s="44" t="s">
        <v>14874</v>
      </c>
      <c r="K1351" s="44" t="s">
        <v>14875</v>
      </c>
      <c r="L1351" s="44" t="s">
        <v>9821</v>
      </c>
      <c r="M1351" s="44" t="s">
        <v>14876</v>
      </c>
    </row>
    <row r="1352" customFormat="false" ht="22.35" hidden="false" customHeight="false" outlineLevel="0" collapsed="false">
      <c r="A1352" s="44" t="s">
        <v>17708</v>
      </c>
      <c r="B1352" s="44" t="s">
        <v>9815</v>
      </c>
      <c r="C1352" s="44" t="s">
        <v>9816</v>
      </c>
      <c r="D1352" s="44" t="s">
        <v>17709</v>
      </c>
      <c r="E1352" s="44" t="s">
        <v>5157</v>
      </c>
      <c r="F1352" s="44" t="s">
        <v>5158</v>
      </c>
      <c r="G1352" s="44" t="s">
        <v>14871</v>
      </c>
      <c r="H1352" s="44" t="s">
        <v>14872</v>
      </c>
      <c r="I1352" s="44" t="s">
        <v>14886</v>
      </c>
      <c r="J1352" s="44" t="s">
        <v>14874</v>
      </c>
      <c r="K1352" s="44" t="s">
        <v>14875</v>
      </c>
      <c r="L1352" s="44" t="s">
        <v>9821</v>
      </c>
      <c r="M1352" s="44" t="s">
        <v>14876</v>
      </c>
    </row>
    <row r="1353" customFormat="false" ht="22.35" hidden="false" customHeight="false" outlineLevel="0" collapsed="false">
      <c r="A1353" s="44" t="s">
        <v>17710</v>
      </c>
      <c r="B1353" s="44" t="s">
        <v>9822</v>
      </c>
      <c r="C1353" s="44" t="s">
        <v>9823</v>
      </c>
      <c r="D1353" s="44" t="s">
        <v>17711</v>
      </c>
      <c r="E1353" s="44" t="s">
        <v>17712</v>
      </c>
      <c r="F1353" s="44" t="s">
        <v>17713</v>
      </c>
      <c r="G1353" s="44" t="s">
        <v>14871</v>
      </c>
      <c r="H1353" s="44" t="s">
        <v>14872</v>
      </c>
      <c r="I1353" s="44" t="s">
        <v>14873</v>
      </c>
      <c r="J1353" s="44" t="s">
        <v>14874</v>
      </c>
      <c r="K1353" s="44" t="s">
        <v>14875</v>
      </c>
      <c r="L1353" s="44" t="s">
        <v>9825</v>
      </c>
      <c r="M1353" s="44" t="s">
        <v>14876</v>
      </c>
    </row>
    <row r="1354" customFormat="false" ht="22.35" hidden="false" customHeight="false" outlineLevel="0" collapsed="false">
      <c r="A1354" s="44" t="s">
        <v>17714</v>
      </c>
      <c r="B1354" s="44" t="s">
        <v>9822</v>
      </c>
      <c r="C1354" s="44" t="s">
        <v>9823</v>
      </c>
      <c r="D1354" s="44" t="s">
        <v>17715</v>
      </c>
      <c r="E1354" s="44"/>
      <c r="F1354" s="44"/>
      <c r="G1354" s="44" t="s">
        <v>14882</v>
      </c>
      <c r="H1354" s="44" t="s">
        <v>14872</v>
      </c>
      <c r="I1354" s="44" t="s">
        <v>14883</v>
      </c>
      <c r="J1354" s="44" t="s">
        <v>14874</v>
      </c>
      <c r="K1354" s="44" t="s">
        <v>14875</v>
      </c>
      <c r="L1354" s="44" t="s">
        <v>9825</v>
      </c>
      <c r="M1354" s="44" t="s">
        <v>14876</v>
      </c>
    </row>
    <row r="1355" customFormat="false" ht="22.35" hidden="false" customHeight="false" outlineLevel="0" collapsed="false">
      <c r="A1355" s="44" t="s">
        <v>17716</v>
      </c>
      <c r="B1355" s="44" t="s">
        <v>9822</v>
      </c>
      <c r="C1355" s="44" t="s">
        <v>9823</v>
      </c>
      <c r="D1355" s="44" t="s">
        <v>17717</v>
      </c>
      <c r="E1355" s="44" t="s">
        <v>1802</v>
      </c>
      <c r="F1355" s="44" t="s">
        <v>1803</v>
      </c>
      <c r="G1355" s="44" t="s">
        <v>14871</v>
      </c>
      <c r="H1355" s="44" t="s">
        <v>14872</v>
      </c>
      <c r="I1355" s="44" t="s">
        <v>14873</v>
      </c>
      <c r="J1355" s="44" t="s">
        <v>14874</v>
      </c>
      <c r="K1355" s="44" t="s">
        <v>14875</v>
      </c>
      <c r="L1355" s="44" t="s">
        <v>9825</v>
      </c>
      <c r="M1355" s="44" t="s">
        <v>14876</v>
      </c>
    </row>
    <row r="1356" customFormat="false" ht="22.35" hidden="false" customHeight="false" outlineLevel="0" collapsed="false">
      <c r="A1356" s="44" t="s">
        <v>17718</v>
      </c>
      <c r="B1356" s="44" t="s">
        <v>9822</v>
      </c>
      <c r="C1356" s="44" t="s">
        <v>9823</v>
      </c>
      <c r="D1356" s="44" t="s">
        <v>17719</v>
      </c>
      <c r="E1356" s="44" t="s">
        <v>192</v>
      </c>
      <c r="F1356" s="44" t="s">
        <v>55</v>
      </c>
      <c r="G1356" s="44" t="s">
        <v>14871</v>
      </c>
      <c r="H1356" s="44" t="s">
        <v>14872</v>
      </c>
      <c r="I1356" s="44" t="s">
        <v>14886</v>
      </c>
      <c r="J1356" s="44" t="s">
        <v>14874</v>
      </c>
      <c r="K1356" s="44" t="s">
        <v>14875</v>
      </c>
      <c r="L1356" s="44" t="s">
        <v>9825</v>
      </c>
      <c r="M1356" s="44" t="s">
        <v>14876</v>
      </c>
    </row>
    <row r="1357" customFormat="false" ht="22.35" hidden="false" customHeight="false" outlineLevel="0" collapsed="false">
      <c r="A1357" s="44" t="s">
        <v>17720</v>
      </c>
      <c r="B1357" s="44" t="s">
        <v>9822</v>
      </c>
      <c r="C1357" s="44" t="s">
        <v>9823</v>
      </c>
      <c r="D1357" s="44" t="s">
        <v>17721</v>
      </c>
      <c r="E1357" s="44" t="s">
        <v>17722</v>
      </c>
      <c r="F1357" s="44" t="s">
        <v>17723</v>
      </c>
      <c r="G1357" s="44" t="s">
        <v>14871</v>
      </c>
      <c r="H1357" s="44" t="s">
        <v>14872</v>
      </c>
      <c r="I1357" s="44" t="s">
        <v>14873</v>
      </c>
      <c r="J1357" s="44" t="s">
        <v>14874</v>
      </c>
      <c r="K1357" s="44" t="s">
        <v>14875</v>
      </c>
      <c r="L1357" s="44" t="s">
        <v>9825</v>
      </c>
      <c r="M1357" s="44" t="s">
        <v>14876</v>
      </c>
    </row>
    <row r="1358" customFormat="false" ht="22.35" hidden="false" customHeight="false" outlineLevel="0" collapsed="false">
      <c r="A1358" s="44" t="s">
        <v>17724</v>
      </c>
      <c r="B1358" s="44" t="s">
        <v>9826</v>
      </c>
      <c r="C1358" s="44" t="s">
        <v>9827</v>
      </c>
      <c r="D1358" s="44" t="s">
        <v>17725</v>
      </c>
      <c r="E1358" s="44" t="s">
        <v>200</v>
      </c>
      <c r="F1358" s="44" t="s">
        <v>201</v>
      </c>
      <c r="G1358" s="44" t="s">
        <v>14871</v>
      </c>
      <c r="H1358" s="44" t="s">
        <v>14872</v>
      </c>
      <c r="I1358" s="44" t="s">
        <v>14886</v>
      </c>
      <c r="J1358" s="44" t="s">
        <v>14874</v>
      </c>
      <c r="K1358" s="44" t="s">
        <v>14875</v>
      </c>
      <c r="L1358" s="44" t="s">
        <v>9832</v>
      </c>
      <c r="M1358" s="44" t="s">
        <v>14876</v>
      </c>
    </row>
    <row r="1359" customFormat="false" ht="22.35" hidden="false" customHeight="false" outlineLevel="0" collapsed="false">
      <c r="A1359" s="44" t="s">
        <v>17726</v>
      </c>
      <c r="B1359" s="44" t="s">
        <v>9826</v>
      </c>
      <c r="C1359" s="44" t="s">
        <v>9827</v>
      </c>
      <c r="D1359" s="44" t="s">
        <v>15892</v>
      </c>
      <c r="E1359" s="44" t="s">
        <v>4895</v>
      </c>
      <c r="F1359" s="44" t="s">
        <v>4896</v>
      </c>
      <c r="G1359" s="44" t="s">
        <v>14871</v>
      </c>
      <c r="H1359" s="44" t="s">
        <v>14872</v>
      </c>
      <c r="I1359" s="44" t="s">
        <v>14886</v>
      </c>
      <c r="J1359" s="44" t="s">
        <v>14874</v>
      </c>
      <c r="K1359" s="44" t="s">
        <v>14875</v>
      </c>
      <c r="L1359" s="44" t="s">
        <v>9832</v>
      </c>
      <c r="M1359" s="44" t="s">
        <v>14876</v>
      </c>
    </row>
    <row r="1360" customFormat="false" ht="22.35" hidden="false" customHeight="false" outlineLevel="0" collapsed="false">
      <c r="A1360" s="44" t="s">
        <v>17727</v>
      </c>
      <c r="B1360" s="44" t="s">
        <v>9826</v>
      </c>
      <c r="C1360" s="44" t="s">
        <v>9827</v>
      </c>
      <c r="D1360" s="44" t="s">
        <v>14885</v>
      </c>
      <c r="E1360" s="44" t="s">
        <v>180</v>
      </c>
      <c r="F1360" s="44" t="s">
        <v>47</v>
      </c>
      <c r="G1360" s="44" t="s">
        <v>14871</v>
      </c>
      <c r="H1360" s="44" t="s">
        <v>14872</v>
      </c>
      <c r="I1360" s="44" t="s">
        <v>14886</v>
      </c>
      <c r="J1360" s="44" t="s">
        <v>14874</v>
      </c>
      <c r="K1360" s="44" t="s">
        <v>14875</v>
      </c>
      <c r="L1360" s="44" t="s">
        <v>9832</v>
      </c>
      <c r="M1360" s="44" t="s">
        <v>14876</v>
      </c>
    </row>
    <row r="1361" customFormat="false" ht="22.35" hidden="false" customHeight="false" outlineLevel="0" collapsed="false">
      <c r="A1361" s="44" t="s">
        <v>17728</v>
      </c>
      <c r="B1361" s="44" t="s">
        <v>9826</v>
      </c>
      <c r="C1361" s="44" t="s">
        <v>9827</v>
      </c>
      <c r="D1361" s="44" t="s">
        <v>17729</v>
      </c>
      <c r="E1361" s="44" t="s">
        <v>3583</v>
      </c>
      <c r="F1361" s="44" t="s">
        <v>3584</v>
      </c>
      <c r="G1361" s="44" t="s">
        <v>14871</v>
      </c>
      <c r="H1361" s="44" t="s">
        <v>14872</v>
      </c>
      <c r="I1361" s="44" t="s">
        <v>14886</v>
      </c>
      <c r="J1361" s="44" t="s">
        <v>14874</v>
      </c>
      <c r="K1361" s="44" t="s">
        <v>14875</v>
      </c>
      <c r="L1361" s="44" t="s">
        <v>9832</v>
      </c>
      <c r="M1361" s="44" t="s">
        <v>14876</v>
      </c>
    </row>
    <row r="1362" customFormat="false" ht="22.35" hidden="false" customHeight="false" outlineLevel="0" collapsed="false">
      <c r="A1362" s="44" t="s">
        <v>17730</v>
      </c>
      <c r="B1362" s="44" t="s">
        <v>9833</v>
      </c>
      <c r="C1362" s="44" t="s">
        <v>9834</v>
      </c>
      <c r="D1362" s="44" t="s">
        <v>17731</v>
      </c>
      <c r="E1362" s="44"/>
      <c r="F1362" s="44"/>
      <c r="G1362" s="44" t="s">
        <v>14882</v>
      </c>
      <c r="H1362" s="44" t="s">
        <v>14872</v>
      </c>
      <c r="I1362" s="44" t="s">
        <v>14883</v>
      </c>
      <c r="J1362" s="44" t="s">
        <v>14874</v>
      </c>
      <c r="K1362" s="44" t="s">
        <v>14875</v>
      </c>
      <c r="L1362" s="44" t="s">
        <v>9839</v>
      </c>
      <c r="M1362" s="44" t="s">
        <v>14876</v>
      </c>
    </row>
    <row r="1363" customFormat="false" ht="22.35" hidden="false" customHeight="false" outlineLevel="0" collapsed="false">
      <c r="A1363" s="44" t="s">
        <v>17732</v>
      </c>
      <c r="B1363" s="44" t="s">
        <v>9833</v>
      </c>
      <c r="C1363" s="44" t="s">
        <v>9834</v>
      </c>
      <c r="D1363" s="44" t="s">
        <v>14900</v>
      </c>
      <c r="E1363" s="44" t="s">
        <v>254</v>
      </c>
      <c r="F1363" s="44" t="s">
        <v>255</v>
      </c>
      <c r="G1363" s="44" t="s">
        <v>14871</v>
      </c>
      <c r="H1363" s="44" t="s">
        <v>14872</v>
      </c>
      <c r="I1363" s="44" t="s">
        <v>14879</v>
      </c>
      <c r="J1363" s="44" t="s">
        <v>14874</v>
      </c>
      <c r="K1363" s="44" t="s">
        <v>14875</v>
      </c>
      <c r="L1363" s="44" t="s">
        <v>9839</v>
      </c>
      <c r="M1363" s="44" t="s">
        <v>14876</v>
      </c>
    </row>
    <row r="1364" customFormat="false" ht="22.35" hidden="false" customHeight="false" outlineLevel="0" collapsed="false">
      <c r="A1364" s="44" t="s">
        <v>17733</v>
      </c>
      <c r="B1364" s="44" t="s">
        <v>9833</v>
      </c>
      <c r="C1364" s="44" t="s">
        <v>9834</v>
      </c>
      <c r="D1364" s="44" t="s">
        <v>17734</v>
      </c>
      <c r="E1364" s="44" t="s">
        <v>259</v>
      </c>
      <c r="F1364" s="44" t="s">
        <v>260</v>
      </c>
      <c r="G1364" s="44" t="s">
        <v>14871</v>
      </c>
      <c r="H1364" s="44" t="s">
        <v>14872</v>
      </c>
      <c r="I1364" s="44" t="s">
        <v>14879</v>
      </c>
      <c r="J1364" s="44" t="s">
        <v>14874</v>
      </c>
      <c r="K1364" s="44" t="s">
        <v>14875</v>
      </c>
      <c r="L1364" s="44" t="s">
        <v>9839</v>
      </c>
      <c r="M1364" s="44" t="s">
        <v>14876</v>
      </c>
    </row>
    <row r="1365" customFormat="false" ht="22.35" hidden="false" customHeight="false" outlineLevel="0" collapsed="false">
      <c r="A1365" s="44" t="s">
        <v>17735</v>
      </c>
      <c r="B1365" s="44" t="s">
        <v>9833</v>
      </c>
      <c r="C1365" s="44" t="s">
        <v>9834</v>
      </c>
      <c r="D1365" s="44" t="s">
        <v>17736</v>
      </c>
      <c r="E1365" s="44"/>
      <c r="F1365" s="44"/>
      <c r="G1365" s="44" t="s">
        <v>14882</v>
      </c>
      <c r="H1365" s="44" t="s">
        <v>14872</v>
      </c>
      <c r="I1365" s="44" t="s">
        <v>14883</v>
      </c>
      <c r="J1365" s="44" t="s">
        <v>14874</v>
      </c>
      <c r="K1365" s="44" t="s">
        <v>14875</v>
      </c>
      <c r="L1365" s="44" t="s">
        <v>9839</v>
      </c>
      <c r="M1365" s="44" t="s">
        <v>14876</v>
      </c>
    </row>
    <row r="1366" customFormat="false" ht="22.35" hidden="false" customHeight="false" outlineLevel="0" collapsed="false">
      <c r="A1366" s="44" t="s">
        <v>17737</v>
      </c>
      <c r="B1366" s="44" t="s">
        <v>9833</v>
      </c>
      <c r="C1366" s="44" t="s">
        <v>9834</v>
      </c>
      <c r="D1366" s="44" t="s">
        <v>17738</v>
      </c>
      <c r="E1366" s="44"/>
      <c r="F1366" s="44"/>
      <c r="G1366" s="44" t="s">
        <v>14882</v>
      </c>
      <c r="H1366" s="44" t="s">
        <v>14872</v>
      </c>
      <c r="I1366" s="44" t="s">
        <v>14883</v>
      </c>
      <c r="J1366" s="44" t="s">
        <v>14874</v>
      </c>
      <c r="K1366" s="44" t="s">
        <v>14875</v>
      </c>
      <c r="L1366" s="44" t="s">
        <v>9839</v>
      </c>
      <c r="M1366" s="44" t="s">
        <v>14876</v>
      </c>
    </row>
    <row r="1367" customFormat="false" ht="22.35" hidden="false" customHeight="false" outlineLevel="0" collapsed="false">
      <c r="A1367" s="44" t="s">
        <v>17739</v>
      </c>
      <c r="B1367" s="44" t="s">
        <v>9833</v>
      </c>
      <c r="C1367" s="44" t="s">
        <v>9834</v>
      </c>
      <c r="D1367" s="44" t="s">
        <v>17740</v>
      </c>
      <c r="E1367" s="44" t="s">
        <v>215</v>
      </c>
      <c r="F1367" s="44" t="s">
        <v>216</v>
      </c>
      <c r="G1367" s="44" t="s">
        <v>14871</v>
      </c>
      <c r="H1367" s="44" t="s">
        <v>14872</v>
      </c>
      <c r="I1367" s="44" t="s">
        <v>14873</v>
      </c>
      <c r="J1367" s="44" t="s">
        <v>14874</v>
      </c>
      <c r="K1367" s="44" t="s">
        <v>14875</v>
      </c>
      <c r="L1367" s="44" t="s">
        <v>9839</v>
      </c>
      <c r="M1367" s="44" t="s">
        <v>14876</v>
      </c>
    </row>
    <row r="1368" customFormat="false" ht="22.35" hidden="false" customHeight="false" outlineLevel="0" collapsed="false">
      <c r="A1368" s="44" t="s">
        <v>17741</v>
      </c>
      <c r="B1368" s="44" t="s">
        <v>9840</v>
      </c>
      <c r="C1368" s="44" t="s">
        <v>9841</v>
      </c>
      <c r="D1368" s="44" t="s">
        <v>17742</v>
      </c>
      <c r="E1368" s="44" t="s">
        <v>1927</v>
      </c>
      <c r="F1368" s="44" t="s">
        <v>1928</v>
      </c>
      <c r="G1368" s="44" t="s">
        <v>14871</v>
      </c>
      <c r="H1368" s="44" t="s">
        <v>14872</v>
      </c>
      <c r="I1368" s="44" t="s">
        <v>14879</v>
      </c>
      <c r="J1368" s="44" t="s">
        <v>14874</v>
      </c>
      <c r="K1368" s="44" t="s">
        <v>14875</v>
      </c>
      <c r="L1368" s="44" t="s">
        <v>9845</v>
      </c>
      <c r="M1368" s="44" t="s">
        <v>14876</v>
      </c>
    </row>
    <row r="1369" customFormat="false" ht="22.35" hidden="false" customHeight="false" outlineLevel="0" collapsed="false">
      <c r="A1369" s="44" t="s">
        <v>17743</v>
      </c>
      <c r="B1369" s="44" t="s">
        <v>9840</v>
      </c>
      <c r="C1369" s="44" t="s">
        <v>9841</v>
      </c>
      <c r="D1369" s="44" t="s">
        <v>14996</v>
      </c>
      <c r="E1369" s="44" t="s">
        <v>1238</v>
      </c>
      <c r="F1369" s="44" t="s">
        <v>1239</v>
      </c>
      <c r="G1369" s="44" t="s">
        <v>14871</v>
      </c>
      <c r="H1369" s="44" t="s">
        <v>14872</v>
      </c>
      <c r="I1369" s="44" t="s">
        <v>14879</v>
      </c>
      <c r="J1369" s="44" t="s">
        <v>14874</v>
      </c>
      <c r="K1369" s="44" t="s">
        <v>14875</v>
      </c>
      <c r="L1369" s="44" t="s">
        <v>9845</v>
      </c>
      <c r="M1369" s="44" t="s">
        <v>14876</v>
      </c>
    </row>
    <row r="1370" customFormat="false" ht="22.35" hidden="false" customHeight="false" outlineLevel="0" collapsed="false">
      <c r="A1370" s="44" t="s">
        <v>17744</v>
      </c>
      <c r="B1370" s="44" t="s">
        <v>9840</v>
      </c>
      <c r="C1370" s="44" t="s">
        <v>9841</v>
      </c>
      <c r="D1370" s="44" t="s">
        <v>14900</v>
      </c>
      <c r="E1370" s="44" t="s">
        <v>254</v>
      </c>
      <c r="F1370" s="44" t="s">
        <v>255</v>
      </c>
      <c r="G1370" s="44" t="s">
        <v>14871</v>
      </c>
      <c r="H1370" s="44" t="s">
        <v>14872</v>
      </c>
      <c r="I1370" s="44" t="s">
        <v>14879</v>
      </c>
      <c r="J1370" s="44" t="s">
        <v>14874</v>
      </c>
      <c r="K1370" s="44" t="s">
        <v>14875</v>
      </c>
      <c r="L1370" s="44" t="s">
        <v>9845</v>
      </c>
      <c r="M1370" s="44" t="s">
        <v>14876</v>
      </c>
    </row>
    <row r="1371" customFormat="false" ht="22.35" hidden="false" customHeight="false" outlineLevel="0" collapsed="false">
      <c r="A1371" s="44" t="s">
        <v>17745</v>
      </c>
      <c r="B1371" s="44" t="s">
        <v>9840</v>
      </c>
      <c r="C1371" s="44" t="s">
        <v>9841</v>
      </c>
      <c r="D1371" s="44" t="s">
        <v>14885</v>
      </c>
      <c r="E1371" s="44" t="s">
        <v>180</v>
      </c>
      <c r="F1371" s="44" t="s">
        <v>47</v>
      </c>
      <c r="G1371" s="44" t="s">
        <v>14871</v>
      </c>
      <c r="H1371" s="44" t="s">
        <v>14872</v>
      </c>
      <c r="I1371" s="44" t="s">
        <v>14886</v>
      </c>
      <c r="J1371" s="44" t="s">
        <v>14874</v>
      </c>
      <c r="K1371" s="44" t="s">
        <v>14875</v>
      </c>
      <c r="L1371" s="44" t="s">
        <v>9845</v>
      </c>
      <c r="M1371" s="44" t="s">
        <v>14876</v>
      </c>
    </row>
    <row r="1372" customFormat="false" ht="22.35" hidden="false" customHeight="false" outlineLevel="0" collapsed="false">
      <c r="A1372" s="44" t="s">
        <v>17746</v>
      </c>
      <c r="B1372" s="44" t="s">
        <v>9840</v>
      </c>
      <c r="C1372" s="44" t="s">
        <v>9841</v>
      </c>
      <c r="D1372" s="44" t="s">
        <v>17747</v>
      </c>
      <c r="E1372" s="44" t="s">
        <v>3438</v>
      </c>
      <c r="F1372" s="44" t="s">
        <v>3439</v>
      </c>
      <c r="G1372" s="44" t="s">
        <v>14871</v>
      </c>
      <c r="H1372" s="44" t="s">
        <v>14872</v>
      </c>
      <c r="I1372" s="44" t="s">
        <v>14873</v>
      </c>
      <c r="J1372" s="44" t="s">
        <v>14874</v>
      </c>
      <c r="K1372" s="44" t="s">
        <v>14875</v>
      </c>
      <c r="L1372" s="44" t="s">
        <v>9845</v>
      </c>
      <c r="M1372" s="44" t="s">
        <v>14876</v>
      </c>
    </row>
    <row r="1373" customFormat="false" ht="22.35" hidden="false" customHeight="false" outlineLevel="0" collapsed="false">
      <c r="A1373" s="44" t="s">
        <v>17748</v>
      </c>
      <c r="B1373" s="44" t="s">
        <v>9840</v>
      </c>
      <c r="C1373" s="44" t="s">
        <v>9841</v>
      </c>
      <c r="D1373" s="44" t="s">
        <v>17749</v>
      </c>
      <c r="E1373" s="44"/>
      <c r="F1373" s="44"/>
      <c r="G1373" s="44" t="s">
        <v>14882</v>
      </c>
      <c r="H1373" s="44" t="s">
        <v>14872</v>
      </c>
      <c r="I1373" s="44" t="s">
        <v>14883</v>
      </c>
      <c r="J1373" s="44" t="s">
        <v>14874</v>
      </c>
      <c r="K1373" s="44" t="s">
        <v>14875</v>
      </c>
      <c r="L1373" s="44" t="s">
        <v>9845</v>
      </c>
      <c r="M1373" s="44" t="s">
        <v>14876</v>
      </c>
    </row>
    <row r="1374" customFormat="false" ht="22.35" hidden="false" customHeight="false" outlineLevel="0" collapsed="false">
      <c r="A1374" s="44" t="s">
        <v>17750</v>
      </c>
      <c r="B1374" s="44" t="s">
        <v>9846</v>
      </c>
      <c r="C1374" s="44" t="s">
        <v>9847</v>
      </c>
      <c r="D1374" s="44" t="s">
        <v>17751</v>
      </c>
      <c r="E1374" s="44"/>
      <c r="F1374" s="44"/>
      <c r="G1374" s="44" t="s">
        <v>14882</v>
      </c>
      <c r="H1374" s="44" t="s">
        <v>14872</v>
      </c>
      <c r="I1374" s="44" t="s">
        <v>14883</v>
      </c>
      <c r="J1374" s="44" t="s">
        <v>14874</v>
      </c>
      <c r="K1374" s="44" t="s">
        <v>14875</v>
      </c>
      <c r="L1374" s="44" t="s">
        <v>9850</v>
      </c>
      <c r="M1374" s="44" t="s">
        <v>14876</v>
      </c>
    </row>
    <row r="1375" customFormat="false" ht="22.35" hidden="false" customHeight="false" outlineLevel="0" collapsed="false">
      <c r="A1375" s="44" t="s">
        <v>17752</v>
      </c>
      <c r="B1375" s="44" t="s">
        <v>9846</v>
      </c>
      <c r="C1375" s="44" t="s">
        <v>9847</v>
      </c>
      <c r="D1375" s="44" t="s">
        <v>17753</v>
      </c>
      <c r="E1375" s="44"/>
      <c r="F1375" s="44"/>
      <c r="G1375" s="44" t="s">
        <v>14882</v>
      </c>
      <c r="H1375" s="44" t="s">
        <v>14872</v>
      </c>
      <c r="I1375" s="44" t="s">
        <v>14883</v>
      </c>
      <c r="J1375" s="44" t="s">
        <v>14874</v>
      </c>
      <c r="K1375" s="44" t="s">
        <v>14875</v>
      </c>
      <c r="L1375" s="44" t="s">
        <v>9850</v>
      </c>
      <c r="M1375" s="44" t="s">
        <v>14876</v>
      </c>
    </row>
    <row r="1376" customFormat="false" ht="22.35" hidden="false" customHeight="false" outlineLevel="0" collapsed="false">
      <c r="A1376" s="44" t="s">
        <v>17754</v>
      </c>
      <c r="B1376" s="44" t="s">
        <v>9846</v>
      </c>
      <c r="C1376" s="44" t="s">
        <v>9847</v>
      </c>
      <c r="D1376" s="44" t="s">
        <v>17755</v>
      </c>
      <c r="E1376" s="44"/>
      <c r="F1376" s="44"/>
      <c r="G1376" s="44" t="s">
        <v>14882</v>
      </c>
      <c r="H1376" s="44" t="s">
        <v>14872</v>
      </c>
      <c r="I1376" s="44" t="s">
        <v>14883</v>
      </c>
      <c r="J1376" s="44" t="s">
        <v>14874</v>
      </c>
      <c r="K1376" s="44" t="s">
        <v>14875</v>
      </c>
      <c r="L1376" s="44" t="s">
        <v>9850</v>
      </c>
      <c r="M1376" s="44" t="s">
        <v>14876</v>
      </c>
    </row>
    <row r="1377" customFormat="false" ht="22.35" hidden="false" customHeight="false" outlineLevel="0" collapsed="false">
      <c r="A1377" s="44" t="s">
        <v>17756</v>
      </c>
      <c r="B1377" s="44" t="s">
        <v>9846</v>
      </c>
      <c r="C1377" s="44" t="s">
        <v>9847</v>
      </c>
      <c r="D1377" s="44" t="s">
        <v>17757</v>
      </c>
      <c r="E1377" s="44"/>
      <c r="F1377" s="44"/>
      <c r="G1377" s="44" t="s">
        <v>14882</v>
      </c>
      <c r="H1377" s="44" t="s">
        <v>14872</v>
      </c>
      <c r="I1377" s="44" t="s">
        <v>14883</v>
      </c>
      <c r="J1377" s="44" t="s">
        <v>14874</v>
      </c>
      <c r="K1377" s="44" t="s">
        <v>14875</v>
      </c>
      <c r="L1377" s="44" t="s">
        <v>9850</v>
      </c>
      <c r="M1377" s="44" t="s">
        <v>14876</v>
      </c>
    </row>
    <row r="1378" customFormat="false" ht="22.35" hidden="false" customHeight="false" outlineLevel="0" collapsed="false">
      <c r="A1378" s="44" t="s">
        <v>17758</v>
      </c>
      <c r="B1378" s="44" t="s">
        <v>9846</v>
      </c>
      <c r="C1378" s="44" t="s">
        <v>9847</v>
      </c>
      <c r="D1378" s="44" t="s">
        <v>17759</v>
      </c>
      <c r="E1378" s="44" t="s">
        <v>196</v>
      </c>
      <c r="F1378" s="44" t="s">
        <v>59</v>
      </c>
      <c r="G1378" s="44" t="s">
        <v>14871</v>
      </c>
      <c r="H1378" s="44" t="s">
        <v>14872</v>
      </c>
      <c r="I1378" s="44" t="s">
        <v>14886</v>
      </c>
      <c r="J1378" s="44" t="s">
        <v>14874</v>
      </c>
      <c r="K1378" s="44" t="s">
        <v>14875</v>
      </c>
      <c r="L1378" s="44" t="s">
        <v>9850</v>
      </c>
      <c r="M1378" s="44" t="s">
        <v>14876</v>
      </c>
    </row>
    <row r="1379" customFormat="false" ht="22.35" hidden="false" customHeight="false" outlineLevel="0" collapsed="false">
      <c r="A1379" s="44" t="s">
        <v>17760</v>
      </c>
      <c r="B1379" s="44" t="s">
        <v>9846</v>
      </c>
      <c r="C1379" s="44" t="s">
        <v>9847</v>
      </c>
      <c r="D1379" s="44" t="s">
        <v>17749</v>
      </c>
      <c r="E1379" s="44"/>
      <c r="F1379" s="44"/>
      <c r="G1379" s="44" t="s">
        <v>14882</v>
      </c>
      <c r="H1379" s="44" t="s">
        <v>14872</v>
      </c>
      <c r="I1379" s="44" t="s">
        <v>14883</v>
      </c>
      <c r="J1379" s="44" t="s">
        <v>14874</v>
      </c>
      <c r="K1379" s="44" t="s">
        <v>14875</v>
      </c>
      <c r="L1379" s="44" t="s">
        <v>9850</v>
      </c>
      <c r="M1379" s="44" t="s">
        <v>14876</v>
      </c>
    </row>
    <row r="1380" customFormat="false" ht="22.35" hidden="false" customHeight="false" outlineLevel="0" collapsed="false">
      <c r="A1380" s="44" t="s">
        <v>17761</v>
      </c>
      <c r="B1380" s="44" t="s">
        <v>9851</v>
      </c>
      <c r="C1380" s="44" t="s">
        <v>9852</v>
      </c>
      <c r="D1380" s="44" t="s">
        <v>17762</v>
      </c>
      <c r="E1380" s="44" t="s">
        <v>207</v>
      </c>
      <c r="F1380" s="44" t="s">
        <v>208</v>
      </c>
      <c r="G1380" s="44" t="s">
        <v>14871</v>
      </c>
      <c r="H1380" s="44" t="s">
        <v>14872</v>
      </c>
      <c r="I1380" s="44" t="s">
        <v>14873</v>
      </c>
      <c r="J1380" s="44" t="s">
        <v>14874</v>
      </c>
      <c r="K1380" s="44" t="s">
        <v>14875</v>
      </c>
      <c r="L1380" s="44" t="s">
        <v>9855</v>
      </c>
      <c r="M1380" s="44" t="s">
        <v>14876</v>
      </c>
    </row>
    <row r="1381" customFormat="false" ht="22.35" hidden="false" customHeight="false" outlineLevel="0" collapsed="false">
      <c r="A1381" s="44" t="s">
        <v>17763</v>
      </c>
      <c r="B1381" s="44" t="s">
        <v>9851</v>
      </c>
      <c r="C1381" s="44" t="s">
        <v>9852</v>
      </c>
      <c r="D1381" s="44" t="s">
        <v>17764</v>
      </c>
      <c r="E1381" s="44" t="s">
        <v>4537</v>
      </c>
      <c r="F1381" s="44" t="s">
        <v>4538</v>
      </c>
      <c r="G1381" s="44" t="s">
        <v>14871</v>
      </c>
      <c r="H1381" s="44" t="s">
        <v>14872</v>
      </c>
      <c r="I1381" s="44" t="s">
        <v>14873</v>
      </c>
      <c r="J1381" s="44" t="s">
        <v>14874</v>
      </c>
      <c r="K1381" s="44" t="s">
        <v>14875</v>
      </c>
      <c r="L1381" s="44" t="s">
        <v>9855</v>
      </c>
      <c r="M1381" s="44" t="s">
        <v>14876</v>
      </c>
    </row>
    <row r="1382" customFormat="false" ht="22.35" hidden="false" customHeight="false" outlineLevel="0" collapsed="false">
      <c r="A1382" s="44" t="s">
        <v>17765</v>
      </c>
      <c r="B1382" s="44" t="s">
        <v>9851</v>
      </c>
      <c r="C1382" s="44" t="s">
        <v>9852</v>
      </c>
      <c r="D1382" s="44" t="s">
        <v>17766</v>
      </c>
      <c r="E1382" s="44" t="s">
        <v>4219</v>
      </c>
      <c r="F1382" s="44" t="s">
        <v>4220</v>
      </c>
      <c r="G1382" s="44" t="s">
        <v>14871</v>
      </c>
      <c r="H1382" s="44" t="s">
        <v>14872</v>
      </c>
      <c r="I1382" s="44" t="s">
        <v>14886</v>
      </c>
      <c r="J1382" s="44" t="s">
        <v>14874</v>
      </c>
      <c r="K1382" s="44" t="s">
        <v>14875</v>
      </c>
      <c r="L1382" s="44" t="s">
        <v>9855</v>
      </c>
      <c r="M1382" s="44" t="s">
        <v>14876</v>
      </c>
    </row>
    <row r="1383" customFormat="false" ht="22.35" hidden="false" customHeight="false" outlineLevel="0" collapsed="false">
      <c r="A1383" s="44" t="s">
        <v>17767</v>
      </c>
      <c r="B1383" s="44" t="s">
        <v>9851</v>
      </c>
      <c r="C1383" s="44" t="s">
        <v>9852</v>
      </c>
      <c r="D1383" s="44" t="s">
        <v>17768</v>
      </c>
      <c r="E1383" s="44"/>
      <c r="F1383" s="44"/>
      <c r="G1383" s="44" t="s">
        <v>14882</v>
      </c>
      <c r="H1383" s="44" t="s">
        <v>14872</v>
      </c>
      <c r="I1383" s="44" t="s">
        <v>14883</v>
      </c>
      <c r="J1383" s="44" t="s">
        <v>14874</v>
      </c>
      <c r="K1383" s="44" t="s">
        <v>14875</v>
      </c>
      <c r="L1383" s="44" t="s">
        <v>9855</v>
      </c>
      <c r="M1383" s="44" t="s">
        <v>14876</v>
      </c>
    </row>
    <row r="1384" customFormat="false" ht="22.35" hidden="false" customHeight="false" outlineLevel="0" collapsed="false">
      <c r="A1384" s="44" t="s">
        <v>17769</v>
      </c>
      <c r="B1384" s="44" t="s">
        <v>9851</v>
      </c>
      <c r="C1384" s="44" t="s">
        <v>9852</v>
      </c>
      <c r="D1384" s="44" t="s">
        <v>15583</v>
      </c>
      <c r="E1384" s="44" t="s">
        <v>200</v>
      </c>
      <c r="F1384" s="44" t="s">
        <v>201</v>
      </c>
      <c r="G1384" s="44" t="s">
        <v>14871</v>
      </c>
      <c r="H1384" s="44" t="s">
        <v>14872</v>
      </c>
      <c r="I1384" s="44" t="s">
        <v>14886</v>
      </c>
      <c r="J1384" s="44" t="s">
        <v>14874</v>
      </c>
      <c r="K1384" s="44" t="s">
        <v>14875</v>
      </c>
      <c r="L1384" s="44" t="s">
        <v>9855</v>
      </c>
      <c r="M1384" s="44" t="s">
        <v>14876</v>
      </c>
    </row>
    <row r="1385" customFormat="false" ht="22.35" hidden="false" customHeight="false" outlineLevel="0" collapsed="false">
      <c r="A1385" s="44" t="s">
        <v>17770</v>
      </c>
      <c r="B1385" s="44" t="s">
        <v>9851</v>
      </c>
      <c r="C1385" s="44" t="s">
        <v>9852</v>
      </c>
      <c r="D1385" s="44" t="s">
        <v>16319</v>
      </c>
      <c r="E1385" s="44" t="s">
        <v>192</v>
      </c>
      <c r="F1385" s="44" t="s">
        <v>55</v>
      </c>
      <c r="G1385" s="44" t="s">
        <v>14871</v>
      </c>
      <c r="H1385" s="44" t="s">
        <v>14872</v>
      </c>
      <c r="I1385" s="44" t="s">
        <v>14886</v>
      </c>
      <c r="J1385" s="44" t="s">
        <v>14874</v>
      </c>
      <c r="K1385" s="44" t="s">
        <v>14875</v>
      </c>
      <c r="L1385" s="44" t="s">
        <v>9855</v>
      </c>
      <c r="M1385" s="44" t="s">
        <v>14876</v>
      </c>
    </row>
    <row r="1386" customFormat="false" ht="22.35" hidden="false" customHeight="false" outlineLevel="0" collapsed="false">
      <c r="A1386" s="44" t="s">
        <v>17771</v>
      </c>
      <c r="B1386" s="44" t="s">
        <v>9856</v>
      </c>
      <c r="C1386" s="44" t="s">
        <v>9857</v>
      </c>
      <c r="D1386" s="44" t="s">
        <v>17772</v>
      </c>
      <c r="E1386" s="44" t="s">
        <v>3583</v>
      </c>
      <c r="F1386" s="44" t="s">
        <v>3584</v>
      </c>
      <c r="G1386" s="44" t="s">
        <v>14871</v>
      </c>
      <c r="H1386" s="44" t="s">
        <v>14872</v>
      </c>
      <c r="I1386" s="44" t="s">
        <v>14886</v>
      </c>
      <c r="J1386" s="44" t="s">
        <v>14874</v>
      </c>
      <c r="K1386" s="44" t="s">
        <v>14875</v>
      </c>
      <c r="L1386" s="44" t="s">
        <v>9861</v>
      </c>
      <c r="M1386" s="44" t="s">
        <v>14876</v>
      </c>
    </row>
    <row r="1387" customFormat="false" ht="22.35" hidden="false" customHeight="false" outlineLevel="0" collapsed="false">
      <c r="A1387" s="44" t="s">
        <v>17773</v>
      </c>
      <c r="B1387" s="44" t="s">
        <v>9856</v>
      </c>
      <c r="C1387" s="44" t="s">
        <v>9857</v>
      </c>
      <c r="D1387" s="44" t="s">
        <v>15308</v>
      </c>
      <c r="E1387" s="44" t="s">
        <v>1652</v>
      </c>
      <c r="F1387" s="44" t="s">
        <v>1653</v>
      </c>
      <c r="G1387" s="44" t="s">
        <v>14871</v>
      </c>
      <c r="H1387" s="44" t="s">
        <v>14872</v>
      </c>
      <c r="I1387" s="44" t="s">
        <v>14873</v>
      </c>
      <c r="J1387" s="44" t="s">
        <v>14874</v>
      </c>
      <c r="K1387" s="44" t="s">
        <v>14875</v>
      </c>
      <c r="L1387" s="44" t="s">
        <v>9861</v>
      </c>
      <c r="M1387" s="44" t="s">
        <v>14876</v>
      </c>
    </row>
    <row r="1388" customFormat="false" ht="22.35" hidden="false" customHeight="false" outlineLevel="0" collapsed="false">
      <c r="A1388" s="44" t="s">
        <v>17774</v>
      </c>
      <c r="B1388" s="44" t="s">
        <v>9856</v>
      </c>
      <c r="C1388" s="44" t="s">
        <v>9857</v>
      </c>
      <c r="D1388" s="44" t="s">
        <v>17775</v>
      </c>
      <c r="E1388" s="44"/>
      <c r="F1388" s="44"/>
      <c r="G1388" s="44" t="s">
        <v>14882</v>
      </c>
      <c r="H1388" s="44" t="s">
        <v>14872</v>
      </c>
      <c r="I1388" s="44" t="s">
        <v>14883</v>
      </c>
      <c r="J1388" s="44" t="s">
        <v>14874</v>
      </c>
      <c r="K1388" s="44" t="s">
        <v>14875</v>
      </c>
      <c r="L1388" s="44" t="s">
        <v>9861</v>
      </c>
      <c r="M1388" s="44" t="s">
        <v>14876</v>
      </c>
    </row>
    <row r="1389" customFormat="false" ht="22.35" hidden="false" customHeight="false" outlineLevel="0" collapsed="false">
      <c r="A1389" s="44" t="s">
        <v>17776</v>
      </c>
      <c r="B1389" s="44" t="s">
        <v>9856</v>
      </c>
      <c r="C1389" s="44" t="s">
        <v>9857</v>
      </c>
      <c r="D1389" s="44" t="s">
        <v>17777</v>
      </c>
      <c r="E1389" s="44" t="s">
        <v>916</v>
      </c>
      <c r="F1389" s="44" t="s">
        <v>917</v>
      </c>
      <c r="G1389" s="44" t="s">
        <v>14871</v>
      </c>
      <c r="H1389" s="44" t="s">
        <v>14872</v>
      </c>
      <c r="I1389" s="44" t="s">
        <v>14873</v>
      </c>
      <c r="J1389" s="44" t="s">
        <v>14874</v>
      </c>
      <c r="K1389" s="44" t="s">
        <v>14875</v>
      </c>
      <c r="L1389" s="44" t="s">
        <v>9861</v>
      </c>
      <c r="M1389" s="44" t="s">
        <v>14876</v>
      </c>
    </row>
    <row r="1390" customFormat="false" ht="22.35" hidden="false" customHeight="false" outlineLevel="0" collapsed="false">
      <c r="A1390" s="44" t="s">
        <v>17778</v>
      </c>
      <c r="B1390" s="44" t="s">
        <v>9856</v>
      </c>
      <c r="C1390" s="44" t="s">
        <v>9857</v>
      </c>
      <c r="D1390" s="44" t="s">
        <v>17779</v>
      </c>
      <c r="E1390" s="44"/>
      <c r="F1390" s="44"/>
      <c r="G1390" s="44" t="s">
        <v>14882</v>
      </c>
      <c r="H1390" s="44" t="s">
        <v>14872</v>
      </c>
      <c r="I1390" s="44" t="s">
        <v>14883</v>
      </c>
      <c r="J1390" s="44" t="s">
        <v>14874</v>
      </c>
      <c r="K1390" s="44" t="s">
        <v>14875</v>
      </c>
      <c r="L1390" s="44" t="s">
        <v>9861</v>
      </c>
      <c r="M1390" s="44" t="s">
        <v>14876</v>
      </c>
    </row>
    <row r="1391" customFormat="false" ht="22.35" hidden="false" customHeight="false" outlineLevel="0" collapsed="false">
      <c r="A1391" s="44" t="s">
        <v>17780</v>
      </c>
      <c r="B1391" s="44" t="s">
        <v>9856</v>
      </c>
      <c r="C1391" s="44" t="s">
        <v>9857</v>
      </c>
      <c r="D1391" s="44" t="s">
        <v>17781</v>
      </c>
      <c r="E1391" s="44"/>
      <c r="F1391" s="44"/>
      <c r="G1391" s="44" t="s">
        <v>14882</v>
      </c>
      <c r="H1391" s="44" t="s">
        <v>14872</v>
      </c>
      <c r="I1391" s="44" t="s">
        <v>14883</v>
      </c>
      <c r="J1391" s="44" t="s">
        <v>14874</v>
      </c>
      <c r="K1391" s="44" t="s">
        <v>14875</v>
      </c>
      <c r="L1391" s="44" t="s">
        <v>9861</v>
      </c>
      <c r="M1391" s="44" t="s">
        <v>14876</v>
      </c>
    </row>
    <row r="1392" customFormat="false" ht="22.35" hidden="false" customHeight="false" outlineLevel="0" collapsed="false">
      <c r="A1392" s="44" t="s">
        <v>17782</v>
      </c>
      <c r="B1392" s="44" t="s">
        <v>9856</v>
      </c>
      <c r="C1392" s="44" t="s">
        <v>9857</v>
      </c>
      <c r="D1392" s="44" t="s">
        <v>17783</v>
      </c>
      <c r="E1392" s="44" t="s">
        <v>231</v>
      </c>
      <c r="F1392" s="44" t="s">
        <v>232</v>
      </c>
      <c r="G1392" s="44" t="s">
        <v>14871</v>
      </c>
      <c r="H1392" s="44" t="s">
        <v>14872</v>
      </c>
      <c r="I1392" s="44" t="s">
        <v>14873</v>
      </c>
      <c r="J1392" s="44" t="s">
        <v>14874</v>
      </c>
      <c r="K1392" s="44" t="s">
        <v>14875</v>
      </c>
      <c r="L1392" s="44" t="s">
        <v>9861</v>
      </c>
      <c r="M1392" s="44" t="s">
        <v>14876</v>
      </c>
    </row>
    <row r="1393" customFormat="false" ht="22.35" hidden="false" customHeight="false" outlineLevel="0" collapsed="false">
      <c r="A1393" s="44" t="s">
        <v>17784</v>
      </c>
      <c r="B1393" s="44" t="s">
        <v>9862</v>
      </c>
      <c r="C1393" s="44" t="s">
        <v>9863</v>
      </c>
      <c r="D1393" s="44" t="s">
        <v>17785</v>
      </c>
      <c r="E1393" s="44" t="s">
        <v>17786</v>
      </c>
      <c r="F1393" s="44" t="s">
        <v>17787</v>
      </c>
      <c r="G1393" s="44" t="s">
        <v>14871</v>
      </c>
      <c r="H1393" s="44" t="s">
        <v>14872</v>
      </c>
      <c r="I1393" s="44" t="s">
        <v>14873</v>
      </c>
      <c r="J1393" s="44" t="s">
        <v>14874</v>
      </c>
      <c r="K1393" s="44" t="s">
        <v>14875</v>
      </c>
      <c r="L1393" s="44" t="s">
        <v>9867</v>
      </c>
      <c r="M1393" s="44" t="s">
        <v>14876</v>
      </c>
    </row>
    <row r="1394" customFormat="false" ht="22.35" hidden="false" customHeight="false" outlineLevel="0" collapsed="false">
      <c r="A1394" s="44" t="s">
        <v>17788</v>
      </c>
      <c r="B1394" s="44" t="s">
        <v>9862</v>
      </c>
      <c r="C1394" s="44" t="s">
        <v>9863</v>
      </c>
      <c r="D1394" s="44" t="s">
        <v>17789</v>
      </c>
      <c r="E1394" s="44" t="s">
        <v>1002</v>
      </c>
      <c r="F1394" s="44" t="s">
        <v>1003</v>
      </c>
      <c r="G1394" s="44" t="s">
        <v>14871</v>
      </c>
      <c r="H1394" s="44" t="s">
        <v>14872</v>
      </c>
      <c r="I1394" s="44" t="s">
        <v>14879</v>
      </c>
      <c r="J1394" s="44" t="s">
        <v>14874</v>
      </c>
      <c r="K1394" s="44" t="s">
        <v>14875</v>
      </c>
      <c r="L1394" s="44" t="s">
        <v>9867</v>
      </c>
      <c r="M1394" s="44" t="s">
        <v>14876</v>
      </c>
    </row>
    <row r="1395" customFormat="false" ht="22.35" hidden="false" customHeight="false" outlineLevel="0" collapsed="false">
      <c r="A1395" s="44" t="s">
        <v>17790</v>
      </c>
      <c r="B1395" s="44" t="s">
        <v>9862</v>
      </c>
      <c r="C1395" s="44" t="s">
        <v>9863</v>
      </c>
      <c r="D1395" s="44" t="s">
        <v>17581</v>
      </c>
      <c r="E1395" s="44" t="s">
        <v>1238</v>
      </c>
      <c r="F1395" s="44" t="s">
        <v>1239</v>
      </c>
      <c r="G1395" s="44" t="s">
        <v>14871</v>
      </c>
      <c r="H1395" s="44" t="s">
        <v>14872</v>
      </c>
      <c r="I1395" s="44" t="s">
        <v>14879</v>
      </c>
      <c r="J1395" s="44" t="s">
        <v>14874</v>
      </c>
      <c r="K1395" s="44" t="s">
        <v>14875</v>
      </c>
      <c r="L1395" s="44" t="s">
        <v>9867</v>
      </c>
      <c r="M1395" s="44" t="s">
        <v>14876</v>
      </c>
    </row>
    <row r="1396" customFormat="false" ht="22.35" hidden="false" customHeight="false" outlineLevel="0" collapsed="false">
      <c r="A1396" s="44" t="s">
        <v>17791</v>
      </c>
      <c r="B1396" s="44" t="s">
        <v>9862</v>
      </c>
      <c r="C1396" s="44" t="s">
        <v>9863</v>
      </c>
      <c r="D1396" s="44" t="s">
        <v>17792</v>
      </c>
      <c r="E1396" s="44" t="s">
        <v>1555</v>
      </c>
      <c r="F1396" s="44" t="s">
        <v>1556</v>
      </c>
      <c r="G1396" s="44" t="s">
        <v>14871</v>
      </c>
      <c r="H1396" s="44" t="s">
        <v>14872</v>
      </c>
      <c r="I1396" s="44" t="s">
        <v>14879</v>
      </c>
      <c r="J1396" s="44" t="s">
        <v>14874</v>
      </c>
      <c r="K1396" s="44" t="s">
        <v>14875</v>
      </c>
      <c r="L1396" s="44" t="s">
        <v>9867</v>
      </c>
      <c r="M1396" s="44" t="s">
        <v>14876</v>
      </c>
    </row>
    <row r="1397" customFormat="false" ht="22.35" hidden="false" customHeight="false" outlineLevel="0" collapsed="false">
      <c r="A1397" s="44" t="s">
        <v>17793</v>
      </c>
      <c r="B1397" s="44" t="s">
        <v>9862</v>
      </c>
      <c r="C1397" s="44" t="s">
        <v>9863</v>
      </c>
      <c r="D1397" s="44" t="s">
        <v>17794</v>
      </c>
      <c r="E1397" s="44" t="s">
        <v>940</v>
      </c>
      <c r="F1397" s="44" t="s">
        <v>941</v>
      </c>
      <c r="G1397" s="44" t="s">
        <v>14871</v>
      </c>
      <c r="H1397" s="44" t="s">
        <v>14872</v>
      </c>
      <c r="I1397" s="44" t="s">
        <v>14879</v>
      </c>
      <c r="J1397" s="44" t="s">
        <v>14874</v>
      </c>
      <c r="K1397" s="44" t="s">
        <v>14875</v>
      </c>
      <c r="L1397" s="44" t="s">
        <v>9867</v>
      </c>
      <c r="M1397" s="44" t="s">
        <v>14876</v>
      </c>
    </row>
    <row r="1398" customFormat="false" ht="22.35" hidden="false" customHeight="false" outlineLevel="0" collapsed="false">
      <c r="A1398" s="44" t="s">
        <v>17795</v>
      </c>
      <c r="B1398" s="44" t="s">
        <v>9862</v>
      </c>
      <c r="C1398" s="44" t="s">
        <v>9863</v>
      </c>
      <c r="D1398" s="44" t="s">
        <v>17796</v>
      </c>
      <c r="E1398" s="44" t="s">
        <v>180</v>
      </c>
      <c r="F1398" s="44" t="s">
        <v>47</v>
      </c>
      <c r="G1398" s="44" t="s">
        <v>14871</v>
      </c>
      <c r="H1398" s="44" t="s">
        <v>14872</v>
      </c>
      <c r="I1398" s="44" t="s">
        <v>14886</v>
      </c>
      <c r="J1398" s="44" t="s">
        <v>14874</v>
      </c>
      <c r="K1398" s="44" t="s">
        <v>14875</v>
      </c>
      <c r="L1398" s="44" t="s">
        <v>9867</v>
      </c>
      <c r="M1398" s="44" t="s">
        <v>14876</v>
      </c>
    </row>
    <row r="1399" customFormat="false" ht="22.35" hidden="false" customHeight="false" outlineLevel="0" collapsed="false">
      <c r="A1399" s="44" t="s">
        <v>17797</v>
      </c>
      <c r="B1399" s="44" t="s">
        <v>9868</v>
      </c>
      <c r="C1399" s="44" t="s">
        <v>9869</v>
      </c>
      <c r="D1399" s="44" t="s">
        <v>17798</v>
      </c>
      <c r="E1399" s="44" t="s">
        <v>934</v>
      </c>
      <c r="F1399" s="44" t="s">
        <v>935</v>
      </c>
      <c r="G1399" s="44" t="s">
        <v>14871</v>
      </c>
      <c r="H1399" s="44" t="s">
        <v>14872</v>
      </c>
      <c r="I1399" s="44" t="s">
        <v>14873</v>
      </c>
      <c r="J1399" s="44" t="s">
        <v>14874</v>
      </c>
      <c r="K1399" s="44" t="s">
        <v>14875</v>
      </c>
      <c r="L1399" s="44" t="s">
        <v>9872</v>
      </c>
      <c r="M1399" s="44" t="s">
        <v>14876</v>
      </c>
    </row>
    <row r="1400" customFormat="false" ht="22.35" hidden="false" customHeight="false" outlineLevel="0" collapsed="false">
      <c r="A1400" s="44" t="s">
        <v>17799</v>
      </c>
      <c r="B1400" s="44" t="s">
        <v>9868</v>
      </c>
      <c r="C1400" s="44" t="s">
        <v>9869</v>
      </c>
      <c r="D1400" s="44" t="s">
        <v>17800</v>
      </c>
      <c r="E1400" s="44" t="s">
        <v>17801</v>
      </c>
      <c r="F1400" s="44" t="s">
        <v>17802</v>
      </c>
      <c r="G1400" s="44" t="s">
        <v>14871</v>
      </c>
      <c r="H1400" s="44" t="s">
        <v>14872</v>
      </c>
      <c r="I1400" s="44" t="s">
        <v>14886</v>
      </c>
      <c r="J1400" s="44" t="s">
        <v>14874</v>
      </c>
      <c r="K1400" s="44" t="s">
        <v>14875</v>
      </c>
      <c r="L1400" s="44" t="s">
        <v>9872</v>
      </c>
      <c r="M1400" s="44" t="s">
        <v>14876</v>
      </c>
    </row>
    <row r="1401" customFormat="false" ht="22.35" hidden="false" customHeight="false" outlineLevel="0" collapsed="false">
      <c r="A1401" s="44" t="s">
        <v>17803</v>
      </c>
      <c r="B1401" s="44" t="s">
        <v>9868</v>
      </c>
      <c r="C1401" s="44" t="s">
        <v>9869</v>
      </c>
      <c r="D1401" s="44" t="s">
        <v>15454</v>
      </c>
      <c r="E1401" s="44" t="s">
        <v>215</v>
      </c>
      <c r="F1401" s="44" t="s">
        <v>216</v>
      </c>
      <c r="G1401" s="44" t="s">
        <v>14871</v>
      </c>
      <c r="H1401" s="44" t="s">
        <v>14872</v>
      </c>
      <c r="I1401" s="44" t="s">
        <v>14873</v>
      </c>
      <c r="J1401" s="44" t="s">
        <v>14874</v>
      </c>
      <c r="K1401" s="44" t="s">
        <v>14875</v>
      </c>
      <c r="L1401" s="44" t="s">
        <v>9872</v>
      </c>
      <c r="M1401" s="44" t="s">
        <v>14876</v>
      </c>
    </row>
    <row r="1402" customFormat="false" ht="22.35" hidden="false" customHeight="false" outlineLevel="0" collapsed="false">
      <c r="A1402" s="44" t="s">
        <v>17804</v>
      </c>
      <c r="B1402" s="44" t="s">
        <v>9868</v>
      </c>
      <c r="C1402" s="44" t="s">
        <v>9869</v>
      </c>
      <c r="D1402" s="44" t="s">
        <v>17805</v>
      </c>
      <c r="E1402" s="44"/>
      <c r="F1402" s="44"/>
      <c r="G1402" s="44" t="s">
        <v>14882</v>
      </c>
      <c r="H1402" s="44" t="s">
        <v>14872</v>
      </c>
      <c r="I1402" s="44" t="s">
        <v>14883</v>
      </c>
      <c r="J1402" s="44" t="s">
        <v>14874</v>
      </c>
      <c r="K1402" s="44" t="s">
        <v>14875</v>
      </c>
      <c r="L1402" s="44" t="s">
        <v>9872</v>
      </c>
      <c r="M1402" s="44" t="s">
        <v>14876</v>
      </c>
    </row>
    <row r="1403" customFormat="false" ht="22.35" hidden="false" customHeight="false" outlineLevel="0" collapsed="false">
      <c r="A1403" s="44" t="s">
        <v>17806</v>
      </c>
      <c r="B1403" s="44" t="s">
        <v>9868</v>
      </c>
      <c r="C1403" s="44" t="s">
        <v>9869</v>
      </c>
      <c r="D1403" s="44" t="s">
        <v>16054</v>
      </c>
      <c r="E1403" s="44" t="s">
        <v>16055</v>
      </c>
      <c r="F1403" s="44" t="s">
        <v>16056</v>
      </c>
      <c r="G1403" s="44" t="s">
        <v>14871</v>
      </c>
      <c r="H1403" s="44" t="s">
        <v>14872</v>
      </c>
      <c r="I1403" s="44" t="s">
        <v>14886</v>
      </c>
      <c r="J1403" s="44" t="s">
        <v>14874</v>
      </c>
      <c r="K1403" s="44" t="s">
        <v>14875</v>
      </c>
      <c r="L1403" s="44" t="s">
        <v>9872</v>
      </c>
      <c r="M1403" s="44" t="s">
        <v>14876</v>
      </c>
    </row>
    <row r="1404" customFormat="false" ht="22.35" hidden="false" customHeight="false" outlineLevel="0" collapsed="false">
      <c r="A1404" s="44" t="s">
        <v>17807</v>
      </c>
      <c r="B1404" s="44" t="s">
        <v>9868</v>
      </c>
      <c r="C1404" s="44" t="s">
        <v>9869</v>
      </c>
      <c r="D1404" s="44" t="s">
        <v>15269</v>
      </c>
      <c r="E1404" s="44"/>
      <c r="F1404" s="44"/>
      <c r="G1404" s="44" t="s">
        <v>14882</v>
      </c>
      <c r="H1404" s="44" t="s">
        <v>14872</v>
      </c>
      <c r="I1404" s="44" t="s">
        <v>14883</v>
      </c>
      <c r="J1404" s="44" t="s">
        <v>14874</v>
      </c>
      <c r="K1404" s="44" t="s">
        <v>14875</v>
      </c>
      <c r="L1404" s="44" t="s">
        <v>9872</v>
      </c>
      <c r="M1404" s="44" t="s">
        <v>14876</v>
      </c>
    </row>
    <row r="1405" customFormat="false" ht="22.35" hidden="false" customHeight="false" outlineLevel="0" collapsed="false">
      <c r="A1405" s="44" t="s">
        <v>17808</v>
      </c>
      <c r="B1405" s="44" t="s">
        <v>9873</v>
      </c>
      <c r="C1405" s="44" t="s">
        <v>9874</v>
      </c>
      <c r="D1405" s="44" t="s">
        <v>17809</v>
      </c>
      <c r="E1405" s="44" t="s">
        <v>17810</v>
      </c>
      <c r="F1405" s="44" t="s">
        <v>17811</v>
      </c>
      <c r="G1405" s="44" t="s">
        <v>14871</v>
      </c>
      <c r="H1405" s="44" t="s">
        <v>14872</v>
      </c>
      <c r="I1405" s="44" t="s">
        <v>14886</v>
      </c>
      <c r="J1405" s="44" t="s">
        <v>14874</v>
      </c>
      <c r="K1405" s="44" t="s">
        <v>14875</v>
      </c>
      <c r="L1405" s="44" t="s">
        <v>9877</v>
      </c>
      <c r="M1405" s="44" t="s">
        <v>14876</v>
      </c>
    </row>
    <row r="1406" customFormat="false" ht="22.35" hidden="false" customHeight="false" outlineLevel="0" collapsed="false">
      <c r="A1406" s="44" t="s">
        <v>17812</v>
      </c>
      <c r="B1406" s="44" t="s">
        <v>9873</v>
      </c>
      <c r="C1406" s="44" t="s">
        <v>9874</v>
      </c>
      <c r="D1406" s="44" t="s">
        <v>17813</v>
      </c>
      <c r="E1406" s="44" t="s">
        <v>3583</v>
      </c>
      <c r="F1406" s="44" t="s">
        <v>3584</v>
      </c>
      <c r="G1406" s="44" t="s">
        <v>14871</v>
      </c>
      <c r="H1406" s="44" t="s">
        <v>14872</v>
      </c>
      <c r="I1406" s="44" t="s">
        <v>14886</v>
      </c>
      <c r="J1406" s="44" t="s">
        <v>14874</v>
      </c>
      <c r="K1406" s="44" t="s">
        <v>14875</v>
      </c>
      <c r="L1406" s="44" t="s">
        <v>9877</v>
      </c>
      <c r="M1406" s="44" t="s">
        <v>14876</v>
      </c>
    </row>
    <row r="1407" customFormat="false" ht="22.35" hidden="false" customHeight="false" outlineLevel="0" collapsed="false">
      <c r="A1407" s="44" t="s">
        <v>17814</v>
      </c>
      <c r="B1407" s="44" t="s">
        <v>9873</v>
      </c>
      <c r="C1407" s="44" t="s">
        <v>9874</v>
      </c>
      <c r="D1407" s="44" t="s">
        <v>15454</v>
      </c>
      <c r="E1407" s="44" t="s">
        <v>215</v>
      </c>
      <c r="F1407" s="44" t="s">
        <v>216</v>
      </c>
      <c r="G1407" s="44" t="s">
        <v>14871</v>
      </c>
      <c r="H1407" s="44" t="s">
        <v>14872</v>
      </c>
      <c r="I1407" s="44" t="s">
        <v>14873</v>
      </c>
      <c r="J1407" s="44" t="s">
        <v>14874</v>
      </c>
      <c r="K1407" s="44" t="s">
        <v>14875</v>
      </c>
      <c r="L1407" s="44" t="s">
        <v>9877</v>
      </c>
      <c r="M1407" s="44" t="s">
        <v>14876</v>
      </c>
    </row>
    <row r="1408" customFormat="false" ht="22.35" hidden="false" customHeight="false" outlineLevel="0" collapsed="false">
      <c r="A1408" s="44" t="s">
        <v>17815</v>
      </c>
      <c r="B1408" s="44" t="s">
        <v>9873</v>
      </c>
      <c r="C1408" s="44" t="s">
        <v>9874</v>
      </c>
      <c r="D1408" s="44" t="s">
        <v>14885</v>
      </c>
      <c r="E1408" s="44" t="s">
        <v>180</v>
      </c>
      <c r="F1408" s="44" t="s">
        <v>47</v>
      </c>
      <c r="G1408" s="44" t="s">
        <v>14871</v>
      </c>
      <c r="H1408" s="44" t="s">
        <v>14872</v>
      </c>
      <c r="I1408" s="44" t="s">
        <v>14886</v>
      </c>
      <c r="J1408" s="44" t="s">
        <v>14874</v>
      </c>
      <c r="K1408" s="44" t="s">
        <v>14875</v>
      </c>
      <c r="L1408" s="44" t="s">
        <v>9877</v>
      </c>
      <c r="M1408" s="44" t="s">
        <v>14876</v>
      </c>
    </row>
    <row r="1409" customFormat="false" ht="22.35" hidden="false" customHeight="false" outlineLevel="0" collapsed="false">
      <c r="A1409" s="44" t="s">
        <v>17816</v>
      </c>
      <c r="B1409" s="44" t="s">
        <v>9873</v>
      </c>
      <c r="C1409" s="44" t="s">
        <v>9874</v>
      </c>
      <c r="D1409" s="44" t="s">
        <v>17817</v>
      </c>
      <c r="E1409" s="44"/>
      <c r="F1409" s="44"/>
      <c r="G1409" s="44" t="s">
        <v>14882</v>
      </c>
      <c r="H1409" s="44" t="s">
        <v>14872</v>
      </c>
      <c r="I1409" s="44" t="s">
        <v>14883</v>
      </c>
      <c r="J1409" s="44" t="s">
        <v>14874</v>
      </c>
      <c r="K1409" s="44" t="s">
        <v>14875</v>
      </c>
      <c r="L1409" s="44" t="s">
        <v>9877</v>
      </c>
      <c r="M1409" s="44" t="s">
        <v>14876</v>
      </c>
    </row>
    <row r="1410" customFormat="false" ht="22.35" hidden="false" customHeight="false" outlineLevel="0" collapsed="false">
      <c r="A1410" s="44" t="s">
        <v>17818</v>
      </c>
      <c r="B1410" s="44" t="s">
        <v>9878</v>
      </c>
      <c r="C1410" s="44" t="s">
        <v>9879</v>
      </c>
      <c r="D1410" s="44" t="s">
        <v>17819</v>
      </c>
      <c r="E1410" s="44" t="s">
        <v>17820</v>
      </c>
      <c r="F1410" s="44" t="s">
        <v>17821</v>
      </c>
      <c r="G1410" s="44" t="s">
        <v>14871</v>
      </c>
      <c r="H1410" s="44" t="s">
        <v>14872</v>
      </c>
      <c r="I1410" s="44" t="s">
        <v>14873</v>
      </c>
      <c r="J1410" s="44" t="s">
        <v>14874</v>
      </c>
      <c r="K1410" s="44" t="s">
        <v>14875</v>
      </c>
      <c r="L1410" s="44" t="s">
        <v>9882</v>
      </c>
      <c r="M1410" s="44" t="s">
        <v>14876</v>
      </c>
    </row>
    <row r="1411" customFormat="false" ht="22.35" hidden="false" customHeight="false" outlineLevel="0" collapsed="false">
      <c r="A1411" s="44" t="s">
        <v>17822</v>
      </c>
      <c r="B1411" s="44" t="s">
        <v>9878</v>
      </c>
      <c r="C1411" s="44" t="s">
        <v>9879</v>
      </c>
      <c r="D1411" s="44" t="s">
        <v>17823</v>
      </c>
      <c r="E1411" s="44" t="s">
        <v>1555</v>
      </c>
      <c r="F1411" s="44" t="s">
        <v>1556</v>
      </c>
      <c r="G1411" s="44" t="s">
        <v>14871</v>
      </c>
      <c r="H1411" s="44" t="s">
        <v>14872</v>
      </c>
      <c r="I1411" s="44" t="s">
        <v>14879</v>
      </c>
      <c r="J1411" s="44" t="s">
        <v>14874</v>
      </c>
      <c r="K1411" s="44" t="s">
        <v>14875</v>
      </c>
      <c r="L1411" s="44" t="s">
        <v>9882</v>
      </c>
      <c r="M1411" s="44" t="s">
        <v>14876</v>
      </c>
    </row>
    <row r="1412" customFormat="false" ht="22.35" hidden="false" customHeight="false" outlineLevel="0" collapsed="false">
      <c r="A1412" s="44" t="s">
        <v>17824</v>
      </c>
      <c r="B1412" s="44" t="s">
        <v>9878</v>
      </c>
      <c r="C1412" s="44" t="s">
        <v>9879</v>
      </c>
      <c r="D1412" s="44" t="s">
        <v>17825</v>
      </c>
      <c r="E1412" s="44" t="s">
        <v>3589</v>
      </c>
      <c r="F1412" s="44" t="s">
        <v>3590</v>
      </c>
      <c r="G1412" s="44" t="s">
        <v>14871</v>
      </c>
      <c r="H1412" s="44" t="s">
        <v>14872</v>
      </c>
      <c r="I1412" s="44" t="s">
        <v>14886</v>
      </c>
      <c r="J1412" s="44" t="s">
        <v>14874</v>
      </c>
      <c r="K1412" s="44" t="s">
        <v>14875</v>
      </c>
      <c r="L1412" s="44" t="s">
        <v>9882</v>
      </c>
      <c r="M1412" s="44" t="s">
        <v>14876</v>
      </c>
    </row>
    <row r="1413" customFormat="false" ht="22.35" hidden="false" customHeight="false" outlineLevel="0" collapsed="false">
      <c r="A1413" s="44" t="s">
        <v>17826</v>
      </c>
      <c r="B1413" s="44" t="s">
        <v>9878</v>
      </c>
      <c r="C1413" s="44" t="s">
        <v>9879</v>
      </c>
      <c r="D1413" s="44" t="s">
        <v>15026</v>
      </c>
      <c r="E1413" s="44" t="s">
        <v>522</v>
      </c>
      <c r="F1413" s="44" t="s">
        <v>523</v>
      </c>
      <c r="G1413" s="44" t="s">
        <v>14871</v>
      </c>
      <c r="H1413" s="44" t="s">
        <v>14872</v>
      </c>
      <c r="I1413" s="44" t="s">
        <v>14879</v>
      </c>
      <c r="J1413" s="44" t="s">
        <v>14874</v>
      </c>
      <c r="K1413" s="44" t="s">
        <v>14875</v>
      </c>
      <c r="L1413" s="44" t="s">
        <v>9882</v>
      </c>
      <c r="M1413" s="44" t="s">
        <v>14876</v>
      </c>
    </row>
    <row r="1414" customFormat="false" ht="22.35" hidden="false" customHeight="false" outlineLevel="0" collapsed="false">
      <c r="A1414" s="44" t="s">
        <v>17827</v>
      </c>
      <c r="B1414" s="44" t="s">
        <v>9878</v>
      </c>
      <c r="C1414" s="44" t="s">
        <v>9879</v>
      </c>
      <c r="D1414" s="44" t="s">
        <v>17828</v>
      </c>
      <c r="E1414" s="44"/>
      <c r="F1414" s="44"/>
      <c r="G1414" s="44" t="s">
        <v>14882</v>
      </c>
      <c r="H1414" s="44" t="s">
        <v>14872</v>
      </c>
      <c r="I1414" s="44" t="s">
        <v>14883</v>
      </c>
      <c r="J1414" s="44" t="s">
        <v>14874</v>
      </c>
      <c r="K1414" s="44" t="s">
        <v>14875</v>
      </c>
      <c r="L1414" s="44" t="s">
        <v>9882</v>
      </c>
      <c r="M1414" s="44" t="s">
        <v>14876</v>
      </c>
    </row>
    <row r="1415" customFormat="false" ht="22.35" hidden="false" customHeight="false" outlineLevel="0" collapsed="false">
      <c r="A1415" s="44" t="s">
        <v>17829</v>
      </c>
      <c r="B1415" s="44" t="s">
        <v>9883</v>
      </c>
      <c r="C1415" s="44" t="s">
        <v>9884</v>
      </c>
      <c r="D1415" s="44" t="s">
        <v>17830</v>
      </c>
      <c r="E1415" s="44" t="s">
        <v>17831</v>
      </c>
      <c r="F1415" s="44" t="s">
        <v>17832</v>
      </c>
      <c r="G1415" s="44" t="s">
        <v>14871</v>
      </c>
      <c r="H1415" s="44" t="s">
        <v>14872</v>
      </c>
      <c r="I1415" s="44" t="s">
        <v>14886</v>
      </c>
      <c r="J1415" s="44" t="s">
        <v>14874</v>
      </c>
      <c r="K1415" s="44" t="s">
        <v>14875</v>
      </c>
      <c r="L1415" s="44" t="s">
        <v>9888</v>
      </c>
      <c r="M1415" s="44" t="s">
        <v>14876</v>
      </c>
    </row>
    <row r="1416" customFormat="false" ht="22.35" hidden="false" customHeight="false" outlineLevel="0" collapsed="false">
      <c r="A1416" s="44" t="s">
        <v>17833</v>
      </c>
      <c r="B1416" s="44" t="s">
        <v>9883</v>
      </c>
      <c r="C1416" s="44" t="s">
        <v>9884</v>
      </c>
      <c r="D1416" s="44" t="s">
        <v>17834</v>
      </c>
      <c r="E1416" s="44"/>
      <c r="F1416" s="44"/>
      <c r="G1416" s="44" t="s">
        <v>14882</v>
      </c>
      <c r="H1416" s="44" t="s">
        <v>14872</v>
      </c>
      <c r="I1416" s="44" t="s">
        <v>14883</v>
      </c>
      <c r="J1416" s="44" t="s">
        <v>14874</v>
      </c>
      <c r="K1416" s="44" t="s">
        <v>14875</v>
      </c>
      <c r="L1416" s="44" t="s">
        <v>9888</v>
      </c>
      <c r="M1416" s="44" t="s">
        <v>14876</v>
      </c>
    </row>
    <row r="1417" customFormat="false" ht="22.35" hidden="false" customHeight="false" outlineLevel="0" collapsed="false">
      <c r="A1417" s="44" t="s">
        <v>17835</v>
      </c>
      <c r="B1417" s="44" t="s">
        <v>9883</v>
      </c>
      <c r="C1417" s="44" t="s">
        <v>9884</v>
      </c>
      <c r="D1417" s="44" t="s">
        <v>17836</v>
      </c>
      <c r="E1417" s="44"/>
      <c r="F1417" s="44"/>
      <c r="G1417" s="44" t="s">
        <v>14882</v>
      </c>
      <c r="H1417" s="44" t="s">
        <v>14872</v>
      </c>
      <c r="I1417" s="44" t="s">
        <v>14883</v>
      </c>
      <c r="J1417" s="44" t="s">
        <v>14874</v>
      </c>
      <c r="K1417" s="44" t="s">
        <v>14875</v>
      </c>
      <c r="L1417" s="44" t="s">
        <v>9888</v>
      </c>
      <c r="M1417" s="44" t="s">
        <v>14876</v>
      </c>
    </row>
    <row r="1418" customFormat="false" ht="22.35" hidden="false" customHeight="false" outlineLevel="0" collapsed="false">
      <c r="A1418" s="44" t="s">
        <v>17837</v>
      </c>
      <c r="B1418" s="44" t="s">
        <v>9883</v>
      </c>
      <c r="C1418" s="44" t="s">
        <v>9884</v>
      </c>
      <c r="D1418" s="44" t="s">
        <v>17838</v>
      </c>
      <c r="E1418" s="44"/>
      <c r="F1418" s="44"/>
      <c r="G1418" s="44" t="s">
        <v>14882</v>
      </c>
      <c r="H1418" s="44" t="s">
        <v>14872</v>
      </c>
      <c r="I1418" s="44" t="s">
        <v>14883</v>
      </c>
      <c r="J1418" s="44" t="s">
        <v>14874</v>
      </c>
      <c r="K1418" s="44" t="s">
        <v>14875</v>
      </c>
      <c r="L1418" s="44" t="s">
        <v>9888</v>
      </c>
      <c r="M1418" s="44" t="s">
        <v>14876</v>
      </c>
    </row>
    <row r="1419" customFormat="false" ht="22.35" hidden="false" customHeight="false" outlineLevel="0" collapsed="false">
      <c r="A1419" s="44" t="s">
        <v>17839</v>
      </c>
      <c r="B1419" s="44" t="s">
        <v>9883</v>
      </c>
      <c r="C1419" s="44" t="s">
        <v>9884</v>
      </c>
      <c r="D1419" s="44" t="s">
        <v>17840</v>
      </c>
      <c r="E1419" s="44"/>
      <c r="F1419" s="44"/>
      <c r="G1419" s="44" t="s">
        <v>14882</v>
      </c>
      <c r="H1419" s="44" t="s">
        <v>14872</v>
      </c>
      <c r="I1419" s="44" t="s">
        <v>14883</v>
      </c>
      <c r="J1419" s="44" t="s">
        <v>14874</v>
      </c>
      <c r="K1419" s="44" t="s">
        <v>14875</v>
      </c>
      <c r="L1419" s="44" t="s">
        <v>9888</v>
      </c>
      <c r="M1419" s="44" t="s">
        <v>14876</v>
      </c>
    </row>
    <row r="1420" customFormat="false" ht="22.35" hidden="false" customHeight="false" outlineLevel="0" collapsed="false">
      <c r="A1420" s="44" t="s">
        <v>17841</v>
      </c>
      <c r="B1420" s="44" t="s">
        <v>9889</v>
      </c>
      <c r="C1420" s="44" t="s">
        <v>9890</v>
      </c>
      <c r="D1420" s="44" t="s">
        <v>17842</v>
      </c>
      <c r="E1420" s="44"/>
      <c r="F1420" s="44"/>
      <c r="G1420" s="44" t="s">
        <v>14882</v>
      </c>
      <c r="H1420" s="44" t="s">
        <v>14872</v>
      </c>
      <c r="I1420" s="44" t="s">
        <v>14883</v>
      </c>
      <c r="J1420" s="44" t="s">
        <v>14874</v>
      </c>
      <c r="K1420" s="44" t="s">
        <v>14875</v>
      </c>
      <c r="L1420" s="44" t="s">
        <v>8192</v>
      </c>
      <c r="M1420" s="44" t="s">
        <v>14876</v>
      </c>
    </row>
    <row r="1421" customFormat="false" ht="22.35" hidden="false" customHeight="false" outlineLevel="0" collapsed="false">
      <c r="A1421" s="44" t="s">
        <v>17843</v>
      </c>
      <c r="B1421" s="44" t="s">
        <v>9889</v>
      </c>
      <c r="C1421" s="44" t="s">
        <v>9890</v>
      </c>
      <c r="D1421" s="44" t="s">
        <v>17844</v>
      </c>
      <c r="E1421" s="44"/>
      <c r="F1421" s="44"/>
      <c r="G1421" s="44" t="s">
        <v>14882</v>
      </c>
      <c r="H1421" s="44" t="s">
        <v>14872</v>
      </c>
      <c r="I1421" s="44" t="s">
        <v>14883</v>
      </c>
      <c r="J1421" s="44" t="s">
        <v>14874</v>
      </c>
      <c r="K1421" s="44" t="s">
        <v>14875</v>
      </c>
      <c r="L1421" s="44" t="s">
        <v>8192</v>
      </c>
      <c r="M1421" s="44" t="s">
        <v>14876</v>
      </c>
    </row>
    <row r="1422" customFormat="false" ht="22.35" hidden="false" customHeight="false" outlineLevel="0" collapsed="false">
      <c r="A1422" s="44" t="s">
        <v>17845</v>
      </c>
      <c r="B1422" s="44" t="s">
        <v>9889</v>
      </c>
      <c r="C1422" s="44" t="s">
        <v>9890</v>
      </c>
      <c r="D1422" s="44" t="s">
        <v>17846</v>
      </c>
      <c r="E1422" s="44"/>
      <c r="F1422" s="44"/>
      <c r="G1422" s="44" t="s">
        <v>14882</v>
      </c>
      <c r="H1422" s="44" t="s">
        <v>14872</v>
      </c>
      <c r="I1422" s="44" t="s">
        <v>14883</v>
      </c>
      <c r="J1422" s="44" t="s">
        <v>14874</v>
      </c>
      <c r="K1422" s="44" t="s">
        <v>14875</v>
      </c>
      <c r="L1422" s="44" t="s">
        <v>8192</v>
      </c>
      <c r="M1422" s="44" t="s">
        <v>14876</v>
      </c>
    </row>
    <row r="1423" customFormat="false" ht="22.35" hidden="false" customHeight="false" outlineLevel="0" collapsed="false">
      <c r="A1423" s="44" t="s">
        <v>17847</v>
      </c>
      <c r="B1423" s="44" t="s">
        <v>9889</v>
      </c>
      <c r="C1423" s="44" t="s">
        <v>9890</v>
      </c>
      <c r="D1423" s="44" t="s">
        <v>15066</v>
      </c>
      <c r="E1423" s="44" t="s">
        <v>6764</v>
      </c>
      <c r="F1423" s="44" t="s">
        <v>6765</v>
      </c>
      <c r="G1423" s="44" t="s">
        <v>14871</v>
      </c>
      <c r="H1423" s="44" t="s">
        <v>14872</v>
      </c>
      <c r="I1423" s="44" t="s">
        <v>14873</v>
      </c>
      <c r="J1423" s="44" t="s">
        <v>14874</v>
      </c>
      <c r="K1423" s="44" t="s">
        <v>14875</v>
      </c>
      <c r="L1423" s="44" t="s">
        <v>8192</v>
      </c>
      <c r="M1423" s="44" t="s">
        <v>14876</v>
      </c>
    </row>
    <row r="1424" customFormat="false" ht="22.35" hidden="false" customHeight="false" outlineLevel="0" collapsed="false">
      <c r="A1424" s="44" t="s">
        <v>17848</v>
      </c>
      <c r="B1424" s="44" t="s">
        <v>9889</v>
      </c>
      <c r="C1424" s="44" t="s">
        <v>9890</v>
      </c>
      <c r="D1424" s="44" t="s">
        <v>17849</v>
      </c>
      <c r="E1424" s="44"/>
      <c r="F1424" s="44"/>
      <c r="G1424" s="44" t="s">
        <v>14882</v>
      </c>
      <c r="H1424" s="44" t="s">
        <v>14872</v>
      </c>
      <c r="I1424" s="44" t="s">
        <v>14883</v>
      </c>
      <c r="J1424" s="44" t="s">
        <v>14874</v>
      </c>
      <c r="K1424" s="44" t="s">
        <v>14875</v>
      </c>
      <c r="L1424" s="44" t="s">
        <v>8192</v>
      </c>
      <c r="M1424" s="44" t="s">
        <v>14876</v>
      </c>
    </row>
    <row r="1425" customFormat="false" ht="22.35" hidden="false" customHeight="false" outlineLevel="0" collapsed="false">
      <c r="A1425" s="44" t="s">
        <v>17850</v>
      </c>
      <c r="B1425" s="44" t="s">
        <v>9889</v>
      </c>
      <c r="C1425" s="44" t="s">
        <v>9890</v>
      </c>
      <c r="D1425" s="44" t="s">
        <v>17851</v>
      </c>
      <c r="E1425" s="44"/>
      <c r="F1425" s="44"/>
      <c r="G1425" s="44" t="s">
        <v>14882</v>
      </c>
      <c r="H1425" s="44" t="s">
        <v>14872</v>
      </c>
      <c r="I1425" s="44" t="s">
        <v>14883</v>
      </c>
      <c r="J1425" s="44" t="s">
        <v>14874</v>
      </c>
      <c r="K1425" s="44" t="s">
        <v>14875</v>
      </c>
      <c r="L1425" s="44" t="s">
        <v>8192</v>
      </c>
      <c r="M1425" s="44" t="s">
        <v>14876</v>
      </c>
    </row>
    <row r="1426" customFormat="false" ht="22.35" hidden="false" customHeight="false" outlineLevel="0" collapsed="false">
      <c r="A1426" s="44" t="s">
        <v>17852</v>
      </c>
      <c r="B1426" s="44" t="s">
        <v>9889</v>
      </c>
      <c r="C1426" s="44" t="s">
        <v>9890</v>
      </c>
      <c r="D1426" s="44" t="s">
        <v>17853</v>
      </c>
      <c r="E1426" s="44" t="s">
        <v>5906</v>
      </c>
      <c r="F1426" s="44" t="s">
        <v>130</v>
      </c>
      <c r="G1426" s="44" t="s">
        <v>14871</v>
      </c>
      <c r="H1426" s="44" t="s">
        <v>14872</v>
      </c>
      <c r="I1426" s="44" t="s">
        <v>14886</v>
      </c>
      <c r="J1426" s="44" t="s">
        <v>14874</v>
      </c>
      <c r="K1426" s="44" t="s">
        <v>14875</v>
      </c>
      <c r="L1426" s="44" t="s">
        <v>8192</v>
      </c>
      <c r="M1426" s="44" t="s">
        <v>14876</v>
      </c>
    </row>
    <row r="1427" customFormat="false" ht="22.35" hidden="false" customHeight="false" outlineLevel="0" collapsed="false">
      <c r="A1427" s="44" t="s">
        <v>17854</v>
      </c>
      <c r="B1427" s="44" t="s">
        <v>9889</v>
      </c>
      <c r="C1427" s="44" t="s">
        <v>9890</v>
      </c>
      <c r="D1427" s="44" t="s">
        <v>17855</v>
      </c>
      <c r="E1427" s="44"/>
      <c r="F1427" s="44"/>
      <c r="G1427" s="44" t="s">
        <v>14882</v>
      </c>
      <c r="H1427" s="44" t="s">
        <v>14872</v>
      </c>
      <c r="I1427" s="44" t="s">
        <v>14883</v>
      </c>
      <c r="J1427" s="44" t="s">
        <v>14874</v>
      </c>
      <c r="K1427" s="44" t="s">
        <v>14875</v>
      </c>
      <c r="L1427" s="44" t="s">
        <v>8192</v>
      </c>
      <c r="M1427" s="44" t="s">
        <v>14876</v>
      </c>
    </row>
    <row r="1428" customFormat="false" ht="22.35" hidden="false" customHeight="false" outlineLevel="0" collapsed="false">
      <c r="A1428" s="44" t="s">
        <v>17856</v>
      </c>
      <c r="B1428" s="44" t="s">
        <v>9898</v>
      </c>
      <c r="C1428" s="44" t="s">
        <v>9899</v>
      </c>
      <c r="D1428" s="44" t="s">
        <v>17857</v>
      </c>
      <c r="E1428" s="44"/>
      <c r="F1428" s="44"/>
      <c r="G1428" s="44" t="s">
        <v>14882</v>
      </c>
      <c r="H1428" s="44" t="s">
        <v>14872</v>
      </c>
      <c r="I1428" s="44" t="s">
        <v>14883</v>
      </c>
      <c r="J1428" s="44" t="s">
        <v>14874</v>
      </c>
      <c r="K1428" s="44" t="s">
        <v>14875</v>
      </c>
      <c r="L1428" s="44" t="s">
        <v>9906</v>
      </c>
      <c r="M1428" s="44" t="s">
        <v>14876</v>
      </c>
    </row>
    <row r="1429" customFormat="false" ht="22.35" hidden="false" customHeight="false" outlineLevel="0" collapsed="false">
      <c r="A1429" s="44" t="s">
        <v>17858</v>
      </c>
      <c r="B1429" s="44" t="s">
        <v>9898</v>
      </c>
      <c r="C1429" s="44" t="s">
        <v>9899</v>
      </c>
      <c r="D1429" s="44" t="s">
        <v>17859</v>
      </c>
      <c r="E1429" s="44"/>
      <c r="F1429" s="44"/>
      <c r="G1429" s="44" t="s">
        <v>14882</v>
      </c>
      <c r="H1429" s="44" t="s">
        <v>14872</v>
      </c>
      <c r="I1429" s="44" t="s">
        <v>14883</v>
      </c>
      <c r="J1429" s="44" t="s">
        <v>14874</v>
      </c>
      <c r="K1429" s="44" t="s">
        <v>14875</v>
      </c>
      <c r="L1429" s="44" t="s">
        <v>9906</v>
      </c>
      <c r="M1429" s="44" t="s">
        <v>14876</v>
      </c>
    </row>
    <row r="1430" customFormat="false" ht="22.35" hidden="false" customHeight="false" outlineLevel="0" collapsed="false">
      <c r="A1430" s="44" t="s">
        <v>17860</v>
      </c>
      <c r="B1430" s="44" t="s">
        <v>9898</v>
      </c>
      <c r="C1430" s="44" t="s">
        <v>9899</v>
      </c>
      <c r="D1430" s="44" t="s">
        <v>17861</v>
      </c>
      <c r="E1430" s="44"/>
      <c r="F1430" s="44"/>
      <c r="G1430" s="44" t="s">
        <v>14882</v>
      </c>
      <c r="H1430" s="44" t="s">
        <v>14872</v>
      </c>
      <c r="I1430" s="44" t="s">
        <v>14883</v>
      </c>
      <c r="J1430" s="44" t="s">
        <v>14874</v>
      </c>
      <c r="K1430" s="44" t="s">
        <v>14875</v>
      </c>
      <c r="L1430" s="44" t="s">
        <v>9906</v>
      </c>
      <c r="M1430" s="44" t="s">
        <v>14876</v>
      </c>
    </row>
    <row r="1431" customFormat="false" ht="22.35" hidden="false" customHeight="false" outlineLevel="0" collapsed="false">
      <c r="A1431" s="44" t="s">
        <v>17862</v>
      </c>
      <c r="B1431" s="44" t="s">
        <v>9898</v>
      </c>
      <c r="C1431" s="44" t="s">
        <v>9899</v>
      </c>
      <c r="D1431" s="44" t="s">
        <v>17863</v>
      </c>
      <c r="E1431" s="44"/>
      <c r="F1431" s="44"/>
      <c r="G1431" s="44" t="s">
        <v>14882</v>
      </c>
      <c r="H1431" s="44" t="s">
        <v>14872</v>
      </c>
      <c r="I1431" s="44" t="s">
        <v>14883</v>
      </c>
      <c r="J1431" s="44" t="s">
        <v>14874</v>
      </c>
      <c r="K1431" s="44" t="s">
        <v>14875</v>
      </c>
      <c r="L1431" s="44" t="s">
        <v>9906</v>
      </c>
      <c r="M1431" s="44" t="s">
        <v>14876</v>
      </c>
    </row>
    <row r="1432" customFormat="false" ht="22.35" hidden="false" customHeight="false" outlineLevel="0" collapsed="false">
      <c r="A1432" s="44" t="s">
        <v>17864</v>
      </c>
      <c r="B1432" s="44" t="s">
        <v>9898</v>
      </c>
      <c r="C1432" s="44" t="s">
        <v>9899</v>
      </c>
      <c r="D1432" s="44" t="s">
        <v>17865</v>
      </c>
      <c r="E1432" s="44" t="s">
        <v>17866</v>
      </c>
      <c r="F1432" s="44" t="s">
        <v>17867</v>
      </c>
      <c r="G1432" s="44" t="s">
        <v>14871</v>
      </c>
      <c r="H1432" s="44" t="s">
        <v>14872</v>
      </c>
      <c r="I1432" s="44" t="s">
        <v>14886</v>
      </c>
      <c r="J1432" s="44" t="s">
        <v>14874</v>
      </c>
      <c r="K1432" s="44" t="s">
        <v>14875</v>
      </c>
      <c r="L1432" s="44" t="s">
        <v>9906</v>
      </c>
      <c r="M1432" s="44" t="s">
        <v>14876</v>
      </c>
    </row>
    <row r="1433" customFormat="false" ht="22.35" hidden="false" customHeight="false" outlineLevel="0" collapsed="false">
      <c r="A1433" s="44" t="s">
        <v>17868</v>
      </c>
      <c r="B1433" s="44" t="s">
        <v>9898</v>
      </c>
      <c r="C1433" s="44" t="s">
        <v>9899</v>
      </c>
      <c r="D1433" s="44" t="s">
        <v>17463</v>
      </c>
      <c r="E1433" s="44"/>
      <c r="F1433" s="44"/>
      <c r="G1433" s="44" t="s">
        <v>14882</v>
      </c>
      <c r="H1433" s="44" t="s">
        <v>14872</v>
      </c>
      <c r="I1433" s="44" t="s">
        <v>14883</v>
      </c>
      <c r="J1433" s="44" t="s">
        <v>14874</v>
      </c>
      <c r="K1433" s="44" t="s">
        <v>14875</v>
      </c>
      <c r="L1433" s="44" t="s">
        <v>9906</v>
      </c>
      <c r="M1433" s="44" t="s">
        <v>14876</v>
      </c>
    </row>
    <row r="1434" customFormat="false" ht="22.35" hidden="false" customHeight="false" outlineLevel="0" collapsed="false">
      <c r="A1434" s="44" t="s">
        <v>17869</v>
      </c>
      <c r="B1434" s="44" t="s">
        <v>9898</v>
      </c>
      <c r="C1434" s="44" t="s">
        <v>9899</v>
      </c>
      <c r="D1434" s="44" t="s">
        <v>17870</v>
      </c>
      <c r="E1434" s="44"/>
      <c r="F1434" s="44"/>
      <c r="G1434" s="44" t="s">
        <v>14882</v>
      </c>
      <c r="H1434" s="44" t="s">
        <v>14872</v>
      </c>
      <c r="I1434" s="44" t="s">
        <v>14883</v>
      </c>
      <c r="J1434" s="44" t="s">
        <v>14874</v>
      </c>
      <c r="K1434" s="44" t="s">
        <v>14875</v>
      </c>
      <c r="L1434" s="44" t="s">
        <v>9906</v>
      </c>
      <c r="M1434" s="44" t="s">
        <v>14876</v>
      </c>
    </row>
    <row r="1435" customFormat="false" ht="22.35" hidden="false" customHeight="false" outlineLevel="0" collapsed="false">
      <c r="A1435" s="44" t="s">
        <v>17871</v>
      </c>
      <c r="B1435" s="44" t="s">
        <v>9898</v>
      </c>
      <c r="C1435" s="44" t="s">
        <v>9899</v>
      </c>
      <c r="D1435" s="44" t="s">
        <v>17872</v>
      </c>
      <c r="E1435" s="44"/>
      <c r="F1435" s="44"/>
      <c r="G1435" s="44" t="s">
        <v>14882</v>
      </c>
      <c r="H1435" s="44" t="s">
        <v>14872</v>
      </c>
      <c r="I1435" s="44" t="s">
        <v>14883</v>
      </c>
      <c r="J1435" s="44" t="s">
        <v>14874</v>
      </c>
      <c r="K1435" s="44" t="s">
        <v>14875</v>
      </c>
      <c r="L1435" s="44" t="s">
        <v>9906</v>
      </c>
      <c r="M1435" s="44" t="s">
        <v>14876</v>
      </c>
    </row>
    <row r="1436" customFormat="false" ht="22.35" hidden="false" customHeight="false" outlineLevel="0" collapsed="false">
      <c r="A1436" s="44" t="s">
        <v>17873</v>
      </c>
      <c r="B1436" s="44" t="s">
        <v>9907</v>
      </c>
      <c r="C1436" s="44" t="s">
        <v>9908</v>
      </c>
      <c r="D1436" s="44" t="s">
        <v>17874</v>
      </c>
      <c r="E1436" s="44" t="s">
        <v>494</v>
      </c>
      <c r="F1436" s="44" t="s">
        <v>495</v>
      </c>
      <c r="G1436" s="44" t="s">
        <v>14871</v>
      </c>
      <c r="H1436" s="44" t="s">
        <v>14872</v>
      </c>
      <c r="I1436" s="44" t="s">
        <v>14879</v>
      </c>
      <c r="J1436" s="44" t="s">
        <v>14874</v>
      </c>
      <c r="K1436" s="44" t="s">
        <v>14875</v>
      </c>
      <c r="L1436" s="44" t="s">
        <v>9915</v>
      </c>
      <c r="M1436" s="44" t="s">
        <v>14876</v>
      </c>
    </row>
    <row r="1437" customFormat="false" ht="22.35" hidden="false" customHeight="false" outlineLevel="0" collapsed="false">
      <c r="A1437" s="44" t="s">
        <v>17875</v>
      </c>
      <c r="B1437" s="44" t="s">
        <v>9907</v>
      </c>
      <c r="C1437" s="44" t="s">
        <v>9908</v>
      </c>
      <c r="D1437" s="44" t="s">
        <v>15113</v>
      </c>
      <c r="E1437" s="44"/>
      <c r="F1437" s="44"/>
      <c r="G1437" s="44" t="s">
        <v>14882</v>
      </c>
      <c r="H1437" s="44" t="s">
        <v>14872</v>
      </c>
      <c r="I1437" s="44" t="s">
        <v>14883</v>
      </c>
      <c r="J1437" s="44" t="s">
        <v>14874</v>
      </c>
      <c r="K1437" s="44" t="s">
        <v>14875</v>
      </c>
      <c r="L1437" s="44" t="s">
        <v>9915</v>
      </c>
      <c r="M1437" s="44" t="s">
        <v>14876</v>
      </c>
    </row>
    <row r="1438" customFormat="false" ht="22.35" hidden="false" customHeight="false" outlineLevel="0" collapsed="false">
      <c r="A1438" s="44" t="s">
        <v>17876</v>
      </c>
      <c r="B1438" s="44" t="s">
        <v>9907</v>
      </c>
      <c r="C1438" s="44" t="s">
        <v>9908</v>
      </c>
      <c r="D1438" s="44" t="s">
        <v>17877</v>
      </c>
      <c r="E1438" s="44"/>
      <c r="F1438" s="44"/>
      <c r="G1438" s="44" t="s">
        <v>14882</v>
      </c>
      <c r="H1438" s="44" t="s">
        <v>14872</v>
      </c>
      <c r="I1438" s="44" t="s">
        <v>14883</v>
      </c>
      <c r="J1438" s="44" t="s">
        <v>14874</v>
      </c>
      <c r="K1438" s="44" t="s">
        <v>14875</v>
      </c>
      <c r="L1438" s="44" t="s">
        <v>9915</v>
      </c>
      <c r="M1438" s="44" t="s">
        <v>14876</v>
      </c>
    </row>
    <row r="1439" customFormat="false" ht="22.35" hidden="false" customHeight="false" outlineLevel="0" collapsed="false">
      <c r="A1439" s="44" t="s">
        <v>17878</v>
      </c>
      <c r="B1439" s="44" t="s">
        <v>9907</v>
      </c>
      <c r="C1439" s="44" t="s">
        <v>9908</v>
      </c>
      <c r="D1439" s="44" t="s">
        <v>17879</v>
      </c>
      <c r="E1439" s="44" t="s">
        <v>231</v>
      </c>
      <c r="F1439" s="44" t="s">
        <v>232</v>
      </c>
      <c r="G1439" s="44" t="s">
        <v>14871</v>
      </c>
      <c r="H1439" s="44" t="s">
        <v>14872</v>
      </c>
      <c r="I1439" s="44" t="s">
        <v>14873</v>
      </c>
      <c r="J1439" s="44" t="s">
        <v>14874</v>
      </c>
      <c r="K1439" s="44" t="s">
        <v>14875</v>
      </c>
      <c r="L1439" s="44" t="s">
        <v>9915</v>
      </c>
      <c r="M1439" s="44" t="s">
        <v>14876</v>
      </c>
    </row>
    <row r="1440" customFormat="false" ht="22.35" hidden="false" customHeight="false" outlineLevel="0" collapsed="false">
      <c r="A1440" s="44" t="s">
        <v>17880</v>
      </c>
      <c r="B1440" s="44" t="s">
        <v>9907</v>
      </c>
      <c r="C1440" s="44" t="s">
        <v>9908</v>
      </c>
      <c r="D1440" s="44" t="s">
        <v>17881</v>
      </c>
      <c r="E1440" s="44" t="s">
        <v>5914</v>
      </c>
      <c r="F1440" s="44" t="s">
        <v>5915</v>
      </c>
      <c r="G1440" s="44" t="s">
        <v>14871</v>
      </c>
      <c r="H1440" s="44" t="s">
        <v>14872</v>
      </c>
      <c r="I1440" s="44" t="s">
        <v>14873</v>
      </c>
      <c r="J1440" s="44" t="s">
        <v>14874</v>
      </c>
      <c r="K1440" s="44" t="s">
        <v>14875</v>
      </c>
      <c r="L1440" s="44" t="s">
        <v>9915</v>
      </c>
      <c r="M1440" s="44" t="s">
        <v>14876</v>
      </c>
    </row>
    <row r="1441" customFormat="false" ht="22.35" hidden="false" customHeight="false" outlineLevel="0" collapsed="false">
      <c r="A1441" s="44" t="s">
        <v>17882</v>
      </c>
      <c r="B1441" s="44" t="s">
        <v>9907</v>
      </c>
      <c r="C1441" s="44" t="s">
        <v>9908</v>
      </c>
      <c r="D1441" s="44" t="s">
        <v>14998</v>
      </c>
      <c r="E1441" s="44" t="s">
        <v>14999</v>
      </c>
      <c r="F1441" s="44" t="s">
        <v>15000</v>
      </c>
      <c r="G1441" s="44" t="s">
        <v>14871</v>
      </c>
      <c r="H1441" s="44" t="s">
        <v>14872</v>
      </c>
      <c r="I1441" s="44" t="s">
        <v>14886</v>
      </c>
      <c r="J1441" s="44" t="s">
        <v>14874</v>
      </c>
      <c r="K1441" s="44" t="s">
        <v>14875</v>
      </c>
      <c r="L1441" s="44" t="s">
        <v>9915</v>
      </c>
      <c r="M1441" s="44" t="s">
        <v>14876</v>
      </c>
    </row>
    <row r="1442" customFormat="false" ht="22.35" hidden="false" customHeight="false" outlineLevel="0" collapsed="false">
      <c r="A1442" s="44" t="s">
        <v>17883</v>
      </c>
      <c r="B1442" s="44" t="s">
        <v>9907</v>
      </c>
      <c r="C1442" s="44" t="s">
        <v>9908</v>
      </c>
      <c r="D1442" s="44" t="s">
        <v>17884</v>
      </c>
      <c r="E1442" s="44"/>
      <c r="F1442" s="44"/>
      <c r="G1442" s="44" t="s">
        <v>14882</v>
      </c>
      <c r="H1442" s="44" t="s">
        <v>14872</v>
      </c>
      <c r="I1442" s="44" t="s">
        <v>14883</v>
      </c>
      <c r="J1442" s="44" t="s">
        <v>14874</v>
      </c>
      <c r="K1442" s="44" t="s">
        <v>14875</v>
      </c>
      <c r="L1442" s="44" t="s">
        <v>9915</v>
      </c>
      <c r="M1442" s="44" t="s">
        <v>14876</v>
      </c>
    </row>
    <row r="1443" customFormat="false" ht="22.35" hidden="false" customHeight="false" outlineLevel="0" collapsed="false">
      <c r="A1443" s="44" t="s">
        <v>17885</v>
      </c>
      <c r="B1443" s="44" t="s">
        <v>9907</v>
      </c>
      <c r="C1443" s="44" t="s">
        <v>9908</v>
      </c>
      <c r="D1443" s="44" t="s">
        <v>17886</v>
      </c>
      <c r="E1443" s="44" t="s">
        <v>211</v>
      </c>
      <c r="F1443" s="44" t="s">
        <v>212</v>
      </c>
      <c r="G1443" s="44" t="s">
        <v>14871</v>
      </c>
      <c r="H1443" s="44" t="s">
        <v>14872</v>
      </c>
      <c r="I1443" s="44" t="s">
        <v>14873</v>
      </c>
      <c r="J1443" s="44" t="s">
        <v>14874</v>
      </c>
      <c r="K1443" s="44" t="s">
        <v>14875</v>
      </c>
      <c r="L1443" s="44" t="s">
        <v>9915</v>
      </c>
      <c r="M1443" s="44" t="s">
        <v>14876</v>
      </c>
    </row>
    <row r="1444" customFormat="false" ht="22.35" hidden="false" customHeight="false" outlineLevel="0" collapsed="false">
      <c r="A1444" s="44" t="s">
        <v>17887</v>
      </c>
      <c r="B1444" s="44" t="s">
        <v>9907</v>
      </c>
      <c r="C1444" s="44" t="s">
        <v>9908</v>
      </c>
      <c r="D1444" s="44" t="s">
        <v>17888</v>
      </c>
      <c r="E1444" s="44"/>
      <c r="F1444" s="44"/>
      <c r="G1444" s="44" t="s">
        <v>14882</v>
      </c>
      <c r="H1444" s="44" t="s">
        <v>14872</v>
      </c>
      <c r="I1444" s="44" t="s">
        <v>14883</v>
      </c>
      <c r="J1444" s="44" t="s">
        <v>14874</v>
      </c>
      <c r="K1444" s="44" t="s">
        <v>14875</v>
      </c>
      <c r="L1444" s="44" t="s">
        <v>9915</v>
      </c>
      <c r="M1444" s="44" t="s">
        <v>14876</v>
      </c>
    </row>
    <row r="1445" customFormat="false" ht="22.35" hidden="false" customHeight="false" outlineLevel="0" collapsed="false">
      <c r="A1445" s="44" t="s">
        <v>17889</v>
      </c>
      <c r="B1445" s="44" t="s">
        <v>9907</v>
      </c>
      <c r="C1445" s="44" t="s">
        <v>9908</v>
      </c>
      <c r="D1445" s="44" t="s">
        <v>16526</v>
      </c>
      <c r="E1445" s="44" t="s">
        <v>2761</v>
      </c>
      <c r="F1445" s="44" t="s">
        <v>2762</v>
      </c>
      <c r="G1445" s="44" t="s">
        <v>14871</v>
      </c>
      <c r="H1445" s="44" t="s">
        <v>14872</v>
      </c>
      <c r="I1445" s="44" t="s">
        <v>14886</v>
      </c>
      <c r="J1445" s="44" t="s">
        <v>14874</v>
      </c>
      <c r="K1445" s="44" t="s">
        <v>14875</v>
      </c>
      <c r="L1445" s="44" t="s">
        <v>9915</v>
      </c>
      <c r="M1445" s="44" t="s">
        <v>14876</v>
      </c>
    </row>
    <row r="1446" customFormat="false" ht="22.35" hidden="false" customHeight="false" outlineLevel="0" collapsed="false">
      <c r="A1446" s="44" t="s">
        <v>17890</v>
      </c>
      <c r="B1446" s="44" t="s">
        <v>9907</v>
      </c>
      <c r="C1446" s="44" t="s">
        <v>9908</v>
      </c>
      <c r="D1446" s="44" t="s">
        <v>17891</v>
      </c>
      <c r="E1446" s="44"/>
      <c r="F1446" s="44"/>
      <c r="G1446" s="44" t="s">
        <v>14882</v>
      </c>
      <c r="H1446" s="44" t="s">
        <v>14872</v>
      </c>
      <c r="I1446" s="44" t="s">
        <v>14883</v>
      </c>
      <c r="J1446" s="44" t="s">
        <v>14874</v>
      </c>
      <c r="K1446" s="44" t="s">
        <v>14875</v>
      </c>
      <c r="L1446" s="44" t="s">
        <v>9915</v>
      </c>
      <c r="M1446" s="44" t="s">
        <v>14876</v>
      </c>
    </row>
    <row r="1447" customFormat="false" ht="22.35" hidden="false" customHeight="false" outlineLevel="0" collapsed="false">
      <c r="A1447" s="44" t="s">
        <v>17892</v>
      </c>
      <c r="B1447" s="44" t="s">
        <v>9907</v>
      </c>
      <c r="C1447" s="44" t="s">
        <v>9908</v>
      </c>
      <c r="D1447" s="44" t="s">
        <v>17893</v>
      </c>
      <c r="E1447" s="44"/>
      <c r="F1447" s="44"/>
      <c r="G1447" s="44" t="s">
        <v>14882</v>
      </c>
      <c r="H1447" s="44" t="s">
        <v>14872</v>
      </c>
      <c r="I1447" s="44" t="s">
        <v>14883</v>
      </c>
      <c r="J1447" s="44" t="s">
        <v>14874</v>
      </c>
      <c r="K1447" s="44" t="s">
        <v>14875</v>
      </c>
      <c r="L1447" s="44" t="s">
        <v>9915</v>
      </c>
      <c r="M1447" s="44" t="s">
        <v>14876</v>
      </c>
    </row>
    <row r="1448" customFormat="false" ht="22.35" hidden="false" customHeight="false" outlineLevel="0" collapsed="false">
      <c r="A1448" s="44" t="s">
        <v>17894</v>
      </c>
      <c r="B1448" s="44" t="s">
        <v>9907</v>
      </c>
      <c r="C1448" s="44" t="s">
        <v>9908</v>
      </c>
      <c r="D1448" s="44" t="s">
        <v>17895</v>
      </c>
      <c r="E1448" s="44"/>
      <c r="F1448" s="44"/>
      <c r="G1448" s="44" t="s">
        <v>14882</v>
      </c>
      <c r="H1448" s="44" t="s">
        <v>14872</v>
      </c>
      <c r="I1448" s="44" t="s">
        <v>14883</v>
      </c>
      <c r="J1448" s="44" t="s">
        <v>14874</v>
      </c>
      <c r="K1448" s="44" t="s">
        <v>14875</v>
      </c>
      <c r="L1448" s="44" t="s">
        <v>9915</v>
      </c>
      <c r="M1448" s="44" t="s">
        <v>14876</v>
      </c>
    </row>
    <row r="1449" customFormat="false" ht="22.35" hidden="false" customHeight="false" outlineLevel="0" collapsed="false">
      <c r="A1449" s="44" t="s">
        <v>17896</v>
      </c>
      <c r="B1449" s="44" t="s">
        <v>9907</v>
      </c>
      <c r="C1449" s="44" t="s">
        <v>9908</v>
      </c>
      <c r="D1449" s="44" t="s">
        <v>17897</v>
      </c>
      <c r="E1449" s="44"/>
      <c r="F1449" s="44"/>
      <c r="G1449" s="44" t="s">
        <v>14882</v>
      </c>
      <c r="H1449" s="44" t="s">
        <v>14872</v>
      </c>
      <c r="I1449" s="44" t="s">
        <v>14883</v>
      </c>
      <c r="J1449" s="44" t="s">
        <v>14874</v>
      </c>
      <c r="K1449" s="44" t="s">
        <v>14875</v>
      </c>
      <c r="L1449" s="44" t="s">
        <v>9915</v>
      </c>
      <c r="M1449" s="44" t="s">
        <v>14876</v>
      </c>
    </row>
    <row r="1450" customFormat="false" ht="22.35" hidden="false" customHeight="false" outlineLevel="0" collapsed="false">
      <c r="A1450" s="44" t="s">
        <v>17898</v>
      </c>
      <c r="B1450" s="44" t="s">
        <v>9907</v>
      </c>
      <c r="C1450" s="44" t="s">
        <v>9908</v>
      </c>
      <c r="D1450" s="44" t="s">
        <v>17899</v>
      </c>
      <c r="E1450" s="44"/>
      <c r="F1450" s="44"/>
      <c r="G1450" s="44" t="s">
        <v>14882</v>
      </c>
      <c r="H1450" s="44" t="s">
        <v>14872</v>
      </c>
      <c r="I1450" s="44" t="s">
        <v>14883</v>
      </c>
      <c r="J1450" s="44" t="s">
        <v>14874</v>
      </c>
      <c r="K1450" s="44" t="s">
        <v>14875</v>
      </c>
      <c r="L1450" s="44" t="s">
        <v>9915</v>
      </c>
      <c r="M1450" s="44" t="s">
        <v>14876</v>
      </c>
    </row>
    <row r="1451" customFormat="false" ht="22.35" hidden="false" customHeight="false" outlineLevel="0" collapsed="false">
      <c r="A1451" s="44" t="s">
        <v>17900</v>
      </c>
      <c r="B1451" s="44" t="s">
        <v>9916</v>
      </c>
      <c r="C1451" s="44" t="s">
        <v>9917</v>
      </c>
      <c r="D1451" s="44" t="s">
        <v>17901</v>
      </c>
      <c r="E1451" s="44" t="s">
        <v>5914</v>
      </c>
      <c r="F1451" s="44" t="s">
        <v>5915</v>
      </c>
      <c r="G1451" s="44" t="s">
        <v>14871</v>
      </c>
      <c r="H1451" s="44" t="s">
        <v>14872</v>
      </c>
      <c r="I1451" s="44" t="s">
        <v>14873</v>
      </c>
      <c r="J1451" s="44" t="s">
        <v>14874</v>
      </c>
      <c r="K1451" s="44" t="s">
        <v>14875</v>
      </c>
      <c r="L1451" s="44" t="s">
        <v>9925</v>
      </c>
      <c r="M1451" s="44" t="s">
        <v>14876</v>
      </c>
    </row>
    <row r="1452" customFormat="false" ht="22.35" hidden="false" customHeight="false" outlineLevel="0" collapsed="false">
      <c r="A1452" s="44" t="s">
        <v>17902</v>
      </c>
      <c r="B1452" s="44" t="s">
        <v>9916</v>
      </c>
      <c r="C1452" s="44" t="s">
        <v>9917</v>
      </c>
      <c r="D1452" s="44" t="s">
        <v>17903</v>
      </c>
      <c r="E1452" s="44"/>
      <c r="F1452" s="44"/>
      <c r="G1452" s="44" t="s">
        <v>14882</v>
      </c>
      <c r="H1452" s="44" t="s">
        <v>14872</v>
      </c>
      <c r="I1452" s="44" t="s">
        <v>14883</v>
      </c>
      <c r="J1452" s="44" t="s">
        <v>14874</v>
      </c>
      <c r="K1452" s="44" t="s">
        <v>14875</v>
      </c>
      <c r="L1452" s="44" t="s">
        <v>9925</v>
      </c>
      <c r="M1452" s="44" t="s">
        <v>14876</v>
      </c>
    </row>
    <row r="1453" customFormat="false" ht="22.35" hidden="false" customHeight="false" outlineLevel="0" collapsed="false">
      <c r="A1453" s="44" t="s">
        <v>17904</v>
      </c>
      <c r="B1453" s="44" t="s">
        <v>9916</v>
      </c>
      <c r="C1453" s="44" t="s">
        <v>9917</v>
      </c>
      <c r="D1453" s="44" t="s">
        <v>17905</v>
      </c>
      <c r="E1453" s="44"/>
      <c r="F1453" s="44"/>
      <c r="G1453" s="44" t="s">
        <v>14882</v>
      </c>
      <c r="H1453" s="44" t="s">
        <v>14872</v>
      </c>
      <c r="I1453" s="44" t="s">
        <v>14883</v>
      </c>
      <c r="J1453" s="44" t="s">
        <v>14874</v>
      </c>
      <c r="K1453" s="44" t="s">
        <v>14875</v>
      </c>
      <c r="L1453" s="44" t="s">
        <v>9925</v>
      </c>
      <c r="M1453" s="44" t="s">
        <v>14876</v>
      </c>
    </row>
    <row r="1454" customFormat="false" ht="22.35" hidden="false" customHeight="false" outlineLevel="0" collapsed="false">
      <c r="A1454" s="44" t="s">
        <v>17906</v>
      </c>
      <c r="B1454" s="44" t="s">
        <v>9916</v>
      </c>
      <c r="C1454" s="44" t="s">
        <v>9917</v>
      </c>
      <c r="D1454" s="44" t="s">
        <v>17907</v>
      </c>
      <c r="E1454" s="44"/>
      <c r="F1454" s="44"/>
      <c r="G1454" s="44" t="s">
        <v>14882</v>
      </c>
      <c r="H1454" s="44" t="s">
        <v>14872</v>
      </c>
      <c r="I1454" s="44" t="s">
        <v>14883</v>
      </c>
      <c r="J1454" s="44" t="s">
        <v>14874</v>
      </c>
      <c r="K1454" s="44" t="s">
        <v>14875</v>
      </c>
      <c r="L1454" s="44" t="s">
        <v>9925</v>
      </c>
      <c r="M1454" s="44" t="s">
        <v>14876</v>
      </c>
    </row>
    <row r="1455" customFormat="false" ht="22.35" hidden="false" customHeight="false" outlineLevel="0" collapsed="false">
      <c r="A1455" s="44" t="s">
        <v>17908</v>
      </c>
      <c r="B1455" s="44" t="s">
        <v>9916</v>
      </c>
      <c r="C1455" s="44" t="s">
        <v>9917</v>
      </c>
      <c r="D1455" s="44" t="s">
        <v>17909</v>
      </c>
      <c r="E1455" s="44" t="s">
        <v>6770</v>
      </c>
      <c r="F1455" s="44" t="s">
        <v>6771</v>
      </c>
      <c r="G1455" s="44" t="s">
        <v>14871</v>
      </c>
      <c r="H1455" s="44" t="s">
        <v>14872</v>
      </c>
      <c r="I1455" s="44" t="s">
        <v>14873</v>
      </c>
      <c r="J1455" s="44" t="s">
        <v>14874</v>
      </c>
      <c r="K1455" s="44" t="s">
        <v>14875</v>
      </c>
      <c r="L1455" s="44" t="s">
        <v>9925</v>
      </c>
      <c r="M1455" s="44" t="s">
        <v>14876</v>
      </c>
    </row>
    <row r="1456" customFormat="false" ht="22.35" hidden="false" customHeight="false" outlineLevel="0" collapsed="false">
      <c r="A1456" s="44" t="s">
        <v>17910</v>
      </c>
      <c r="B1456" s="44" t="s">
        <v>9916</v>
      </c>
      <c r="C1456" s="44" t="s">
        <v>9917</v>
      </c>
      <c r="D1456" s="44" t="s">
        <v>17911</v>
      </c>
      <c r="E1456" s="44"/>
      <c r="F1456" s="44"/>
      <c r="G1456" s="44" t="s">
        <v>14882</v>
      </c>
      <c r="H1456" s="44" t="s">
        <v>14872</v>
      </c>
      <c r="I1456" s="44" t="s">
        <v>14883</v>
      </c>
      <c r="J1456" s="44" t="s">
        <v>14874</v>
      </c>
      <c r="K1456" s="44" t="s">
        <v>14875</v>
      </c>
      <c r="L1456" s="44" t="s">
        <v>9925</v>
      </c>
      <c r="M1456" s="44" t="s">
        <v>14876</v>
      </c>
    </row>
    <row r="1457" customFormat="false" ht="22.35" hidden="false" customHeight="false" outlineLevel="0" collapsed="false">
      <c r="A1457" s="44" t="s">
        <v>17912</v>
      </c>
      <c r="B1457" s="44" t="s">
        <v>9916</v>
      </c>
      <c r="C1457" s="44" t="s">
        <v>9917</v>
      </c>
      <c r="D1457" s="44" t="s">
        <v>17913</v>
      </c>
      <c r="E1457" s="44" t="s">
        <v>5926</v>
      </c>
      <c r="F1457" s="44" t="s">
        <v>5927</v>
      </c>
      <c r="G1457" s="44" t="s">
        <v>14871</v>
      </c>
      <c r="H1457" s="44" t="s">
        <v>14872</v>
      </c>
      <c r="I1457" s="44" t="s">
        <v>14873</v>
      </c>
      <c r="J1457" s="44" t="s">
        <v>14874</v>
      </c>
      <c r="K1457" s="44" t="s">
        <v>14875</v>
      </c>
      <c r="L1457" s="44" t="s">
        <v>9925</v>
      </c>
      <c r="M1457" s="44" t="s">
        <v>14876</v>
      </c>
    </row>
    <row r="1458" customFormat="false" ht="22.35" hidden="false" customHeight="false" outlineLevel="0" collapsed="false">
      <c r="A1458" s="44" t="s">
        <v>17914</v>
      </c>
      <c r="B1458" s="44" t="s">
        <v>9916</v>
      </c>
      <c r="C1458" s="44" t="s">
        <v>9917</v>
      </c>
      <c r="D1458" s="44" t="s">
        <v>17915</v>
      </c>
      <c r="E1458" s="44"/>
      <c r="F1458" s="44"/>
      <c r="G1458" s="44" t="s">
        <v>14882</v>
      </c>
      <c r="H1458" s="44" t="s">
        <v>14872</v>
      </c>
      <c r="I1458" s="44" t="s">
        <v>14883</v>
      </c>
      <c r="J1458" s="44" t="s">
        <v>14874</v>
      </c>
      <c r="K1458" s="44" t="s">
        <v>14875</v>
      </c>
      <c r="L1458" s="44" t="s">
        <v>9925</v>
      </c>
      <c r="M1458" s="44" t="s">
        <v>14876</v>
      </c>
    </row>
    <row r="1459" customFormat="false" ht="22.35" hidden="false" customHeight="false" outlineLevel="0" collapsed="false">
      <c r="A1459" s="44" t="s">
        <v>17916</v>
      </c>
      <c r="B1459" s="44" t="s">
        <v>9916</v>
      </c>
      <c r="C1459" s="44" t="s">
        <v>9917</v>
      </c>
      <c r="D1459" s="44" t="s">
        <v>17917</v>
      </c>
      <c r="E1459" s="44"/>
      <c r="F1459" s="44"/>
      <c r="G1459" s="44" t="s">
        <v>14882</v>
      </c>
      <c r="H1459" s="44" t="s">
        <v>14872</v>
      </c>
      <c r="I1459" s="44" t="s">
        <v>14883</v>
      </c>
      <c r="J1459" s="44" t="s">
        <v>14874</v>
      </c>
      <c r="K1459" s="44" t="s">
        <v>14875</v>
      </c>
      <c r="L1459" s="44" t="s">
        <v>9925</v>
      </c>
      <c r="M1459" s="44" t="s">
        <v>14876</v>
      </c>
    </row>
    <row r="1460" customFormat="false" ht="22.35" hidden="false" customHeight="false" outlineLevel="0" collapsed="false">
      <c r="A1460" s="44" t="s">
        <v>17918</v>
      </c>
      <c r="B1460" s="44" t="s">
        <v>9916</v>
      </c>
      <c r="C1460" s="44" t="s">
        <v>9917</v>
      </c>
      <c r="D1460" s="44" t="s">
        <v>17919</v>
      </c>
      <c r="E1460" s="44"/>
      <c r="F1460" s="44"/>
      <c r="G1460" s="44" t="s">
        <v>14882</v>
      </c>
      <c r="H1460" s="44" t="s">
        <v>14872</v>
      </c>
      <c r="I1460" s="44" t="s">
        <v>14883</v>
      </c>
      <c r="J1460" s="44" t="s">
        <v>14874</v>
      </c>
      <c r="K1460" s="44" t="s">
        <v>14875</v>
      </c>
      <c r="L1460" s="44" t="s">
        <v>9925</v>
      </c>
      <c r="M1460" s="44" t="s">
        <v>14876</v>
      </c>
    </row>
    <row r="1461" customFormat="false" ht="22.35" hidden="false" customHeight="false" outlineLevel="0" collapsed="false">
      <c r="A1461" s="44" t="s">
        <v>17920</v>
      </c>
      <c r="B1461" s="44" t="s">
        <v>9926</v>
      </c>
      <c r="C1461" s="44" t="s">
        <v>144</v>
      </c>
      <c r="D1461" s="44" t="s">
        <v>17921</v>
      </c>
      <c r="E1461" s="44" t="s">
        <v>17922</v>
      </c>
      <c r="F1461" s="44" t="s">
        <v>17923</v>
      </c>
      <c r="G1461" s="44" t="s">
        <v>14871</v>
      </c>
      <c r="H1461" s="44" t="s">
        <v>14872</v>
      </c>
      <c r="I1461" s="44" t="s">
        <v>14886</v>
      </c>
      <c r="J1461" s="44" t="s">
        <v>14874</v>
      </c>
      <c r="K1461" s="44" t="s">
        <v>14875</v>
      </c>
      <c r="L1461" s="44" t="s">
        <v>9934</v>
      </c>
      <c r="M1461" s="44" t="s">
        <v>14876</v>
      </c>
    </row>
    <row r="1462" customFormat="false" ht="22.35" hidden="false" customHeight="false" outlineLevel="0" collapsed="false">
      <c r="A1462" s="44" t="s">
        <v>17924</v>
      </c>
      <c r="B1462" s="44" t="s">
        <v>9926</v>
      </c>
      <c r="C1462" s="44" t="s">
        <v>144</v>
      </c>
      <c r="D1462" s="44" t="s">
        <v>17925</v>
      </c>
      <c r="E1462" s="44"/>
      <c r="F1462" s="44"/>
      <c r="G1462" s="44" t="s">
        <v>14882</v>
      </c>
      <c r="H1462" s="44" t="s">
        <v>14872</v>
      </c>
      <c r="I1462" s="44" t="s">
        <v>14883</v>
      </c>
      <c r="J1462" s="44" t="s">
        <v>14874</v>
      </c>
      <c r="K1462" s="44" t="s">
        <v>14875</v>
      </c>
      <c r="L1462" s="44" t="s">
        <v>9934</v>
      </c>
      <c r="M1462" s="44" t="s">
        <v>14876</v>
      </c>
    </row>
    <row r="1463" customFormat="false" ht="22.35" hidden="false" customHeight="false" outlineLevel="0" collapsed="false">
      <c r="A1463" s="44" t="s">
        <v>17926</v>
      </c>
      <c r="B1463" s="44" t="s">
        <v>9926</v>
      </c>
      <c r="C1463" s="44" t="s">
        <v>144</v>
      </c>
      <c r="D1463" s="44" t="s">
        <v>17927</v>
      </c>
      <c r="E1463" s="44"/>
      <c r="F1463" s="44"/>
      <c r="G1463" s="44" t="s">
        <v>14882</v>
      </c>
      <c r="H1463" s="44" t="s">
        <v>14872</v>
      </c>
      <c r="I1463" s="44" t="s">
        <v>14883</v>
      </c>
      <c r="J1463" s="44" t="s">
        <v>14874</v>
      </c>
      <c r="K1463" s="44" t="s">
        <v>14875</v>
      </c>
      <c r="L1463" s="44" t="s">
        <v>9934</v>
      </c>
      <c r="M1463" s="44" t="s">
        <v>14876</v>
      </c>
    </row>
    <row r="1464" customFormat="false" ht="22.35" hidden="false" customHeight="false" outlineLevel="0" collapsed="false">
      <c r="A1464" s="44" t="s">
        <v>17928</v>
      </c>
      <c r="B1464" s="44" t="s">
        <v>9926</v>
      </c>
      <c r="C1464" s="44" t="s">
        <v>144</v>
      </c>
      <c r="D1464" s="44" t="s">
        <v>17929</v>
      </c>
      <c r="E1464" s="44" t="s">
        <v>215</v>
      </c>
      <c r="F1464" s="44" t="s">
        <v>216</v>
      </c>
      <c r="G1464" s="44" t="s">
        <v>14871</v>
      </c>
      <c r="H1464" s="44" t="s">
        <v>14872</v>
      </c>
      <c r="I1464" s="44" t="s">
        <v>14873</v>
      </c>
      <c r="J1464" s="44" t="s">
        <v>14874</v>
      </c>
      <c r="K1464" s="44" t="s">
        <v>14875</v>
      </c>
      <c r="L1464" s="44" t="s">
        <v>9934</v>
      </c>
      <c r="M1464" s="44" t="s">
        <v>14876</v>
      </c>
    </row>
    <row r="1465" customFormat="false" ht="22.35" hidden="false" customHeight="false" outlineLevel="0" collapsed="false">
      <c r="A1465" s="44" t="s">
        <v>17930</v>
      </c>
      <c r="B1465" s="44" t="s">
        <v>9926</v>
      </c>
      <c r="C1465" s="44" t="s">
        <v>144</v>
      </c>
      <c r="D1465" s="44" t="s">
        <v>17931</v>
      </c>
      <c r="E1465" s="44" t="s">
        <v>5145</v>
      </c>
      <c r="F1465" s="44" t="s">
        <v>5146</v>
      </c>
      <c r="G1465" s="44" t="s">
        <v>14871</v>
      </c>
      <c r="H1465" s="44" t="s">
        <v>14872</v>
      </c>
      <c r="I1465" s="44" t="s">
        <v>14886</v>
      </c>
      <c r="J1465" s="44" t="s">
        <v>14874</v>
      </c>
      <c r="K1465" s="44" t="s">
        <v>14875</v>
      </c>
      <c r="L1465" s="44" t="s">
        <v>9934</v>
      </c>
      <c r="M1465" s="44" t="s">
        <v>14876</v>
      </c>
    </row>
    <row r="1466" customFormat="false" ht="22.35" hidden="false" customHeight="false" outlineLevel="0" collapsed="false">
      <c r="A1466" s="44" t="s">
        <v>17932</v>
      </c>
      <c r="B1466" s="44" t="s">
        <v>9926</v>
      </c>
      <c r="C1466" s="44" t="s">
        <v>144</v>
      </c>
      <c r="D1466" s="44" t="s">
        <v>17933</v>
      </c>
      <c r="E1466" s="44"/>
      <c r="F1466" s="44"/>
      <c r="G1466" s="44" t="s">
        <v>14882</v>
      </c>
      <c r="H1466" s="44" t="s">
        <v>14872</v>
      </c>
      <c r="I1466" s="44" t="s">
        <v>14883</v>
      </c>
      <c r="J1466" s="44" t="s">
        <v>14874</v>
      </c>
      <c r="K1466" s="44" t="s">
        <v>14875</v>
      </c>
      <c r="L1466" s="44" t="s">
        <v>9934</v>
      </c>
      <c r="M1466" s="44" t="s">
        <v>14876</v>
      </c>
    </row>
  </sheetData>
  <autoFilter ref="A1:M14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7.59"/>
    <col collapsed="false" customWidth="true" hidden="false" outlineLevel="0" max="2" min="2" style="1" width="16.49"/>
    <col collapsed="false" customWidth="true" hidden="false" outlineLevel="0" max="3" min="3" style="1" width="35.17"/>
    <col collapsed="false" customWidth="true" hidden="false" outlineLevel="0" max="4" min="4" style="1" width="24.18"/>
    <col collapsed="false" customWidth="true" hidden="false" outlineLevel="0" max="5" min="5" style="1" width="16.49"/>
    <col collapsed="false" customWidth="true" hidden="false" outlineLevel="0" max="6" min="6" style="1" width="35.17"/>
    <col collapsed="false" customWidth="true" hidden="false" outlineLevel="0" max="7" min="7" style="1" width="71.44"/>
    <col collapsed="false" customWidth="true" hidden="false" outlineLevel="0" max="8" min="8" style="1" width="34.07"/>
    <col collapsed="false" customWidth="true" hidden="false" outlineLevel="0" max="9" min="9" style="1" width="41.76"/>
  </cols>
  <sheetData>
    <row r="1" customFormat="false" ht="31.5" hidden="false" customHeight="true" outlineLevel="0" collapsed="false">
      <c r="A1" s="43" t="s">
        <v>17934</v>
      </c>
      <c r="B1" s="43" t="s">
        <v>17935</v>
      </c>
      <c r="C1" s="43" t="s">
        <v>17936</v>
      </c>
      <c r="D1" s="43" t="s">
        <v>14011</v>
      </c>
      <c r="E1" s="43" t="s">
        <v>17937</v>
      </c>
      <c r="F1" s="43" t="s">
        <v>17938</v>
      </c>
      <c r="G1" s="43" t="s">
        <v>8070</v>
      </c>
      <c r="H1" s="43" t="s">
        <v>9949</v>
      </c>
      <c r="I1" s="43" t="s">
        <v>9951</v>
      </c>
    </row>
    <row r="2" customFormat="false" ht="15" hidden="false" customHeight="false" outlineLevel="0" collapsed="false">
      <c r="A2" s="44" t="s">
        <v>17939</v>
      </c>
      <c r="B2" s="44" t="s">
        <v>8272</v>
      </c>
      <c r="C2" s="44" t="s">
        <v>8273</v>
      </c>
      <c r="D2" s="44" t="s">
        <v>17940</v>
      </c>
      <c r="E2" s="44" t="s">
        <v>8311</v>
      </c>
      <c r="F2" s="44" t="s">
        <v>8312</v>
      </c>
      <c r="G2" s="44" t="s">
        <v>17941</v>
      </c>
      <c r="H2" s="44" t="s">
        <v>17942</v>
      </c>
      <c r="I2" s="44" t="s">
        <v>17943</v>
      </c>
    </row>
    <row r="3" customFormat="false" ht="15" hidden="false" customHeight="false" outlineLevel="0" collapsed="false">
      <c r="A3" s="44" t="s">
        <v>17944</v>
      </c>
      <c r="B3" s="44" t="s">
        <v>8311</v>
      </c>
      <c r="C3" s="44" t="s">
        <v>8312</v>
      </c>
      <c r="D3" s="44" t="s">
        <v>17945</v>
      </c>
      <c r="E3" s="44" t="s">
        <v>9826</v>
      </c>
      <c r="F3" s="44" t="s">
        <v>9827</v>
      </c>
      <c r="G3" s="44" t="s">
        <v>17946</v>
      </c>
      <c r="H3" s="44" t="s">
        <v>17942</v>
      </c>
      <c r="I3" s="44" t="s">
        <v>17943</v>
      </c>
    </row>
    <row r="4" customFormat="false" ht="15" hidden="false" customHeight="false" outlineLevel="0" collapsed="false">
      <c r="A4" s="44" t="s">
        <v>17947</v>
      </c>
      <c r="B4" s="44" t="s">
        <v>8272</v>
      </c>
      <c r="C4" s="44" t="s">
        <v>8273</v>
      </c>
      <c r="D4" s="44" t="s">
        <v>17945</v>
      </c>
      <c r="E4" s="44" t="s">
        <v>9833</v>
      </c>
      <c r="F4" s="44" t="s">
        <v>9834</v>
      </c>
      <c r="G4" s="44" t="s">
        <v>17948</v>
      </c>
      <c r="H4" s="44" t="s">
        <v>17942</v>
      </c>
      <c r="I4" s="44" t="s">
        <v>17943</v>
      </c>
    </row>
    <row r="5" customFormat="false" ht="15" hidden="false" customHeight="false" outlineLevel="0" collapsed="false">
      <c r="A5" s="44" t="s">
        <v>17949</v>
      </c>
      <c r="B5" s="44" t="s">
        <v>8420</v>
      </c>
      <c r="C5" s="44" t="s">
        <v>8421</v>
      </c>
      <c r="D5" s="44" t="s">
        <v>17945</v>
      </c>
      <c r="E5" s="44" t="s">
        <v>9815</v>
      </c>
      <c r="F5" s="44" t="s">
        <v>9816</v>
      </c>
      <c r="G5" s="44" t="s">
        <v>17950</v>
      </c>
      <c r="H5" s="44" t="s">
        <v>17942</v>
      </c>
      <c r="I5" s="44" t="s">
        <v>17943</v>
      </c>
    </row>
    <row r="6" customFormat="false" ht="15" hidden="false" customHeight="false" outlineLevel="0" collapsed="false">
      <c r="A6" s="44" t="s">
        <v>17951</v>
      </c>
      <c r="B6" s="44" t="s">
        <v>8420</v>
      </c>
      <c r="C6" s="44" t="s">
        <v>8421</v>
      </c>
      <c r="D6" s="44" t="s">
        <v>17945</v>
      </c>
      <c r="E6" s="44" t="s">
        <v>9822</v>
      </c>
      <c r="F6" s="44" t="s">
        <v>9823</v>
      </c>
      <c r="G6" s="44" t="s">
        <v>17952</v>
      </c>
      <c r="H6" s="44" t="s">
        <v>17942</v>
      </c>
      <c r="I6" s="44" t="s">
        <v>17943</v>
      </c>
    </row>
    <row r="7" customFormat="false" ht="15" hidden="false" customHeight="false" outlineLevel="0" collapsed="false">
      <c r="A7" s="44" t="s">
        <v>17953</v>
      </c>
      <c r="B7" s="44" t="s">
        <v>8427</v>
      </c>
      <c r="C7" s="44" t="s">
        <v>8428</v>
      </c>
      <c r="D7" s="44" t="s">
        <v>17945</v>
      </c>
      <c r="E7" s="44" t="s">
        <v>9200</v>
      </c>
      <c r="F7" s="44" t="s">
        <v>9201</v>
      </c>
      <c r="G7" s="44" t="s">
        <v>17954</v>
      </c>
      <c r="H7" s="44" t="s">
        <v>17942</v>
      </c>
      <c r="I7" s="44" t="s">
        <v>17943</v>
      </c>
    </row>
    <row r="8" customFormat="false" ht="15" hidden="false" customHeight="false" outlineLevel="0" collapsed="false">
      <c r="A8" s="44" t="s">
        <v>17955</v>
      </c>
      <c r="B8" s="44" t="s">
        <v>8427</v>
      </c>
      <c r="C8" s="44" t="s">
        <v>8428</v>
      </c>
      <c r="D8" s="44" t="s">
        <v>17945</v>
      </c>
      <c r="E8" s="44" t="s">
        <v>9840</v>
      </c>
      <c r="F8" s="44" t="s">
        <v>9841</v>
      </c>
      <c r="G8" s="44" t="s">
        <v>17956</v>
      </c>
      <c r="H8" s="44" t="s">
        <v>17942</v>
      </c>
      <c r="I8" s="44" t="s">
        <v>17943</v>
      </c>
    </row>
    <row r="9" customFormat="false" ht="15" hidden="false" customHeight="false" outlineLevel="0" collapsed="false">
      <c r="A9" s="44" t="s">
        <v>17957</v>
      </c>
      <c r="B9" s="44" t="s">
        <v>8406</v>
      </c>
      <c r="C9" s="44" t="s">
        <v>8407</v>
      </c>
      <c r="D9" s="44" t="s">
        <v>17945</v>
      </c>
      <c r="E9" s="44" t="s">
        <v>9846</v>
      </c>
      <c r="F9" s="44" t="s">
        <v>9847</v>
      </c>
      <c r="G9" s="44" t="s">
        <v>17958</v>
      </c>
      <c r="H9" s="44" t="s">
        <v>17942</v>
      </c>
      <c r="I9" s="44" t="s">
        <v>17943</v>
      </c>
    </row>
    <row r="10" customFormat="false" ht="15" hidden="false" customHeight="false" outlineLevel="0" collapsed="false">
      <c r="A10" s="44" t="s">
        <v>17959</v>
      </c>
      <c r="B10" s="44" t="s">
        <v>9702</v>
      </c>
      <c r="C10" s="44" t="s">
        <v>9703</v>
      </c>
      <c r="D10" s="44" t="s">
        <v>17960</v>
      </c>
      <c r="E10" s="44" t="s">
        <v>9883</v>
      </c>
      <c r="F10" s="44" t="s">
        <v>9884</v>
      </c>
      <c r="G10" s="44" t="s">
        <v>17961</v>
      </c>
      <c r="H10" s="44" t="s">
        <v>17942</v>
      </c>
      <c r="I10" s="44" t="s">
        <v>17943</v>
      </c>
    </row>
    <row r="11" customFormat="false" ht="15" hidden="false" customHeight="false" outlineLevel="0" collapsed="false">
      <c r="A11" s="44" t="s">
        <v>17962</v>
      </c>
      <c r="B11" s="44" t="s">
        <v>8281</v>
      </c>
      <c r="C11" s="44" t="s">
        <v>8282</v>
      </c>
      <c r="D11" s="44" t="s">
        <v>17945</v>
      </c>
      <c r="E11" s="44" t="s">
        <v>9744</v>
      </c>
      <c r="F11" s="44" t="s">
        <v>9745</v>
      </c>
      <c r="G11" s="44" t="s">
        <v>17963</v>
      </c>
      <c r="H11" s="44" t="s">
        <v>17942</v>
      </c>
      <c r="I11" s="44" t="s">
        <v>17943</v>
      </c>
    </row>
    <row r="12" customFormat="false" ht="15" hidden="false" customHeight="false" outlineLevel="0" collapsed="false">
      <c r="A12" s="44" t="s">
        <v>17964</v>
      </c>
      <c r="B12" s="44" t="s">
        <v>8109</v>
      </c>
      <c r="C12" s="44" t="s">
        <v>8110</v>
      </c>
      <c r="D12" s="44" t="s">
        <v>17965</v>
      </c>
      <c r="E12" s="44" t="s">
        <v>8325</v>
      </c>
      <c r="F12" s="44" t="s">
        <v>8326</v>
      </c>
      <c r="G12" s="44" t="s">
        <v>17966</v>
      </c>
      <c r="H12" s="44" t="s">
        <v>17942</v>
      </c>
      <c r="I12" s="44" t="s">
        <v>17943</v>
      </c>
    </row>
    <row r="13" customFormat="false" ht="15" hidden="false" customHeight="false" outlineLevel="0" collapsed="false">
      <c r="A13" s="44" t="s">
        <v>17967</v>
      </c>
      <c r="B13" s="44" t="s">
        <v>8109</v>
      </c>
      <c r="C13" s="44" t="s">
        <v>8110</v>
      </c>
      <c r="D13" s="44" t="s">
        <v>17945</v>
      </c>
      <c r="E13" s="44" t="s">
        <v>9751</v>
      </c>
      <c r="F13" s="44" t="s">
        <v>9752</v>
      </c>
      <c r="G13" s="44" t="s">
        <v>17968</v>
      </c>
      <c r="H13" s="44" t="s">
        <v>17942</v>
      </c>
      <c r="I13" s="44" t="s">
        <v>17943</v>
      </c>
    </row>
    <row r="14" customFormat="false" ht="15" hidden="false" customHeight="false" outlineLevel="0" collapsed="false">
      <c r="A14" s="44" t="s">
        <v>17969</v>
      </c>
      <c r="B14" s="44" t="s">
        <v>8340</v>
      </c>
      <c r="C14" s="44" t="s">
        <v>8341</v>
      </c>
      <c r="D14" s="44" t="s">
        <v>17970</v>
      </c>
      <c r="E14" s="44" t="s">
        <v>8690</v>
      </c>
      <c r="F14" s="44" t="s">
        <v>8691</v>
      </c>
      <c r="G14" s="44" t="s">
        <v>17971</v>
      </c>
      <c r="H14" s="44" t="s">
        <v>17942</v>
      </c>
      <c r="I14" s="44" t="s">
        <v>17943</v>
      </c>
    </row>
    <row r="15" customFormat="false" ht="15" hidden="false" customHeight="false" outlineLevel="0" collapsed="false">
      <c r="A15" s="44" t="s">
        <v>17972</v>
      </c>
      <c r="B15" s="44" t="s">
        <v>8399</v>
      </c>
      <c r="C15" s="44" t="s">
        <v>8400</v>
      </c>
      <c r="D15" s="44" t="s">
        <v>17973</v>
      </c>
      <c r="E15" s="44" t="s">
        <v>8677</v>
      </c>
      <c r="F15" s="44" t="s">
        <v>8678</v>
      </c>
      <c r="G15" s="44" t="s">
        <v>17974</v>
      </c>
      <c r="H15" s="44" t="s">
        <v>17942</v>
      </c>
      <c r="I15" s="44" t="s">
        <v>17943</v>
      </c>
    </row>
    <row r="16" customFormat="false" ht="15" hidden="false" customHeight="false" outlineLevel="0" collapsed="false">
      <c r="A16" s="44" t="s">
        <v>17975</v>
      </c>
      <c r="B16" s="44" t="s">
        <v>8183</v>
      </c>
      <c r="C16" s="44" t="s">
        <v>8184</v>
      </c>
      <c r="D16" s="44" t="s">
        <v>17976</v>
      </c>
      <c r="E16" s="44" t="s">
        <v>9889</v>
      </c>
      <c r="F16" s="44" t="s">
        <v>9890</v>
      </c>
      <c r="G16" s="44" t="s">
        <v>17977</v>
      </c>
      <c r="H16" s="44" t="s">
        <v>17942</v>
      </c>
      <c r="I16" s="44" t="s">
        <v>17943</v>
      </c>
    </row>
    <row r="17" customFormat="false" ht="15" hidden="false" customHeight="false" outlineLevel="0" collapsed="false">
      <c r="A17" s="44" t="s">
        <v>17978</v>
      </c>
      <c r="B17" s="44" t="s">
        <v>8183</v>
      </c>
      <c r="C17" s="44" t="s">
        <v>8184</v>
      </c>
      <c r="D17" s="44" t="s">
        <v>17979</v>
      </c>
      <c r="E17" s="44" t="s">
        <v>9898</v>
      </c>
      <c r="F17" s="44" t="s">
        <v>9899</v>
      </c>
      <c r="G17" s="44" t="s">
        <v>17980</v>
      </c>
      <c r="H17" s="44" t="s">
        <v>17942</v>
      </c>
      <c r="I17" s="44" t="s">
        <v>17943</v>
      </c>
    </row>
    <row r="18" customFormat="false" ht="15" hidden="false" customHeight="false" outlineLevel="0" collapsed="false">
      <c r="A18" s="44" t="s">
        <v>17981</v>
      </c>
      <c r="B18" s="44" t="s">
        <v>9889</v>
      </c>
      <c r="C18" s="44" t="s">
        <v>9890</v>
      </c>
      <c r="D18" s="44" t="s">
        <v>17979</v>
      </c>
      <c r="E18" s="44" t="s">
        <v>9898</v>
      </c>
      <c r="F18" s="44" t="s">
        <v>9899</v>
      </c>
      <c r="G18" s="44" t="s">
        <v>17982</v>
      </c>
      <c r="H18" s="44" t="s">
        <v>17942</v>
      </c>
      <c r="I18" s="44" t="s">
        <v>17943</v>
      </c>
    </row>
    <row r="19" customFormat="false" ht="15" hidden="false" customHeight="false" outlineLevel="0" collapsed="false">
      <c r="A19" s="44" t="s">
        <v>17983</v>
      </c>
      <c r="B19" s="44" t="s">
        <v>8215</v>
      </c>
      <c r="C19" s="44" t="s">
        <v>8216</v>
      </c>
      <c r="D19" s="44" t="s">
        <v>17984</v>
      </c>
      <c r="E19" s="44" t="s">
        <v>8634</v>
      </c>
      <c r="F19" s="44" t="s">
        <v>8635</v>
      </c>
      <c r="G19" s="44" t="s">
        <v>17985</v>
      </c>
      <c r="H19" s="44" t="s">
        <v>17942</v>
      </c>
      <c r="I19" s="44" t="s">
        <v>17943</v>
      </c>
    </row>
    <row r="20" customFormat="false" ht="15" hidden="false" customHeight="false" outlineLevel="0" collapsed="false">
      <c r="A20" s="44" t="s">
        <v>17986</v>
      </c>
      <c r="B20" s="44" t="s">
        <v>8215</v>
      </c>
      <c r="C20" s="44" t="s">
        <v>8216</v>
      </c>
      <c r="D20" s="44" t="s">
        <v>17984</v>
      </c>
      <c r="E20" s="44" t="s">
        <v>8642</v>
      </c>
      <c r="F20" s="44" t="s">
        <v>8643</v>
      </c>
      <c r="G20" s="44" t="s">
        <v>17987</v>
      </c>
      <c r="H20" s="44" t="s">
        <v>17942</v>
      </c>
      <c r="I20" s="44" t="s">
        <v>17943</v>
      </c>
    </row>
    <row r="21" customFormat="false" ht="15" hidden="false" customHeight="false" outlineLevel="0" collapsed="false">
      <c r="A21" s="44" t="s">
        <v>17988</v>
      </c>
      <c r="B21" s="44" t="s">
        <v>8215</v>
      </c>
      <c r="C21" s="44" t="s">
        <v>8216</v>
      </c>
      <c r="D21" s="44" t="s">
        <v>17984</v>
      </c>
      <c r="E21" s="44" t="s">
        <v>9662</v>
      </c>
      <c r="F21" s="44" t="s">
        <v>9663</v>
      </c>
      <c r="G21" s="44" t="s">
        <v>17989</v>
      </c>
      <c r="H21" s="44" t="s">
        <v>17942</v>
      </c>
      <c r="I21" s="44" t="s">
        <v>17943</v>
      </c>
    </row>
    <row r="22" customFormat="false" ht="15" hidden="false" customHeight="false" outlineLevel="0" collapsed="false">
      <c r="A22" s="44" t="s">
        <v>17990</v>
      </c>
      <c r="B22" s="44" t="s">
        <v>8201</v>
      </c>
      <c r="C22" s="44" t="s">
        <v>8202</v>
      </c>
      <c r="D22" s="44" t="s">
        <v>17991</v>
      </c>
      <c r="E22" s="44" t="s">
        <v>9907</v>
      </c>
      <c r="F22" s="44" t="s">
        <v>9908</v>
      </c>
      <c r="G22" s="44" t="s">
        <v>17992</v>
      </c>
      <c r="H22" s="44" t="s">
        <v>17942</v>
      </c>
      <c r="I22" s="44" t="s">
        <v>17943</v>
      </c>
    </row>
    <row r="23" customFormat="false" ht="15" hidden="false" customHeight="false" outlineLevel="0" collapsed="false">
      <c r="A23" s="44" t="s">
        <v>17993</v>
      </c>
      <c r="B23" s="44" t="s">
        <v>8210</v>
      </c>
      <c r="C23" s="44" t="s">
        <v>8211</v>
      </c>
      <c r="D23" s="44" t="s">
        <v>17991</v>
      </c>
      <c r="E23" s="44" t="s">
        <v>9907</v>
      </c>
      <c r="F23" s="44" t="s">
        <v>9908</v>
      </c>
      <c r="G23" s="44" t="s">
        <v>17994</v>
      </c>
      <c r="H23" s="44" t="s">
        <v>17942</v>
      </c>
      <c r="I23" s="44" t="s">
        <v>17943</v>
      </c>
    </row>
    <row r="24" customFormat="false" ht="15" hidden="false" customHeight="false" outlineLevel="0" collapsed="false">
      <c r="A24" s="44" t="s">
        <v>17995</v>
      </c>
      <c r="B24" s="44" t="s">
        <v>8718</v>
      </c>
      <c r="C24" s="44" t="s">
        <v>8719</v>
      </c>
      <c r="D24" s="44" t="s">
        <v>17996</v>
      </c>
      <c r="E24" s="44" t="s">
        <v>8727</v>
      </c>
      <c r="F24" s="44" t="s">
        <v>8728</v>
      </c>
      <c r="G24" s="44" t="s">
        <v>17997</v>
      </c>
      <c r="H24" s="44" t="s">
        <v>17942</v>
      </c>
      <c r="I24" s="44" t="s">
        <v>17943</v>
      </c>
    </row>
    <row r="25" customFormat="false" ht="15" hidden="false" customHeight="false" outlineLevel="0" collapsed="false">
      <c r="A25" s="44" t="s">
        <v>17998</v>
      </c>
      <c r="B25" s="44" t="s">
        <v>8718</v>
      </c>
      <c r="C25" s="44" t="s">
        <v>8719</v>
      </c>
      <c r="D25" s="44" t="s">
        <v>17996</v>
      </c>
      <c r="E25" s="44" t="s">
        <v>8735</v>
      </c>
      <c r="F25" s="44" t="s">
        <v>8736</v>
      </c>
      <c r="G25" s="44" t="s">
        <v>17999</v>
      </c>
      <c r="H25" s="44" t="s">
        <v>17942</v>
      </c>
      <c r="I25" s="44" t="s">
        <v>17943</v>
      </c>
    </row>
    <row r="26" customFormat="false" ht="15" hidden="false" customHeight="false" outlineLevel="0" collapsed="false">
      <c r="A26" s="44" t="s">
        <v>18000</v>
      </c>
      <c r="B26" s="44" t="s">
        <v>8718</v>
      </c>
      <c r="C26" s="44" t="s">
        <v>8719</v>
      </c>
      <c r="D26" s="44" t="s">
        <v>17996</v>
      </c>
      <c r="E26" s="44" t="s">
        <v>8742</v>
      </c>
      <c r="F26" s="44" t="s">
        <v>8743</v>
      </c>
      <c r="G26" s="44" t="s">
        <v>18001</v>
      </c>
      <c r="H26" s="44" t="s">
        <v>17942</v>
      </c>
      <c r="I26" s="44" t="s">
        <v>17943</v>
      </c>
    </row>
    <row r="27" customFormat="false" ht="15" hidden="false" customHeight="false" outlineLevel="0" collapsed="false">
      <c r="A27" s="44" t="s">
        <v>18002</v>
      </c>
      <c r="B27" s="44" t="s">
        <v>8718</v>
      </c>
      <c r="C27" s="44" t="s">
        <v>8719</v>
      </c>
      <c r="D27" s="44" t="s">
        <v>17996</v>
      </c>
      <c r="E27" s="44" t="s">
        <v>8749</v>
      </c>
      <c r="F27" s="44" t="s">
        <v>8750</v>
      </c>
      <c r="G27" s="44" t="s">
        <v>18003</v>
      </c>
      <c r="H27" s="44" t="s">
        <v>17942</v>
      </c>
      <c r="I27" s="44" t="s">
        <v>17943</v>
      </c>
    </row>
    <row r="28" customFormat="false" ht="15" hidden="false" customHeight="false" outlineLevel="0" collapsed="false">
      <c r="A28" s="44" t="s">
        <v>18004</v>
      </c>
      <c r="B28" s="44" t="s">
        <v>8718</v>
      </c>
      <c r="C28" s="44" t="s">
        <v>8719</v>
      </c>
      <c r="D28" s="44" t="s">
        <v>17996</v>
      </c>
      <c r="E28" s="44" t="s">
        <v>8754</v>
      </c>
      <c r="F28" s="44" t="s">
        <v>8755</v>
      </c>
      <c r="G28" s="44" t="s">
        <v>18005</v>
      </c>
      <c r="H28" s="44" t="s">
        <v>17942</v>
      </c>
      <c r="I28" s="44" t="s">
        <v>17943</v>
      </c>
    </row>
    <row r="29" customFormat="false" ht="15" hidden="false" customHeight="false" outlineLevel="0" collapsed="false">
      <c r="A29" s="44" t="s">
        <v>18006</v>
      </c>
      <c r="B29" s="44" t="s">
        <v>8718</v>
      </c>
      <c r="C29" s="44" t="s">
        <v>8719</v>
      </c>
      <c r="D29" s="44" t="s">
        <v>17996</v>
      </c>
      <c r="E29" s="44" t="s">
        <v>8760</v>
      </c>
      <c r="F29" s="44" t="s">
        <v>8761</v>
      </c>
      <c r="G29" s="44" t="s">
        <v>18007</v>
      </c>
      <c r="H29" s="44" t="s">
        <v>17942</v>
      </c>
      <c r="I29" s="44" t="s">
        <v>17943</v>
      </c>
    </row>
    <row r="30" customFormat="false" ht="15" hidden="false" customHeight="false" outlineLevel="0" collapsed="false">
      <c r="A30" s="44" t="s">
        <v>18008</v>
      </c>
      <c r="B30" s="44" t="s">
        <v>8718</v>
      </c>
      <c r="C30" s="44" t="s">
        <v>8719</v>
      </c>
      <c r="D30" s="44" t="s">
        <v>17996</v>
      </c>
      <c r="E30" s="44" t="s">
        <v>8767</v>
      </c>
      <c r="F30" s="44" t="s">
        <v>8768</v>
      </c>
      <c r="G30" s="44" t="s">
        <v>18009</v>
      </c>
      <c r="H30" s="44" t="s">
        <v>17942</v>
      </c>
      <c r="I30" s="44" t="s">
        <v>17943</v>
      </c>
    </row>
    <row r="31" customFormat="false" ht="15" hidden="false" customHeight="false" outlineLevel="0" collapsed="false">
      <c r="A31" s="44" t="s">
        <v>18010</v>
      </c>
      <c r="B31" s="44" t="s">
        <v>8718</v>
      </c>
      <c r="C31" s="44" t="s">
        <v>8719</v>
      </c>
      <c r="D31" s="44" t="s">
        <v>17996</v>
      </c>
      <c r="E31" s="44" t="s">
        <v>8773</v>
      </c>
      <c r="F31" s="44" t="s">
        <v>8774</v>
      </c>
      <c r="G31" s="44" t="s">
        <v>18011</v>
      </c>
      <c r="H31" s="44" t="s">
        <v>17942</v>
      </c>
      <c r="I31" s="44" t="s">
        <v>17943</v>
      </c>
    </row>
    <row r="32" customFormat="false" ht="15" hidden="false" customHeight="false" outlineLevel="0" collapsed="false">
      <c r="A32" s="44" t="s">
        <v>18012</v>
      </c>
      <c r="B32" s="44" t="s">
        <v>8718</v>
      </c>
      <c r="C32" s="44" t="s">
        <v>8719</v>
      </c>
      <c r="D32" s="44" t="s">
        <v>18013</v>
      </c>
      <c r="E32" s="44" t="s">
        <v>9065</v>
      </c>
      <c r="F32" s="44" t="s">
        <v>9066</v>
      </c>
      <c r="G32" s="44" t="s">
        <v>18014</v>
      </c>
      <c r="H32" s="44" t="s">
        <v>17942</v>
      </c>
      <c r="I32" s="44" t="s">
        <v>17943</v>
      </c>
    </row>
    <row r="33" customFormat="false" ht="15" hidden="false" customHeight="false" outlineLevel="0" collapsed="false">
      <c r="A33" s="44" t="s">
        <v>18015</v>
      </c>
      <c r="B33" s="44" t="s">
        <v>8718</v>
      </c>
      <c r="C33" s="44" t="s">
        <v>8719</v>
      </c>
      <c r="D33" s="44" t="s">
        <v>18013</v>
      </c>
      <c r="E33" s="44" t="s">
        <v>9074</v>
      </c>
      <c r="F33" s="44" t="s">
        <v>9075</v>
      </c>
      <c r="G33" s="44" t="s">
        <v>18016</v>
      </c>
      <c r="H33" s="44" t="s">
        <v>17942</v>
      </c>
      <c r="I33" s="44" t="s">
        <v>17943</v>
      </c>
    </row>
    <row r="34" customFormat="false" ht="15" hidden="false" customHeight="false" outlineLevel="0" collapsed="false">
      <c r="A34" s="44" t="s">
        <v>18017</v>
      </c>
      <c r="B34" s="44" t="s">
        <v>8760</v>
      </c>
      <c r="C34" s="44" t="s">
        <v>8761</v>
      </c>
      <c r="D34" s="44" t="s">
        <v>18013</v>
      </c>
      <c r="E34" s="44" t="s">
        <v>9081</v>
      </c>
      <c r="F34" s="44" t="s">
        <v>9082</v>
      </c>
      <c r="G34" s="44" t="s">
        <v>18018</v>
      </c>
      <c r="H34" s="44" t="s">
        <v>17942</v>
      </c>
      <c r="I34" s="44" t="s">
        <v>17943</v>
      </c>
    </row>
    <row r="35" customFormat="false" ht="15" hidden="false" customHeight="false" outlineLevel="0" collapsed="false">
      <c r="A35" s="44" t="s">
        <v>18019</v>
      </c>
      <c r="B35" s="44" t="s">
        <v>8718</v>
      </c>
      <c r="C35" s="44" t="s">
        <v>8719</v>
      </c>
      <c r="D35" s="44" t="s">
        <v>18013</v>
      </c>
      <c r="E35" s="44" t="s">
        <v>9086</v>
      </c>
      <c r="F35" s="44" t="s">
        <v>9087</v>
      </c>
      <c r="G35" s="44" t="s">
        <v>18020</v>
      </c>
      <c r="H35" s="44" t="s">
        <v>17942</v>
      </c>
      <c r="I35" s="44" t="s">
        <v>17943</v>
      </c>
    </row>
    <row r="36" customFormat="false" ht="15" hidden="false" customHeight="false" outlineLevel="0" collapsed="false">
      <c r="A36" s="44" t="s">
        <v>18021</v>
      </c>
      <c r="B36" s="44" t="s">
        <v>8779</v>
      </c>
      <c r="C36" s="44" t="s">
        <v>8780</v>
      </c>
      <c r="D36" s="44" t="s">
        <v>18013</v>
      </c>
      <c r="E36" s="44" t="s">
        <v>9111</v>
      </c>
      <c r="F36" s="44" t="s">
        <v>9112</v>
      </c>
      <c r="G36" s="44" t="s">
        <v>18022</v>
      </c>
      <c r="H36" s="44" t="s">
        <v>17942</v>
      </c>
      <c r="I36" s="44" t="s">
        <v>17943</v>
      </c>
    </row>
    <row r="37" customFormat="false" ht="15" hidden="false" customHeight="false" outlineLevel="0" collapsed="false">
      <c r="A37" s="44" t="s">
        <v>18023</v>
      </c>
      <c r="B37" s="44" t="s">
        <v>8779</v>
      </c>
      <c r="C37" s="44" t="s">
        <v>8780</v>
      </c>
      <c r="D37" s="44" t="s">
        <v>18013</v>
      </c>
      <c r="E37" s="44" t="s">
        <v>9118</v>
      </c>
      <c r="F37" s="44" t="s">
        <v>9119</v>
      </c>
      <c r="G37" s="44" t="s">
        <v>18024</v>
      </c>
      <c r="H37" s="44" t="s">
        <v>17942</v>
      </c>
      <c r="I37" s="44" t="s">
        <v>17943</v>
      </c>
    </row>
    <row r="38" customFormat="false" ht="15" hidden="false" customHeight="false" outlineLevel="0" collapsed="false">
      <c r="A38" s="44" t="s">
        <v>18025</v>
      </c>
      <c r="B38" s="44" t="s">
        <v>8842</v>
      </c>
      <c r="C38" s="44" t="s">
        <v>8843</v>
      </c>
      <c r="D38" s="44" t="s">
        <v>18013</v>
      </c>
      <c r="E38" s="44" t="s">
        <v>9384</v>
      </c>
      <c r="F38" s="44" t="s">
        <v>9385</v>
      </c>
      <c r="G38" s="44" t="s">
        <v>18026</v>
      </c>
      <c r="H38" s="44" t="s">
        <v>17942</v>
      </c>
      <c r="I38" s="44" t="s">
        <v>17943</v>
      </c>
    </row>
    <row r="39" customFormat="false" ht="15" hidden="false" customHeight="false" outlineLevel="0" collapsed="false">
      <c r="A39" s="44" t="s">
        <v>18027</v>
      </c>
      <c r="B39" s="44" t="s">
        <v>8981</v>
      </c>
      <c r="C39" s="44" t="s">
        <v>8982</v>
      </c>
      <c r="D39" s="44" t="s">
        <v>18028</v>
      </c>
      <c r="E39" s="44" t="s">
        <v>8990</v>
      </c>
      <c r="F39" s="44" t="s">
        <v>8991</v>
      </c>
      <c r="G39" s="44" t="s">
        <v>18029</v>
      </c>
      <c r="H39" s="44" t="s">
        <v>17942</v>
      </c>
      <c r="I39" s="44" t="s">
        <v>17943</v>
      </c>
    </row>
    <row r="40" customFormat="false" ht="15" hidden="false" customHeight="false" outlineLevel="0" collapsed="false">
      <c r="A40" s="44" t="s">
        <v>18030</v>
      </c>
      <c r="B40" s="44" t="s">
        <v>8997</v>
      </c>
      <c r="C40" s="44" t="s">
        <v>8998</v>
      </c>
      <c r="D40" s="44" t="s">
        <v>18031</v>
      </c>
      <c r="E40" s="44" t="s">
        <v>9004</v>
      </c>
      <c r="F40" s="44" t="s">
        <v>9005</v>
      </c>
      <c r="G40" s="44" t="s">
        <v>18032</v>
      </c>
      <c r="H40" s="44" t="s">
        <v>17942</v>
      </c>
      <c r="I40" s="44" t="s">
        <v>17943</v>
      </c>
    </row>
    <row r="41" customFormat="false" ht="15" hidden="false" customHeight="false" outlineLevel="0" collapsed="false">
      <c r="A41" s="44" t="s">
        <v>18033</v>
      </c>
      <c r="B41" s="44" t="s">
        <v>8997</v>
      </c>
      <c r="C41" s="44" t="s">
        <v>8998</v>
      </c>
      <c r="D41" s="44" t="s">
        <v>18031</v>
      </c>
      <c r="E41" s="44" t="s">
        <v>9011</v>
      </c>
      <c r="F41" s="44" t="s">
        <v>9012</v>
      </c>
      <c r="G41" s="44" t="s">
        <v>18034</v>
      </c>
      <c r="H41" s="44" t="s">
        <v>17942</v>
      </c>
      <c r="I41" s="44" t="s">
        <v>17943</v>
      </c>
    </row>
    <row r="42" customFormat="false" ht="15" hidden="false" customHeight="false" outlineLevel="0" collapsed="false">
      <c r="A42" s="44" t="s">
        <v>18035</v>
      </c>
      <c r="B42" s="44" t="s">
        <v>9039</v>
      </c>
      <c r="C42" s="44" t="s">
        <v>9040</v>
      </c>
      <c r="D42" s="44" t="s">
        <v>18031</v>
      </c>
      <c r="E42" s="44" t="s">
        <v>9047</v>
      </c>
      <c r="F42" s="44" t="s">
        <v>9048</v>
      </c>
      <c r="G42" s="44" t="s">
        <v>18036</v>
      </c>
      <c r="H42" s="44" t="s">
        <v>17942</v>
      </c>
      <c r="I42" s="44" t="s">
        <v>17943</v>
      </c>
    </row>
    <row r="43" customFormat="false" ht="15" hidden="false" customHeight="false" outlineLevel="0" collapsed="false">
      <c r="A43" s="44" t="s">
        <v>18037</v>
      </c>
      <c r="B43" s="44" t="s">
        <v>8073</v>
      </c>
      <c r="C43" s="44" t="s">
        <v>8074</v>
      </c>
      <c r="D43" s="44" t="s">
        <v>18038</v>
      </c>
      <c r="E43" s="44" t="s">
        <v>9391</v>
      </c>
      <c r="F43" s="44" t="s">
        <v>9392</v>
      </c>
      <c r="G43" s="44" t="s">
        <v>18039</v>
      </c>
      <c r="H43" s="44" t="s">
        <v>17942</v>
      </c>
      <c r="I43" s="44" t="s">
        <v>17943</v>
      </c>
    </row>
    <row r="44" customFormat="false" ht="15" hidden="false" customHeight="false" outlineLevel="0" collapsed="false">
      <c r="A44" s="44" t="s">
        <v>18040</v>
      </c>
      <c r="B44" s="44" t="s">
        <v>8073</v>
      </c>
      <c r="C44" s="44" t="s">
        <v>8074</v>
      </c>
      <c r="D44" s="44" t="s">
        <v>18038</v>
      </c>
      <c r="E44" s="44" t="s">
        <v>9873</v>
      </c>
      <c r="F44" s="44" t="s">
        <v>9874</v>
      </c>
      <c r="G44" s="44" t="s">
        <v>18041</v>
      </c>
      <c r="H44" s="44" t="s">
        <v>17942</v>
      </c>
      <c r="I44" s="44" t="s">
        <v>17943</v>
      </c>
    </row>
    <row r="45" customFormat="false" ht="15" hidden="false" customHeight="false" outlineLevel="0" collapsed="false">
      <c r="A45" s="44" t="s">
        <v>18042</v>
      </c>
      <c r="B45" s="44" t="s">
        <v>8073</v>
      </c>
      <c r="C45" s="44" t="s">
        <v>8074</v>
      </c>
      <c r="D45" s="44" t="s">
        <v>18038</v>
      </c>
      <c r="E45" s="44" t="s">
        <v>9868</v>
      </c>
      <c r="F45" s="44" t="s">
        <v>9869</v>
      </c>
      <c r="G45" s="44" t="s">
        <v>18043</v>
      </c>
      <c r="H45" s="44" t="s">
        <v>17942</v>
      </c>
      <c r="I45" s="44" t="s">
        <v>17943</v>
      </c>
    </row>
    <row r="46" customFormat="false" ht="15" hidden="false" customHeight="false" outlineLevel="0" collapsed="false">
      <c r="A46" s="44" t="s">
        <v>18044</v>
      </c>
      <c r="B46" s="44" t="s">
        <v>8073</v>
      </c>
      <c r="C46" s="44" t="s">
        <v>8074</v>
      </c>
      <c r="D46" s="44" t="s">
        <v>18038</v>
      </c>
      <c r="E46" s="44" t="s">
        <v>9926</v>
      </c>
      <c r="F46" s="44" t="s">
        <v>144</v>
      </c>
      <c r="G46" s="44" t="s">
        <v>18045</v>
      </c>
      <c r="H46" s="44" t="s">
        <v>17942</v>
      </c>
      <c r="I46" s="44" t="s">
        <v>17943</v>
      </c>
    </row>
    <row r="47" customFormat="false" ht="15" hidden="false" customHeight="false" outlineLevel="0" collapsed="false">
      <c r="A47" s="44" t="s">
        <v>18046</v>
      </c>
      <c r="B47" s="44" t="s">
        <v>8085</v>
      </c>
      <c r="C47" s="44" t="s">
        <v>8086</v>
      </c>
      <c r="D47" s="44" t="s">
        <v>18038</v>
      </c>
      <c r="E47" s="44" t="s">
        <v>9926</v>
      </c>
      <c r="F47" s="44" t="s">
        <v>144</v>
      </c>
      <c r="G47" s="44" t="s">
        <v>18047</v>
      </c>
      <c r="H47" s="44" t="s">
        <v>17942</v>
      </c>
      <c r="I47" s="44" t="s">
        <v>17943</v>
      </c>
    </row>
    <row r="48" customFormat="false" ht="15" hidden="false" customHeight="false" outlineLevel="0" collapsed="false">
      <c r="A48" s="44" t="s">
        <v>18048</v>
      </c>
      <c r="B48" s="44" t="s">
        <v>8175</v>
      </c>
      <c r="C48" s="44" t="s">
        <v>8176</v>
      </c>
      <c r="D48" s="44" t="s">
        <v>18038</v>
      </c>
      <c r="E48" s="44" t="s">
        <v>9926</v>
      </c>
      <c r="F48" s="44" t="s">
        <v>144</v>
      </c>
      <c r="G48" s="44" t="s">
        <v>18049</v>
      </c>
      <c r="H48" s="44" t="s">
        <v>17942</v>
      </c>
      <c r="I48" s="44" t="s">
        <v>17943</v>
      </c>
    </row>
    <row r="49" customFormat="false" ht="15" hidden="false" customHeight="false" outlineLevel="0" collapsed="false">
      <c r="A49" s="44" t="s">
        <v>18050</v>
      </c>
      <c r="B49" s="44" t="s">
        <v>9907</v>
      </c>
      <c r="C49" s="44" t="s">
        <v>9908</v>
      </c>
      <c r="D49" s="44" t="s">
        <v>18038</v>
      </c>
      <c r="E49" s="44" t="s">
        <v>9926</v>
      </c>
      <c r="F49" s="44" t="s">
        <v>144</v>
      </c>
      <c r="G49" s="44" t="s">
        <v>18051</v>
      </c>
      <c r="H49" s="44" t="s">
        <v>17942</v>
      </c>
      <c r="I49" s="44" t="s">
        <v>17943</v>
      </c>
    </row>
    <row r="50" customFormat="false" ht="15" hidden="false" customHeight="false" outlineLevel="0" collapsed="false">
      <c r="A50" s="44" t="s">
        <v>18052</v>
      </c>
      <c r="B50" s="44" t="s">
        <v>8223</v>
      </c>
      <c r="C50" s="44" t="s">
        <v>8224</v>
      </c>
      <c r="D50" s="44" t="s">
        <v>18038</v>
      </c>
      <c r="E50" s="44" t="s">
        <v>9447</v>
      </c>
      <c r="F50" s="44" t="s">
        <v>9448</v>
      </c>
      <c r="G50" s="44" t="s">
        <v>18053</v>
      </c>
      <c r="H50" s="44" t="s">
        <v>17942</v>
      </c>
      <c r="I50" s="44" t="s">
        <v>17943</v>
      </c>
    </row>
    <row r="51" customFormat="false" ht="15" hidden="false" customHeight="false" outlineLevel="0" collapsed="false">
      <c r="A51" s="44" t="s">
        <v>18054</v>
      </c>
      <c r="B51" s="44" t="s">
        <v>8223</v>
      </c>
      <c r="C51" s="44" t="s">
        <v>8224</v>
      </c>
      <c r="D51" s="44" t="s">
        <v>18038</v>
      </c>
      <c r="E51" s="44" t="s">
        <v>9611</v>
      </c>
      <c r="F51" s="44" t="s">
        <v>9612</v>
      </c>
      <c r="G51" s="44" t="s">
        <v>18055</v>
      </c>
      <c r="H51" s="44" t="s">
        <v>17942</v>
      </c>
      <c r="I51" s="44" t="s">
        <v>17943</v>
      </c>
    </row>
    <row r="52" customFormat="false" ht="15" hidden="false" customHeight="false" outlineLevel="0" collapsed="false">
      <c r="A52" s="44" t="s">
        <v>18056</v>
      </c>
      <c r="B52" s="44" t="s">
        <v>8223</v>
      </c>
      <c r="C52" s="44" t="s">
        <v>8224</v>
      </c>
      <c r="D52" s="44" t="s">
        <v>18038</v>
      </c>
      <c r="E52" s="44" t="s">
        <v>9621</v>
      </c>
      <c r="F52" s="44" t="s">
        <v>9622</v>
      </c>
      <c r="G52" s="44" t="s">
        <v>18057</v>
      </c>
      <c r="H52" s="44" t="s">
        <v>17942</v>
      </c>
      <c r="I52" s="44" t="s">
        <v>17943</v>
      </c>
    </row>
    <row r="53" customFormat="false" ht="15" hidden="false" customHeight="false" outlineLevel="0" collapsed="false">
      <c r="A53" s="44" t="s">
        <v>18058</v>
      </c>
      <c r="B53" s="44" t="s">
        <v>8109</v>
      </c>
      <c r="C53" s="44" t="s">
        <v>8110</v>
      </c>
      <c r="D53" s="44" t="s">
        <v>18059</v>
      </c>
      <c r="E53" s="44" t="s">
        <v>9757</v>
      </c>
      <c r="F53" s="44" t="s">
        <v>9758</v>
      </c>
      <c r="G53" s="44" t="s">
        <v>18060</v>
      </c>
      <c r="H53" s="44" t="s">
        <v>17942</v>
      </c>
      <c r="I53" s="44" t="s">
        <v>17943</v>
      </c>
    </row>
    <row r="54" customFormat="false" ht="15" hidden="false" customHeight="false" outlineLevel="0" collapsed="false">
      <c r="A54" s="44" t="s">
        <v>18061</v>
      </c>
      <c r="B54" s="44" t="s">
        <v>8718</v>
      </c>
      <c r="C54" s="44" t="s">
        <v>8719</v>
      </c>
      <c r="D54" s="44" t="s">
        <v>17945</v>
      </c>
      <c r="E54" s="44" t="s">
        <v>9856</v>
      </c>
      <c r="F54" s="44" t="s">
        <v>9857</v>
      </c>
      <c r="G54" s="44" t="s">
        <v>18062</v>
      </c>
      <c r="H54" s="44" t="s">
        <v>17942</v>
      </c>
      <c r="I54" s="44" t="s">
        <v>17943</v>
      </c>
    </row>
    <row r="55" customFormat="false" ht="15" hidden="false" customHeight="false" outlineLevel="0" collapsed="false">
      <c r="A55" s="44" t="s">
        <v>18063</v>
      </c>
      <c r="B55" s="44" t="s">
        <v>8718</v>
      </c>
      <c r="C55" s="44" t="s">
        <v>8719</v>
      </c>
      <c r="D55" s="44" t="s">
        <v>17945</v>
      </c>
      <c r="E55" s="44" t="s">
        <v>9862</v>
      </c>
      <c r="F55" s="44" t="s">
        <v>9863</v>
      </c>
      <c r="G55" s="44" t="s">
        <v>18064</v>
      </c>
      <c r="H55" s="44" t="s">
        <v>17942</v>
      </c>
      <c r="I55" s="44" t="s">
        <v>17943</v>
      </c>
    </row>
  </sheetData>
  <autoFilter ref="A1:I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5.17"/>
    <col collapsed="false" customWidth="true" hidden="false" outlineLevel="0" max="3" min="3" style="1" width="30.77"/>
    <col collapsed="false" customWidth="true" hidden="false" outlineLevel="0" max="4" min="4" style="1" width="32.97"/>
    <col collapsed="false" customWidth="true" hidden="false" outlineLevel="0" max="6" min="5" style="1" width="15.39"/>
    <col collapsed="false" customWidth="true" hidden="false" outlineLevel="0" max="7" min="7" style="1" width="27.48"/>
    <col collapsed="false" customWidth="true" hidden="false" outlineLevel="0" max="8" min="8" style="1" width="19.79"/>
    <col collapsed="false" customWidth="true" hidden="false" outlineLevel="0" max="9" min="9" style="1" width="23.08"/>
    <col collapsed="false" customWidth="true" hidden="false" outlineLevel="0" max="10" min="10" style="1" width="24.18"/>
    <col collapsed="false" customWidth="true" hidden="false" outlineLevel="0" max="11" min="11" style="1" width="18.68"/>
    <col collapsed="false" customWidth="true" hidden="false" outlineLevel="0" max="12" min="12" style="1" width="31.88"/>
    <col collapsed="false" customWidth="true" hidden="false" outlineLevel="0" max="13" min="13" style="1" width="27.48"/>
    <col collapsed="false" customWidth="true" hidden="false" outlineLevel="0" max="14" min="14" style="1" width="41.76"/>
  </cols>
  <sheetData>
    <row r="1" customFormat="false" ht="31.5" hidden="false" customHeight="true" outlineLevel="0" collapsed="false">
      <c r="A1" s="43" t="s">
        <v>8062</v>
      </c>
      <c r="B1" s="43" t="s">
        <v>8063</v>
      </c>
      <c r="C1" s="43" t="s">
        <v>1575</v>
      </c>
      <c r="D1" s="43" t="s">
        <v>8065</v>
      </c>
      <c r="E1" s="43" t="s">
        <v>8068</v>
      </c>
      <c r="F1" s="43" t="s">
        <v>13845</v>
      </c>
      <c r="G1" s="43" t="s">
        <v>13891</v>
      </c>
      <c r="H1" s="43" t="s">
        <v>18065</v>
      </c>
      <c r="I1" s="43" t="s">
        <v>18066</v>
      </c>
      <c r="J1" s="43" t="s">
        <v>18067</v>
      </c>
      <c r="K1" s="43" t="s">
        <v>18068</v>
      </c>
      <c r="L1" s="43" t="s">
        <v>14015</v>
      </c>
      <c r="M1" s="43" t="s">
        <v>14018</v>
      </c>
      <c r="N1" s="43" t="s">
        <v>18069</v>
      </c>
    </row>
    <row r="2" customFormat="false" ht="15" hidden="false" customHeight="false" outlineLevel="0" collapsed="false">
      <c r="A2" s="44" t="s">
        <v>8073</v>
      </c>
      <c r="B2" s="44" t="s">
        <v>8074</v>
      </c>
      <c r="C2" s="44" t="s">
        <v>8076</v>
      </c>
      <c r="D2" s="44" t="s">
        <v>8077</v>
      </c>
      <c r="E2" s="44" t="s">
        <v>8080</v>
      </c>
      <c r="F2" s="44" t="n">
        <v>25</v>
      </c>
      <c r="G2" s="44" t="str">
        <f aca="false">IF(O31&gt;=$X$12,"Foundational deep pass",IF(O31&gt;=$X$13,"Major deep pass",IF(O31&gt;=$X$14,"Targeted innovation pass",IF(O31&gt;=$X$15,"Sampling pass","Reference / defer"))))</f>
        <v>Foundational deep pass</v>
      </c>
      <c r="H2" s="44" t="n">
        <v>0</v>
      </c>
      <c r="I2" s="44" t="n">
        <v>8</v>
      </c>
      <c r="J2" s="44" t="n">
        <v>6</v>
      </c>
      <c r="K2" s="44" t="n">
        <v>30</v>
      </c>
      <c r="L2" s="44" t="s">
        <v>13432</v>
      </c>
      <c r="M2" s="44" t="s">
        <v>18070</v>
      </c>
      <c r="N2" s="44" t="s">
        <v>18071</v>
      </c>
    </row>
    <row r="3" customFormat="false" ht="15" hidden="false" customHeight="false" outlineLevel="0" collapsed="false">
      <c r="A3" s="44" t="s">
        <v>8085</v>
      </c>
      <c r="B3" s="44" t="s">
        <v>8086</v>
      </c>
      <c r="C3" s="44" t="s">
        <v>8076</v>
      </c>
      <c r="D3" s="44" t="s">
        <v>8088</v>
      </c>
      <c r="E3" s="44" t="s">
        <v>8080</v>
      </c>
      <c r="F3" s="44" t="n">
        <v>26</v>
      </c>
      <c r="G3" s="44" t="str">
        <f aca="false">IF(O32&gt;=$X$12,"Foundational deep pass",IF(O32&gt;=$X$13,"Major deep pass",IF(O32&gt;=$X$14,"Targeted innovation pass",IF(O32&gt;=$X$15,"Sampling pass","Reference / defer"))))</f>
        <v>Foundational deep pass</v>
      </c>
      <c r="H3" s="44" t="n">
        <v>0</v>
      </c>
      <c r="I3" s="44" t="n">
        <v>8</v>
      </c>
      <c r="J3" s="44" t="n">
        <v>4</v>
      </c>
      <c r="K3" s="44" t="n">
        <v>30</v>
      </c>
      <c r="L3" s="44" t="s">
        <v>13432</v>
      </c>
      <c r="M3" s="44" t="s">
        <v>18070</v>
      </c>
      <c r="N3" s="44" t="s">
        <v>18071</v>
      </c>
    </row>
    <row r="4" customFormat="false" ht="15" hidden="false" customHeight="false" outlineLevel="0" collapsed="false">
      <c r="A4" s="44" t="s">
        <v>8093</v>
      </c>
      <c r="B4" s="44" t="s">
        <v>8094</v>
      </c>
      <c r="C4" s="44" t="s">
        <v>8076</v>
      </c>
      <c r="D4" s="44" t="s">
        <v>8096</v>
      </c>
      <c r="E4" s="44" t="s">
        <v>8080</v>
      </c>
      <c r="F4" s="44" t="n">
        <v>5</v>
      </c>
      <c r="G4" s="44" t="str">
        <f aca="false">IF(O11&gt;=$X$12,"Foundational deep pass",IF(O11&gt;=$X$13,"Major deep pass",IF(O11&gt;=$X$14,"Targeted innovation pass",IF(O11&gt;=$X$15,"Sampling pass","Reference / defer"))))</f>
        <v>Foundational deep pass</v>
      </c>
      <c r="H4" s="44" t="n">
        <v>0</v>
      </c>
      <c r="I4" s="44" t="n">
        <v>6</v>
      </c>
      <c r="J4" s="44" t="n">
        <v>3</v>
      </c>
      <c r="K4" s="44" t="n">
        <v>30</v>
      </c>
      <c r="L4" s="44" t="s">
        <v>13432</v>
      </c>
      <c r="M4" s="44" t="s">
        <v>18070</v>
      </c>
      <c r="N4" s="44" t="s">
        <v>18071</v>
      </c>
    </row>
    <row r="5" customFormat="false" ht="15" hidden="false" customHeight="false" outlineLevel="0" collapsed="false">
      <c r="A5" s="44" t="s">
        <v>8100</v>
      </c>
      <c r="B5" s="44" t="s">
        <v>8101</v>
      </c>
      <c r="C5" s="44" t="s">
        <v>8103</v>
      </c>
      <c r="D5" s="44" t="s">
        <v>8104</v>
      </c>
      <c r="E5" s="44" t="s">
        <v>8080</v>
      </c>
      <c r="F5" s="44" t="n">
        <v>19</v>
      </c>
      <c r="G5" s="44" t="str">
        <f aca="false">IF(O25&gt;=$X$12,"Foundational deep pass",IF(O25&gt;=$X$13,"Major deep pass",IF(O25&gt;=$X$14,"Targeted innovation pass",IF(O25&gt;=$X$15,"Sampling pass","Reference / defer"))))</f>
        <v>Foundational deep pass</v>
      </c>
      <c r="H5" s="44" t="n">
        <v>0</v>
      </c>
      <c r="I5" s="44" t="n">
        <v>5</v>
      </c>
      <c r="J5" s="44" t="n">
        <v>3</v>
      </c>
      <c r="K5" s="44" t="n">
        <v>30</v>
      </c>
      <c r="L5" s="44" t="s">
        <v>13432</v>
      </c>
      <c r="M5" s="44" t="s">
        <v>18070</v>
      </c>
      <c r="N5" s="44" t="s">
        <v>18071</v>
      </c>
    </row>
    <row r="6" customFormat="false" ht="15" hidden="false" customHeight="false" outlineLevel="0" collapsed="false">
      <c r="A6" s="44" t="s">
        <v>8109</v>
      </c>
      <c r="B6" s="44" t="s">
        <v>8110</v>
      </c>
      <c r="C6" s="44" t="s">
        <v>8103</v>
      </c>
      <c r="D6" s="44" t="s">
        <v>8112</v>
      </c>
      <c r="E6" s="44" t="s">
        <v>8080</v>
      </c>
      <c r="F6" s="44" t="n">
        <v>17</v>
      </c>
      <c r="G6" s="44" t="str">
        <f aca="false">IF(O23&gt;=$X$12,"Foundational deep pass",IF(O23&gt;=$X$13,"Major deep pass",IF(O23&gt;=$X$14,"Targeted innovation pass",IF(O23&gt;=$X$15,"Sampling pass","Reference / defer"))))</f>
        <v>Foundational deep pass</v>
      </c>
      <c r="H6" s="44" t="n">
        <v>0</v>
      </c>
      <c r="I6" s="44" t="n">
        <v>6</v>
      </c>
      <c r="J6" s="44" t="n">
        <v>6</v>
      </c>
      <c r="K6" s="44" t="n">
        <v>30</v>
      </c>
      <c r="L6" s="44" t="s">
        <v>13432</v>
      </c>
      <c r="M6" s="44" t="s">
        <v>18070</v>
      </c>
      <c r="N6" s="44" t="s">
        <v>18071</v>
      </c>
    </row>
    <row r="7" customFormat="false" ht="15" hidden="false" customHeight="false" outlineLevel="0" collapsed="false">
      <c r="A7" s="44" t="s">
        <v>8117</v>
      </c>
      <c r="B7" s="44" t="s">
        <v>8118</v>
      </c>
      <c r="C7" s="44" t="s">
        <v>8120</v>
      </c>
      <c r="D7" s="44" t="s">
        <v>8121</v>
      </c>
      <c r="E7" s="44" t="s">
        <v>8080</v>
      </c>
      <c r="F7" s="44" t="n">
        <v>18</v>
      </c>
      <c r="G7" s="44" t="str">
        <f aca="false">IF(O24&gt;=$X$12,"Foundational deep pass",IF(O24&gt;=$X$13,"Major deep pass",IF(O24&gt;=$X$14,"Targeted innovation pass",IF(O24&gt;=$X$15,"Sampling pass","Reference / defer"))))</f>
        <v>Foundational deep pass</v>
      </c>
      <c r="H7" s="44" t="n">
        <v>0</v>
      </c>
      <c r="I7" s="44" t="n">
        <v>5</v>
      </c>
      <c r="J7" s="44" t="n">
        <v>5</v>
      </c>
      <c r="K7" s="44" t="n">
        <v>30</v>
      </c>
      <c r="L7" s="44" t="s">
        <v>13432</v>
      </c>
      <c r="M7" s="44" t="s">
        <v>18070</v>
      </c>
      <c r="N7" s="44" t="s">
        <v>18071</v>
      </c>
    </row>
    <row r="8" customFormat="false" ht="15" hidden="false" customHeight="false" outlineLevel="0" collapsed="false">
      <c r="A8" s="44" t="s">
        <v>8126</v>
      </c>
      <c r="B8" s="44" t="s">
        <v>8127</v>
      </c>
      <c r="C8" s="44" t="s">
        <v>8076</v>
      </c>
      <c r="D8" s="44" t="s">
        <v>8129</v>
      </c>
      <c r="E8" s="44" t="s">
        <v>8080</v>
      </c>
      <c r="F8" s="44" t="n">
        <v>24</v>
      </c>
      <c r="G8" s="44" t="str">
        <f aca="false">IF(O30&gt;=$X$12,"Foundational deep pass",IF(O30&gt;=$X$13,"Major deep pass",IF(O30&gt;=$X$14,"Targeted innovation pass",IF(O30&gt;=$X$15,"Sampling pass","Reference / defer"))))</f>
        <v>Foundational deep pass</v>
      </c>
      <c r="H8" s="44" t="n">
        <v>0</v>
      </c>
      <c r="I8" s="44" t="n">
        <v>6</v>
      </c>
      <c r="J8" s="44" t="n">
        <v>6</v>
      </c>
      <c r="K8" s="44" t="n">
        <v>30</v>
      </c>
      <c r="L8" s="44" t="s">
        <v>13432</v>
      </c>
      <c r="M8" s="44" t="s">
        <v>18070</v>
      </c>
      <c r="N8" s="44" t="s">
        <v>18071</v>
      </c>
    </row>
    <row r="9" customFormat="false" ht="15" hidden="false" customHeight="false" outlineLevel="0" collapsed="false">
      <c r="A9" s="44" t="s">
        <v>8133</v>
      </c>
      <c r="B9" s="44" t="s">
        <v>8134</v>
      </c>
      <c r="C9" s="44" t="s">
        <v>8136</v>
      </c>
      <c r="D9" s="44" t="s">
        <v>8137</v>
      </c>
      <c r="E9" s="44" t="s">
        <v>8080</v>
      </c>
      <c r="F9" s="44" t="n">
        <v>35</v>
      </c>
      <c r="G9" s="44" t="str">
        <f aca="false">IF(O41&gt;=$X$12,"Foundational deep pass",IF(O41&gt;=$X$13,"Major deep pass",IF(O41&gt;=$X$14,"Targeted innovation pass",IF(O41&gt;=$X$15,"Sampling pass","Reference / defer"))))</f>
        <v>Foundational deep pass</v>
      </c>
      <c r="H9" s="44" t="n">
        <v>0</v>
      </c>
      <c r="I9" s="44" t="n">
        <v>7</v>
      </c>
      <c r="J9" s="44" t="n">
        <v>3</v>
      </c>
      <c r="K9" s="44" t="n">
        <v>30</v>
      </c>
      <c r="L9" s="44" t="s">
        <v>13432</v>
      </c>
      <c r="M9" s="44" t="s">
        <v>18070</v>
      </c>
      <c r="N9" s="44" t="s">
        <v>18071</v>
      </c>
    </row>
    <row r="10" customFormat="false" ht="15" hidden="false" customHeight="false" outlineLevel="0" collapsed="false">
      <c r="A10" s="44" t="s">
        <v>8142</v>
      </c>
      <c r="B10" s="44" t="s">
        <v>8143</v>
      </c>
      <c r="C10" s="44" t="s">
        <v>8145</v>
      </c>
      <c r="D10" s="44" t="s">
        <v>8146</v>
      </c>
      <c r="E10" s="44" t="s">
        <v>8080</v>
      </c>
      <c r="F10" s="44" t="n">
        <v>11</v>
      </c>
      <c r="G10" s="44" t="str">
        <f aca="false">IF(O17&gt;=$X$12,"Foundational deep pass",IF(O17&gt;=$X$13,"Major deep pass",IF(O17&gt;=$X$14,"Targeted innovation pass",IF(O17&gt;=$X$15,"Sampling pass","Reference / defer"))))</f>
        <v>Foundational deep pass</v>
      </c>
      <c r="H10" s="44" t="n">
        <v>0</v>
      </c>
      <c r="I10" s="44" t="n">
        <v>7</v>
      </c>
      <c r="J10" s="44" t="n">
        <v>5</v>
      </c>
      <c r="K10" s="44" t="n">
        <v>30</v>
      </c>
      <c r="L10" s="44" t="s">
        <v>13432</v>
      </c>
      <c r="M10" s="44" t="s">
        <v>18070</v>
      </c>
      <c r="N10" s="44" t="s">
        <v>18071</v>
      </c>
    </row>
    <row r="11" customFormat="false" ht="15" hidden="false" customHeight="false" outlineLevel="0" collapsed="false">
      <c r="A11" s="44" t="s">
        <v>8151</v>
      </c>
      <c r="B11" s="44" t="s">
        <v>8152</v>
      </c>
      <c r="C11" s="44" t="s">
        <v>8076</v>
      </c>
      <c r="D11" s="44" t="s">
        <v>8154</v>
      </c>
      <c r="E11" s="44" t="s">
        <v>8080</v>
      </c>
      <c r="F11" s="44" t="n">
        <v>7</v>
      </c>
      <c r="G11" s="44" t="str">
        <f aca="false">IF(O13&gt;=$X$12,"Foundational deep pass",IF(O13&gt;=$X$13,"Major deep pass",IF(O13&gt;=$X$14,"Targeted innovation pass",IF(O13&gt;=$X$15,"Sampling pass","Reference / defer"))))</f>
        <v>Foundational deep pass</v>
      </c>
      <c r="H11" s="44" t="n">
        <v>0</v>
      </c>
      <c r="I11" s="44" t="n">
        <v>6</v>
      </c>
      <c r="J11" s="44" t="n">
        <v>4</v>
      </c>
      <c r="K11" s="44" t="n">
        <v>30</v>
      </c>
      <c r="L11" s="44" t="s">
        <v>13432</v>
      </c>
      <c r="M11" s="44" t="s">
        <v>18070</v>
      </c>
      <c r="N11" s="44" t="s">
        <v>18071</v>
      </c>
    </row>
    <row r="12" customFormat="false" ht="15" hidden="false" customHeight="false" outlineLevel="0" collapsed="false">
      <c r="A12" s="44" t="s">
        <v>8158</v>
      </c>
      <c r="B12" s="44" t="s">
        <v>8159</v>
      </c>
      <c r="C12" s="44" t="s">
        <v>8161</v>
      </c>
      <c r="D12" s="44" t="s">
        <v>8162</v>
      </c>
      <c r="E12" s="44" t="s">
        <v>8080</v>
      </c>
      <c r="F12" s="44" t="n">
        <v>15</v>
      </c>
      <c r="G12" s="44" t="str">
        <f aca="false">IF(O21&gt;=$X$12,"Foundational deep pass",IF(O21&gt;=$X$13,"Major deep pass",IF(O21&gt;=$X$14,"Targeted innovation pass",IF(O21&gt;=$X$15,"Sampling pass","Reference / defer"))))</f>
        <v>Foundational deep pass</v>
      </c>
      <c r="H12" s="44" t="n">
        <v>0</v>
      </c>
      <c r="I12" s="44" t="n">
        <v>6</v>
      </c>
      <c r="J12" s="44" t="n">
        <v>5</v>
      </c>
      <c r="K12" s="44" t="n">
        <v>30</v>
      </c>
      <c r="L12" s="44" t="s">
        <v>13432</v>
      </c>
      <c r="M12" s="44" t="s">
        <v>18070</v>
      </c>
      <c r="N12" s="44" t="s">
        <v>18071</v>
      </c>
    </row>
    <row r="13" customFormat="false" ht="15" hidden="false" customHeight="false" outlineLevel="0" collapsed="false">
      <c r="A13" s="44" t="s">
        <v>8167</v>
      </c>
      <c r="B13" s="44" t="s">
        <v>8168</v>
      </c>
      <c r="C13" s="44" t="s">
        <v>8161</v>
      </c>
      <c r="D13" s="44" t="s">
        <v>8170</v>
      </c>
      <c r="E13" s="44" t="s">
        <v>8080</v>
      </c>
      <c r="F13" s="44" t="n">
        <v>16</v>
      </c>
      <c r="G13" s="44" t="str">
        <f aca="false">IF(O22&gt;=$X$12,"Foundational deep pass",IF(O22&gt;=$X$13,"Major deep pass",IF(O22&gt;=$X$14,"Targeted innovation pass",IF(O22&gt;=$X$15,"Sampling pass","Reference / defer"))))</f>
        <v>Foundational deep pass</v>
      </c>
      <c r="H13" s="44" t="n">
        <v>0</v>
      </c>
      <c r="I13" s="44" t="n">
        <v>5</v>
      </c>
      <c r="J13" s="44" t="n">
        <v>4</v>
      </c>
      <c r="K13" s="44" t="n">
        <v>30</v>
      </c>
      <c r="L13" s="44" t="s">
        <v>13432</v>
      </c>
      <c r="M13" s="44" t="s">
        <v>18070</v>
      </c>
      <c r="N13" s="44" t="s">
        <v>18071</v>
      </c>
    </row>
    <row r="14" customFormat="false" ht="15" hidden="false" customHeight="false" outlineLevel="0" collapsed="false">
      <c r="A14" s="44" t="s">
        <v>8175</v>
      </c>
      <c r="B14" s="44" t="s">
        <v>8176</v>
      </c>
      <c r="C14" s="44" t="s">
        <v>8076</v>
      </c>
      <c r="D14" s="44" t="s">
        <v>8178</v>
      </c>
      <c r="E14" s="44" t="s">
        <v>8180</v>
      </c>
      <c r="F14" s="44" t="n">
        <v>3</v>
      </c>
      <c r="G14" s="44" t="str">
        <f aca="false">IF(O9&gt;=$X$12,"Foundational deep pass",IF(O9&gt;=$X$13,"Major deep pass",IF(O9&gt;=$X$14,"Targeted innovation pass",IF(O9&gt;=$X$15,"Sampling pass","Reference / defer"))))</f>
        <v>Foundational deep pass</v>
      </c>
      <c r="H14" s="44" t="n">
        <v>0</v>
      </c>
      <c r="I14" s="44" t="n">
        <v>5</v>
      </c>
      <c r="J14" s="44" t="n">
        <v>4</v>
      </c>
      <c r="K14" s="44" t="n">
        <v>30</v>
      </c>
      <c r="L14" s="44" t="s">
        <v>13432</v>
      </c>
      <c r="M14" s="44" t="s">
        <v>18070</v>
      </c>
      <c r="N14" s="44" t="s">
        <v>18071</v>
      </c>
    </row>
    <row r="15" customFormat="false" ht="15" hidden="false" customHeight="false" outlineLevel="0" collapsed="false">
      <c r="A15" s="44" t="s">
        <v>8183</v>
      </c>
      <c r="B15" s="44" t="s">
        <v>8184</v>
      </c>
      <c r="C15" s="44" t="s">
        <v>8186</v>
      </c>
      <c r="D15" s="44" t="s">
        <v>8187</v>
      </c>
      <c r="E15" s="44" t="s">
        <v>8080</v>
      </c>
      <c r="F15" s="44" t="n">
        <v>9</v>
      </c>
      <c r="G15" s="44" t="str">
        <f aca="false">IF(O15&gt;=$X$12,"Foundational deep pass",IF(O15&gt;=$X$13,"Major deep pass",IF(O15&gt;=$X$14,"Targeted innovation pass",IF(O15&gt;=$X$15,"Sampling pass","Reference / defer"))))</f>
        <v>Foundational deep pass</v>
      </c>
      <c r="H15" s="44" t="n">
        <v>0</v>
      </c>
      <c r="I15" s="44" t="n">
        <v>12</v>
      </c>
      <c r="J15" s="44" t="n">
        <v>10</v>
      </c>
      <c r="K15" s="44" t="n">
        <v>30</v>
      </c>
      <c r="L15" s="44" t="s">
        <v>13432</v>
      </c>
      <c r="M15" s="44" t="s">
        <v>18070</v>
      </c>
      <c r="N15" s="44" t="s">
        <v>18071</v>
      </c>
    </row>
    <row r="16" customFormat="false" ht="15" hidden="false" customHeight="false" outlineLevel="0" collapsed="false">
      <c r="A16" s="44" t="s">
        <v>8193</v>
      </c>
      <c r="B16" s="44" t="s">
        <v>8194</v>
      </c>
      <c r="C16" s="44" t="s">
        <v>8161</v>
      </c>
      <c r="D16" s="44" t="s">
        <v>8196</v>
      </c>
      <c r="E16" s="44" t="s">
        <v>8080</v>
      </c>
      <c r="F16" s="44" t="n">
        <v>12</v>
      </c>
      <c r="G16" s="44" t="str">
        <f aca="false">IF(O18&gt;=$X$12,"Foundational deep pass",IF(O18&gt;=$X$13,"Major deep pass",IF(O18&gt;=$X$14,"Targeted innovation pass",IF(O18&gt;=$X$15,"Sampling pass","Reference / defer"))))</f>
        <v>Foundational deep pass</v>
      </c>
      <c r="H16" s="44" t="n">
        <v>0</v>
      </c>
      <c r="I16" s="44" t="n">
        <v>5</v>
      </c>
      <c r="J16" s="44" t="n">
        <v>4</v>
      </c>
      <c r="K16" s="44" t="n">
        <v>30</v>
      </c>
      <c r="L16" s="44" t="s">
        <v>13432</v>
      </c>
      <c r="M16" s="44" t="s">
        <v>18070</v>
      </c>
      <c r="N16" s="44" t="s">
        <v>18071</v>
      </c>
    </row>
    <row r="17" customFormat="false" ht="15" hidden="false" customHeight="false" outlineLevel="0" collapsed="false">
      <c r="A17" s="44" t="s">
        <v>8201</v>
      </c>
      <c r="B17" s="44" t="s">
        <v>8202</v>
      </c>
      <c r="C17" s="44" t="s">
        <v>8204</v>
      </c>
      <c r="D17" s="44" t="s">
        <v>8205</v>
      </c>
      <c r="E17" s="44" t="s">
        <v>8080</v>
      </c>
      <c r="F17" s="44" t="n">
        <v>8</v>
      </c>
      <c r="G17" s="44" t="str">
        <f aca="false">IF(O14&gt;=$X$12,"Foundational deep pass",IF(O14&gt;=$X$13,"Major deep pass",IF(O14&gt;=$X$14,"Targeted innovation pass",IF(O14&gt;=$X$15,"Sampling pass","Reference / defer"))))</f>
        <v>Foundational deep pass</v>
      </c>
      <c r="H17" s="44" t="n">
        <v>0</v>
      </c>
      <c r="I17" s="44" t="n">
        <v>6</v>
      </c>
      <c r="J17" s="44" t="n">
        <v>4</v>
      </c>
      <c r="K17" s="44" t="n">
        <v>30</v>
      </c>
      <c r="L17" s="44" t="s">
        <v>13432</v>
      </c>
      <c r="M17" s="44" t="s">
        <v>18070</v>
      </c>
      <c r="N17" s="44" t="s">
        <v>18071</v>
      </c>
    </row>
    <row r="18" customFormat="false" ht="15" hidden="false" customHeight="false" outlineLevel="0" collapsed="false">
      <c r="A18" s="44" t="s">
        <v>8210</v>
      </c>
      <c r="B18" s="44" t="s">
        <v>8211</v>
      </c>
      <c r="C18" s="44" t="s">
        <v>8204</v>
      </c>
      <c r="D18" s="44" t="s">
        <v>8205</v>
      </c>
      <c r="E18" s="44" t="s">
        <v>8080</v>
      </c>
      <c r="F18" s="44" t="n">
        <v>36</v>
      </c>
      <c r="G18" s="44" t="str">
        <f aca="false">IF(O42&gt;=$X$12,"Foundational deep pass",IF(O42&gt;=$X$13,"Major deep pass",IF(O42&gt;=$X$14,"Targeted innovation pass",IF(O42&gt;=$X$15,"Sampling pass","Reference / defer"))))</f>
        <v>Foundational deep pass</v>
      </c>
      <c r="H18" s="44" t="n">
        <v>0</v>
      </c>
      <c r="I18" s="44" t="n">
        <v>6</v>
      </c>
      <c r="J18" s="44" t="n">
        <v>4</v>
      </c>
      <c r="K18" s="44" t="n">
        <v>30</v>
      </c>
      <c r="L18" s="44" t="s">
        <v>13432</v>
      </c>
      <c r="M18" s="44" t="s">
        <v>18070</v>
      </c>
      <c r="N18" s="44" t="s">
        <v>18071</v>
      </c>
    </row>
    <row r="19" customFormat="false" ht="15" hidden="false" customHeight="false" outlineLevel="0" collapsed="false">
      <c r="A19" s="44" t="s">
        <v>8215</v>
      </c>
      <c r="B19" s="44" t="s">
        <v>8216</v>
      </c>
      <c r="C19" s="44" t="s">
        <v>8218</v>
      </c>
      <c r="D19" s="44" t="s">
        <v>8205</v>
      </c>
      <c r="E19" s="44" t="s">
        <v>8080</v>
      </c>
      <c r="F19" s="44" t="n">
        <v>220</v>
      </c>
      <c r="G19" s="44" t="str">
        <f aca="false">IF(O226&gt;=$X$12,"Foundational deep pass",IF(O226&gt;=$X$13,"Major deep pass",IF(O226&gt;=$X$14,"Targeted innovation pass",IF(O226&gt;=$X$15,"Sampling pass","Reference / defer"))))</f>
        <v>Foundational deep pass</v>
      </c>
      <c r="H19" s="44" t="n">
        <v>0</v>
      </c>
      <c r="I19" s="44" t="n">
        <v>7</v>
      </c>
      <c r="J19" s="44" t="n">
        <v>6</v>
      </c>
      <c r="K19" s="44" t="n">
        <v>30</v>
      </c>
      <c r="L19" s="44" t="s">
        <v>13432</v>
      </c>
      <c r="M19" s="44" t="s">
        <v>18070</v>
      </c>
      <c r="N19" s="44" t="s">
        <v>18071</v>
      </c>
    </row>
    <row r="20" customFormat="false" ht="15" hidden="false" customHeight="false" outlineLevel="0" collapsed="false">
      <c r="A20" s="44" t="s">
        <v>8223</v>
      </c>
      <c r="B20" s="44" t="s">
        <v>8224</v>
      </c>
      <c r="C20" s="44" t="s">
        <v>8076</v>
      </c>
      <c r="D20" s="44" t="s">
        <v>8226</v>
      </c>
      <c r="E20" s="44" t="s">
        <v>8080</v>
      </c>
      <c r="F20" s="44" t="n">
        <v>6</v>
      </c>
      <c r="G20" s="44" t="str">
        <f aca="false">IF(O12&gt;=$X$12,"Foundational deep pass",IF(O12&gt;=$X$13,"Major deep pass",IF(O12&gt;=$X$14,"Targeted innovation pass",IF(O12&gt;=$X$15,"Sampling pass","Reference / defer"))))</f>
        <v>Foundational deep pass</v>
      </c>
      <c r="H20" s="44" t="n">
        <v>0</v>
      </c>
      <c r="I20" s="44" t="n">
        <v>8</v>
      </c>
      <c r="J20" s="44" t="n">
        <v>8</v>
      </c>
      <c r="K20" s="44" t="n">
        <v>30</v>
      </c>
      <c r="L20" s="44" t="s">
        <v>13432</v>
      </c>
      <c r="M20" s="44" t="s">
        <v>18070</v>
      </c>
      <c r="N20" s="44" t="s">
        <v>18071</v>
      </c>
    </row>
    <row r="21" customFormat="false" ht="15" hidden="false" customHeight="false" outlineLevel="0" collapsed="false">
      <c r="A21" s="44" t="s">
        <v>8230</v>
      </c>
      <c r="B21" s="44" t="s">
        <v>8231</v>
      </c>
      <c r="C21" s="44" t="s">
        <v>8076</v>
      </c>
      <c r="D21" s="44" t="s">
        <v>8232</v>
      </c>
      <c r="E21" s="44" t="s">
        <v>8180</v>
      </c>
      <c r="F21" s="44" t="n">
        <v>20</v>
      </c>
      <c r="G21" s="44" t="str">
        <f aca="false">IF(O26&gt;=$X$12,"Foundational deep pass",IF(O26&gt;=$X$13,"Major deep pass",IF(O26&gt;=$X$14,"Targeted innovation pass",IF(O26&gt;=$X$15,"Sampling pass","Reference / defer"))))</f>
        <v>Foundational deep pass</v>
      </c>
      <c r="H21" s="44" t="n">
        <v>0</v>
      </c>
      <c r="I21" s="44" t="n">
        <v>6</v>
      </c>
      <c r="J21" s="44" t="n">
        <v>5</v>
      </c>
      <c r="K21" s="44" t="n">
        <v>30</v>
      </c>
      <c r="L21" s="44" t="s">
        <v>13432</v>
      </c>
      <c r="M21" s="44" t="s">
        <v>18070</v>
      </c>
      <c r="N21" s="44" t="s">
        <v>18071</v>
      </c>
    </row>
    <row r="22" customFormat="false" ht="15" hidden="false" customHeight="false" outlineLevel="0" collapsed="false">
      <c r="A22" s="44" t="s">
        <v>8235</v>
      </c>
      <c r="B22" s="44" t="s">
        <v>8236</v>
      </c>
      <c r="C22" s="44" t="s">
        <v>8238</v>
      </c>
      <c r="D22" s="44" t="s">
        <v>8239</v>
      </c>
      <c r="E22" s="44" t="s">
        <v>8080</v>
      </c>
      <c r="F22" s="44" t="n">
        <v>14</v>
      </c>
      <c r="G22" s="44" t="str">
        <f aca="false">IF(O20&gt;=$X$12,"Foundational deep pass",IF(O20&gt;=$X$13,"Major deep pass",IF(O20&gt;=$X$14,"Targeted innovation pass",IF(O20&gt;=$X$15,"Sampling pass","Reference / defer"))))</f>
        <v>Foundational deep pass</v>
      </c>
      <c r="H22" s="44" t="n">
        <v>0</v>
      </c>
      <c r="I22" s="44" t="n">
        <v>5</v>
      </c>
      <c r="J22" s="44" t="n">
        <v>3</v>
      </c>
      <c r="K22" s="44" t="n">
        <v>30</v>
      </c>
      <c r="L22" s="44" t="s">
        <v>13432</v>
      </c>
      <c r="M22" s="44" t="s">
        <v>18070</v>
      </c>
      <c r="N22" s="44" t="s">
        <v>18071</v>
      </c>
    </row>
    <row r="23" customFormat="false" ht="15" hidden="false" customHeight="false" outlineLevel="0" collapsed="false">
      <c r="A23" s="44" t="s">
        <v>8244</v>
      </c>
      <c r="B23" s="44" t="s">
        <v>8245</v>
      </c>
      <c r="C23" s="44" t="s">
        <v>8247</v>
      </c>
      <c r="D23" s="44" t="s">
        <v>8248</v>
      </c>
      <c r="E23" s="44" t="s">
        <v>8080</v>
      </c>
      <c r="F23" s="44" t="n">
        <v>13</v>
      </c>
      <c r="G23" s="44" t="str">
        <f aca="false">IF(O19&gt;=$X$12,"Foundational deep pass",IF(O19&gt;=$X$13,"Major deep pass",IF(O19&gt;=$X$14,"Targeted innovation pass",IF(O19&gt;=$X$15,"Sampling pass","Reference / defer"))))</f>
        <v>Foundational deep pass</v>
      </c>
      <c r="H23" s="44" t="n">
        <v>0</v>
      </c>
      <c r="I23" s="44" t="n">
        <v>6</v>
      </c>
      <c r="J23" s="44" t="n">
        <v>4</v>
      </c>
      <c r="K23" s="44" t="n">
        <v>30</v>
      </c>
      <c r="L23" s="44" t="s">
        <v>13432</v>
      </c>
      <c r="M23" s="44" t="s">
        <v>18070</v>
      </c>
      <c r="N23" s="44" t="s">
        <v>18071</v>
      </c>
    </row>
    <row r="24" customFormat="false" ht="15" hidden="false" customHeight="false" outlineLevel="0" collapsed="false">
      <c r="A24" s="44" t="s">
        <v>8251</v>
      </c>
      <c r="B24" s="44" t="s">
        <v>8252</v>
      </c>
      <c r="C24" s="44" t="s">
        <v>8254</v>
      </c>
      <c r="D24" s="44" t="s">
        <v>8255</v>
      </c>
      <c r="E24" s="44" t="s">
        <v>8180</v>
      </c>
      <c r="F24" s="44" t="n">
        <v>23</v>
      </c>
      <c r="G24" s="44" t="str">
        <f aca="false">IF(O29&gt;=$X$12,"Foundational deep pass",IF(O29&gt;=$X$13,"Major deep pass",IF(O29&gt;=$X$14,"Targeted innovation pass",IF(O29&gt;=$X$15,"Sampling pass","Reference / defer"))))</f>
        <v>Foundational deep pass</v>
      </c>
      <c r="H24" s="44" t="n">
        <v>0</v>
      </c>
      <c r="I24" s="44" t="n">
        <v>7</v>
      </c>
      <c r="J24" s="44" t="n">
        <v>6</v>
      </c>
      <c r="K24" s="44" t="n">
        <v>30</v>
      </c>
      <c r="L24" s="44" t="s">
        <v>13432</v>
      </c>
      <c r="M24" s="44" t="s">
        <v>18070</v>
      </c>
      <c r="N24" s="44" t="s">
        <v>18071</v>
      </c>
    </row>
    <row r="25" customFormat="false" ht="15" hidden="false" customHeight="false" outlineLevel="0" collapsed="false">
      <c r="A25" s="44" t="s">
        <v>8260</v>
      </c>
      <c r="B25" s="44" t="s">
        <v>8261</v>
      </c>
      <c r="C25" s="44" t="s">
        <v>8076</v>
      </c>
      <c r="D25" s="44" t="s">
        <v>8263</v>
      </c>
      <c r="E25" s="44" t="s">
        <v>8180</v>
      </c>
      <c r="F25" s="44" t="n">
        <v>21</v>
      </c>
      <c r="G25" s="44" t="str">
        <f aca="false">IF(O27&gt;=$X$12,"Foundational deep pass",IF(O27&gt;=$X$13,"Major deep pass",IF(O27&gt;=$X$14,"Targeted innovation pass",IF(O27&gt;=$X$15,"Sampling pass","Reference / defer"))))</f>
        <v>Foundational deep pass</v>
      </c>
      <c r="H25" s="44" t="n">
        <v>0</v>
      </c>
      <c r="I25" s="44" t="n">
        <v>6</v>
      </c>
      <c r="J25" s="44" t="n">
        <v>4</v>
      </c>
      <c r="K25" s="44" t="n">
        <v>30</v>
      </c>
      <c r="L25" s="44" t="s">
        <v>13432</v>
      </c>
      <c r="M25" s="44" t="s">
        <v>18070</v>
      </c>
      <c r="N25" s="44" t="s">
        <v>18071</v>
      </c>
    </row>
    <row r="26" customFormat="false" ht="15" hidden="false" customHeight="false" outlineLevel="0" collapsed="false">
      <c r="A26" s="44" t="s">
        <v>8266</v>
      </c>
      <c r="B26" s="44" t="s">
        <v>8267</v>
      </c>
      <c r="C26" s="44" t="s">
        <v>8076</v>
      </c>
      <c r="D26" s="44" t="s">
        <v>8269</v>
      </c>
      <c r="E26" s="44" t="s">
        <v>8180</v>
      </c>
      <c r="F26" s="44" t="n">
        <v>22</v>
      </c>
      <c r="G26" s="44" t="str">
        <f aca="false">IF(O28&gt;=$X$12,"Foundational deep pass",IF(O28&gt;=$X$13,"Major deep pass",IF(O28&gt;=$X$14,"Targeted innovation pass",IF(O28&gt;=$X$15,"Sampling pass","Reference / defer"))))</f>
        <v>Foundational deep pass</v>
      </c>
      <c r="H26" s="44" t="n">
        <v>0</v>
      </c>
      <c r="I26" s="44" t="n">
        <v>5</v>
      </c>
      <c r="J26" s="44" t="n">
        <v>2</v>
      </c>
      <c r="K26" s="44" t="n">
        <v>30</v>
      </c>
      <c r="L26" s="44" t="s">
        <v>13432</v>
      </c>
      <c r="M26" s="44" t="s">
        <v>18070</v>
      </c>
      <c r="N26" s="44" t="s">
        <v>18071</v>
      </c>
    </row>
    <row r="27" customFormat="false" ht="15" hidden="false" customHeight="false" outlineLevel="0" collapsed="false">
      <c r="A27" s="44" t="s">
        <v>8272</v>
      </c>
      <c r="B27" s="44" t="s">
        <v>8273</v>
      </c>
      <c r="C27" s="44" t="s">
        <v>8275</v>
      </c>
      <c r="D27" s="44" t="s">
        <v>8276</v>
      </c>
      <c r="E27" s="44" t="s">
        <v>8080</v>
      </c>
      <c r="F27" s="44" t="n">
        <v>56</v>
      </c>
      <c r="G27" s="44" t="str">
        <f aca="false">IF(O62&gt;=$X$12,"Foundational deep pass",IF(O62&gt;=$X$13,"Major deep pass",IF(O62&gt;=$X$14,"Targeted innovation pass",IF(O62&gt;=$X$15,"Sampling pass","Reference / defer"))))</f>
        <v>Foundational deep pass</v>
      </c>
      <c r="H27" s="44" t="n">
        <v>25</v>
      </c>
      <c r="I27" s="44" t="n">
        <v>4</v>
      </c>
      <c r="J27" s="44" t="n">
        <v>2</v>
      </c>
      <c r="K27" s="44" t="n">
        <v>30</v>
      </c>
      <c r="L27" s="44" t="s">
        <v>18072</v>
      </c>
      <c r="M27" s="44" t="s">
        <v>18070</v>
      </c>
      <c r="N27" s="44" t="s">
        <v>18073</v>
      </c>
    </row>
    <row r="28" customFormat="false" ht="15" hidden="false" customHeight="false" outlineLevel="0" collapsed="false">
      <c r="A28" s="44" t="s">
        <v>8281</v>
      </c>
      <c r="B28" s="44" t="s">
        <v>8282</v>
      </c>
      <c r="C28" s="44" t="s">
        <v>8275</v>
      </c>
      <c r="D28" s="44" t="s">
        <v>8284</v>
      </c>
      <c r="E28" s="44" t="s">
        <v>8080</v>
      </c>
      <c r="F28" s="44" t="n">
        <v>30</v>
      </c>
      <c r="G28" s="44" t="str">
        <f aca="false">IF(O36&gt;=$X$12,"Foundational deep pass",IF(O36&gt;=$X$13,"Major deep pass",IF(O36&gt;=$X$14,"Targeted innovation pass",IF(O36&gt;=$X$15,"Sampling pass","Reference / defer"))))</f>
        <v>Foundational deep pass</v>
      </c>
      <c r="H28" s="44" t="n">
        <v>0</v>
      </c>
      <c r="I28" s="44" t="n">
        <v>5</v>
      </c>
      <c r="J28" s="44" t="n">
        <v>4</v>
      </c>
      <c r="K28" s="44" t="n">
        <v>30</v>
      </c>
      <c r="L28" s="44" t="s">
        <v>13432</v>
      </c>
      <c r="M28" s="44" t="s">
        <v>18070</v>
      </c>
      <c r="N28" s="44" t="s">
        <v>18071</v>
      </c>
    </row>
    <row r="29" customFormat="false" ht="15" hidden="false" customHeight="false" outlineLevel="0" collapsed="false">
      <c r="A29" s="44" t="s">
        <v>8289</v>
      </c>
      <c r="B29" s="44" t="s">
        <v>8290</v>
      </c>
      <c r="C29" s="44" t="s">
        <v>8275</v>
      </c>
      <c r="D29" s="44" t="s">
        <v>8284</v>
      </c>
      <c r="E29" s="44" t="s">
        <v>8080</v>
      </c>
      <c r="F29" s="44" t="n">
        <v>34</v>
      </c>
      <c r="G29" s="44" t="str">
        <f aca="false">IF(O40&gt;=$X$12,"Foundational deep pass",IF(O40&gt;=$X$13,"Major deep pass",IF(O40&gt;=$X$14,"Targeted innovation pass",IF(O40&gt;=$X$15,"Sampling pass","Reference / defer"))))</f>
        <v>Foundational deep pass</v>
      </c>
      <c r="H29" s="44" t="n">
        <v>0</v>
      </c>
      <c r="I29" s="44" t="n">
        <v>5</v>
      </c>
      <c r="J29" s="44" t="n">
        <v>3</v>
      </c>
      <c r="K29" s="44" t="n">
        <v>30</v>
      </c>
      <c r="L29" s="44" t="s">
        <v>13432</v>
      </c>
      <c r="M29" s="44" t="s">
        <v>18070</v>
      </c>
      <c r="N29" s="44" t="s">
        <v>18071</v>
      </c>
    </row>
    <row r="30" customFormat="false" ht="15" hidden="false" customHeight="false" outlineLevel="0" collapsed="false">
      <c r="A30" s="44" t="s">
        <v>8296</v>
      </c>
      <c r="B30" s="44" t="s">
        <v>8297</v>
      </c>
      <c r="C30" s="44" t="s">
        <v>8275</v>
      </c>
      <c r="D30" s="44" t="s">
        <v>8299</v>
      </c>
      <c r="E30" s="44" t="s">
        <v>8080</v>
      </c>
      <c r="F30" s="44" t="n">
        <v>49</v>
      </c>
      <c r="G30" s="44" t="str">
        <f aca="false">IF(O55&gt;=$X$12,"Foundational deep pass",IF(O55&gt;=$X$13,"Major deep pass",IF(O55&gt;=$X$14,"Targeted innovation pass",IF(O55&gt;=$X$15,"Sampling pass","Reference / defer"))))</f>
        <v>Foundational deep pass</v>
      </c>
      <c r="H30" s="44" t="n">
        <v>0</v>
      </c>
      <c r="I30" s="44" t="n">
        <v>4</v>
      </c>
      <c r="J30" s="44" t="n">
        <v>2</v>
      </c>
      <c r="K30" s="44" t="n">
        <v>30</v>
      </c>
      <c r="L30" s="44" t="s">
        <v>13432</v>
      </c>
      <c r="M30" s="44" t="s">
        <v>18070</v>
      </c>
      <c r="N30" s="44" t="s">
        <v>18071</v>
      </c>
    </row>
    <row r="31" customFormat="false" ht="15" hidden="false" customHeight="false" outlineLevel="0" collapsed="false">
      <c r="A31" s="44" t="s">
        <v>8304</v>
      </c>
      <c r="B31" s="44" t="s">
        <v>8305</v>
      </c>
      <c r="C31" s="44" t="s">
        <v>8275</v>
      </c>
      <c r="D31" s="44" t="s">
        <v>8307</v>
      </c>
      <c r="E31" s="44" t="s">
        <v>8080</v>
      </c>
      <c r="F31" s="44" t="n">
        <v>47</v>
      </c>
      <c r="G31" s="44" t="str">
        <f aca="false">IF(O53&gt;=$X$12,"Foundational deep pass",IF(O53&gt;=$X$13,"Major deep pass",IF(O53&gt;=$X$14,"Targeted innovation pass",IF(O53&gt;=$X$15,"Sampling pass","Reference / defer"))))</f>
        <v>Foundational deep pass</v>
      </c>
      <c r="H31" s="44" t="n">
        <v>0</v>
      </c>
      <c r="I31" s="44" t="n">
        <v>6</v>
      </c>
      <c r="J31" s="44" t="n">
        <v>3</v>
      </c>
      <c r="K31" s="44" t="n">
        <v>30</v>
      </c>
      <c r="L31" s="44" t="s">
        <v>13432</v>
      </c>
      <c r="M31" s="44" t="s">
        <v>18070</v>
      </c>
      <c r="N31" s="44" t="s">
        <v>18071</v>
      </c>
    </row>
    <row r="32" customFormat="false" ht="15" hidden="false" customHeight="false" outlineLevel="0" collapsed="false">
      <c r="A32" s="44" t="s">
        <v>8311</v>
      </c>
      <c r="B32" s="44" t="s">
        <v>8312</v>
      </c>
      <c r="C32" s="44" t="s">
        <v>8275</v>
      </c>
      <c r="D32" s="44" t="s">
        <v>8307</v>
      </c>
      <c r="E32" s="44" t="s">
        <v>8080</v>
      </c>
      <c r="F32" s="44" t="n">
        <v>52</v>
      </c>
      <c r="G32" s="44" t="str">
        <f aca="false">IF(O58&gt;=$X$12,"Foundational deep pass",IF(O58&gt;=$X$13,"Major deep pass",IF(O58&gt;=$X$14,"Targeted innovation pass",IF(O58&gt;=$X$15,"Sampling pass","Reference / defer"))))</f>
        <v>Foundational deep pass</v>
      </c>
      <c r="H32" s="44" t="n">
        <v>0</v>
      </c>
      <c r="I32" s="44" t="n">
        <v>5</v>
      </c>
      <c r="J32" s="44" t="n">
        <v>5</v>
      </c>
      <c r="K32" s="44" t="n">
        <v>30</v>
      </c>
      <c r="L32" s="44" t="s">
        <v>13432</v>
      </c>
      <c r="M32" s="44" t="s">
        <v>18070</v>
      </c>
      <c r="N32" s="44" t="s">
        <v>18071</v>
      </c>
    </row>
    <row r="33" customFormat="false" ht="15" hidden="false" customHeight="false" outlineLevel="0" collapsed="false">
      <c r="A33" s="44" t="s">
        <v>8318</v>
      </c>
      <c r="B33" s="44" t="s">
        <v>8319</v>
      </c>
      <c r="C33" s="44" t="s">
        <v>8275</v>
      </c>
      <c r="D33" s="44" t="s">
        <v>8307</v>
      </c>
      <c r="E33" s="44" t="s">
        <v>8180</v>
      </c>
      <c r="F33" s="44" t="n">
        <v>61</v>
      </c>
      <c r="G33" s="44" t="str">
        <f aca="false">IF(O67&gt;=$X$12,"Foundational deep pass",IF(O67&gt;=$X$13,"Major deep pass",IF(O67&gt;=$X$14,"Targeted innovation pass",IF(O67&gt;=$X$15,"Sampling pass","Reference / defer"))))</f>
        <v>Foundational deep pass</v>
      </c>
      <c r="H33" s="44" t="n">
        <v>0</v>
      </c>
      <c r="I33" s="44" t="n">
        <v>4</v>
      </c>
      <c r="J33" s="44" t="n">
        <v>2</v>
      </c>
      <c r="K33" s="44" t="n">
        <v>30</v>
      </c>
      <c r="L33" s="44" t="s">
        <v>13432</v>
      </c>
      <c r="M33" s="44" t="s">
        <v>18070</v>
      </c>
      <c r="N33" s="44" t="s">
        <v>18071</v>
      </c>
    </row>
    <row r="34" customFormat="false" ht="15" hidden="false" customHeight="false" outlineLevel="0" collapsed="false">
      <c r="A34" s="44" t="s">
        <v>8325</v>
      </c>
      <c r="B34" s="44" t="s">
        <v>8326</v>
      </c>
      <c r="C34" s="44" t="s">
        <v>8275</v>
      </c>
      <c r="D34" s="44" t="s">
        <v>8307</v>
      </c>
      <c r="E34" s="44" t="s">
        <v>8080</v>
      </c>
      <c r="F34" s="44" t="n">
        <v>53</v>
      </c>
      <c r="G34" s="44" t="str">
        <f aca="false">IF(O59&gt;=$X$12,"Foundational deep pass",IF(O59&gt;=$X$13,"Major deep pass",IF(O59&gt;=$X$14,"Targeted innovation pass",IF(O59&gt;=$X$15,"Sampling pass","Reference / defer"))))</f>
        <v>Foundational deep pass</v>
      </c>
      <c r="H34" s="44" t="n">
        <v>0</v>
      </c>
      <c r="I34" s="44" t="n">
        <v>5</v>
      </c>
      <c r="J34" s="44" t="n">
        <v>4</v>
      </c>
      <c r="K34" s="44" t="n">
        <v>30</v>
      </c>
      <c r="L34" s="44" t="s">
        <v>13432</v>
      </c>
      <c r="M34" s="44" t="s">
        <v>18070</v>
      </c>
      <c r="N34" s="44" t="s">
        <v>18071</v>
      </c>
    </row>
    <row r="35" customFormat="false" ht="15" hidden="false" customHeight="false" outlineLevel="0" collapsed="false">
      <c r="A35" s="44" t="s">
        <v>8332</v>
      </c>
      <c r="B35" s="44" t="s">
        <v>8333</v>
      </c>
      <c r="C35" s="44" t="s">
        <v>8275</v>
      </c>
      <c r="D35" s="44" t="s">
        <v>8335</v>
      </c>
      <c r="E35" s="44" t="s">
        <v>8180</v>
      </c>
      <c r="F35" s="44" t="n">
        <v>70</v>
      </c>
      <c r="G35" s="44" t="str">
        <f aca="false">IF(O76&gt;=$X$12,"Foundational deep pass",IF(O76&gt;=$X$13,"Major deep pass",IF(O76&gt;=$X$14,"Targeted innovation pass",IF(O76&gt;=$X$15,"Sampling pass","Reference / defer"))))</f>
        <v>Foundational deep pass</v>
      </c>
      <c r="H35" s="44" t="n">
        <v>0</v>
      </c>
      <c r="I35" s="44" t="n">
        <v>5</v>
      </c>
      <c r="J35" s="44" t="n">
        <v>4</v>
      </c>
      <c r="K35" s="44" t="n">
        <v>30</v>
      </c>
      <c r="L35" s="44" t="s">
        <v>13432</v>
      </c>
      <c r="M35" s="44" t="s">
        <v>18070</v>
      </c>
      <c r="N35" s="44" t="s">
        <v>18071</v>
      </c>
    </row>
    <row r="36" customFormat="false" ht="15" hidden="false" customHeight="false" outlineLevel="0" collapsed="false">
      <c r="A36" s="44" t="s">
        <v>8340</v>
      </c>
      <c r="B36" s="44" t="s">
        <v>8341</v>
      </c>
      <c r="C36" s="44" t="s">
        <v>8275</v>
      </c>
      <c r="D36" s="44" t="s">
        <v>8343</v>
      </c>
      <c r="E36" s="44" t="s">
        <v>8080</v>
      </c>
      <c r="F36" s="44" t="n">
        <v>32</v>
      </c>
      <c r="G36" s="44" t="str">
        <f aca="false">IF(O38&gt;=$X$12,"Foundational deep pass",IF(O38&gt;=$X$13,"Major deep pass",IF(O38&gt;=$X$14,"Targeted innovation pass",IF(O38&gt;=$X$15,"Sampling pass","Reference / defer"))))</f>
        <v>Foundational deep pass</v>
      </c>
      <c r="H36" s="44" t="n">
        <v>0</v>
      </c>
      <c r="I36" s="44" t="n">
        <v>6</v>
      </c>
      <c r="J36" s="44" t="n">
        <v>5</v>
      </c>
      <c r="K36" s="44" t="n">
        <v>30</v>
      </c>
      <c r="L36" s="44" t="s">
        <v>13432</v>
      </c>
      <c r="M36" s="44" t="s">
        <v>18070</v>
      </c>
      <c r="N36" s="44" t="s">
        <v>18071</v>
      </c>
    </row>
    <row r="37" customFormat="false" ht="15" hidden="false" customHeight="false" outlineLevel="0" collapsed="false">
      <c r="A37" s="44" t="s">
        <v>8348</v>
      </c>
      <c r="B37" s="44" t="s">
        <v>8349</v>
      </c>
      <c r="C37" s="44" t="s">
        <v>8275</v>
      </c>
      <c r="D37" s="44" t="s">
        <v>8351</v>
      </c>
      <c r="E37" s="44" t="s">
        <v>8080</v>
      </c>
      <c r="F37" s="44" t="n">
        <v>33</v>
      </c>
      <c r="G37" s="44" t="str">
        <f aca="false">IF(O39&gt;=$X$12,"Foundational deep pass",IF(O39&gt;=$X$13,"Major deep pass",IF(O39&gt;=$X$14,"Targeted innovation pass",IF(O39&gt;=$X$15,"Sampling pass","Reference / defer"))))</f>
        <v>Foundational deep pass</v>
      </c>
      <c r="H37" s="44" t="n">
        <v>0</v>
      </c>
      <c r="I37" s="44" t="n">
        <v>4</v>
      </c>
      <c r="J37" s="44" t="n">
        <v>4</v>
      </c>
      <c r="K37" s="44" t="n">
        <v>30</v>
      </c>
      <c r="L37" s="44" t="s">
        <v>13432</v>
      </c>
      <c r="M37" s="44" t="s">
        <v>18070</v>
      </c>
      <c r="N37" s="44" t="s">
        <v>18071</v>
      </c>
    </row>
    <row r="38" customFormat="false" ht="15" hidden="false" customHeight="false" outlineLevel="0" collapsed="false">
      <c r="A38" s="44" t="s">
        <v>8356</v>
      </c>
      <c r="B38" s="44" t="s">
        <v>8357</v>
      </c>
      <c r="C38" s="44" t="s">
        <v>8275</v>
      </c>
      <c r="D38" s="44" t="s">
        <v>8343</v>
      </c>
      <c r="E38" s="44" t="s">
        <v>8180</v>
      </c>
      <c r="F38" s="44" t="n">
        <v>77</v>
      </c>
      <c r="G38" s="44" t="str">
        <f aca="false">IF(O83&gt;=$X$12,"Foundational deep pass",IF(O83&gt;=$X$13,"Major deep pass",IF(O83&gt;=$X$14,"Targeted innovation pass",IF(O83&gt;=$X$15,"Sampling pass","Reference / defer"))))</f>
        <v>Foundational deep pass</v>
      </c>
      <c r="H38" s="44" t="n">
        <v>0</v>
      </c>
      <c r="I38" s="44" t="n">
        <v>4</v>
      </c>
      <c r="J38" s="44" t="n">
        <v>2</v>
      </c>
      <c r="K38" s="44" t="n">
        <v>30</v>
      </c>
      <c r="L38" s="44" t="s">
        <v>13432</v>
      </c>
      <c r="M38" s="44" t="s">
        <v>18070</v>
      </c>
      <c r="N38" s="44" t="s">
        <v>18071</v>
      </c>
    </row>
    <row r="39" customFormat="false" ht="15" hidden="false" customHeight="false" outlineLevel="0" collapsed="false">
      <c r="A39" s="44" t="s">
        <v>8362</v>
      </c>
      <c r="B39" s="44" t="s">
        <v>8363</v>
      </c>
      <c r="C39" s="44" t="s">
        <v>8275</v>
      </c>
      <c r="D39" s="44" t="s">
        <v>8365</v>
      </c>
      <c r="E39" s="44" t="s">
        <v>8180</v>
      </c>
      <c r="F39" s="44" t="n">
        <v>59</v>
      </c>
      <c r="G39" s="44" t="str">
        <f aca="false">IF(O65&gt;=$X$12,"Foundational deep pass",IF(O65&gt;=$X$13,"Major deep pass",IF(O65&gt;=$X$14,"Targeted innovation pass",IF(O65&gt;=$X$15,"Sampling pass","Reference / defer"))))</f>
        <v>Foundational deep pass</v>
      </c>
      <c r="H39" s="44" t="n">
        <v>0</v>
      </c>
      <c r="I39" s="44" t="n">
        <v>4</v>
      </c>
      <c r="J39" s="44" t="n">
        <v>3</v>
      </c>
      <c r="K39" s="44" t="n">
        <v>30</v>
      </c>
      <c r="L39" s="44" t="s">
        <v>13432</v>
      </c>
      <c r="M39" s="44" t="s">
        <v>18070</v>
      </c>
      <c r="N39" s="44" t="s">
        <v>18071</v>
      </c>
    </row>
    <row r="40" customFormat="false" ht="15" hidden="false" customHeight="false" outlineLevel="0" collapsed="false">
      <c r="A40" s="44" t="s">
        <v>8370</v>
      </c>
      <c r="B40" s="44" t="s">
        <v>8371</v>
      </c>
      <c r="C40" s="44" t="s">
        <v>8275</v>
      </c>
      <c r="D40" s="44" t="s">
        <v>8343</v>
      </c>
      <c r="E40" s="44" t="s">
        <v>8180</v>
      </c>
      <c r="F40" s="44" t="n">
        <v>69</v>
      </c>
      <c r="G40" s="44" t="str">
        <f aca="false">IF(O75&gt;=$X$12,"Foundational deep pass",IF(O75&gt;=$X$13,"Major deep pass",IF(O75&gt;=$X$14,"Targeted innovation pass",IF(O75&gt;=$X$15,"Sampling pass","Reference / defer"))))</f>
        <v>Foundational deep pass</v>
      </c>
      <c r="H40" s="44" t="n">
        <v>0</v>
      </c>
      <c r="I40" s="44" t="n">
        <v>5</v>
      </c>
      <c r="J40" s="44" t="n">
        <v>3</v>
      </c>
      <c r="K40" s="44" t="n">
        <v>30</v>
      </c>
      <c r="L40" s="44" t="s">
        <v>13432</v>
      </c>
      <c r="M40" s="44" t="s">
        <v>18070</v>
      </c>
      <c r="N40" s="44" t="s">
        <v>18071</v>
      </c>
    </row>
    <row r="41" customFormat="false" ht="15" hidden="false" customHeight="false" outlineLevel="0" collapsed="false">
      <c r="A41" s="44" t="s">
        <v>8377</v>
      </c>
      <c r="B41" s="44" t="s">
        <v>8378</v>
      </c>
      <c r="C41" s="44" t="s">
        <v>8275</v>
      </c>
      <c r="D41" s="44" t="s">
        <v>8380</v>
      </c>
      <c r="E41" s="44" t="s">
        <v>8080</v>
      </c>
      <c r="F41" s="44" t="n">
        <v>44</v>
      </c>
      <c r="G41" s="44" t="str">
        <f aca="false">IF(O50&gt;=$X$12,"Foundational deep pass",IF(O50&gt;=$X$13,"Major deep pass",IF(O50&gt;=$X$14,"Targeted innovation pass",IF(O50&gt;=$X$15,"Sampling pass","Reference / defer"))))</f>
        <v>Foundational deep pass</v>
      </c>
      <c r="H41" s="44" t="n">
        <v>0</v>
      </c>
      <c r="I41" s="44" t="n">
        <v>5</v>
      </c>
      <c r="J41" s="44" t="n">
        <v>4</v>
      </c>
      <c r="K41" s="44" t="n">
        <v>30</v>
      </c>
      <c r="L41" s="44" t="s">
        <v>13432</v>
      </c>
      <c r="M41" s="44" t="s">
        <v>18070</v>
      </c>
      <c r="N41" s="44" t="s">
        <v>18071</v>
      </c>
    </row>
    <row r="42" customFormat="false" ht="15" hidden="false" customHeight="false" outlineLevel="0" collapsed="false">
      <c r="A42" s="44" t="s">
        <v>8385</v>
      </c>
      <c r="B42" s="44" t="s">
        <v>8386</v>
      </c>
      <c r="C42" s="44" t="s">
        <v>8275</v>
      </c>
      <c r="D42" s="44" t="s">
        <v>8343</v>
      </c>
      <c r="E42" s="44" t="s">
        <v>8180</v>
      </c>
      <c r="F42" s="44" t="n">
        <v>66</v>
      </c>
      <c r="G42" s="44" t="str">
        <f aca="false">IF(O72&gt;=$X$12,"Foundational deep pass",IF(O72&gt;=$X$13,"Major deep pass",IF(O72&gt;=$X$14,"Targeted innovation pass",IF(O72&gt;=$X$15,"Sampling pass","Reference / defer"))))</f>
        <v>Foundational deep pass</v>
      </c>
      <c r="H42" s="44" t="n">
        <v>0</v>
      </c>
      <c r="I42" s="44" t="n">
        <v>5</v>
      </c>
      <c r="J42" s="44" t="n">
        <v>3</v>
      </c>
      <c r="K42" s="44" t="n">
        <v>30</v>
      </c>
      <c r="L42" s="44" t="s">
        <v>13432</v>
      </c>
      <c r="M42" s="44" t="s">
        <v>18070</v>
      </c>
      <c r="N42" s="44" t="s">
        <v>18071</v>
      </c>
    </row>
    <row r="43" customFormat="false" ht="15" hidden="false" customHeight="false" outlineLevel="0" collapsed="false">
      <c r="A43" s="44" t="s">
        <v>8392</v>
      </c>
      <c r="B43" s="44" t="s">
        <v>8393</v>
      </c>
      <c r="C43" s="44" t="s">
        <v>8275</v>
      </c>
      <c r="D43" s="44" t="s">
        <v>8307</v>
      </c>
      <c r="E43" s="44" t="s">
        <v>8080</v>
      </c>
      <c r="F43" s="44" t="n">
        <v>31</v>
      </c>
      <c r="G43" s="44" t="str">
        <f aca="false">IF(O37&gt;=$X$12,"Foundational deep pass",IF(O37&gt;=$X$13,"Major deep pass",IF(O37&gt;=$X$14,"Targeted innovation pass",IF(O37&gt;=$X$15,"Sampling pass","Reference / defer"))))</f>
        <v>Foundational deep pass</v>
      </c>
      <c r="H43" s="44" t="n">
        <v>0</v>
      </c>
      <c r="I43" s="44" t="n">
        <v>6</v>
      </c>
      <c r="J43" s="44" t="n">
        <v>3</v>
      </c>
      <c r="K43" s="44" t="n">
        <v>30</v>
      </c>
      <c r="L43" s="44" t="s">
        <v>13432</v>
      </c>
      <c r="M43" s="44" t="s">
        <v>18070</v>
      </c>
      <c r="N43" s="44" t="s">
        <v>18071</v>
      </c>
    </row>
    <row r="44" customFormat="false" ht="15" hidden="false" customHeight="false" outlineLevel="0" collapsed="false">
      <c r="A44" s="44" t="s">
        <v>8399</v>
      </c>
      <c r="B44" s="44" t="s">
        <v>8400</v>
      </c>
      <c r="C44" s="44" t="s">
        <v>8275</v>
      </c>
      <c r="D44" s="44" t="s">
        <v>8343</v>
      </c>
      <c r="E44" s="44" t="s">
        <v>8080</v>
      </c>
      <c r="F44" s="44" t="n">
        <v>39</v>
      </c>
      <c r="G44" s="44" t="str">
        <f aca="false">IF(O45&gt;=$X$12,"Foundational deep pass",IF(O45&gt;=$X$13,"Major deep pass",IF(O45&gt;=$X$14,"Targeted innovation pass",IF(O45&gt;=$X$15,"Sampling pass","Reference / defer"))))</f>
        <v>Foundational deep pass</v>
      </c>
      <c r="H44" s="44" t="n">
        <v>0</v>
      </c>
      <c r="I44" s="44" t="n">
        <v>4</v>
      </c>
      <c r="J44" s="44" t="n">
        <v>2</v>
      </c>
      <c r="K44" s="44" t="n">
        <v>30</v>
      </c>
      <c r="L44" s="44" t="s">
        <v>13432</v>
      </c>
      <c r="M44" s="44" t="s">
        <v>18070</v>
      </c>
      <c r="N44" s="44" t="s">
        <v>18071</v>
      </c>
    </row>
    <row r="45" customFormat="false" ht="15" hidden="false" customHeight="false" outlineLevel="0" collapsed="false">
      <c r="A45" s="44" t="s">
        <v>8406</v>
      </c>
      <c r="B45" s="44" t="s">
        <v>8407</v>
      </c>
      <c r="C45" s="44" t="s">
        <v>8275</v>
      </c>
      <c r="D45" s="44" t="s">
        <v>8343</v>
      </c>
      <c r="E45" s="44" t="s">
        <v>8080</v>
      </c>
      <c r="F45" s="44" t="n">
        <v>55</v>
      </c>
      <c r="G45" s="44" t="str">
        <f aca="false">IF(O61&gt;=$X$12,"Foundational deep pass",IF(O61&gt;=$X$13,"Major deep pass",IF(O61&gt;=$X$14,"Targeted innovation pass",IF(O61&gt;=$X$15,"Sampling pass","Reference / defer"))))</f>
        <v>Foundational deep pass</v>
      </c>
      <c r="H45" s="44" t="n">
        <v>0</v>
      </c>
      <c r="I45" s="44" t="n">
        <v>5</v>
      </c>
      <c r="J45" s="44" t="n">
        <v>3</v>
      </c>
      <c r="K45" s="44" t="n">
        <v>30</v>
      </c>
      <c r="L45" s="44" t="s">
        <v>13432</v>
      </c>
      <c r="M45" s="44" t="s">
        <v>18070</v>
      </c>
      <c r="N45" s="44" t="s">
        <v>18071</v>
      </c>
    </row>
    <row r="46" customFormat="false" ht="15" hidden="false" customHeight="false" outlineLevel="0" collapsed="false">
      <c r="A46" s="44" t="s">
        <v>8413</v>
      </c>
      <c r="B46" s="44" t="s">
        <v>8414</v>
      </c>
      <c r="C46" s="44" t="s">
        <v>8275</v>
      </c>
      <c r="D46" s="44" t="s">
        <v>8343</v>
      </c>
      <c r="E46" s="44" t="s">
        <v>8080</v>
      </c>
      <c r="F46" s="44" t="n">
        <v>42</v>
      </c>
      <c r="G46" s="44" t="str">
        <f aca="false">IF(O48&gt;=$X$12,"Foundational deep pass",IF(O48&gt;=$X$13,"Major deep pass",IF(O48&gt;=$X$14,"Targeted innovation pass",IF(O48&gt;=$X$15,"Sampling pass","Reference / defer"))))</f>
        <v>Foundational deep pass</v>
      </c>
      <c r="H46" s="44" t="n">
        <v>0</v>
      </c>
      <c r="I46" s="44" t="n">
        <v>6</v>
      </c>
      <c r="J46" s="44" t="n">
        <v>2</v>
      </c>
      <c r="K46" s="44" t="n">
        <v>30</v>
      </c>
      <c r="L46" s="44" t="s">
        <v>13432</v>
      </c>
      <c r="M46" s="44" t="s">
        <v>18070</v>
      </c>
      <c r="N46" s="44" t="s">
        <v>18071</v>
      </c>
    </row>
    <row r="47" customFormat="false" ht="15" hidden="false" customHeight="false" outlineLevel="0" collapsed="false">
      <c r="A47" s="44" t="s">
        <v>8420</v>
      </c>
      <c r="B47" s="44" t="s">
        <v>8421</v>
      </c>
      <c r="C47" s="44" t="s">
        <v>8275</v>
      </c>
      <c r="D47" s="44" t="s">
        <v>8343</v>
      </c>
      <c r="E47" s="44" t="s">
        <v>8080</v>
      </c>
      <c r="F47" s="44" t="n">
        <v>106</v>
      </c>
      <c r="G47" s="44" t="str">
        <f aca="false">IF(O112&gt;=$X$12,"Foundational deep pass",IF(O112&gt;=$X$13,"Major deep pass",IF(O112&gt;=$X$14,"Targeted innovation pass",IF(O112&gt;=$X$15,"Sampling pass","Reference / defer"))))</f>
        <v>Foundational deep pass</v>
      </c>
      <c r="H47" s="44" t="n">
        <v>22</v>
      </c>
      <c r="I47" s="44" t="n">
        <v>5</v>
      </c>
      <c r="J47" s="44" t="n">
        <v>3</v>
      </c>
      <c r="K47" s="44" t="n">
        <v>30</v>
      </c>
      <c r="L47" s="44" t="s">
        <v>18072</v>
      </c>
      <c r="M47" s="44" t="s">
        <v>18070</v>
      </c>
      <c r="N47" s="44" t="s">
        <v>18073</v>
      </c>
    </row>
    <row r="48" customFormat="false" ht="15" hidden="false" customHeight="false" outlineLevel="0" collapsed="false">
      <c r="A48" s="44" t="s">
        <v>8427</v>
      </c>
      <c r="B48" s="44" t="s">
        <v>8428</v>
      </c>
      <c r="C48" s="44" t="s">
        <v>8275</v>
      </c>
      <c r="D48" s="44" t="s">
        <v>8430</v>
      </c>
      <c r="E48" s="44" t="s">
        <v>8080</v>
      </c>
      <c r="F48" s="44" t="n">
        <v>103</v>
      </c>
      <c r="G48" s="44" t="str">
        <f aca="false">IF(O109&gt;=$X$12,"Foundational deep pass",IF(O109&gt;=$X$13,"Major deep pass",IF(O109&gt;=$X$14,"Targeted innovation pass",IF(O109&gt;=$X$15,"Sampling pass","Reference / defer"))))</f>
        <v>Foundational deep pass</v>
      </c>
      <c r="H48" s="44" t="n">
        <v>25</v>
      </c>
      <c r="I48" s="44" t="n">
        <v>6</v>
      </c>
      <c r="J48" s="44" t="n">
        <v>5</v>
      </c>
      <c r="K48" s="44" t="n">
        <v>30</v>
      </c>
      <c r="L48" s="44" t="s">
        <v>18072</v>
      </c>
      <c r="M48" s="44" t="s">
        <v>18070</v>
      </c>
      <c r="N48" s="44" t="s">
        <v>18073</v>
      </c>
    </row>
    <row r="49" customFormat="false" ht="15" hidden="false" customHeight="false" outlineLevel="0" collapsed="false">
      <c r="A49" s="44" t="s">
        <v>8435</v>
      </c>
      <c r="B49" s="44" t="s">
        <v>8436</v>
      </c>
      <c r="C49" s="44" t="s">
        <v>8275</v>
      </c>
      <c r="D49" s="44" t="s">
        <v>8438</v>
      </c>
      <c r="E49" s="44" t="s">
        <v>8080</v>
      </c>
      <c r="F49" s="44" t="n">
        <v>38</v>
      </c>
      <c r="G49" s="44" t="str">
        <f aca="false">IF(O44&gt;=$X$12,"Foundational deep pass",IF(O44&gt;=$X$13,"Major deep pass",IF(O44&gt;=$X$14,"Targeted innovation pass",IF(O44&gt;=$X$15,"Sampling pass","Reference / defer"))))</f>
        <v>Foundational deep pass</v>
      </c>
      <c r="H49" s="44" t="n">
        <v>0</v>
      </c>
      <c r="I49" s="44" t="n">
        <v>7</v>
      </c>
      <c r="J49" s="44" t="n">
        <v>5</v>
      </c>
      <c r="K49" s="44" t="n">
        <v>30</v>
      </c>
      <c r="L49" s="44" t="s">
        <v>13432</v>
      </c>
      <c r="M49" s="44" t="s">
        <v>18070</v>
      </c>
      <c r="N49" s="44" t="s">
        <v>18071</v>
      </c>
    </row>
    <row r="50" customFormat="false" ht="15" hidden="false" customHeight="false" outlineLevel="0" collapsed="false">
      <c r="A50" s="44" t="s">
        <v>8443</v>
      </c>
      <c r="B50" s="44" t="s">
        <v>8444</v>
      </c>
      <c r="C50" s="44" t="s">
        <v>8275</v>
      </c>
      <c r="D50" s="44" t="s">
        <v>8307</v>
      </c>
      <c r="E50" s="44" t="s">
        <v>8180</v>
      </c>
      <c r="F50" s="44" t="n">
        <v>62</v>
      </c>
      <c r="G50" s="44" t="str">
        <f aca="false">IF(O68&gt;=$X$12,"Foundational deep pass",IF(O68&gt;=$X$13,"Major deep pass",IF(O68&gt;=$X$14,"Targeted innovation pass",IF(O68&gt;=$X$15,"Sampling pass","Reference / defer"))))</f>
        <v>Foundational deep pass</v>
      </c>
      <c r="H50" s="44" t="n">
        <v>0</v>
      </c>
      <c r="I50" s="44" t="n">
        <v>6</v>
      </c>
      <c r="J50" s="44" t="n">
        <v>4</v>
      </c>
      <c r="K50" s="44" t="n">
        <v>30</v>
      </c>
      <c r="L50" s="44" t="s">
        <v>13432</v>
      </c>
      <c r="M50" s="44" t="s">
        <v>18070</v>
      </c>
      <c r="N50" s="44" t="s">
        <v>18071</v>
      </c>
    </row>
    <row r="51" customFormat="false" ht="15" hidden="false" customHeight="false" outlineLevel="0" collapsed="false">
      <c r="A51" s="44" t="s">
        <v>8449</v>
      </c>
      <c r="B51" s="44" t="s">
        <v>8450</v>
      </c>
      <c r="C51" s="44" t="s">
        <v>8275</v>
      </c>
      <c r="D51" s="44" t="s">
        <v>8452</v>
      </c>
      <c r="E51" s="44" t="s">
        <v>8080</v>
      </c>
      <c r="F51" s="44" t="n">
        <v>28</v>
      </c>
      <c r="G51" s="44" t="str">
        <f aca="false">IF(O34&gt;=$X$12,"Foundational deep pass",IF(O34&gt;=$X$13,"Major deep pass",IF(O34&gt;=$X$14,"Targeted innovation pass",IF(O34&gt;=$X$15,"Sampling pass","Reference / defer"))))</f>
        <v>Foundational deep pass</v>
      </c>
      <c r="H51" s="44" t="n">
        <v>0</v>
      </c>
      <c r="I51" s="44" t="n">
        <v>5</v>
      </c>
      <c r="J51" s="44" t="n">
        <v>4</v>
      </c>
      <c r="K51" s="44" t="n">
        <v>30</v>
      </c>
      <c r="L51" s="44" t="s">
        <v>13432</v>
      </c>
      <c r="M51" s="44" t="s">
        <v>18070</v>
      </c>
      <c r="N51" s="44" t="s">
        <v>18071</v>
      </c>
    </row>
    <row r="52" customFormat="false" ht="15" hidden="false" customHeight="false" outlineLevel="0" collapsed="false">
      <c r="A52" s="44" t="s">
        <v>8457</v>
      </c>
      <c r="B52" s="44" t="s">
        <v>8458</v>
      </c>
      <c r="C52" s="44" t="s">
        <v>8275</v>
      </c>
      <c r="D52" s="44" t="s">
        <v>8307</v>
      </c>
      <c r="E52" s="44" t="s">
        <v>8080</v>
      </c>
      <c r="F52" s="44" t="n">
        <v>50</v>
      </c>
      <c r="G52" s="44" t="str">
        <f aca="false">IF(O56&gt;=$X$12,"Foundational deep pass",IF(O56&gt;=$X$13,"Major deep pass",IF(O56&gt;=$X$14,"Targeted innovation pass",IF(O56&gt;=$X$15,"Sampling pass","Reference / defer"))))</f>
        <v>Foundational deep pass</v>
      </c>
      <c r="H52" s="44" t="n">
        <v>0</v>
      </c>
      <c r="I52" s="44" t="n">
        <v>5</v>
      </c>
      <c r="J52" s="44" t="n">
        <v>1</v>
      </c>
      <c r="K52" s="44" t="n">
        <v>30</v>
      </c>
      <c r="L52" s="44" t="s">
        <v>13432</v>
      </c>
      <c r="M52" s="44" t="s">
        <v>18070</v>
      </c>
      <c r="N52" s="44" t="s">
        <v>18071</v>
      </c>
    </row>
    <row r="53" customFormat="false" ht="15" hidden="false" customHeight="false" outlineLevel="0" collapsed="false">
      <c r="A53" s="44" t="s">
        <v>8464</v>
      </c>
      <c r="B53" s="44" t="s">
        <v>8465</v>
      </c>
      <c r="C53" s="44" t="s">
        <v>8275</v>
      </c>
      <c r="D53" s="44" t="s">
        <v>8343</v>
      </c>
      <c r="E53" s="44" t="s">
        <v>8080</v>
      </c>
      <c r="F53" s="44" t="n">
        <v>40</v>
      </c>
      <c r="G53" s="44" t="str">
        <f aca="false">IF(O46&gt;=$X$12,"Foundational deep pass",IF(O46&gt;=$X$13,"Major deep pass",IF(O46&gt;=$X$14,"Targeted innovation pass",IF(O46&gt;=$X$15,"Sampling pass","Reference / defer"))))</f>
        <v>Foundational deep pass</v>
      </c>
      <c r="H53" s="44" t="n">
        <v>0</v>
      </c>
      <c r="I53" s="44" t="n">
        <v>5</v>
      </c>
      <c r="J53" s="44" t="n">
        <v>2</v>
      </c>
      <c r="K53" s="44" t="n">
        <v>30</v>
      </c>
      <c r="L53" s="44" t="s">
        <v>13432</v>
      </c>
      <c r="M53" s="44" t="s">
        <v>18070</v>
      </c>
      <c r="N53" s="44" t="s">
        <v>18071</v>
      </c>
    </row>
    <row r="54" customFormat="false" ht="15" hidden="false" customHeight="false" outlineLevel="0" collapsed="false">
      <c r="A54" s="44" t="s">
        <v>8470</v>
      </c>
      <c r="B54" s="44" t="s">
        <v>8471</v>
      </c>
      <c r="C54" s="44" t="s">
        <v>8275</v>
      </c>
      <c r="D54" s="44" t="s">
        <v>8343</v>
      </c>
      <c r="E54" s="44" t="s">
        <v>8080</v>
      </c>
      <c r="F54" s="44" t="n">
        <v>54</v>
      </c>
      <c r="G54" s="44" t="str">
        <f aca="false">IF(O60&gt;=$X$12,"Foundational deep pass",IF(O60&gt;=$X$13,"Major deep pass",IF(O60&gt;=$X$14,"Targeted innovation pass",IF(O60&gt;=$X$15,"Sampling pass","Reference / defer"))))</f>
        <v>Foundational deep pass</v>
      </c>
      <c r="H54" s="44" t="n">
        <v>0</v>
      </c>
      <c r="I54" s="44" t="n">
        <v>6</v>
      </c>
      <c r="J54" s="44" t="n">
        <v>3</v>
      </c>
      <c r="K54" s="44" t="n">
        <v>30</v>
      </c>
      <c r="L54" s="44" t="s">
        <v>13432</v>
      </c>
      <c r="M54" s="44" t="s">
        <v>18070</v>
      </c>
      <c r="N54" s="44" t="s">
        <v>18071</v>
      </c>
    </row>
    <row r="55" customFormat="false" ht="15" hidden="false" customHeight="false" outlineLevel="0" collapsed="false">
      <c r="A55" s="44" t="s">
        <v>8475</v>
      </c>
      <c r="B55" s="44" t="s">
        <v>8476</v>
      </c>
      <c r="C55" s="44" t="s">
        <v>8275</v>
      </c>
      <c r="D55" s="44" t="s">
        <v>8343</v>
      </c>
      <c r="E55" s="44" t="s">
        <v>8180</v>
      </c>
      <c r="F55" s="44" t="n">
        <v>76</v>
      </c>
      <c r="G55" s="44" t="str">
        <f aca="false">IF(O82&gt;=$X$12,"Foundational deep pass",IF(O82&gt;=$X$13,"Major deep pass",IF(O82&gt;=$X$14,"Targeted innovation pass",IF(O82&gt;=$X$15,"Sampling pass","Reference / defer"))))</f>
        <v>Foundational deep pass</v>
      </c>
      <c r="H55" s="44" t="n">
        <v>0</v>
      </c>
      <c r="I55" s="44" t="n">
        <v>5</v>
      </c>
      <c r="J55" s="44" t="n">
        <v>3</v>
      </c>
      <c r="K55" s="44" t="n">
        <v>30</v>
      </c>
      <c r="L55" s="44" t="s">
        <v>13432</v>
      </c>
      <c r="M55" s="44" t="s">
        <v>18070</v>
      </c>
      <c r="N55" s="44" t="s">
        <v>18071</v>
      </c>
    </row>
    <row r="56" customFormat="false" ht="15" hidden="false" customHeight="false" outlineLevel="0" collapsed="false">
      <c r="A56" s="44" t="s">
        <v>8482</v>
      </c>
      <c r="B56" s="44" t="s">
        <v>8483</v>
      </c>
      <c r="C56" s="44" t="s">
        <v>8275</v>
      </c>
      <c r="D56" s="44" t="s">
        <v>8343</v>
      </c>
      <c r="E56" s="44" t="s">
        <v>8180</v>
      </c>
      <c r="F56" s="44" t="n">
        <v>60</v>
      </c>
      <c r="G56" s="44" t="str">
        <f aca="false">IF(O66&gt;=$X$12,"Foundational deep pass",IF(O66&gt;=$X$13,"Major deep pass",IF(O66&gt;=$X$14,"Targeted innovation pass",IF(O66&gt;=$X$15,"Sampling pass","Reference / defer"))))</f>
        <v>Foundational deep pass</v>
      </c>
      <c r="H56" s="44" t="n">
        <v>0</v>
      </c>
      <c r="I56" s="44" t="n">
        <v>6</v>
      </c>
      <c r="J56" s="44" t="n">
        <v>4</v>
      </c>
      <c r="K56" s="44" t="n">
        <v>30</v>
      </c>
      <c r="L56" s="44" t="s">
        <v>13432</v>
      </c>
      <c r="M56" s="44" t="s">
        <v>18070</v>
      </c>
      <c r="N56" s="44" t="s">
        <v>18071</v>
      </c>
    </row>
    <row r="57" customFormat="false" ht="15" hidden="false" customHeight="false" outlineLevel="0" collapsed="false">
      <c r="A57" s="44" t="s">
        <v>8487</v>
      </c>
      <c r="B57" s="44" t="s">
        <v>8488</v>
      </c>
      <c r="C57" s="44" t="s">
        <v>8275</v>
      </c>
      <c r="D57" s="44" t="s">
        <v>8343</v>
      </c>
      <c r="E57" s="44" t="s">
        <v>8080</v>
      </c>
      <c r="F57" s="44" t="n">
        <v>46</v>
      </c>
      <c r="G57" s="44" t="str">
        <f aca="false">IF(O52&gt;=$X$12,"Foundational deep pass",IF(O52&gt;=$X$13,"Major deep pass",IF(O52&gt;=$X$14,"Targeted innovation pass",IF(O52&gt;=$X$15,"Sampling pass","Reference / defer"))))</f>
        <v>Foundational deep pass</v>
      </c>
      <c r="H57" s="44" t="n">
        <v>0</v>
      </c>
      <c r="I57" s="44" t="n">
        <v>5</v>
      </c>
      <c r="J57" s="44" t="n">
        <v>4</v>
      </c>
      <c r="K57" s="44" t="n">
        <v>30</v>
      </c>
      <c r="L57" s="44" t="s">
        <v>13432</v>
      </c>
      <c r="M57" s="44" t="s">
        <v>18070</v>
      </c>
      <c r="N57" s="44" t="s">
        <v>18071</v>
      </c>
    </row>
    <row r="58" customFormat="false" ht="15" hidden="false" customHeight="false" outlineLevel="0" collapsed="false">
      <c r="A58" s="44" t="s">
        <v>8494</v>
      </c>
      <c r="B58" s="44" t="s">
        <v>8495</v>
      </c>
      <c r="C58" s="44" t="s">
        <v>8275</v>
      </c>
      <c r="D58" s="44" t="s">
        <v>8497</v>
      </c>
      <c r="E58" s="44" t="s">
        <v>8180</v>
      </c>
      <c r="F58" s="44" t="n">
        <v>80</v>
      </c>
      <c r="G58" s="44" t="str">
        <f aca="false">IF(O86&gt;=$X$12,"Foundational deep pass",IF(O86&gt;=$X$13,"Major deep pass",IF(O86&gt;=$X$14,"Targeted innovation pass",IF(O86&gt;=$X$15,"Sampling pass","Reference / defer"))))</f>
        <v>Foundational deep pass</v>
      </c>
      <c r="H58" s="44" t="n">
        <v>0</v>
      </c>
      <c r="I58" s="44" t="n">
        <v>5</v>
      </c>
      <c r="J58" s="44" t="n">
        <v>4</v>
      </c>
      <c r="K58" s="44" t="n">
        <v>30</v>
      </c>
      <c r="L58" s="44" t="s">
        <v>13432</v>
      </c>
      <c r="M58" s="44" t="s">
        <v>18070</v>
      </c>
      <c r="N58" s="44" t="s">
        <v>18071</v>
      </c>
    </row>
    <row r="59" customFormat="false" ht="15" hidden="false" customHeight="false" outlineLevel="0" collapsed="false">
      <c r="A59" s="44" t="s">
        <v>8501</v>
      </c>
      <c r="B59" s="44" t="s">
        <v>8502</v>
      </c>
      <c r="C59" s="44" t="s">
        <v>8275</v>
      </c>
      <c r="D59" s="44" t="s">
        <v>8504</v>
      </c>
      <c r="E59" s="44" t="s">
        <v>8080</v>
      </c>
      <c r="F59" s="44" t="n">
        <v>48</v>
      </c>
      <c r="G59" s="44" t="str">
        <f aca="false">IF(O54&gt;=$X$12,"Foundational deep pass",IF(O54&gt;=$X$13,"Major deep pass",IF(O54&gt;=$X$14,"Targeted innovation pass",IF(O54&gt;=$X$15,"Sampling pass","Reference / defer"))))</f>
        <v>Foundational deep pass</v>
      </c>
      <c r="H59" s="44" t="n">
        <v>0</v>
      </c>
      <c r="I59" s="44" t="n">
        <v>6</v>
      </c>
      <c r="J59" s="44" t="n">
        <v>4</v>
      </c>
      <c r="K59" s="44" t="n">
        <v>30</v>
      </c>
      <c r="L59" s="44" t="s">
        <v>13432</v>
      </c>
      <c r="M59" s="44" t="s">
        <v>18070</v>
      </c>
      <c r="N59" s="44" t="s">
        <v>18071</v>
      </c>
    </row>
    <row r="60" customFormat="false" ht="15" hidden="false" customHeight="false" outlineLevel="0" collapsed="false">
      <c r="A60" s="44" t="s">
        <v>8508</v>
      </c>
      <c r="B60" s="44" t="s">
        <v>8509</v>
      </c>
      <c r="C60" s="44" t="s">
        <v>8275</v>
      </c>
      <c r="D60" s="44" t="s">
        <v>8511</v>
      </c>
      <c r="E60" s="44" t="s">
        <v>8180</v>
      </c>
      <c r="F60" s="44" t="n">
        <v>73</v>
      </c>
      <c r="G60" s="44" t="str">
        <f aca="false">IF(O79&gt;=$X$12,"Foundational deep pass",IF(O79&gt;=$X$13,"Major deep pass",IF(O79&gt;=$X$14,"Targeted innovation pass",IF(O79&gt;=$X$15,"Sampling pass","Reference / defer"))))</f>
        <v>Foundational deep pass</v>
      </c>
      <c r="H60" s="44" t="n">
        <v>0</v>
      </c>
      <c r="I60" s="44" t="n">
        <v>4</v>
      </c>
      <c r="J60" s="44" t="n">
        <v>3</v>
      </c>
      <c r="K60" s="44" t="n">
        <v>30</v>
      </c>
      <c r="L60" s="44" t="s">
        <v>13432</v>
      </c>
      <c r="M60" s="44" t="s">
        <v>18070</v>
      </c>
      <c r="N60" s="44" t="s">
        <v>18071</v>
      </c>
    </row>
    <row r="61" customFormat="false" ht="15" hidden="false" customHeight="false" outlineLevel="0" collapsed="false">
      <c r="A61" s="44" t="s">
        <v>8514</v>
      </c>
      <c r="B61" s="44" t="s">
        <v>8515</v>
      </c>
      <c r="C61" s="44" t="s">
        <v>8275</v>
      </c>
      <c r="D61" s="44" t="s">
        <v>8307</v>
      </c>
      <c r="E61" s="44" t="s">
        <v>8180</v>
      </c>
      <c r="F61" s="44" t="n">
        <v>82</v>
      </c>
      <c r="G61" s="44" t="str">
        <f aca="false">IF(O88&gt;=$X$12,"Foundational deep pass",IF(O88&gt;=$X$13,"Major deep pass",IF(O88&gt;=$X$14,"Targeted innovation pass",IF(O88&gt;=$X$15,"Sampling pass","Reference / defer"))))</f>
        <v>Foundational deep pass</v>
      </c>
      <c r="H61" s="44" t="n">
        <v>0</v>
      </c>
      <c r="I61" s="44" t="n">
        <v>5</v>
      </c>
      <c r="J61" s="44" t="n">
        <v>4</v>
      </c>
      <c r="K61" s="44" t="n">
        <v>30</v>
      </c>
      <c r="L61" s="44" t="s">
        <v>13432</v>
      </c>
      <c r="M61" s="44" t="s">
        <v>18070</v>
      </c>
      <c r="N61" s="44" t="s">
        <v>18071</v>
      </c>
    </row>
    <row r="62" customFormat="false" ht="15" hidden="false" customHeight="false" outlineLevel="0" collapsed="false">
      <c r="A62" s="44" t="s">
        <v>8521</v>
      </c>
      <c r="B62" s="44" t="s">
        <v>8522</v>
      </c>
      <c r="C62" s="44" t="s">
        <v>8275</v>
      </c>
      <c r="D62" s="44" t="s">
        <v>8524</v>
      </c>
      <c r="E62" s="44" t="s">
        <v>8180</v>
      </c>
      <c r="F62" s="44" t="n">
        <v>79</v>
      </c>
      <c r="G62" s="44" t="str">
        <f aca="false">IF(O85&gt;=$X$12,"Foundational deep pass",IF(O85&gt;=$X$13,"Major deep pass",IF(O85&gt;=$X$14,"Targeted innovation pass",IF(O85&gt;=$X$15,"Sampling pass","Reference / defer"))))</f>
        <v>Foundational deep pass</v>
      </c>
      <c r="H62" s="44" t="n">
        <v>0</v>
      </c>
      <c r="I62" s="44" t="n">
        <v>5</v>
      </c>
      <c r="J62" s="44" t="n">
        <v>3</v>
      </c>
      <c r="K62" s="44" t="n">
        <v>30</v>
      </c>
      <c r="L62" s="44" t="s">
        <v>13432</v>
      </c>
      <c r="M62" s="44" t="s">
        <v>18070</v>
      </c>
      <c r="N62" s="44" t="s">
        <v>18071</v>
      </c>
    </row>
    <row r="63" customFormat="false" ht="15" hidden="false" customHeight="false" outlineLevel="0" collapsed="false">
      <c r="A63" s="44" t="s">
        <v>8527</v>
      </c>
      <c r="B63" s="44" t="s">
        <v>8528</v>
      </c>
      <c r="C63" s="44" t="s">
        <v>8275</v>
      </c>
      <c r="D63" s="44" t="s">
        <v>8299</v>
      </c>
      <c r="E63" s="44" t="s">
        <v>8180</v>
      </c>
      <c r="F63" s="44" t="n">
        <v>68</v>
      </c>
      <c r="G63" s="44" t="str">
        <f aca="false">IF(O74&gt;=$X$12,"Foundational deep pass",IF(O74&gt;=$X$13,"Major deep pass",IF(O74&gt;=$X$14,"Targeted innovation pass",IF(O74&gt;=$X$15,"Sampling pass","Reference / defer"))))</f>
        <v>Foundational deep pass</v>
      </c>
      <c r="H63" s="44" t="n">
        <v>0</v>
      </c>
      <c r="I63" s="44" t="n">
        <v>4</v>
      </c>
      <c r="J63" s="44" t="n">
        <v>3</v>
      </c>
      <c r="K63" s="44" t="n">
        <v>30</v>
      </c>
      <c r="L63" s="44" t="s">
        <v>13432</v>
      </c>
      <c r="M63" s="44" t="s">
        <v>18070</v>
      </c>
      <c r="N63" s="44" t="s">
        <v>18071</v>
      </c>
    </row>
    <row r="64" customFormat="false" ht="15" hidden="false" customHeight="false" outlineLevel="0" collapsed="false">
      <c r="A64" s="44" t="s">
        <v>8534</v>
      </c>
      <c r="B64" s="44" t="s">
        <v>8535</v>
      </c>
      <c r="C64" s="44" t="s">
        <v>8275</v>
      </c>
      <c r="D64" s="44" t="s">
        <v>8537</v>
      </c>
      <c r="E64" s="44" t="s">
        <v>8539</v>
      </c>
      <c r="F64" s="44" t="n">
        <v>105</v>
      </c>
      <c r="G64" s="44" t="str">
        <f aca="false">IF(O111&gt;=$X$12,"Foundational deep pass",IF(O111&gt;=$X$13,"Major deep pass",IF(O111&gt;=$X$14,"Targeted innovation pass",IF(O111&gt;=$X$15,"Sampling pass","Reference / defer"))))</f>
        <v>Foundational deep pass</v>
      </c>
      <c r="H64" s="44" t="n">
        <v>0</v>
      </c>
      <c r="I64" s="44" t="n">
        <v>4</v>
      </c>
      <c r="J64" s="44" t="n">
        <v>3</v>
      </c>
      <c r="K64" s="44" t="n">
        <v>30</v>
      </c>
      <c r="L64" s="44" t="s">
        <v>13432</v>
      </c>
      <c r="M64" s="44" t="s">
        <v>18070</v>
      </c>
      <c r="N64" s="44" t="s">
        <v>18071</v>
      </c>
    </row>
    <row r="65" customFormat="false" ht="15" hidden="false" customHeight="false" outlineLevel="0" collapsed="false">
      <c r="A65" s="44" t="s">
        <v>8542</v>
      </c>
      <c r="B65" s="44" t="s">
        <v>8543</v>
      </c>
      <c r="C65" s="44" t="s">
        <v>8275</v>
      </c>
      <c r="D65" s="44" t="s">
        <v>8545</v>
      </c>
      <c r="E65" s="44" t="s">
        <v>8180</v>
      </c>
      <c r="F65" s="44" t="n">
        <v>65</v>
      </c>
      <c r="G65" s="44" t="str">
        <f aca="false">IF(O71&gt;=$X$12,"Foundational deep pass",IF(O71&gt;=$X$13,"Major deep pass",IF(O71&gt;=$X$14,"Targeted innovation pass",IF(O71&gt;=$X$15,"Sampling pass","Reference / defer"))))</f>
        <v>Foundational deep pass</v>
      </c>
      <c r="H65" s="44" t="n">
        <v>0</v>
      </c>
      <c r="I65" s="44" t="n">
        <v>5</v>
      </c>
      <c r="J65" s="44" t="n">
        <v>4</v>
      </c>
      <c r="K65" s="44" t="n">
        <v>30</v>
      </c>
      <c r="L65" s="44" t="s">
        <v>13432</v>
      </c>
      <c r="M65" s="44" t="s">
        <v>18070</v>
      </c>
      <c r="N65" s="44" t="s">
        <v>18071</v>
      </c>
    </row>
    <row r="66" customFormat="false" ht="15" hidden="false" customHeight="false" outlineLevel="0" collapsed="false">
      <c r="A66" s="44" t="s">
        <v>8549</v>
      </c>
      <c r="B66" s="44" t="s">
        <v>8550</v>
      </c>
      <c r="C66" s="44" t="s">
        <v>8275</v>
      </c>
      <c r="D66" s="44" t="s">
        <v>8307</v>
      </c>
      <c r="E66" s="44" t="s">
        <v>8080</v>
      </c>
      <c r="F66" s="44" t="n">
        <v>37</v>
      </c>
      <c r="G66" s="44" t="str">
        <f aca="false">IF(O43&gt;=$X$12,"Foundational deep pass",IF(O43&gt;=$X$13,"Major deep pass",IF(O43&gt;=$X$14,"Targeted innovation pass",IF(O43&gt;=$X$15,"Sampling pass","Reference / defer"))))</f>
        <v>Foundational deep pass</v>
      </c>
      <c r="H66" s="44" t="n">
        <v>0</v>
      </c>
      <c r="I66" s="44" t="n">
        <v>4</v>
      </c>
      <c r="J66" s="44" t="n">
        <v>3</v>
      </c>
      <c r="K66" s="44" t="n">
        <v>30</v>
      </c>
      <c r="L66" s="44" t="s">
        <v>13432</v>
      </c>
      <c r="M66" s="44" t="s">
        <v>18070</v>
      </c>
      <c r="N66" s="44" t="s">
        <v>18071</v>
      </c>
    </row>
    <row r="67" customFormat="false" ht="15" hidden="false" customHeight="false" outlineLevel="0" collapsed="false">
      <c r="A67" s="44" t="s">
        <v>8556</v>
      </c>
      <c r="B67" s="44" t="s">
        <v>8557</v>
      </c>
      <c r="C67" s="44" t="s">
        <v>8275</v>
      </c>
      <c r="D67" s="44" t="s">
        <v>8343</v>
      </c>
      <c r="E67" s="44" t="s">
        <v>8180</v>
      </c>
      <c r="F67" s="44" t="n">
        <v>64</v>
      </c>
      <c r="G67" s="44" t="str">
        <f aca="false">IF(O70&gt;=$X$12,"Foundational deep pass",IF(O70&gt;=$X$13,"Major deep pass",IF(O70&gt;=$X$14,"Targeted innovation pass",IF(O70&gt;=$X$15,"Sampling pass","Reference / defer"))))</f>
        <v>Foundational deep pass</v>
      </c>
      <c r="H67" s="44" t="n">
        <v>0</v>
      </c>
      <c r="I67" s="44" t="n">
        <v>5</v>
      </c>
      <c r="J67" s="44" t="n">
        <v>2</v>
      </c>
      <c r="K67" s="44" t="n">
        <v>30</v>
      </c>
      <c r="L67" s="44" t="s">
        <v>13432</v>
      </c>
      <c r="M67" s="44" t="s">
        <v>18070</v>
      </c>
      <c r="N67" s="44" t="s">
        <v>18071</v>
      </c>
    </row>
    <row r="68" customFormat="false" ht="15" hidden="false" customHeight="false" outlineLevel="0" collapsed="false">
      <c r="A68" s="44" t="s">
        <v>8563</v>
      </c>
      <c r="B68" s="44" t="s">
        <v>8564</v>
      </c>
      <c r="C68" s="44" t="s">
        <v>8275</v>
      </c>
      <c r="D68" s="44" t="s">
        <v>8566</v>
      </c>
      <c r="E68" s="44" t="s">
        <v>8080</v>
      </c>
      <c r="F68" s="44" t="n">
        <v>29</v>
      </c>
      <c r="G68" s="44" t="str">
        <f aca="false">IF(O35&gt;=$X$12,"Foundational deep pass",IF(O35&gt;=$X$13,"Major deep pass",IF(O35&gt;=$X$14,"Targeted innovation pass",IF(O35&gt;=$X$15,"Sampling pass","Reference / defer"))))</f>
        <v>Foundational deep pass</v>
      </c>
      <c r="H68" s="44" t="n">
        <v>0</v>
      </c>
      <c r="I68" s="44" t="n">
        <v>5</v>
      </c>
      <c r="J68" s="44" t="n">
        <v>2</v>
      </c>
      <c r="K68" s="44" t="n">
        <v>30</v>
      </c>
      <c r="L68" s="44" t="s">
        <v>13432</v>
      </c>
      <c r="M68" s="44" t="s">
        <v>18070</v>
      </c>
      <c r="N68" s="44" t="s">
        <v>18071</v>
      </c>
    </row>
    <row r="69" customFormat="false" ht="15" hidden="false" customHeight="false" outlineLevel="0" collapsed="false">
      <c r="A69" s="44" t="s">
        <v>8570</v>
      </c>
      <c r="B69" s="44" t="s">
        <v>8571</v>
      </c>
      <c r="C69" s="44" t="s">
        <v>8275</v>
      </c>
      <c r="D69" s="44" t="s">
        <v>8573</v>
      </c>
      <c r="E69" s="44" t="s">
        <v>8180</v>
      </c>
      <c r="F69" s="44" t="n">
        <v>84</v>
      </c>
      <c r="G69" s="44" t="str">
        <f aca="false">IF(O90&gt;=$X$12,"Foundational deep pass",IF(O90&gt;=$X$13,"Major deep pass",IF(O90&gt;=$X$14,"Targeted innovation pass",IF(O90&gt;=$X$15,"Sampling pass","Reference / defer"))))</f>
        <v>Foundational deep pass</v>
      </c>
      <c r="H69" s="44" t="n">
        <v>0</v>
      </c>
      <c r="I69" s="44" t="n">
        <v>5</v>
      </c>
      <c r="J69" s="44" t="n">
        <v>3</v>
      </c>
      <c r="K69" s="44" t="n">
        <v>30</v>
      </c>
      <c r="L69" s="44" t="s">
        <v>13432</v>
      </c>
      <c r="M69" s="44" t="s">
        <v>18070</v>
      </c>
      <c r="N69" s="44" t="s">
        <v>18071</v>
      </c>
    </row>
    <row r="70" customFormat="false" ht="15" hidden="false" customHeight="false" outlineLevel="0" collapsed="false">
      <c r="A70" s="44" t="s">
        <v>8577</v>
      </c>
      <c r="B70" s="44" t="s">
        <v>8578</v>
      </c>
      <c r="C70" s="44" t="s">
        <v>8275</v>
      </c>
      <c r="D70" s="44" t="s">
        <v>8573</v>
      </c>
      <c r="E70" s="44" t="s">
        <v>8180</v>
      </c>
      <c r="F70" s="44" t="n">
        <v>57</v>
      </c>
      <c r="G70" s="44" t="str">
        <f aca="false">IF(O63&gt;=$X$12,"Foundational deep pass",IF(O63&gt;=$X$13,"Major deep pass",IF(O63&gt;=$X$14,"Targeted innovation pass",IF(O63&gt;=$X$15,"Sampling pass","Reference / defer"))))</f>
        <v>Foundational deep pass</v>
      </c>
      <c r="H70" s="44" t="n">
        <v>0</v>
      </c>
      <c r="I70" s="44" t="n">
        <v>5</v>
      </c>
      <c r="J70" s="44" t="n">
        <v>2</v>
      </c>
      <c r="K70" s="44" t="n">
        <v>30</v>
      </c>
      <c r="L70" s="44" t="s">
        <v>13432</v>
      </c>
      <c r="M70" s="44" t="s">
        <v>18070</v>
      </c>
      <c r="N70" s="44" t="s">
        <v>18071</v>
      </c>
    </row>
    <row r="71" customFormat="false" ht="15" hidden="false" customHeight="false" outlineLevel="0" collapsed="false">
      <c r="A71" s="44" t="s">
        <v>8582</v>
      </c>
      <c r="B71" s="44" t="s">
        <v>8583</v>
      </c>
      <c r="C71" s="44" t="s">
        <v>8275</v>
      </c>
      <c r="D71" s="44" t="s">
        <v>8585</v>
      </c>
      <c r="E71" s="44" t="s">
        <v>8180</v>
      </c>
      <c r="F71" s="44" t="n">
        <v>58</v>
      </c>
      <c r="G71" s="44" t="str">
        <f aca="false">IF(O64&gt;=$X$12,"Foundational deep pass",IF(O64&gt;=$X$13,"Major deep pass",IF(O64&gt;=$X$14,"Targeted innovation pass",IF(O64&gt;=$X$15,"Sampling pass","Reference / defer"))))</f>
        <v>Foundational deep pass</v>
      </c>
      <c r="H71" s="44" t="n">
        <v>0</v>
      </c>
      <c r="I71" s="44" t="n">
        <v>5</v>
      </c>
      <c r="J71" s="44" t="n">
        <v>3</v>
      </c>
      <c r="K71" s="44" t="n">
        <v>30</v>
      </c>
      <c r="L71" s="44" t="s">
        <v>13432</v>
      </c>
      <c r="M71" s="44" t="s">
        <v>18070</v>
      </c>
      <c r="N71" s="44" t="s">
        <v>18071</v>
      </c>
    </row>
    <row r="72" customFormat="false" ht="15" hidden="false" customHeight="false" outlineLevel="0" collapsed="false">
      <c r="A72" s="44" t="s">
        <v>8589</v>
      </c>
      <c r="B72" s="44" t="s">
        <v>8590</v>
      </c>
      <c r="C72" s="44" t="s">
        <v>8275</v>
      </c>
      <c r="D72" s="44" t="s">
        <v>8592</v>
      </c>
      <c r="E72" s="44" t="s">
        <v>8080</v>
      </c>
      <c r="F72" s="44" t="n">
        <v>43</v>
      </c>
      <c r="G72" s="44" t="str">
        <f aca="false">IF(O49&gt;=$X$12,"Foundational deep pass",IF(O49&gt;=$X$13,"Major deep pass",IF(O49&gt;=$X$14,"Targeted innovation pass",IF(O49&gt;=$X$15,"Sampling pass","Reference / defer"))))</f>
        <v>Foundational deep pass</v>
      </c>
      <c r="H72" s="44" t="n">
        <v>0</v>
      </c>
      <c r="I72" s="44" t="n">
        <v>4</v>
      </c>
      <c r="J72" s="44" t="n">
        <v>4</v>
      </c>
      <c r="K72" s="44" t="n">
        <v>30</v>
      </c>
      <c r="L72" s="44" t="s">
        <v>13432</v>
      </c>
      <c r="M72" s="44" t="s">
        <v>18070</v>
      </c>
      <c r="N72" s="44" t="s">
        <v>18071</v>
      </c>
    </row>
    <row r="73" customFormat="false" ht="15" hidden="false" customHeight="false" outlineLevel="0" collapsed="false">
      <c r="A73" s="44" t="s">
        <v>8597</v>
      </c>
      <c r="B73" s="44" t="s">
        <v>8598</v>
      </c>
      <c r="C73" s="44" t="s">
        <v>8600</v>
      </c>
      <c r="D73" s="44" t="s">
        <v>8226</v>
      </c>
      <c r="E73" s="44" t="s">
        <v>8080</v>
      </c>
      <c r="F73" s="44" t="n">
        <v>102</v>
      </c>
      <c r="G73" s="44" t="str">
        <f aca="false">IF(O108&gt;=$X$12,"Foundational deep pass",IF(O108&gt;=$X$13,"Major deep pass",IF(O108&gt;=$X$14,"Targeted innovation pass",IF(O108&gt;=$X$15,"Sampling pass","Reference / defer"))))</f>
        <v>Foundational deep pass</v>
      </c>
      <c r="H73" s="44" t="n">
        <v>0</v>
      </c>
      <c r="I73" s="44" t="n">
        <v>5</v>
      </c>
      <c r="J73" s="44" t="n">
        <v>2</v>
      </c>
      <c r="K73" s="44" t="n">
        <v>30</v>
      </c>
      <c r="L73" s="44" t="s">
        <v>13432</v>
      </c>
      <c r="M73" s="44" t="s">
        <v>18070</v>
      </c>
      <c r="N73" s="44" t="s">
        <v>18071</v>
      </c>
    </row>
    <row r="74" customFormat="false" ht="15" hidden="false" customHeight="false" outlineLevel="0" collapsed="false">
      <c r="A74" s="44" t="s">
        <v>8605</v>
      </c>
      <c r="B74" s="44" t="s">
        <v>8606</v>
      </c>
      <c r="C74" s="44" t="s">
        <v>8608</v>
      </c>
      <c r="D74" s="44" t="s">
        <v>8226</v>
      </c>
      <c r="E74" s="44" t="s">
        <v>8180</v>
      </c>
      <c r="F74" s="44" t="n">
        <v>118</v>
      </c>
      <c r="G74" s="44" t="str">
        <f aca="false">IF(O124&gt;=$X$12,"Foundational deep pass",IF(O124&gt;=$X$13,"Major deep pass",IF(O124&gt;=$X$14,"Targeted innovation pass",IF(O124&gt;=$X$15,"Sampling pass","Reference / defer"))))</f>
        <v>Foundational deep pass</v>
      </c>
      <c r="H74" s="44" t="n">
        <v>0</v>
      </c>
      <c r="I74" s="44" t="n">
        <v>6</v>
      </c>
      <c r="J74" s="44" t="n">
        <v>2</v>
      </c>
      <c r="K74" s="44" t="n">
        <v>30</v>
      </c>
      <c r="L74" s="44" t="s">
        <v>13432</v>
      </c>
      <c r="M74" s="44" t="s">
        <v>18070</v>
      </c>
      <c r="N74" s="44" t="s">
        <v>18071</v>
      </c>
    </row>
    <row r="75" customFormat="false" ht="15" hidden="false" customHeight="false" outlineLevel="0" collapsed="false">
      <c r="A75" s="44" t="s">
        <v>8613</v>
      </c>
      <c r="B75" s="44" t="s">
        <v>8614</v>
      </c>
      <c r="C75" s="44" t="s">
        <v>8275</v>
      </c>
      <c r="D75" s="44" t="s">
        <v>8226</v>
      </c>
      <c r="E75" s="44" t="s">
        <v>8080</v>
      </c>
      <c r="F75" s="44" t="n">
        <v>41</v>
      </c>
      <c r="G75" s="44" t="str">
        <f aca="false">IF(O47&gt;=$X$12,"Foundational deep pass",IF(O47&gt;=$X$13,"Major deep pass",IF(O47&gt;=$X$14,"Targeted innovation pass",IF(O47&gt;=$X$15,"Sampling pass","Reference / defer"))))</f>
        <v>Foundational deep pass</v>
      </c>
      <c r="H75" s="44" t="n">
        <v>0</v>
      </c>
      <c r="I75" s="44" t="n">
        <v>5</v>
      </c>
      <c r="J75" s="44" t="n">
        <v>3</v>
      </c>
      <c r="K75" s="44" t="n">
        <v>30</v>
      </c>
      <c r="L75" s="44" t="s">
        <v>13432</v>
      </c>
      <c r="M75" s="44" t="s">
        <v>18070</v>
      </c>
      <c r="N75" s="44" t="s">
        <v>18071</v>
      </c>
    </row>
    <row r="76" customFormat="false" ht="15" hidden="false" customHeight="false" outlineLevel="0" collapsed="false">
      <c r="A76" s="44" t="s">
        <v>8618</v>
      </c>
      <c r="B76" s="44" t="s">
        <v>8619</v>
      </c>
      <c r="C76" s="44" t="s">
        <v>8621</v>
      </c>
      <c r="D76" s="44" t="s">
        <v>8226</v>
      </c>
      <c r="E76" s="44" t="s">
        <v>8080</v>
      </c>
      <c r="F76" s="44" t="n">
        <v>97</v>
      </c>
      <c r="G76" s="44" t="str">
        <f aca="false">IF(O103&gt;=$X$12,"Foundational deep pass",IF(O103&gt;=$X$13,"Major deep pass",IF(O103&gt;=$X$14,"Targeted innovation pass",IF(O103&gt;=$X$15,"Sampling pass","Reference / defer"))))</f>
        <v>Foundational deep pass</v>
      </c>
      <c r="H76" s="44" t="n">
        <v>0</v>
      </c>
      <c r="I76" s="44" t="n">
        <v>4</v>
      </c>
      <c r="J76" s="44" t="n">
        <v>3</v>
      </c>
      <c r="K76" s="44" t="n">
        <v>30</v>
      </c>
      <c r="L76" s="44" t="s">
        <v>13432</v>
      </c>
      <c r="M76" s="44" t="s">
        <v>18070</v>
      </c>
      <c r="N76" s="44" t="s">
        <v>18071</v>
      </c>
    </row>
    <row r="77" customFormat="false" ht="15" hidden="false" customHeight="false" outlineLevel="0" collapsed="false">
      <c r="A77" s="44" t="s">
        <v>8626</v>
      </c>
      <c r="B77" s="44" t="s">
        <v>8627</v>
      </c>
      <c r="C77" s="44" t="s">
        <v>8629</v>
      </c>
      <c r="D77" s="44" t="s">
        <v>8226</v>
      </c>
      <c r="E77" s="44" t="s">
        <v>8180</v>
      </c>
      <c r="F77" s="44" t="n">
        <v>127</v>
      </c>
      <c r="G77" s="44" t="str">
        <f aca="false">IF(O133&gt;=$X$12,"Foundational deep pass",IF(O133&gt;=$X$13,"Major deep pass",IF(O133&gt;=$X$14,"Targeted innovation pass",IF(O133&gt;=$X$15,"Sampling pass","Reference / defer"))))</f>
        <v>Foundational deep pass</v>
      </c>
      <c r="H77" s="44" t="n">
        <v>0</v>
      </c>
      <c r="I77" s="44" t="n">
        <v>4</v>
      </c>
      <c r="J77" s="44" t="n">
        <v>3</v>
      </c>
      <c r="K77" s="44" t="n">
        <v>30</v>
      </c>
      <c r="L77" s="44" t="s">
        <v>13432</v>
      </c>
      <c r="M77" s="44" t="s">
        <v>18070</v>
      </c>
      <c r="N77" s="44" t="s">
        <v>18071</v>
      </c>
    </row>
    <row r="78" customFormat="false" ht="15" hidden="false" customHeight="false" outlineLevel="0" collapsed="false">
      <c r="A78" s="44" t="s">
        <v>8634</v>
      </c>
      <c r="B78" s="44" t="s">
        <v>8635</v>
      </c>
      <c r="C78" s="44" t="s">
        <v>8637</v>
      </c>
      <c r="D78" s="44" t="s">
        <v>8638</v>
      </c>
      <c r="E78" s="44" t="s">
        <v>8080</v>
      </c>
      <c r="F78" s="44" t="n">
        <v>137</v>
      </c>
      <c r="G78" s="44" t="str">
        <f aca="false">IF(O143&gt;=$X$12,"Foundational deep pass",IF(O143&gt;=$X$13,"Major deep pass",IF(O143&gt;=$X$14,"Targeted innovation pass",IF(O143&gt;=$X$15,"Sampling pass","Reference / defer"))))</f>
        <v>Foundational deep pass</v>
      </c>
      <c r="H78" s="44" t="n">
        <v>9</v>
      </c>
      <c r="I78" s="44" t="n">
        <v>6</v>
      </c>
      <c r="J78" s="44" t="n">
        <v>6</v>
      </c>
      <c r="K78" s="44" t="n">
        <v>30</v>
      </c>
      <c r="L78" s="44" t="s">
        <v>18074</v>
      </c>
      <c r="M78" s="44" t="s">
        <v>18070</v>
      </c>
      <c r="N78" s="44" t="s">
        <v>18073</v>
      </c>
    </row>
    <row r="79" customFormat="false" ht="15" hidden="false" customHeight="false" outlineLevel="0" collapsed="false">
      <c r="A79" s="44" t="s">
        <v>8642</v>
      </c>
      <c r="B79" s="44" t="s">
        <v>8643</v>
      </c>
      <c r="C79" s="44" t="s">
        <v>8645</v>
      </c>
      <c r="D79" s="44" t="s">
        <v>8205</v>
      </c>
      <c r="E79" s="44" t="s">
        <v>8080</v>
      </c>
      <c r="F79" s="44" t="n">
        <v>89</v>
      </c>
      <c r="G79" s="44" t="str">
        <f aca="false">IF(O95&gt;=$X$12,"Foundational deep pass",IF(O95&gt;=$X$13,"Major deep pass",IF(O95&gt;=$X$14,"Targeted innovation pass",IF(O95&gt;=$X$15,"Sampling pass","Reference / defer"))))</f>
        <v>Foundational deep pass</v>
      </c>
      <c r="H79" s="44" t="n">
        <v>0</v>
      </c>
      <c r="I79" s="44" t="n">
        <v>5</v>
      </c>
      <c r="J79" s="44" t="n">
        <v>4</v>
      </c>
      <c r="K79" s="44" t="n">
        <v>30</v>
      </c>
      <c r="L79" s="44" t="s">
        <v>13432</v>
      </c>
      <c r="M79" s="44" t="s">
        <v>18070</v>
      </c>
      <c r="N79" s="44" t="s">
        <v>18071</v>
      </c>
    </row>
    <row r="80" customFormat="false" ht="15" hidden="false" customHeight="false" outlineLevel="0" collapsed="false">
      <c r="A80" s="44" t="s">
        <v>8648</v>
      </c>
      <c r="B80" s="44" t="s">
        <v>8649</v>
      </c>
      <c r="C80" s="44" t="s">
        <v>8651</v>
      </c>
      <c r="D80" s="44" t="s">
        <v>8652</v>
      </c>
      <c r="E80" s="44" t="s">
        <v>8080</v>
      </c>
      <c r="F80" s="44" t="n">
        <v>51</v>
      </c>
      <c r="G80" s="44" t="str">
        <f aca="false">IF(O57&gt;=$X$12,"Foundational deep pass",IF(O57&gt;=$X$13,"Major deep pass",IF(O57&gt;=$X$14,"Targeted innovation pass",IF(O57&gt;=$X$15,"Sampling pass","Reference / defer"))))</f>
        <v>Foundational deep pass</v>
      </c>
      <c r="H80" s="44" t="n">
        <v>0</v>
      </c>
      <c r="I80" s="44" t="n">
        <v>6</v>
      </c>
      <c r="J80" s="44" t="n">
        <v>4</v>
      </c>
      <c r="K80" s="44" t="n">
        <v>30</v>
      </c>
      <c r="L80" s="44" t="s">
        <v>13432</v>
      </c>
      <c r="M80" s="44" t="s">
        <v>18070</v>
      </c>
      <c r="N80" s="44" t="s">
        <v>18071</v>
      </c>
    </row>
    <row r="81" customFormat="false" ht="15" hidden="false" customHeight="false" outlineLevel="0" collapsed="false">
      <c r="A81" s="44" t="s">
        <v>8656</v>
      </c>
      <c r="B81" s="44" t="s">
        <v>8657</v>
      </c>
      <c r="C81" s="44" t="s">
        <v>8275</v>
      </c>
      <c r="D81" s="44" t="s">
        <v>8659</v>
      </c>
      <c r="E81" s="44" t="s">
        <v>8180</v>
      </c>
      <c r="F81" s="44" t="n">
        <v>63</v>
      </c>
      <c r="G81" s="44" t="str">
        <f aca="false">IF(O69&gt;=$X$12,"Foundational deep pass",IF(O69&gt;=$X$13,"Major deep pass",IF(O69&gt;=$X$14,"Targeted innovation pass",IF(O69&gt;=$X$15,"Sampling pass","Reference / defer"))))</f>
        <v>Foundational deep pass</v>
      </c>
      <c r="H81" s="44" t="n">
        <v>0</v>
      </c>
      <c r="I81" s="44" t="n">
        <v>4</v>
      </c>
      <c r="J81" s="44" t="n">
        <v>3</v>
      </c>
      <c r="K81" s="44" t="n">
        <v>30</v>
      </c>
      <c r="L81" s="44" t="s">
        <v>13432</v>
      </c>
      <c r="M81" s="44" t="s">
        <v>18070</v>
      </c>
      <c r="N81" s="44" t="s">
        <v>18071</v>
      </c>
    </row>
    <row r="82" customFormat="false" ht="15" hidden="false" customHeight="false" outlineLevel="0" collapsed="false">
      <c r="A82" s="44" t="s">
        <v>8664</v>
      </c>
      <c r="B82" s="44" t="s">
        <v>8665</v>
      </c>
      <c r="C82" s="44" t="s">
        <v>8275</v>
      </c>
      <c r="D82" s="44" t="s">
        <v>8343</v>
      </c>
      <c r="E82" s="44" t="s">
        <v>8180</v>
      </c>
      <c r="F82" s="44" t="n">
        <v>74</v>
      </c>
      <c r="G82" s="44" t="str">
        <f aca="false">IF(O80&gt;=$X$12,"Foundational deep pass",IF(O80&gt;=$X$13,"Major deep pass",IF(O80&gt;=$X$14,"Targeted innovation pass",IF(O80&gt;=$X$15,"Sampling pass","Reference / defer"))))</f>
        <v>Foundational deep pass</v>
      </c>
      <c r="H82" s="44" t="n">
        <v>0</v>
      </c>
      <c r="I82" s="44" t="n">
        <v>5</v>
      </c>
      <c r="J82" s="44" t="n">
        <v>4</v>
      </c>
      <c r="K82" s="44" t="n">
        <v>30</v>
      </c>
      <c r="L82" s="44" t="s">
        <v>13432</v>
      </c>
      <c r="M82" s="44" t="s">
        <v>18070</v>
      </c>
      <c r="N82" s="44" t="s">
        <v>18071</v>
      </c>
    </row>
    <row r="83" customFormat="false" ht="15" hidden="false" customHeight="false" outlineLevel="0" collapsed="false">
      <c r="A83" s="44" t="s">
        <v>8670</v>
      </c>
      <c r="B83" s="44" t="s">
        <v>8671</v>
      </c>
      <c r="C83" s="44" t="s">
        <v>8275</v>
      </c>
      <c r="D83" s="44" t="s">
        <v>8343</v>
      </c>
      <c r="E83" s="44" t="s">
        <v>8180</v>
      </c>
      <c r="F83" s="44" t="n">
        <v>71</v>
      </c>
      <c r="G83" s="44" t="str">
        <f aca="false">IF(O77&gt;=$X$12,"Foundational deep pass",IF(O77&gt;=$X$13,"Major deep pass",IF(O77&gt;=$X$14,"Targeted innovation pass",IF(O77&gt;=$X$15,"Sampling pass","Reference / defer"))))</f>
        <v>Foundational deep pass</v>
      </c>
      <c r="H83" s="44" t="n">
        <v>0</v>
      </c>
      <c r="I83" s="44" t="n">
        <v>4</v>
      </c>
      <c r="J83" s="44" t="n">
        <v>3</v>
      </c>
      <c r="K83" s="44" t="n">
        <v>30</v>
      </c>
      <c r="L83" s="44" t="s">
        <v>13432</v>
      </c>
      <c r="M83" s="44" t="s">
        <v>18070</v>
      </c>
      <c r="N83" s="44" t="s">
        <v>18071</v>
      </c>
    </row>
    <row r="84" customFormat="false" ht="15" hidden="false" customHeight="false" outlineLevel="0" collapsed="false">
      <c r="A84" s="44" t="s">
        <v>8677</v>
      </c>
      <c r="B84" s="44" t="s">
        <v>8678</v>
      </c>
      <c r="C84" s="44" t="s">
        <v>8275</v>
      </c>
      <c r="D84" s="44" t="s">
        <v>8343</v>
      </c>
      <c r="E84" s="44" t="s">
        <v>8180</v>
      </c>
      <c r="F84" s="44" t="n">
        <v>72</v>
      </c>
      <c r="G84" s="44" t="str">
        <f aca="false">IF(O78&gt;=$X$12,"Foundational deep pass",IF(O78&gt;=$X$13,"Major deep pass",IF(O78&gt;=$X$14,"Targeted innovation pass",IF(O78&gt;=$X$15,"Sampling pass","Reference / defer"))))</f>
        <v>Foundational deep pass</v>
      </c>
      <c r="H84" s="44" t="n">
        <v>0</v>
      </c>
      <c r="I84" s="44" t="n">
        <v>4</v>
      </c>
      <c r="J84" s="44" t="n">
        <v>2</v>
      </c>
      <c r="K84" s="44" t="n">
        <v>30</v>
      </c>
      <c r="L84" s="44" t="s">
        <v>13432</v>
      </c>
      <c r="M84" s="44" t="s">
        <v>18070</v>
      </c>
      <c r="N84" s="44" t="s">
        <v>18071</v>
      </c>
    </row>
    <row r="85" customFormat="false" ht="15" hidden="false" customHeight="false" outlineLevel="0" collapsed="false">
      <c r="A85" s="44" t="s">
        <v>8683</v>
      </c>
      <c r="B85" s="44" t="s">
        <v>8684</v>
      </c>
      <c r="C85" s="44" t="s">
        <v>8275</v>
      </c>
      <c r="D85" s="44" t="s">
        <v>8686</v>
      </c>
      <c r="E85" s="44" t="s">
        <v>8180</v>
      </c>
      <c r="F85" s="44" t="n">
        <v>78</v>
      </c>
      <c r="G85" s="44" t="str">
        <f aca="false">IF(O84&gt;=$X$12,"Foundational deep pass",IF(O84&gt;=$X$13,"Major deep pass",IF(O84&gt;=$X$14,"Targeted innovation pass",IF(O84&gt;=$X$15,"Sampling pass","Reference / defer"))))</f>
        <v>Foundational deep pass</v>
      </c>
      <c r="H85" s="44" t="n">
        <v>0</v>
      </c>
      <c r="I85" s="44" t="n">
        <v>5</v>
      </c>
      <c r="J85" s="44" t="n">
        <v>2</v>
      </c>
      <c r="K85" s="44" t="n">
        <v>30</v>
      </c>
      <c r="L85" s="44" t="s">
        <v>13432</v>
      </c>
      <c r="M85" s="44" t="s">
        <v>18070</v>
      </c>
      <c r="N85" s="44" t="s">
        <v>18071</v>
      </c>
    </row>
    <row r="86" customFormat="false" ht="15" hidden="false" customHeight="false" outlineLevel="0" collapsed="false">
      <c r="A86" s="44" t="s">
        <v>8690</v>
      </c>
      <c r="B86" s="44" t="s">
        <v>8691</v>
      </c>
      <c r="C86" s="44" t="s">
        <v>8275</v>
      </c>
      <c r="D86" s="44" t="s">
        <v>8343</v>
      </c>
      <c r="E86" s="44" t="s">
        <v>8080</v>
      </c>
      <c r="F86" s="44" t="n">
        <v>45</v>
      </c>
      <c r="G86" s="44" t="str">
        <f aca="false">IF(O51&gt;=$X$12,"Foundational deep pass",IF(O51&gt;=$X$13,"Major deep pass",IF(O51&gt;=$X$14,"Targeted innovation pass",IF(O51&gt;=$X$15,"Sampling pass","Reference / defer"))))</f>
        <v>Foundational deep pass</v>
      </c>
      <c r="H86" s="44" t="n">
        <v>0</v>
      </c>
      <c r="I86" s="44" t="n">
        <v>6</v>
      </c>
      <c r="J86" s="44" t="n">
        <v>5</v>
      </c>
      <c r="K86" s="44" t="n">
        <v>30</v>
      </c>
      <c r="L86" s="44" t="s">
        <v>13432</v>
      </c>
      <c r="M86" s="44" t="s">
        <v>18070</v>
      </c>
      <c r="N86" s="44" t="s">
        <v>18071</v>
      </c>
    </row>
    <row r="87" customFormat="false" ht="15" hidden="false" customHeight="false" outlineLevel="0" collapsed="false">
      <c r="A87" s="44" t="s">
        <v>8696</v>
      </c>
      <c r="B87" s="44" t="s">
        <v>8697</v>
      </c>
      <c r="C87" s="44" t="s">
        <v>8275</v>
      </c>
      <c r="D87" s="44" t="s">
        <v>8699</v>
      </c>
      <c r="E87" s="44" t="s">
        <v>8180</v>
      </c>
      <c r="F87" s="44" t="n">
        <v>83</v>
      </c>
      <c r="G87" s="44" t="str">
        <f aca="false">IF(O89&gt;=$X$12,"Foundational deep pass",IF(O89&gt;=$X$13,"Major deep pass",IF(O89&gt;=$X$14,"Targeted innovation pass",IF(O89&gt;=$X$15,"Sampling pass","Reference / defer"))))</f>
        <v>Foundational deep pass</v>
      </c>
      <c r="H87" s="44" t="n">
        <v>0</v>
      </c>
      <c r="I87" s="44" t="n">
        <v>5</v>
      </c>
      <c r="J87" s="44" t="n">
        <v>2</v>
      </c>
      <c r="K87" s="44" t="n">
        <v>30</v>
      </c>
      <c r="L87" s="44" t="s">
        <v>13432</v>
      </c>
      <c r="M87" s="44" t="s">
        <v>18070</v>
      </c>
      <c r="N87" s="44" t="s">
        <v>18071</v>
      </c>
    </row>
    <row r="88" customFormat="false" ht="15" hidden="false" customHeight="false" outlineLevel="0" collapsed="false">
      <c r="A88" s="44" t="s">
        <v>8703</v>
      </c>
      <c r="B88" s="44" t="s">
        <v>8704</v>
      </c>
      <c r="C88" s="44" t="s">
        <v>8275</v>
      </c>
      <c r="D88" s="44" t="s">
        <v>8706</v>
      </c>
      <c r="E88" s="44" t="s">
        <v>8180</v>
      </c>
      <c r="F88" s="44" t="n">
        <v>75</v>
      </c>
      <c r="G88" s="44" t="str">
        <f aca="false">IF(O81&gt;=$X$12,"Foundational deep pass",IF(O81&gt;=$X$13,"Major deep pass",IF(O81&gt;=$X$14,"Targeted innovation pass",IF(O81&gt;=$X$15,"Sampling pass","Reference / defer"))))</f>
        <v>Foundational deep pass</v>
      </c>
      <c r="H88" s="44" t="n">
        <v>0</v>
      </c>
      <c r="I88" s="44" t="n">
        <v>6</v>
      </c>
      <c r="J88" s="44" t="n">
        <v>3</v>
      </c>
      <c r="K88" s="44" t="n">
        <v>30</v>
      </c>
      <c r="L88" s="44" t="s">
        <v>13432</v>
      </c>
      <c r="M88" s="44" t="s">
        <v>18070</v>
      </c>
      <c r="N88" s="44" t="s">
        <v>18071</v>
      </c>
    </row>
    <row r="89" customFormat="false" ht="15" hidden="false" customHeight="false" outlineLevel="0" collapsed="false">
      <c r="A89" s="44" t="s">
        <v>8711</v>
      </c>
      <c r="B89" s="44" t="s">
        <v>8712</v>
      </c>
      <c r="C89" s="44" t="s">
        <v>8275</v>
      </c>
      <c r="D89" s="44" t="s">
        <v>8714</v>
      </c>
      <c r="E89" s="44" t="s">
        <v>8180</v>
      </c>
      <c r="F89" s="44" t="n">
        <v>67</v>
      </c>
      <c r="G89" s="44" t="str">
        <f aca="false">IF(O73&gt;=$X$12,"Foundational deep pass",IF(O73&gt;=$X$13,"Major deep pass",IF(O73&gt;=$X$14,"Targeted innovation pass",IF(O73&gt;=$X$15,"Sampling pass","Reference / defer"))))</f>
        <v>Foundational deep pass</v>
      </c>
      <c r="H89" s="44" t="n">
        <v>0</v>
      </c>
      <c r="I89" s="44" t="n">
        <v>5</v>
      </c>
      <c r="J89" s="44" t="n">
        <v>4</v>
      </c>
      <c r="K89" s="44" t="n">
        <v>30</v>
      </c>
      <c r="L89" s="44" t="s">
        <v>13432</v>
      </c>
      <c r="M89" s="44" t="s">
        <v>18070</v>
      </c>
      <c r="N89" s="44" t="s">
        <v>18071</v>
      </c>
    </row>
    <row r="90" customFormat="false" ht="15" hidden="false" customHeight="false" outlineLevel="0" collapsed="false">
      <c r="A90" s="44" t="s">
        <v>8718</v>
      </c>
      <c r="B90" s="44" t="s">
        <v>8719</v>
      </c>
      <c r="C90" s="44" t="s">
        <v>8721</v>
      </c>
      <c r="D90" s="44" t="s">
        <v>8343</v>
      </c>
      <c r="E90" s="44" t="s">
        <v>8080</v>
      </c>
      <c r="F90" s="44" t="n">
        <v>144</v>
      </c>
      <c r="G90" s="44" t="str">
        <f aca="false">IF(O150&gt;=$X$12,"Foundational deep pass",IF(O150&gt;=$X$13,"Major deep pass",IF(O150&gt;=$X$14,"Targeted innovation pass",IF(O150&gt;=$X$15,"Sampling pass","Reference / defer"))))</f>
        <v>Foundational deep pass</v>
      </c>
      <c r="H90" s="44" t="n">
        <v>25</v>
      </c>
      <c r="I90" s="44" t="n">
        <v>5</v>
      </c>
      <c r="J90" s="44" t="n">
        <v>5</v>
      </c>
      <c r="K90" s="44" t="n">
        <v>30</v>
      </c>
      <c r="L90" s="44" t="s">
        <v>18072</v>
      </c>
      <c r="M90" s="44" t="s">
        <v>18070</v>
      </c>
      <c r="N90" s="44" t="s">
        <v>18073</v>
      </c>
    </row>
    <row r="91" customFormat="false" ht="15" hidden="false" customHeight="false" outlineLevel="0" collapsed="false">
      <c r="A91" s="44" t="s">
        <v>8727</v>
      </c>
      <c r="B91" s="44" t="s">
        <v>8728</v>
      </c>
      <c r="C91" s="44" t="s">
        <v>8730</v>
      </c>
      <c r="D91" s="44" t="s">
        <v>8343</v>
      </c>
      <c r="E91" s="44" t="s">
        <v>8080</v>
      </c>
      <c r="F91" s="44" t="n">
        <v>147</v>
      </c>
      <c r="G91" s="44" t="str">
        <f aca="false">IF(O153&gt;=$X$12,"Foundational deep pass",IF(O153&gt;=$X$13,"Major deep pass",IF(O153&gt;=$X$14,"Targeted innovation pass",IF(O153&gt;=$X$15,"Sampling pass","Reference / defer"))))</f>
        <v>Foundational deep pass</v>
      </c>
      <c r="H91" s="44" t="n">
        <v>0</v>
      </c>
      <c r="I91" s="44" t="n">
        <v>5</v>
      </c>
      <c r="J91" s="44" t="n">
        <v>5</v>
      </c>
      <c r="K91" s="44" t="n">
        <v>30</v>
      </c>
      <c r="L91" s="44" t="s">
        <v>13432</v>
      </c>
      <c r="M91" s="44" t="s">
        <v>18070</v>
      </c>
      <c r="N91" s="44" t="s">
        <v>18071</v>
      </c>
    </row>
    <row r="92" customFormat="false" ht="15" hidden="false" customHeight="false" outlineLevel="0" collapsed="false">
      <c r="A92" s="44" t="s">
        <v>8735</v>
      </c>
      <c r="B92" s="44" t="s">
        <v>8736</v>
      </c>
      <c r="C92" s="44" t="s">
        <v>8730</v>
      </c>
      <c r="D92" s="44" t="s">
        <v>8343</v>
      </c>
      <c r="E92" s="44" t="s">
        <v>8180</v>
      </c>
      <c r="F92" s="44" t="n">
        <v>167</v>
      </c>
      <c r="G92" s="44" t="str">
        <f aca="false">IF(O173&gt;=$X$12,"Foundational deep pass",IF(O173&gt;=$X$13,"Major deep pass",IF(O173&gt;=$X$14,"Targeted innovation pass",IF(O173&gt;=$X$15,"Sampling pass","Reference / defer"))))</f>
        <v>Foundational deep pass</v>
      </c>
      <c r="H92" s="44" t="n">
        <v>0</v>
      </c>
      <c r="I92" s="44" t="n">
        <v>4</v>
      </c>
      <c r="J92" s="44" t="n">
        <v>3</v>
      </c>
      <c r="K92" s="44" t="n">
        <v>30</v>
      </c>
      <c r="L92" s="44" t="s">
        <v>13432</v>
      </c>
      <c r="M92" s="44" t="s">
        <v>18070</v>
      </c>
      <c r="N92" s="44" t="s">
        <v>18071</v>
      </c>
    </row>
    <row r="93" customFormat="false" ht="15" hidden="false" customHeight="false" outlineLevel="0" collapsed="false">
      <c r="A93" s="44" t="s">
        <v>8742</v>
      </c>
      <c r="B93" s="44" t="s">
        <v>8743</v>
      </c>
      <c r="C93" s="44" t="s">
        <v>8745</v>
      </c>
      <c r="D93" s="44" t="s">
        <v>8343</v>
      </c>
      <c r="E93" s="44" t="s">
        <v>8080</v>
      </c>
      <c r="F93" s="44" t="n">
        <v>143</v>
      </c>
      <c r="G93" s="44" t="str">
        <f aca="false">IF(O149&gt;=$X$12,"Foundational deep pass",IF(O149&gt;=$X$13,"Major deep pass",IF(O149&gt;=$X$14,"Targeted innovation pass",IF(O149&gt;=$X$15,"Sampling pass","Reference / defer"))))</f>
        <v>Foundational deep pass</v>
      </c>
      <c r="H93" s="44" t="n">
        <v>0</v>
      </c>
      <c r="I93" s="44" t="n">
        <v>6</v>
      </c>
      <c r="J93" s="44" t="n">
        <v>4</v>
      </c>
      <c r="K93" s="44" t="n">
        <v>30</v>
      </c>
      <c r="L93" s="44" t="s">
        <v>13432</v>
      </c>
      <c r="M93" s="44" t="s">
        <v>18070</v>
      </c>
      <c r="N93" s="44" t="s">
        <v>18071</v>
      </c>
    </row>
    <row r="94" customFormat="false" ht="15" hidden="false" customHeight="false" outlineLevel="0" collapsed="false">
      <c r="A94" s="44" t="s">
        <v>8749</v>
      </c>
      <c r="B94" s="44" t="s">
        <v>8750</v>
      </c>
      <c r="C94" s="44" t="s">
        <v>8730</v>
      </c>
      <c r="D94" s="44" t="s">
        <v>8343</v>
      </c>
      <c r="E94" s="44" t="s">
        <v>8080</v>
      </c>
      <c r="F94" s="44" t="n">
        <v>145</v>
      </c>
      <c r="G94" s="44" t="str">
        <f aca="false">IF(O151&gt;=$X$12,"Foundational deep pass",IF(O151&gt;=$X$13,"Major deep pass",IF(O151&gt;=$X$14,"Targeted innovation pass",IF(O151&gt;=$X$15,"Sampling pass","Reference / defer"))))</f>
        <v>Foundational deep pass</v>
      </c>
      <c r="H94" s="44" t="n">
        <v>0</v>
      </c>
      <c r="I94" s="44" t="n">
        <v>6</v>
      </c>
      <c r="J94" s="44" t="n">
        <v>3</v>
      </c>
      <c r="K94" s="44" t="n">
        <v>30</v>
      </c>
      <c r="L94" s="44" t="s">
        <v>13432</v>
      </c>
      <c r="M94" s="44" t="s">
        <v>18070</v>
      </c>
      <c r="N94" s="44" t="s">
        <v>18071</v>
      </c>
    </row>
    <row r="95" customFormat="false" ht="15" hidden="false" customHeight="false" outlineLevel="0" collapsed="false">
      <c r="A95" s="44" t="s">
        <v>8754</v>
      </c>
      <c r="B95" s="44" t="s">
        <v>8755</v>
      </c>
      <c r="C95" s="44" t="s">
        <v>8730</v>
      </c>
      <c r="D95" s="44" t="s">
        <v>8343</v>
      </c>
      <c r="E95" s="44" t="s">
        <v>8080</v>
      </c>
      <c r="F95" s="44" t="n">
        <v>142</v>
      </c>
      <c r="G95" s="44" t="str">
        <f aca="false">IF(O148&gt;=$X$12,"Foundational deep pass",IF(O148&gt;=$X$13,"Major deep pass",IF(O148&gt;=$X$14,"Targeted innovation pass",IF(O148&gt;=$X$15,"Sampling pass","Reference / defer"))))</f>
        <v>Foundational deep pass</v>
      </c>
      <c r="H95" s="44" t="n">
        <v>0</v>
      </c>
      <c r="I95" s="44" t="n">
        <v>5</v>
      </c>
      <c r="J95" s="44" t="n">
        <v>5</v>
      </c>
      <c r="K95" s="44" t="n">
        <v>30</v>
      </c>
      <c r="L95" s="44" t="s">
        <v>13432</v>
      </c>
      <c r="M95" s="44" t="s">
        <v>18070</v>
      </c>
      <c r="N95" s="44" t="s">
        <v>18071</v>
      </c>
    </row>
    <row r="96" customFormat="false" ht="15" hidden="false" customHeight="false" outlineLevel="0" collapsed="false">
      <c r="A96" s="44" t="s">
        <v>8760</v>
      </c>
      <c r="B96" s="44" t="s">
        <v>8761</v>
      </c>
      <c r="C96" s="44" t="s">
        <v>8730</v>
      </c>
      <c r="D96" s="44" t="s">
        <v>8343</v>
      </c>
      <c r="E96" s="44" t="s">
        <v>8080</v>
      </c>
      <c r="F96" s="44" t="n">
        <v>151</v>
      </c>
      <c r="G96" s="44" t="str">
        <f aca="false">IF(O157&gt;=$X$12,"Foundational deep pass",IF(O157&gt;=$X$13,"Major deep pass",IF(O157&gt;=$X$14,"Targeted innovation pass",IF(O157&gt;=$X$15,"Sampling pass","Reference / defer"))))</f>
        <v>Foundational deep pass</v>
      </c>
      <c r="H96" s="44" t="n">
        <v>0</v>
      </c>
      <c r="I96" s="44" t="n">
        <v>4</v>
      </c>
      <c r="J96" s="44" t="n">
        <v>3</v>
      </c>
      <c r="K96" s="44" t="n">
        <v>30</v>
      </c>
      <c r="L96" s="44" t="s">
        <v>13432</v>
      </c>
      <c r="M96" s="44" t="s">
        <v>18070</v>
      </c>
      <c r="N96" s="44" t="s">
        <v>18071</v>
      </c>
    </row>
    <row r="97" customFormat="false" ht="15" hidden="false" customHeight="false" outlineLevel="0" collapsed="false">
      <c r="A97" s="44" t="s">
        <v>8767</v>
      </c>
      <c r="B97" s="44" t="s">
        <v>8768</v>
      </c>
      <c r="C97" s="44" t="s">
        <v>8730</v>
      </c>
      <c r="D97" s="44" t="s">
        <v>8343</v>
      </c>
      <c r="E97" s="44" t="s">
        <v>8080</v>
      </c>
      <c r="F97" s="44" t="n">
        <v>152</v>
      </c>
      <c r="G97" s="44" t="str">
        <f aca="false">IF(O158&gt;=$X$12,"Foundational deep pass",IF(O158&gt;=$X$13,"Major deep pass",IF(O158&gt;=$X$14,"Targeted innovation pass",IF(O158&gt;=$X$15,"Sampling pass","Reference / defer"))))</f>
        <v>Foundational deep pass</v>
      </c>
      <c r="H97" s="44" t="n">
        <v>0</v>
      </c>
      <c r="I97" s="44" t="n">
        <v>5</v>
      </c>
      <c r="J97" s="44" t="n">
        <v>3</v>
      </c>
      <c r="K97" s="44" t="n">
        <v>30</v>
      </c>
      <c r="L97" s="44" t="s">
        <v>13432</v>
      </c>
      <c r="M97" s="44" t="s">
        <v>18070</v>
      </c>
      <c r="N97" s="44" t="s">
        <v>18071</v>
      </c>
    </row>
    <row r="98" customFormat="false" ht="15" hidden="false" customHeight="false" outlineLevel="0" collapsed="false">
      <c r="A98" s="44" t="s">
        <v>8773</v>
      </c>
      <c r="B98" s="44" t="s">
        <v>8774</v>
      </c>
      <c r="C98" s="44" t="s">
        <v>8730</v>
      </c>
      <c r="D98" s="44" t="s">
        <v>8343</v>
      </c>
      <c r="E98" s="44" t="s">
        <v>8180</v>
      </c>
      <c r="F98" s="44" t="n">
        <v>169</v>
      </c>
      <c r="G98" s="44" t="str">
        <f aca="false">IF(O175&gt;=$X$12,"Foundational deep pass",IF(O175&gt;=$X$13,"Major deep pass",IF(O175&gt;=$X$14,"Targeted innovation pass",IF(O175&gt;=$X$15,"Sampling pass","Reference / defer"))))</f>
        <v>Foundational deep pass</v>
      </c>
      <c r="H98" s="44" t="n">
        <v>0</v>
      </c>
      <c r="I98" s="44" t="n">
        <v>4</v>
      </c>
      <c r="J98" s="44" t="n">
        <v>4</v>
      </c>
      <c r="K98" s="44" t="n">
        <v>30</v>
      </c>
      <c r="L98" s="44" t="s">
        <v>13432</v>
      </c>
      <c r="M98" s="44" t="s">
        <v>18070</v>
      </c>
      <c r="N98" s="44" t="s">
        <v>18071</v>
      </c>
    </row>
    <row r="99" customFormat="false" ht="15" hidden="false" customHeight="false" outlineLevel="0" collapsed="false">
      <c r="A99" s="44" t="s">
        <v>8779</v>
      </c>
      <c r="B99" s="44" t="s">
        <v>8780</v>
      </c>
      <c r="C99" s="44" t="s">
        <v>8782</v>
      </c>
      <c r="D99" s="44" t="s">
        <v>8343</v>
      </c>
      <c r="E99" s="44" t="s">
        <v>8080</v>
      </c>
      <c r="F99" s="44" t="n">
        <v>150</v>
      </c>
      <c r="G99" s="44" t="str">
        <f aca="false">IF(O156&gt;=$X$12,"Foundational deep pass",IF(O156&gt;=$X$13,"Major deep pass",IF(O156&gt;=$X$14,"Targeted innovation pass",IF(O156&gt;=$X$15,"Sampling pass","Reference / defer"))))</f>
        <v>Foundational deep pass</v>
      </c>
      <c r="H99" s="44" t="n">
        <v>0</v>
      </c>
      <c r="I99" s="44" t="n">
        <v>6</v>
      </c>
      <c r="J99" s="44" t="n">
        <v>3</v>
      </c>
      <c r="K99" s="44" t="n">
        <v>30</v>
      </c>
      <c r="L99" s="44" t="s">
        <v>13432</v>
      </c>
      <c r="M99" s="44" t="s">
        <v>18070</v>
      </c>
      <c r="N99" s="44" t="s">
        <v>18071</v>
      </c>
    </row>
    <row r="100" customFormat="false" ht="15" hidden="false" customHeight="false" outlineLevel="0" collapsed="false">
      <c r="A100" s="44" t="s">
        <v>8787</v>
      </c>
      <c r="B100" s="44" t="s">
        <v>8788</v>
      </c>
      <c r="C100" s="44" t="s">
        <v>8782</v>
      </c>
      <c r="D100" s="44" t="s">
        <v>8343</v>
      </c>
      <c r="E100" s="44" t="s">
        <v>8080</v>
      </c>
      <c r="F100" s="44" t="n">
        <v>153</v>
      </c>
      <c r="G100" s="44" t="str">
        <f aca="false">IF(O159&gt;=$X$12,"Foundational deep pass",IF(O159&gt;=$X$13,"Major deep pass",IF(O159&gt;=$X$14,"Targeted innovation pass",IF(O159&gt;=$X$15,"Sampling pass","Reference / defer"))))</f>
        <v>Foundational deep pass</v>
      </c>
      <c r="H100" s="44" t="n">
        <v>0</v>
      </c>
      <c r="I100" s="44" t="n">
        <v>5</v>
      </c>
      <c r="J100" s="44" t="n">
        <v>3</v>
      </c>
      <c r="K100" s="44" t="n">
        <v>30</v>
      </c>
      <c r="L100" s="44" t="s">
        <v>13432</v>
      </c>
      <c r="M100" s="44" t="s">
        <v>18070</v>
      </c>
      <c r="N100" s="44" t="s">
        <v>18071</v>
      </c>
    </row>
    <row r="101" customFormat="false" ht="15" hidden="false" customHeight="false" outlineLevel="0" collapsed="false">
      <c r="A101" s="44" t="s">
        <v>8794</v>
      </c>
      <c r="B101" s="44" t="s">
        <v>8795</v>
      </c>
      <c r="C101" s="44" t="s">
        <v>8721</v>
      </c>
      <c r="D101" s="44" t="s">
        <v>8307</v>
      </c>
      <c r="E101" s="44" t="s">
        <v>8080</v>
      </c>
      <c r="F101" s="44" t="n">
        <v>158</v>
      </c>
      <c r="G101" s="44" t="str">
        <f aca="false">IF(O164&gt;=$X$12,"Foundational deep pass",IF(O164&gt;=$X$13,"Major deep pass",IF(O164&gt;=$X$14,"Targeted innovation pass",IF(O164&gt;=$X$15,"Sampling pass","Reference / defer"))))</f>
        <v>Foundational deep pass</v>
      </c>
      <c r="H101" s="44" t="n">
        <v>0</v>
      </c>
      <c r="I101" s="44" t="n">
        <v>6</v>
      </c>
      <c r="J101" s="44" t="n">
        <v>4</v>
      </c>
      <c r="K101" s="44" t="n">
        <v>30</v>
      </c>
      <c r="L101" s="44" t="s">
        <v>13432</v>
      </c>
      <c r="M101" s="44" t="s">
        <v>18070</v>
      </c>
      <c r="N101" s="44" t="s">
        <v>18071</v>
      </c>
    </row>
    <row r="102" customFormat="false" ht="15" hidden="false" customHeight="false" outlineLevel="0" collapsed="false">
      <c r="A102" s="44" t="s">
        <v>8800</v>
      </c>
      <c r="B102" s="44" t="s">
        <v>8801</v>
      </c>
      <c r="C102" s="44" t="s">
        <v>8803</v>
      </c>
      <c r="D102" s="44" t="s">
        <v>8307</v>
      </c>
      <c r="E102" s="44" t="s">
        <v>8080</v>
      </c>
      <c r="F102" s="44" t="n">
        <v>185</v>
      </c>
      <c r="G102" s="44" t="str">
        <f aca="false">IF(O191&gt;=$X$12,"Foundational deep pass",IF(O191&gt;=$X$13,"Major deep pass",IF(O191&gt;=$X$14,"Targeted innovation pass",IF(O191&gt;=$X$15,"Sampling pass","Reference / defer"))))</f>
        <v>Foundational deep pass</v>
      </c>
      <c r="H102" s="44" t="n">
        <v>21</v>
      </c>
      <c r="I102" s="44" t="n">
        <v>5</v>
      </c>
      <c r="J102" s="44" t="n">
        <v>3</v>
      </c>
      <c r="K102" s="44" t="n">
        <v>30</v>
      </c>
      <c r="L102" s="44" t="s">
        <v>18072</v>
      </c>
      <c r="M102" s="44" t="s">
        <v>18070</v>
      </c>
      <c r="N102" s="44" t="s">
        <v>18073</v>
      </c>
    </row>
    <row r="103" customFormat="false" ht="15" hidden="false" customHeight="false" outlineLevel="0" collapsed="false">
      <c r="A103" s="44" t="s">
        <v>8809</v>
      </c>
      <c r="B103" s="44" t="s">
        <v>8810</v>
      </c>
      <c r="C103" s="44" t="s">
        <v>8803</v>
      </c>
      <c r="D103" s="44" t="s">
        <v>8307</v>
      </c>
      <c r="E103" s="44" t="s">
        <v>8080</v>
      </c>
      <c r="F103" s="44" t="n">
        <v>157</v>
      </c>
      <c r="G103" s="44" t="str">
        <f aca="false">IF(O163&gt;=$X$12,"Foundational deep pass",IF(O163&gt;=$X$13,"Major deep pass",IF(O163&gt;=$X$14,"Targeted innovation pass",IF(O163&gt;=$X$15,"Sampling pass","Reference / defer"))))</f>
        <v>Foundational deep pass</v>
      </c>
      <c r="H103" s="44" t="n">
        <v>0</v>
      </c>
      <c r="I103" s="44" t="n">
        <v>6</v>
      </c>
      <c r="J103" s="44" t="n">
        <v>5</v>
      </c>
      <c r="K103" s="44" t="n">
        <v>30</v>
      </c>
      <c r="L103" s="44" t="s">
        <v>13432</v>
      </c>
      <c r="M103" s="44" t="s">
        <v>18070</v>
      </c>
      <c r="N103" s="44" t="s">
        <v>18071</v>
      </c>
    </row>
    <row r="104" customFormat="false" ht="15" hidden="false" customHeight="false" outlineLevel="0" collapsed="false">
      <c r="A104" s="44" t="s">
        <v>8815</v>
      </c>
      <c r="B104" s="44" t="s">
        <v>8816</v>
      </c>
      <c r="C104" s="44" t="s">
        <v>8721</v>
      </c>
      <c r="D104" s="44" t="s">
        <v>8818</v>
      </c>
      <c r="E104" s="44" t="s">
        <v>8180</v>
      </c>
      <c r="F104" s="44" t="n">
        <v>173</v>
      </c>
      <c r="G104" s="44" t="str">
        <f aca="false">IF(O179&gt;=$X$12,"Foundational deep pass",IF(O179&gt;=$X$13,"Major deep pass",IF(O179&gt;=$X$14,"Targeted innovation pass",IF(O179&gt;=$X$15,"Sampling pass","Reference / defer"))))</f>
        <v>Foundational deep pass</v>
      </c>
      <c r="H104" s="44" t="n">
        <v>0</v>
      </c>
      <c r="I104" s="44" t="n">
        <v>5</v>
      </c>
      <c r="J104" s="44" t="n">
        <v>2</v>
      </c>
      <c r="K104" s="44" t="n">
        <v>30</v>
      </c>
      <c r="L104" s="44" t="s">
        <v>13432</v>
      </c>
      <c r="M104" s="44" t="s">
        <v>18070</v>
      </c>
      <c r="N104" s="44" t="s">
        <v>18071</v>
      </c>
    </row>
    <row r="105" customFormat="false" ht="15" hidden="false" customHeight="false" outlineLevel="0" collapsed="false">
      <c r="A105" s="44" t="s">
        <v>8822</v>
      </c>
      <c r="B105" s="44" t="s">
        <v>8823</v>
      </c>
      <c r="C105" s="44" t="s">
        <v>8721</v>
      </c>
      <c r="D105" s="44" t="s">
        <v>8343</v>
      </c>
      <c r="E105" s="44" t="s">
        <v>8080</v>
      </c>
      <c r="F105" s="44" t="n">
        <v>141</v>
      </c>
      <c r="G105" s="44" t="str">
        <f aca="false">IF(O147&gt;=$X$12,"Foundational deep pass",IF(O147&gt;=$X$13,"Major deep pass",IF(O147&gt;=$X$14,"Targeted innovation pass",IF(O147&gt;=$X$15,"Sampling pass","Reference / defer"))))</f>
        <v>Foundational deep pass</v>
      </c>
      <c r="H105" s="44" t="n">
        <v>0</v>
      </c>
      <c r="I105" s="44" t="n">
        <v>4</v>
      </c>
      <c r="J105" s="44" t="n">
        <v>2</v>
      </c>
      <c r="K105" s="44" t="n">
        <v>30</v>
      </c>
      <c r="L105" s="44" t="s">
        <v>13432</v>
      </c>
      <c r="M105" s="44" t="s">
        <v>18070</v>
      </c>
      <c r="N105" s="44" t="s">
        <v>18071</v>
      </c>
    </row>
    <row r="106" customFormat="false" ht="15" hidden="false" customHeight="false" outlineLevel="0" collapsed="false">
      <c r="A106" s="44" t="s">
        <v>8829</v>
      </c>
      <c r="B106" s="44" t="s">
        <v>8830</v>
      </c>
      <c r="C106" s="44" t="s">
        <v>8721</v>
      </c>
      <c r="D106" s="44" t="s">
        <v>8343</v>
      </c>
      <c r="E106" s="44" t="s">
        <v>8080</v>
      </c>
      <c r="F106" s="44" t="n">
        <v>146</v>
      </c>
      <c r="G106" s="44" t="str">
        <f aca="false">IF(O152&gt;=$X$12,"Foundational deep pass",IF(O152&gt;=$X$13,"Major deep pass",IF(O152&gt;=$X$14,"Targeted innovation pass",IF(O152&gt;=$X$15,"Sampling pass","Reference / defer"))))</f>
        <v>Foundational deep pass</v>
      </c>
      <c r="H106" s="44" t="n">
        <v>0</v>
      </c>
      <c r="I106" s="44" t="n">
        <v>8</v>
      </c>
      <c r="J106" s="44" t="n">
        <v>4</v>
      </c>
      <c r="K106" s="44" t="n">
        <v>30</v>
      </c>
      <c r="L106" s="44" t="s">
        <v>13432</v>
      </c>
      <c r="M106" s="44" t="s">
        <v>18070</v>
      </c>
      <c r="N106" s="44" t="s">
        <v>18071</v>
      </c>
    </row>
    <row r="107" customFormat="false" ht="15" hidden="false" customHeight="false" outlineLevel="0" collapsed="false">
      <c r="A107" s="44" t="s">
        <v>8835</v>
      </c>
      <c r="B107" s="44" t="s">
        <v>8836</v>
      </c>
      <c r="C107" s="44" t="s">
        <v>8721</v>
      </c>
      <c r="D107" s="44" t="s">
        <v>8343</v>
      </c>
      <c r="E107" s="44" t="s">
        <v>8180</v>
      </c>
      <c r="F107" s="44" t="n">
        <v>164</v>
      </c>
      <c r="G107" s="44" t="str">
        <f aca="false">IF(O170&gt;=$X$12,"Foundational deep pass",IF(O170&gt;=$X$13,"Major deep pass",IF(O170&gt;=$X$14,"Targeted innovation pass",IF(O170&gt;=$X$15,"Sampling pass","Reference / defer"))))</f>
        <v>Foundational deep pass</v>
      </c>
      <c r="H107" s="44" t="n">
        <v>0</v>
      </c>
      <c r="I107" s="44" t="n">
        <v>4</v>
      </c>
      <c r="J107" s="44" t="n">
        <v>2</v>
      </c>
      <c r="K107" s="44" t="n">
        <v>30</v>
      </c>
      <c r="L107" s="44" t="s">
        <v>13432</v>
      </c>
      <c r="M107" s="44" t="s">
        <v>18070</v>
      </c>
      <c r="N107" s="44" t="s">
        <v>18071</v>
      </c>
    </row>
    <row r="108" customFormat="false" ht="15" hidden="false" customHeight="false" outlineLevel="0" collapsed="false">
      <c r="A108" s="44" t="s">
        <v>8842</v>
      </c>
      <c r="B108" s="44" t="s">
        <v>8843</v>
      </c>
      <c r="C108" s="44" t="s">
        <v>8845</v>
      </c>
      <c r="D108" s="44" t="s">
        <v>8343</v>
      </c>
      <c r="E108" s="44" t="s">
        <v>8180</v>
      </c>
      <c r="F108" s="44" t="n">
        <v>168</v>
      </c>
      <c r="G108" s="44" t="str">
        <f aca="false">IF(O174&gt;=$X$12,"Foundational deep pass",IF(O174&gt;=$X$13,"Major deep pass",IF(O174&gt;=$X$14,"Targeted innovation pass",IF(O174&gt;=$X$15,"Sampling pass","Reference / defer"))))</f>
        <v>Foundational deep pass</v>
      </c>
      <c r="H108" s="44" t="n">
        <v>0</v>
      </c>
      <c r="I108" s="44" t="n">
        <v>5</v>
      </c>
      <c r="J108" s="44" t="n">
        <v>3</v>
      </c>
      <c r="K108" s="44" t="n">
        <v>30</v>
      </c>
      <c r="L108" s="44" t="s">
        <v>13432</v>
      </c>
      <c r="M108" s="44" t="s">
        <v>18070</v>
      </c>
      <c r="N108" s="44" t="s">
        <v>18071</v>
      </c>
    </row>
    <row r="109" customFormat="false" ht="15" hidden="false" customHeight="false" outlineLevel="0" collapsed="false">
      <c r="A109" s="44" t="s">
        <v>8849</v>
      </c>
      <c r="B109" s="44" t="s">
        <v>8850</v>
      </c>
      <c r="C109" s="44" t="s">
        <v>8852</v>
      </c>
      <c r="D109" s="44" t="s">
        <v>8343</v>
      </c>
      <c r="E109" s="44" t="s">
        <v>8180</v>
      </c>
      <c r="F109" s="44" t="n">
        <v>174</v>
      </c>
      <c r="G109" s="44" t="str">
        <f aca="false">IF(O180&gt;=$X$12,"Foundational deep pass",IF(O180&gt;=$X$13,"Major deep pass",IF(O180&gt;=$X$14,"Targeted innovation pass",IF(O180&gt;=$X$15,"Sampling pass","Reference / defer"))))</f>
        <v>Foundational deep pass</v>
      </c>
      <c r="H109" s="44" t="n">
        <v>0</v>
      </c>
      <c r="I109" s="44" t="n">
        <v>3</v>
      </c>
      <c r="J109" s="44" t="n">
        <v>3</v>
      </c>
      <c r="K109" s="44" t="n">
        <v>30</v>
      </c>
      <c r="L109" s="44" t="s">
        <v>13432</v>
      </c>
      <c r="M109" s="44" t="s">
        <v>18070</v>
      </c>
      <c r="N109" s="44" t="s">
        <v>18071</v>
      </c>
    </row>
    <row r="110" customFormat="false" ht="15" hidden="false" customHeight="false" outlineLevel="0" collapsed="false">
      <c r="A110" s="44" t="s">
        <v>8857</v>
      </c>
      <c r="B110" s="44" t="s">
        <v>8858</v>
      </c>
      <c r="C110" s="44" t="s">
        <v>8721</v>
      </c>
      <c r="D110" s="44" t="s">
        <v>8860</v>
      </c>
      <c r="E110" s="44" t="s">
        <v>8180</v>
      </c>
      <c r="F110" s="44" t="n">
        <v>172</v>
      </c>
      <c r="G110" s="44" t="str">
        <f aca="false">IF(O178&gt;=$X$12,"Foundational deep pass",IF(O178&gt;=$X$13,"Major deep pass",IF(O178&gt;=$X$14,"Targeted innovation pass",IF(O178&gt;=$X$15,"Sampling pass","Reference / defer"))))</f>
        <v>Foundational deep pass</v>
      </c>
      <c r="H110" s="44" t="n">
        <v>0</v>
      </c>
      <c r="I110" s="44" t="n">
        <v>5</v>
      </c>
      <c r="J110" s="44" t="n">
        <v>2</v>
      </c>
      <c r="K110" s="44" t="n">
        <v>30</v>
      </c>
      <c r="L110" s="44" t="s">
        <v>13432</v>
      </c>
      <c r="M110" s="44" t="s">
        <v>18070</v>
      </c>
      <c r="N110" s="44" t="s">
        <v>18071</v>
      </c>
    </row>
    <row r="111" customFormat="false" ht="15" hidden="false" customHeight="false" outlineLevel="0" collapsed="false">
      <c r="A111" s="44" t="s">
        <v>8864</v>
      </c>
      <c r="B111" s="44" t="s">
        <v>8865</v>
      </c>
      <c r="C111" s="44" t="s">
        <v>8867</v>
      </c>
      <c r="D111" s="44" t="s">
        <v>8868</v>
      </c>
      <c r="E111" s="44" t="s">
        <v>8080</v>
      </c>
      <c r="F111" s="44" t="n">
        <v>148</v>
      </c>
      <c r="G111" s="44" t="str">
        <f aca="false">IF(O154&gt;=$X$12,"Foundational deep pass",IF(O154&gt;=$X$13,"Major deep pass",IF(O154&gt;=$X$14,"Targeted innovation pass",IF(O154&gt;=$X$15,"Sampling pass","Reference / defer"))))</f>
        <v>Foundational deep pass</v>
      </c>
      <c r="H111" s="44" t="n">
        <v>0</v>
      </c>
      <c r="I111" s="44" t="n">
        <v>7</v>
      </c>
      <c r="J111" s="44" t="n">
        <v>4</v>
      </c>
      <c r="K111" s="44" t="n">
        <v>30</v>
      </c>
      <c r="L111" s="44" t="s">
        <v>13432</v>
      </c>
      <c r="M111" s="44" t="s">
        <v>18070</v>
      </c>
      <c r="N111" s="44" t="s">
        <v>18071</v>
      </c>
    </row>
    <row r="112" customFormat="false" ht="15" hidden="false" customHeight="false" outlineLevel="0" collapsed="false">
      <c r="A112" s="44" t="s">
        <v>8872</v>
      </c>
      <c r="B112" s="44" t="s">
        <v>8873</v>
      </c>
      <c r="C112" s="44" t="s">
        <v>8721</v>
      </c>
      <c r="D112" s="44" t="s">
        <v>8343</v>
      </c>
      <c r="E112" s="44" t="s">
        <v>8180</v>
      </c>
      <c r="F112" s="44" t="n">
        <v>160</v>
      </c>
      <c r="G112" s="44" t="str">
        <f aca="false">IF(O166&gt;=$X$12,"Foundational deep pass",IF(O166&gt;=$X$13,"Major deep pass",IF(O166&gt;=$X$14,"Targeted innovation pass",IF(O166&gt;=$X$15,"Sampling pass","Reference / defer"))))</f>
        <v>Foundational deep pass</v>
      </c>
      <c r="H112" s="44" t="n">
        <v>0</v>
      </c>
      <c r="I112" s="44" t="n">
        <v>4</v>
      </c>
      <c r="J112" s="44" t="n">
        <v>1</v>
      </c>
      <c r="K112" s="44" t="n">
        <v>30</v>
      </c>
      <c r="L112" s="44" t="s">
        <v>13432</v>
      </c>
      <c r="M112" s="44" t="s">
        <v>18070</v>
      </c>
      <c r="N112" s="44" t="s">
        <v>18071</v>
      </c>
    </row>
    <row r="113" customFormat="false" ht="15" hidden="false" customHeight="false" outlineLevel="0" collapsed="false">
      <c r="A113" s="44" t="s">
        <v>8878</v>
      </c>
      <c r="B113" s="44" t="s">
        <v>8879</v>
      </c>
      <c r="C113" s="44" t="s">
        <v>8721</v>
      </c>
      <c r="D113" s="44" t="s">
        <v>8343</v>
      </c>
      <c r="E113" s="44" t="s">
        <v>8180</v>
      </c>
      <c r="F113" s="44" t="n">
        <v>163</v>
      </c>
      <c r="G113" s="44" t="str">
        <f aca="false">IF(O169&gt;=$X$12,"Foundational deep pass",IF(O169&gt;=$X$13,"Major deep pass",IF(O169&gt;=$X$14,"Targeted innovation pass",IF(O169&gt;=$X$15,"Sampling pass","Reference / defer"))))</f>
        <v>Foundational deep pass</v>
      </c>
      <c r="H113" s="44" t="n">
        <v>0</v>
      </c>
      <c r="I113" s="44" t="n">
        <v>1</v>
      </c>
      <c r="J113" s="44" t="n">
        <v>1</v>
      </c>
      <c r="K113" s="44" t="n">
        <v>30</v>
      </c>
      <c r="L113" s="44" t="s">
        <v>13432</v>
      </c>
      <c r="M113" s="44" t="s">
        <v>18070</v>
      </c>
      <c r="N113" s="44" t="s">
        <v>18071</v>
      </c>
    </row>
    <row r="114" customFormat="false" ht="15" hidden="false" customHeight="false" outlineLevel="0" collapsed="false">
      <c r="A114" s="44" t="s">
        <v>8885</v>
      </c>
      <c r="B114" s="44" t="s">
        <v>8886</v>
      </c>
      <c r="C114" s="44" t="s">
        <v>8721</v>
      </c>
      <c r="D114" s="44" t="s">
        <v>8343</v>
      </c>
      <c r="E114" s="44" t="s">
        <v>8180</v>
      </c>
      <c r="F114" s="44" t="n">
        <v>161</v>
      </c>
      <c r="G114" s="44" t="str">
        <f aca="false">IF(O167&gt;=$X$12,"Foundational deep pass",IF(O167&gt;=$X$13,"Major deep pass",IF(O167&gt;=$X$14,"Targeted innovation pass",IF(O167&gt;=$X$15,"Sampling pass","Reference / defer"))))</f>
        <v>Foundational deep pass</v>
      </c>
      <c r="H114" s="44" t="n">
        <v>0</v>
      </c>
      <c r="I114" s="44" t="n">
        <v>5</v>
      </c>
      <c r="J114" s="44" t="n">
        <v>3</v>
      </c>
      <c r="K114" s="44" t="n">
        <v>30</v>
      </c>
      <c r="L114" s="44" t="s">
        <v>13432</v>
      </c>
      <c r="M114" s="44" t="s">
        <v>18070</v>
      </c>
      <c r="N114" s="44" t="s">
        <v>18071</v>
      </c>
    </row>
    <row r="115" customFormat="false" ht="15" hidden="false" customHeight="false" outlineLevel="0" collapsed="false">
      <c r="A115" s="44" t="s">
        <v>8891</v>
      </c>
      <c r="B115" s="44" t="s">
        <v>8892</v>
      </c>
      <c r="C115" s="44" t="s">
        <v>8721</v>
      </c>
      <c r="D115" s="44" t="s">
        <v>8343</v>
      </c>
      <c r="E115" s="44" t="s">
        <v>8180</v>
      </c>
      <c r="F115" s="44" t="n">
        <v>162</v>
      </c>
      <c r="G115" s="44" t="str">
        <f aca="false">IF(O168&gt;=$X$12,"Foundational deep pass",IF(O168&gt;=$X$13,"Major deep pass",IF(O168&gt;=$X$14,"Targeted innovation pass",IF(O168&gt;=$X$15,"Sampling pass","Reference / defer"))))</f>
        <v>Foundational deep pass</v>
      </c>
      <c r="H115" s="44" t="n">
        <v>0</v>
      </c>
      <c r="I115" s="44" t="n">
        <v>5</v>
      </c>
      <c r="J115" s="44" t="n">
        <v>1</v>
      </c>
      <c r="K115" s="44" t="n">
        <v>30</v>
      </c>
      <c r="L115" s="44" t="s">
        <v>13432</v>
      </c>
      <c r="M115" s="44" t="s">
        <v>18070</v>
      </c>
      <c r="N115" s="44" t="s">
        <v>18071</v>
      </c>
    </row>
    <row r="116" customFormat="false" ht="15" hidden="false" customHeight="false" outlineLevel="0" collapsed="false">
      <c r="A116" s="44" t="s">
        <v>8897</v>
      </c>
      <c r="B116" s="44" t="s">
        <v>8898</v>
      </c>
      <c r="C116" s="44" t="s">
        <v>8721</v>
      </c>
      <c r="D116" s="44" t="s">
        <v>8900</v>
      </c>
      <c r="E116" s="44" t="s">
        <v>8180</v>
      </c>
      <c r="F116" s="44" t="n">
        <v>170</v>
      </c>
      <c r="G116" s="44" t="str">
        <f aca="false">IF(O176&gt;=$X$12,"Foundational deep pass",IF(O176&gt;=$X$13,"Major deep pass",IF(O176&gt;=$X$14,"Targeted innovation pass",IF(O176&gt;=$X$15,"Sampling pass","Reference / defer"))))</f>
        <v>Foundational deep pass</v>
      </c>
      <c r="H116" s="44" t="n">
        <v>0</v>
      </c>
      <c r="I116" s="44" t="n">
        <v>6</v>
      </c>
      <c r="J116" s="44" t="n">
        <v>5</v>
      </c>
      <c r="K116" s="44" t="n">
        <v>30</v>
      </c>
      <c r="L116" s="44" t="s">
        <v>13432</v>
      </c>
      <c r="M116" s="44" t="s">
        <v>18070</v>
      </c>
      <c r="N116" s="44" t="s">
        <v>18071</v>
      </c>
    </row>
    <row r="117" customFormat="false" ht="15" hidden="false" customHeight="false" outlineLevel="0" collapsed="false">
      <c r="A117" s="44" t="s">
        <v>8905</v>
      </c>
      <c r="B117" s="44" t="s">
        <v>8906</v>
      </c>
      <c r="C117" s="44" t="s">
        <v>8721</v>
      </c>
      <c r="D117" s="44" t="s">
        <v>8900</v>
      </c>
      <c r="E117" s="44" t="s">
        <v>8180</v>
      </c>
      <c r="F117" s="44" t="n">
        <v>166</v>
      </c>
      <c r="G117" s="44" t="str">
        <f aca="false">IF(O172&gt;=$X$12,"Foundational deep pass",IF(O172&gt;=$X$13,"Major deep pass",IF(O172&gt;=$X$14,"Targeted innovation pass",IF(O172&gt;=$X$15,"Sampling pass","Reference / defer"))))</f>
        <v>Foundational deep pass</v>
      </c>
      <c r="H117" s="44" t="n">
        <v>0</v>
      </c>
      <c r="I117" s="44" t="n">
        <v>5</v>
      </c>
      <c r="J117" s="44" t="n">
        <v>1</v>
      </c>
      <c r="K117" s="44" t="n">
        <v>30</v>
      </c>
      <c r="L117" s="44" t="s">
        <v>13432</v>
      </c>
      <c r="M117" s="44" t="s">
        <v>18070</v>
      </c>
      <c r="N117" s="44" t="s">
        <v>18071</v>
      </c>
    </row>
    <row r="118" customFormat="false" ht="15" hidden="false" customHeight="false" outlineLevel="0" collapsed="false">
      <c r="A118" s="44" t="s">
        <v>8911</v>
      </c>
      <c r="B118" s="44" t="s">
        <v>8912</v>
      </c>
      <c r="C118" s="44" t="s">
        <v>8721</v>
      </c>
      <c r="D118" s="44" t="s">
        <v>8914</v>
      </c>
      <c r="E118" s="44" t="s">
        <v>8180</v>
      </c>
      <c r="F118" s="44" t="n">
        <v>165</v>
      </c>
      <c r="G118" s="44" t="str">
        <f aca="false">IF(O171&gt;=$X$12,"Foundational deep pass",IF(O171&gt;=$X$13,"Major deep pass",IF(O171&gt;=$X$14,"Targeted innovation pass",IF(O171&gt;=$X$15,"Sampling pass","Reference / defer"))))</f>
        <v>Foundational deep pass</v>
      </c>
      <c r="H118" s="44" t="n">
        <v>0</v>
      </c>
      <c r="I118" s="44" t="n">
        <v>5</v>
      </c>
      <c r="J118" s="44" t="n">
        <v>1</v>
      </c>
      <c r="K118" s="44" t="n">
        <v>30</v>
      </c>
      <c r="L118" s="44" t="s">
        <v>13432</v>
      </c>
      <c r="M118" s="44" t="s">
        <v>18070</v>
      </c>
      <c r="N118" s="44" t="s">
        <v>18071</v>
      </c>
    </row>
    <row r="119" customFormat="false" ht="15" hidden="false" customHeight="false" outlineLevel="0" collapsed="false">
      <c r="A119" s="44" t="s">
        <v>8918</v>
      </c>
      <c r="B119" s="44" t="s">
        <v>8919</v>
      </c>
      <c r="C119" s="44" t="s">
        <v>8921</v>
      </c>
      <c r="D119" s="44" t="s">
        <v>8343</v>
      </c>
      <c r="E119" s="44" t="s">
        <v>8080</v>
      </c>
      <c r="F119" s="44" t="n">
        <v>149</v>
      </c>
      <c r="G119" s="44" t="str">
        <f aca="false">IF(O155&gt;=$X$12,"Foundational deep pass",IF(O155&gt;=$X$13,"Major deep pass",IF(O155&gt;=$X$14,"Targeted innovation pass",IF(O155&gt;=$X$15,"Sampling pass","Reference / defer"))))</f>
        <v>Foundational deep pass</v>
      </c>
      <c r="H119" s="44" t="n">
        <v>0</v>
      </c>
      <c r="I119" s="44" t="n">
        <v>5</v>
      </c>
      <c r="J119" s="44" t="n">
        <v>1</v>
      </c>
      <c r="K119" s="44" t="n">
        <v>30</v>
      </c>
      <c r="L119" s="44" t="s">
        <v>13432</v>
      </c>
      <c r="M119" s="44" t="s">
        <v>18070</v>
      </c>
      <c r="N119" s="44" t="s">
        <v>18071</v>
      </c>
    </row>
    <row r="120" customFormat="false" ht="15" hidden="false" customHeight="false" outlineLevel="0" collapsed="false">
      <c r="A120" s="44" t="s">
        <v>8925</v>
      </c>
      <c r="B120" s="44" t="s">
        <v>8926</v>
      </c>
      <c r="C120" s="44" t="s">
        <v>8928</v>
      </c>
      <c r="D120" s="44" t="s">
        <v>8343</v>
      </c>
      <c r="E120" s="44" t="s">
        <v>8080</v>
      </c>
      <c r="F120" s="44" t="n">
        <v>200</v>
      </c>
      <c r="G120" s="44" t="str">
        <f aca="false">IF(O206&gt;=$X$12,"Foundational deep pass",IF(O206&gt;=$X$13,"Major deep pass",IF(O206&gt;=$X$14,"Targeted innovation pass",IF(O206&gt;=$X$15,"Sampling pass","Reference / defer"))))</f>
        <v>Foundational deep pass</v>
      </c>
      <c r="H120" s="44" t="n">
        <v>0</v>
      </c>
      <c r="I120" s="44" t="n">
        <v>3</v>
      </c>
      <c r="J120" s="44" t="n">
        <v>2</v>
      </c>
      <c r="K120" s="44" t="n">
        <v>30</v>
      </c>
      <c r="L120" s="44" t="s">
        <v>13432</v>
      </c>
      <c r="M120" s="44" t="s">
        <v>18070</v>
      </c>
      <c r="N120" s="44" t="s">
        <v>18071</v>
      </c>
    </row>
    <row r="121" customFormat="false" ht="15" hidden="false" customHeight="false" outlineLevel="0" collapsed="false">
      <c r="A121" s="44" t="s">
        <v>8932</v>
      </c>
      <c r="B121" s="44" t="s">
        <v>8933</v>
      </c>
      <c r="C121" s="44" t="s">
        <v>8935</v>
      </c>
      <c r="D121" s="44" t="s">
        <v>8343</v>
      </c>
      <c r="E121" s="44" t="s">
        <v>8180</v>
      </c>
      <c r="F121" s="44" t="n">
        <v>243</v>
      </c>
      <c r="G121" s="44" t="str">
        <f aca="false">IF(O249&gt;=$X$12,"Foundational deep pass",IF(O249&gt;=$X$13,"Major deep pass",IF(O249&gt;=$X$14,"Targeted innovation pass",IF(O249&gt;=$X$15,"Sampling pass","Reference / defer"))))</f>
        <v>Foundational deep pass</v>
      </c>
      <c r="H121" s="44" t="n">
        <v>0</v>
      </c>
      <c r="I121" s="44" t="n">
        <v>4</v>
      </c>
      <c r="J121" s="44" t="n">
        <v>2</v>
      </c>
      <c r="K121" s="44" t="n">
        <v>30</v>
      </c>
      <c r="L121" s="44" t="s">
        <v>13432</v>
      </c>
      <c r="M121" s="44" t="s">
        <v>18070</v>
      </c>
      <c r="N121" s="44" t="s">
        <v>18071</v>
      </c>
    </row>
    <row r="122" customFormat="false" ht="15" hidden="false" customHeight="false" outlineLevel="0" collapsed="false">
      <c r="A122" s="44" t="s">
        <v>8940</v>
      </c>
      <c r="B122" s="44" t="s">
        <v>8941</v>
      </c>
      <c r="C122" s="44" t="s">
        <v>8935</v>
      </c>
      <c r="D122" s="44" t="s">
        <v>8943</v>
      </c>
      <c r="E122" s="44" t="s">
        <v>8180</v>
      </c>
      <c r="F122" s="44" t="n">
        <v>251</v>
      </c>
      <c r="G122" s="44" t="str">
        <f aca="false">IF(O257&gt;=$X$12,"Foundational deep pass",IF(O257&gt;=$X$13,"Major deep pass",IF(O257&gt;=$X$14,"Targeted innovation pass",IF(O257&gt;=$X$15,"Sampling pass","Reference / defer"))))</f>
        <v>Foundational deep pass</v>
      </c>
      <c r="H122" s="44" t="n">
        <v>0</v>
      </c>
      <c r="I122" s="44" t="n">
        <v>6</v>
      </c>
      <c r="J122" s="44" t="n">
        <v>3</v>
      </c>
      <c r="K122" s="44" t="n">
        <v>30</v>
      </c>
      <c r="L122" s="44" t="s">
        <v>13432</v>
      </c>
      <c r="M122" s="44" t="s">
        <v>18070</v>
      </c>
      <c r="N122" s="44" t="s">
        <v>18071</v>
      </c>
    </row>
    <row r="123" customFormat="false" ht="15" hidden="false" customHeight="false" outlineLevel="0" collapsed="false">
      <c r="A123" s="44" t="s">
        <v>8947</v>
      </c>
      <c r="B123" s="44" t="s">
        <v>8948</v>
      </c>
      <c r="C123" s="44" t="s">
        <v>8950</v>
      </c>
      <c r="D123" s="44" t="s">
        <v>8307</v>
      </c>
      <c r="E123" s="44" t="s">
        <v>8180</v>
      </c>
      <c r="F123" s="44" t="n">
        <v>267</v>
      </c>
      <c r="G123" s="44" t="str">
        <f aca="false">IF(O273&gt;=$X$12,"Foundational deep pass",IF(O273&gt;=$X$13,"Major deep pass",IF(O273&gt;=$X$14,"Targeted innovation pass",IF(O273&gt;=$X$15,"Sampling pass","Reference / defer"))))</f>
        <v>Foundational deep pass</v>
      </c>
      <c r="H123" s="44" t="n">
        <v>0</v>
      </c>
      <c r="I123" s="44" t="n">
        <v>4</v>
      </c>
      <c r="J123" s="44" t="n">
        <v>2</v>
      </c>
      <c r="K123" s="44" t="n">
        <v>30</v>
      </c>
      <c r="L123" s="44" t="s">
        <v>13432</v>
      </c>
      <c r="M123" s="44" t="s">
        <v>18070</v>
      </c>
      <c r="N123" s="44" t="s">
        <v>18071</v>
      </c>
    </row>
    <row r="124" customFormat="false" ht="15" hidden="false" customHeight="false" outlineLevel="0" collapsed="false">
      <c r="A124" s="44" t="s">
        <v>8954</v>
      </c>
      <c r="B124" s="44" t="s">
        <v>8955</v>
      </c>
      <c r="C124" s="44" t="s">
        <v>8950</v>
      </c>
      <c r="D124" s="44" t="s">
        <v>8957</v>
      </c>
      <c r="E124" s="44" t="s">
        <v>8180</v>
      </c>
      <c r="F124" s="44" t="n">
        <v>256</v>
      </c>
      <c r="G124" s="44" t="str">
        <f aca="false">IF(O262&gt;=$X$12,"Foundational deep pass",IF(O262&gt;=$X$13,"Major deep pass",IF(O262&gt;=$X$14,"Targeted innovation pass",IF(O262&gt;=$X$15,"Sampling pass","Reference / defer"))))</f>
        <v>Foundational deep pass</v>
      </c>
      <c r="H124" s="44" t="n">
        <v>0</v>
      </c>
      <c r="I124" s="44" t="n">
        <v>4</v>
      </c>
      <c r="J124" s="44" t="n">
        <v>3</v>
      </c>
      <c r="K124" s="44" t="n">
        <v>30</v>
      </c>
      <c r="L124" s="44" t="s">
        <v>13432</v>
      </c>
      <c r="M124" s="44" t="s">
        <v>18070</v>
      </c>
      <c r="N124" s="44" t="s">
        <v>18071</v>
      </c>
    </row>
    <row r="125" customFormat="false" ht="15" hidden="false" customHeight="false" outlineLevel="0" collapsed="false">
      <c r="A125" s="44" t="s">
        <v>8962</v>
      </c>
      <c r="B125" s="44" t="s">
        <v>8963</v>
      </c>
      <c r="C125" s="44" t="s">
        <v>8950</v>
      </c>
      <c r="D125" s="44" t="s">
        <v>8343</v>
      </c>
      <c r="E125" s="44" t="s">
        <v>8080</v>
      </c>
      <c r="F125" s="44" t="n">
        <v>209</v>
      </c>
      <c r="G125" s="44" t="str">
        <f aca="false">IF(O215&gt;=$X$12,"Foundational deep pass",IF(O215&gt;=$X$13,"Major deep pass",IF(O215&gt;=$X$14,"Targeted innovation pass",IF(O215&gt;=$X$15,"Sampling pass","Reference / defer"))))</f>
        <v>Foundational deep pass</v>
      </c>
      <c r="H125" s="44" t="n">
        <v>0</v>
      </c>
      <c r="I125" s="44" t="n">
        <v>4</v>
      </c>
      <c r="J125" s="44" t="n">
        <v>2</v>
      </c>
      <c r="K125" s="44" t="n">
        <v>30</v>
      </c>
      <c r="L125" s="44" t="s">
        <v>13432</v>
      </c>
      <c r="M125" s="44" t="s">
        <v>18070</v>
      </c>
      <c r="N125" s="44" t="s">
        <v>18071</v>
      </c>
    </row>
    <row r="126" customFormat="false" ht="15" hidden="false" customHeight="false" outlineLevel="0" collapsed="false">
      <c r="A126" s="44" t="s">
        <v>8968</v>
      </c>
      <c r="B126" s="44" t="s">
        <v>8969</v>
      </c>
      <c r="C126" s="44" t="s">
        <v>8950</v>
      </c>
      <c r="D126" s="44" t="s">
        <v>8971</v>
      </c>
      <c r="E126" s="44" t="s">
        <v>8180</v>
      </c>
      <c r="F126" s="44" t="n">
        <v>265</v>
      </c>
      <c r="G126" s="44" t="str">
        <f aca="false">IF(O271&gt;=$X$12,"Foundational deep pass",IF(O271&gt;=$X$13,"Major deep pass",IF(O271&gt;=$X$14,"Targeted innovation pass",IF(O271&gt;=$X$15,"Sampling pass","Reference / defer"))))</f>
        <v>Foundational deep pass</v>
      </c>
      <c r="H126" s="44" t="n">
        <v>0</v>
      </c>
      <c r="I126" s="44" t="n">
        <v>3</v>
      </c>
      <c r="J126" s="44" t="n">
        <v>2</v>
      </c>
      <c r="K126" s="44" t="n">
        <v>30</v>
      </c>
      <c r="L126" s="44" t="s">
        <v>13432</v>
      </c>
      <c r="M126" s="44" t="s">
        <v>18070</v>
      </c>
      <c r="N126" s="44" t="s">
        <v>18071</v>
      </c>
    </row>
    <row r="127" customFormat="false" ht="15" hidden="false" customHeight="false" outlineLevel="0" collapsed="false">
      <c r="A127" s="44" t="s">
        <v>8975</v>
      </c>
      <c r="B127" s="44" t="s">
        <v>8976</v>
      </c>
      <c r="C127" s="44" t="s">
        <v>8950</v>
      </c>
      <c r="D127" s="44" t="s">
        <v>8343</v>
      </c>
      <c r="E127" s="44" t="s">
        <v>8539</v>
      </c>
      <c r="F127" s="44" t="n">
        <v>279</v>
      </c>
      <c r="G127" s="44" t="str">
        <f aca="false">IF(O285&gt;=$X$12,"Foundational deep pass",IF(O285&gt;=$X$13,"Major deep pass",IF(O285&gt;=$X$14,"Targeted innovation pass",IF(O285&gt;=$X$15,"Sampling pass","Reference / defer"))))</f>
        <v>Foundational deep pass</v>
      </c>
      <c r="H127" s="44" t="n">
        <v>0</v>
      </c>
      <c r="I127" s="44" t="n">
        <v>1</v>
      </c>
      <c r="J127" s="44" t="n">
        <v>1</v>
      </c>
      <c r="K127" s="44" t="n">
        <v>30</v>
      </c>
      <c r="L127" s="44" t="s">
        <v>13432</v>
      </c>
      <c r="M127" s="44" t="s">
        <v>18070</v>
      </c>
      <c r="N127" s="44" t="s">
        <v>18071</v>
      </c>
    </row>
    <row r="128" customFormat="false" ht="15" hidden="false" customHeight="false" outlineLevel="0" collapsed="false">
      <c r="A128" s="44" t="s">
        <v>8981</v>
      </c>
      <c r="B128" s="44" t="s">
        <v>8982</v>
      </c>
      <c r="C128" s="44" t="s">
        <v>8984</v>
      </c>
      <c r="D128" s="44" t="s">
        <v>8226</v>
      </c>
      <c r="E128" s="44" t="s">
        <v>8080</v>
      </c>
      <c r="F128" s="44" t="n">
        <v>171</v>
      </c>
      <c r="G128" s="44" t="str">
        <f aca="false">IF(O177&gt;=$X$12,"Foundational deep pass",IF(O177&gt;=$X$13,"Major deep pass",IF(O177&gt;=$X$14,"Targeted innovation pass",IF(O177&gt;=$X$15,"Sampling pass","Reference / defer"))))</f>
        <v>Foundational deep pass</v>
      </c>
      <c r="H128" s="44" t="n">
        <v>0</v>
      </c>
      <c r="I128" s="44" t="n">
        <v>5</v>
      </c>
      <c r="J128" s="44" t="n">
        <v>3</v>
      </c>
      <c r="K128" s="44" t="n">
        <v>30</v>
      </c>
      <c r="L128" s="44" t="s">
        <v>13432</v>
      </c>
      <c r="M128" s="44" t="s">
        <v>18070</v>
      </c>
      <c r="N128" s="44" t="s">
        <v>18071</v>
      </c>
    </row>
    <row r="129" customFormat="false" ht="15" hidden="false" customHeight="false" outlineLevel="0" collapsed="false">
      <c r="A129" s="44" t="s">
        <v>8990</v>
      </c>
      <c r="B129" s="44" t="s">
        <v>8991</v>
      </c>
      <c r="C129" s="44" t="s">
        <v>8984</v>
      </c>
      <c r="D129" s="44" t="s">
        <v>8226</v>
      </c>
      <c r="E129" s="44" t="s">
        <v>8080</v>
      </c>
      <c r="F129" s="44" t="n">
        <v>159</v>
      </c>
      <c r="G129" s="44" t="str">
        <f aca="false">IF(O165&gt;=$X$12,"Foundational deep pass",IF(O165&gt;=$X$13,"Major deep pass",IF(O165&gt;=$X$14,"Targeted innovation pass",IF(O165&gt;=$X$15,"Sampling pass","Reference / defer"))))</f>
        <v>Foundational deep pass</v>
      </c>
      <c r="H129" s="44" t="n">
        <v>45</v>
      </c>
      <c r="I129" s="44" t="n">
        <v>5</v>
      </c>
      <c r="J129" s="44" t="n">
        <v>2</v>
      </c>
      <c r="K129" s="44" t="n">
        <v>30</v>
      </c>
      <c r="L129" s="44" t="s">
        <v>18075</v>
      </c>
      <c r="M129" s="44" t="s">
        <v>18070</v>
      </c>
      <c r="N129" s="44" t="s">
        <v>18073</v>
      </c>
    </row>
    <row r="130" customFormat="false" ht="15" hidden="false" customHeight="false" outlineLevel="0" collapsed="false">
      <c r="A130" s="44" t="s">
        <v>8997</v>
      </c>
      <c r="B130" s="44" t="s">
        <v>8998</v>
      </c>
      <c r="C130" s="44" t="s">
        <v>9000</v>
      </c>
      <c r="D130" s="44" t="s">
        <v>8226</v>
      </c>
      <c r="E130" s="44" t="s">
        <v>8080</v>
      </c>
      <c r="F130" s="44" t="n">
        <v>140</v>
      </c>
      <c r="G130" s="44" t="str">
        <f aca="false">IF(O146&gt;=$X$12,"Foundational deep pass",IF(O146&gt;=$X$13,"Major deep pass",IF(O146&gt;=$X$14,"Targeted innovation pass",IF(O146&gt;=$X$15,"Sampling pass","Reference / defer"))))</f>
        <v>Foundational deep pass</v>
      </c>
      <c r="H130" s="44" t="n">
        <v>29</v>
      </c>
      <c r="I130" s="44" t="n">
        <v>5</v>
      </c>
      <c r="J130" s="44" t="n">
        <v>2</v>
      </c>
      <c r="K130" s="44" t="n">
        <v>30</v>
      </c>
      <c r="L130" s="44" t="s">
        <v>18072</v>
      </c>
      <c r="M130" s="44" t="s">
        <v>18070</v>
      </c>
      <c r="N130" s="44" t="s">
        <v>18073</v>
      </c>
    </row>
    <row r="131" customFormat="false" ht="15" hidden="false" customHeight="false" outlineLevel="0" collapsed="false">
      <c r="A131" s="44" t="s">
        <v>9004</v>
      </c>
      <c r="B131" s="44" t="s">
        <v>9005</v>
      </c>
      <c r="C131" s="44" t="s">
        <v>8984</v>
      </c>
      <c r="D131" s="44" t="s">
        <v>8226</v>
      </c>
      <c r="E131" s="44" t="s">
        <v>8080</v>
      </c>
      <c r="F131" s="44" t="n">
        <v>198</v>
      </c>
      <c r="G131" s="44" t="str">
        <f aca="false">IF(O204&gt;=$X$12,"Foundational deep pass",IF(O204&gt;=$X$13,"Major deep pass",IF(O204&gt;=$X$14,"Targeted innovation pass",IF(O204&gt;=$X$15,"Sampling pass","Reference / defer"))))</f>
        <v>Foundational deep pass</v>
      </c>
      <c r="H131" s="44" t="n">
        <v>0</v>
      </c>
      <c r="I131" s="44" t="n">
        <v>5</v>
      </c>
      <c r="J131" s="44" t="n">
        <v>4</v>
      </c>
      <c r="K131" s="44" t="n">
        <v>30</v>
      </c>
      <c r="L131" s="44" t="s">
        <v>13432</v>
      </c>
      <c r="M131" s="44" t="s">
        <v>18070</v>
      </c>
      <c r="N131" s="44" t="s">
        <v>18071</v>
      </c>
    </row>
    <row r="132" customFormat="false" ht="15" hidden="false" customHeight="false" outlineLevel="0" collapsed="false">
      <c r="A132" s="44" t="s">
        <v>9011</v>
      </c>
      <c r="B132" s="44" t="s">
        <v>9012</v>
      </c>
      <c r="C132" s="44" t="s">
        <v>9013</v>
      </c>
      <c r="D132" s="44" t="s">
        <v>8226</v>
      </c>
      <c r="E132" s="44" t="s">
        <v>8080</v>
      </c>
      <c r="F132" s="44" t="n">
        <v>274</v>
      </c>
      <c r="G132" s="44" t="str">
        <f aca="false">IF(O280&gt;=$X$12,"Foundational deep pass",IF(O280&gt;=$X$13,"Major deep pass",IF(O280&gt;=$X$14,"Targeted innovation pass",IF(O280&gt;=$X$15,"Sampling pass","Reference / defer"))))</f>
        <v>Foundational deep pass</v>
      </c>
      <c r="H132" s="44" t="n">
        <v>16</v>
      </c>
      <c r="I132" s="44" t="n">
        <v>4</v>
      </c>
      <c r="J132" s="44" t="n">
        <v>3</v>
      </c>
      <c r="K132" s="44" t="n">
        <v>30</v>
      </c>
      <c r="L132" s="44" t="s">
        <v>18072</v>
      </c>
      <c r="M132" s="44" t="s">
        <v>18070</v>
      </c>
      <c r="N132" s="44" t="s">
        <v>18073</v>
      </c>
    </row>
    <row r="133" customFormat="false" ht="15" hidden="false" customHeight="false" outlineLevel="0" collapsed="false">
      <c r="A133" s="44" t="s">
        <v>9019</v>
      </c>
      <c r="B133" s="44" t="s">
        <v>9020</v>
      </c>
      <c r="C133" s="44" t="s">
        <v>9000</v>
      </c>
      <c r="D133" s="44" t="s">
        <v>8226</v>
      </c>
      <c r="E133" s="44" t="s">
        <v>8080</v>
      </c>
      <c r="F133" s="44" t="n">
        <v>195</v>
      </c>
      <c r="G133" s="44" t="str">
        <f aca="false">IF(O201&gt;=$X$12,"Foundational deep pass",IF(O201&gt;=$X$13,"Major deep pass",IF(O201&gt;=$X$14,"Targeted innovation pass",IF(O201&gt;=$X$15,"Sampling pass","Reference / defer"))))</f>
        <v>Foundational deep pass</v>
      </c>
      <c r="H133" s="44" t="n">
        <v>0</v>
      </c>
      <c r="I133" s="44" t="n">
        <v>7</v>
      </c>
      <c r="J133" s="44" t="n">
        <v>6</v>
      </c>
      <c r="K133" s="44" t="n">
        <v>30</v>
      </c>
      <c r="L133" s="44" t="s">
        <v>13432</v>
      </c>
      <c r="M133" s="44" t="s">
        <v>18070</v>
      </c>
      <c r="N133" s="44" t="s">
        <v>18071</v>
      </c>
    </row>
    <row r="134" customFormat="false" ht="15" hidden="false" customHeight="false" outlineLevel="0" collapsed="false">
      <c r="A134" s="44" t="s">
        <v>9025</v>
      </c>
      <c r="B134" s="44" t="s">
        <v>9026</v>
      </c>
      <c r="C134" s="44" t="s">
        <v>9028</v>
      </c>
      <c r="D134" s="44" t="s">
        <v>8226</v>
      </c>
      <c r="E134" s="44" t="s">
        <v>8080</v>
      </c>
      <c r="F134" s="44" t="n">
        <v>199</v>
      </c>
      <c r="G134" s="44" t="str">
        <f aca="false">IF(O205&gt;=$X$12,"Foundational deep pass",IF(O205&gt;=$X$13,"Major deep pass",IF(O205&gt;=$X$14,"Targeted innovation pass",IF(O205&gt;=$X$15,"Sampling pass","Reference / defer"))))</f>
        <v>Foundational deep pass</v>
      </c>
      <c r="H134" s="44" t="n">
        <v>0</v>
      </c>
      <c r="I134" s="44" t="n">
        <v>6</v>
      </c>
      <c r="J134" s="44" t="n">
        <v>4</v>
      </c>
      <c r="K134" s="44" t="n">
        <v>30</v>
      </c>
      <c r="L134" s="44" t="s">
        <v>13432</v>
      </c>
      <c r="M134" s="44" t="s">
        <v>18070</v>
      </c>
      <c r="N134" s="44" t="s">
        <v>18071</v>
      </c>
    </row>
    <row r="135" customFormat="false" ht="15" hidden="false" customHeight="false" outlineLevel="0" collapsed="false">
      <c r="A135" s="44" t="s">
        <v>9032</v>
      </c>
      <c r="B135" s="44" t="s">
        <v>9033</v>
      </c>
      <c r="C135" s="44" t="s">
        <v>9035</v>
      </c>
      <c r="D135" s="44" t="s">
        <v>8343</v>
      </c>
      <c r="E135" s="44" t="s">
        <v>8080</v>
      </c>
      <c r="F135" s="44" t="n">
        <v>280</v>
      </c>
      <c r="G135" s="44" t="str">
        <f aca="false">IF(O286&gt;=$X$12,"Foundational deep pass",IF(O286&gt;=$X$13,"Major deep pass",IF(O286&gt;=$X$14,"Targeted innovation pass",IF(O286&gt;=$X$15,"Sampling pass","Reference / defer"))))</f>
        <v>Foundational deep pass</v>
      </c>
      <c r="H135" s="44" t="n">
        <v>24</v>
      </c>
      <c r="I135" s="44" t="n">
        <v>7</v>
      </c>
      <c r="J135" s="44" t="n">
        <v>5</v>
      </c>
      <c r="K135" s="44" t="n">
        <v>30</v>
      </c>
      <c r="L135" s="44" t="s">
        <v>18072</v>
      </c>
      <c r="M135" s="44" t="s">
        <v>18070</v>
      </c>
      <c r="N135" s="44" t="s">
        <v>18073</v>
      </c>
    </row>
    <row r="136" customFormat="false" ht="22.35" hidden="false" customHeight="false" outlineLevel="0" collapsed="false">
      <c r="A136" s="44" t="s">
        <v>9039</v>
      </c>
      <c r="B136" s="44" t="s">
        <v>9040</v>
      </c>
      <c r="C136" s="44" t="s">
        <v>9042</v>
      </c>
      <c r="D136" s="44" t="s">
        <v>8343</v>
      </c>
      <c r="E136" s="44" t="s">
        <v>8080</v>
      </c>
      <c r="F136" s="44" t="n">
        <v>281</v>
      </c>
      <c r="G136" s="44" t="str">
        <f aca="false">IF(O287&gt;=$X$12,"Foundational deep pass",IF(O287&gt;=$X$13,"Major deep pass",IF(O287&gt;=$X$14,"Targeted innovation pass",IF(O287&gt;=$X$15,"Sampling pass","Reference / defer"))))</f>
        <v>Foundational deep pass</v>
      </c>
      <c r="H136" s="44" t="n">
        <v>28</v>
      </c>
      <c r="I136" s="44" t="n">
        <v>5</v>
      </c>
      <c r="J136" s="44" t="n">
        <v>5</v>
      </c>
      <c r="K136" s="44" t="n">
        <v>30</v>
      </c>
      <c r="L136" s="44" t="s">
        <v>18072</v>
      </c>
      <c r="M136" s="44" t="s">
        <v>18070</v>
      </c>
      <c r="N136" s="44" t="s">
        <v>18073</v>
      </c>
    </row>
    <row r="137" customFormat="false" ht="15" hidden="false" customHeight="false" outlineLevel="0" collapsed="false">
      <c r="A137" s="44" t="s">
        <v>9047</v>
      </c>
      <c r="B137" s="44" t="s">
        <v>9048</v>
      </c>
      <c r="C137" s="44" t="s">
        <v>9013</v>
      </c>
      <c r="D137" s="44" t="s">
        <v>8343</v>
      </c>
      <c r="E137" s="44" t="s">
        <v>8080</v>
      </c>
      <c r="F137" s="44" t="n">
        <v>216</v>
      </c>
      <c r="G137" s="44" t="str">
        <f aca="false">IF(O222&gt;=$X$12,"Foundational deep pass",IF(O222&gt;=$X$13,"Major deep pass",IF(O222&gt;=$X$14,"Targeted innovation pass",IF(O222&gt;=$X$15,"Sampling pass","Reference / defer"))))</f>
        <v>Foundational deep pass</v>
      </c>
      <c r="H137" s="44" t="n">
        <v>0</v>
      </c>
      <c r="I137" s="44" t="n">
        <v>5</v>
      </c>
      <c r="J137" s="44" t="n">
        <v>3</v>
      </c>
      <c r="K137" s="44" t="n">
        <v>30</v>
      </c>
      <c r="L137" s="44" t="s">
        <v>13432</v>
      </c>
      <c r="M137" s="44" t="s">
        <v>18070</v>
      </c>
      <c r="N137" s="44" t="s">
        <v>18071</v>
      </c>
    </row>
    <row r="138" customFormat="false" ht="15" hidden="false" customHeight="false" outlineLevel="0" collapsed="false">
      <c r="A138" s="44" t="s">
        <v>9053</v>
      </c>
      <c r="B138" s="44" t="s">
        <v>9054</v>
      </c>
      <c r="C138" s="44" t="s">
        <v>9055</v>
      </c>
      <c r="D138" s="44" t="s">
        <v>8343</v>
      </c>
      <c r="E138" s="44" t="s">
        <v>8080</v>
      </c>
      <c r="F138" s="44" t="n">
        <v>192</v>
      </c>
      <c r="G138" s="44" t="str">
        <f aca="false">IF(O198&gt;=$X$12,"Foundational deep pass",IF(O198&gt;=$X$13,"Major deep pass",IF(O198&gt;=$X$14,"Targeted innovation pass",IF(O198&gt;=$X$15,"Sampling pass","Reference / defer"))))</f>
        <v>Foundational deep pass</v>
      </c>
      <c r="H138" s="44" t="n">
        <v>0</v>
      </c>
      <c r="I138" s="44" t="n">
        <v>6</v>
      </c>
      <c r="J138" s="44" t="n">
        <v>4</v>
      </c>
      <c r="K138" s="44" t="n">
        <v>30</v>
      </c>
      <c r="L138" s="44" t="s">
        <v>13432</v>
      </c>
      <c r="M138" s="44" t="s">
        <v>18070</v>
      </c>
      <c r="N138" s="44" t="s">
        <v>18071</v>
      </c>
    </row>
    <row r="139" customFormat="false" ht="15" hidden="false" customHeight="false" outlineLevel="0" collapsed="false">
      <c r="A139" s="44" t="s">
        <v>9059</v>
      </c>
      <c r="B139" s="44" t="s">
        <v>9060</v>
      </c>
      <c r="C139" s="44" t="s">
        <v>9035</v>
      </c>
      <c r="D139" s="44" t="s">
        <v>8438</v>
      </c>
      <c r="E139" s="44" t="s">
        <v>8080</v>
      </c>
      <c r="F139" s="44" t="n">
        <v>194</v>
      </c>
      <c r="G139" s="44" t="str">
        <f aca="false">IF(O200&gt;=$X$12,"Foundational deep pass",IF(O200&gt;=$X$13,"Major deep pass",IF(O200&gt;=$X$14,"Targeted innovation pass",IF(O200&gt;=$X$15,"Sampling pass","Reference / defer"))))</f>
        <v>Foundational deep pass</v>
      </c>
      <c r="H139" s="44" t="n">
        <v>0</v>
      </c>
      <c r="I139" s="44" t="n">
        <v>5</v>
      </c>
      <c r="J139" s="44" t="n">
        <v>3</v>
      </c>
      <c r="K139" s="44" t="n">
        <v>30</v>
      </c>
      <c r="L139" s="44" t="s">
        <v>13432</v>
      </c>
      <c r="M139" s="44" t="s">
        <v>18070</v>
      </c>
      <c r="N139" s="44" t="s">
        <v>18071</v>
      </c>
    </row>
    <row r="140" customFormat="false" ht="15" hidden="false" customHeight="false" outlineLevel="0" collapsed="false">
      <c r="A140" s="44" t="s">
        <v>9065</v>
      </c>
      <c r="B140" s="44" t="s">
        <v>9066</v>
      </c>
      <c r="C140" s="44" t="s">
        <v>9068</v>
      </c>
      <c r="D140" s="44" t="s">
        <v>9069</v>
      </c>
      <c r="E140" s="44" t="s">
        <v>8080</v>
      </c>
      <c r="F140" s="44" t="n">
        <v>188</v>
      </c>
      <c r="G140" s="44" t="str">
        <f aca="false">IF(O194&gt;=$X$12,"Foundational deep pass",IF(O194&gt;=$X$13,"Major deep pass",IF(O194&gt;=$X$14,"Targeted innovation pass",IF(O194&gt;=$X$15,"Sampling pass","Reference / defer"))))</f>
        <v>Foundational deep pass</v>
      </c>
      <c r="H140" s="44" t="n">
        <v>0</v>
      </c>
      <c r="I140" s="44" t="n">
        <v>3</v>
      </c>
      <c r="J140" s="44" t="n">
        <v>3</v>
      </c>
      <c r="K140" s="44" t="n">
        <v>30</v>
      </c>
      <c r="L140" s="44" t="s">
        <v>13432</v>
      </c>
      <c r="M140" s="44" t="s">
        <v>18070</v>
      </c>
      <c r="N140" s="44" t="s">
        <v>18071</v>
      </c>
    </row>
    <row r="141" customFormat="false" ht="15" hidden="false" customHeight="false" outlineLevel="0" collapsed="false">
      <c r="A141" s="44" t="s">
        <v>9074</v>
      </c>
      <c r="B141" s="44" t="s">
        <v>9075</v>
      </c>
      <c r="C141" s="44" t="s">
        <v>9077</v>
      </c>
      <c r="D141" s="44" t="s">
        <v>8343</v>
      </c>
      <c r="E141" s="44" t="s">
        <v>8180</v>
      </c>
      <c r="F141" s="44" t="n">
        <v>253</v>
      </c>
      <c r="G141" s="44" t="str">
        <f aca="false">IF(O259&gt;=$X$12,"Foundational deep pass",IF(O259&gt;=$X$13,"Major deep pass",IF(O259&gt;=$X$14,"Targeted innovation pass",IF(O259&gt;=$X$15,"Sampling pass","Reference / defer"))))</f>
        <v>Foundational deep pass</v>
      </c>
      <c r="H141" s="44" t="n">
        <v>0</v>
      </c>
      <c r="I141" s="44" t="n">
        <v>4</v>
      </c>
      <c r="J141" s="44" t="n">
        <v>3</v>
      </c>
      <c r="K141" s="44" t="n">
        <v>30</v>
      </c>
      <c r="L141" s="44" t="s">
        <v>13432</v>
      </c>
      <c r="M141" s="44" t="s">
        <v>18070</v>
      </c>
      <c r="N141" s="44" t="s">
        <v>18071</v>
      </c>
    </row>
    <row r="142" customFormat="false" ht="15" hidden="false" customHeight="false" outlineLevel="0" collapsed="false">
      <c r="A142" s="44" t="s">
        <v>9081</v>
      </c>
      <c r="B142" s="44" t="s">
        <v>9082</v>
      </c>
      <c r="C142" s="44" t="s">
        <v>9077</v>
      </c>
      <c r="D142" s="44" t="s">
        <v>8343</v>
      </c>
      <c r="E142" s="44" t="s">
        <v>8080</v>
      </c>
      <c r="F142" s="44" t="n">
        <v>207</v>
      </c>
      <c r="G142" s="44" t="str">
        <f aca="false">IF(O213&gt;=$X$12,"Foundational deep pass",IF(O213&gt;=$X$13,"Major deep pass",IF(O213&gt;=$X$14,"Targeted innovation pass",IF(O213&gt;=$X$15,"Sampling pass","Reference / defer"))))</f>
        <v>Foundational deep pass</v>
      </c>
      <c r="H142" s="44" t="n">
        <v>0</v>
      </c>
      <c r="I142" s="44" t="n">
        <v>5</v>
      </c>
      <c r="J142" s="44" t="n">
        <v>3</v>
      </c>
      <c r="K142" s="44" t="n">
        <v>30</v>
      </c>
      <c r="L142" s="44" t="s">
        <v>13432</v>
      </c>
      <c r="M142" s="44" t="s">
        <v>18070</v>
      </c>
      <c r="N142" s="44" t="s">
        <v>18071</v>
      </c>
    </row>
    <row r="143" customFormat="false" ht="15" hidden="false" customHeight="false" outlineLevel="0" collapsed="false">
      <c r="A143" s="44" t="s">
        <v>9086</v>
      </c>
      <c r="B143" s="44" t="s">
        <v>9087</v>
      </c>
      <c r="C143" s="44" t="s">
        <v>9077</v>
      </c>
      <c r="D143" s="44" t="s">
        <v>8438</v>
      </c>
      <c r="E143" s="44" t="s">
        <v>8180</v>
      </c>
      <c r="F143" s="44" t="n">
        <v>258</v>
      </c>
      <c r="G143" s="44" t="str">
        <f aca="false">IF(O264&gt;=$X$12,"Foundational deep pass",IF(O264&gt;=$X$13,"Major deep pass",IF(O264&gt;=$X$14,"Targeted innovation pass",IF(O264&gt;=$X$15,"Sampling pass","Reference / defer"))))</f>
        <v>Foundational deep pass</v>
      </c>
      <c r="H143" s="44" t="n">
        <v>0</v>
      </c>
      <c r="I143" s="44" t="n">
        <v>4</v>
      </c>
      <c r="J143" s="44" t="n">
        <v>1</v>
      </c>
      <c r="K143" s="44" t="n">
        <v>30</v>
      </c>
      <c r="L143" s="44" t="s">
        <v>13432</v>
      </c>
      <c r="M143" s="44" t="s">
        <v>18070</v>
      </c>
      <c r="N143" s="44" t="s">
        <v>18071</v>
      </c>
    </row>
    <row r="144" customFormat="false" ht="15" hidden="false" customHeight="false" outlineLevel="0" collapsed="false">
      <c r="A144" s="44" t="s">
        <v>9092</v>
      </c>
      <c r="B144" s="44" t="s">
        <v>9093</v>
      </c>
      <c r="C144" s="44" t="s">
        <v>9035</v>
      </c>
      <c r="D144" s="44" t="s">
        <v>9095</v>
      </c>
      <c r="E144" s="44" t="s">
        <v>8080</v>
      </c>
      <c r="F144" s="44" t="n">
        <v>193</v>
      </c>
      <c r="G144" s="44" t="str">
        <f aca="false">IF(O199&gt;=$X$12,"Foundational deep pass",IF(O199&gt;=$X$13,"Major deep pass",IF(O199&gt;=$X$14,"Targeted innovation pass",IF(O199&gt;=$X$15,"Sampling pass","Reference / defer"))))</f>
        <v>Foundational deep pass</v>
      </c>
      <c r="H144" s="44" t="n">
        <v>0</v>
      </c>
      <c r="I144" s="44" t="n">
        <v>5</v>
      </c>
      <c r="J144" s="44" t="n">
        <v>2</v>
      </c>
      <c r="K144" s="44" t="n">
        <v>30</v>
      </c>
      <c r="L144" s="44" t="s">
        <v>13432</v>
      </c>
      <c r="M144" s="44" t="s">
        <v>18070</v>
      </c>
      <c r="N144" s="44" t="s">
        <v>18071</v>
      </c>
    </row>
    <row r="145" customFormat="false" ht="15" hidden="false" customHeight="false" outlineLevel="0" collapsed="false">
      <c r="A145" s="44" t="s">
        <v>9099</v>
      </c>
      <c r="B145" s="44" t="s">
        <v>9100</v>
      </c>
      <c r="C145" s="44" t="s">
        <v>9077</v>
      </c>
      <c r="D145" s="44" t="s">
        <v>8343</v>
      </c>
      <c r="E145" s="44" t="s">
        <v>8080</v>
      </c>
      <c r="F145" s="44" t="n">
        <v>206</v>
      </c>
      <c r="G145" s="44" t="str">
        <f aca="false">IF(O212&gt;=$X$12,"Foundational deep pass",IF(O212&gt;=$X$13,"Major deep pass",IF(O212&gt;=$X$14,"Targeted innovation pass",IF(O212&gt;=$X$15,"Sampling pass","Reference / defer"))))</f>
        <v>Foundational deep pass</v>
      </c>
      <c r="H145" s="44" t="n">
        <v>0</v>
      </c>
      <c r="I145" s="44" t="n">
        <v>5</v>
      </c>
      <c r="J145" s="44" t="n">
        <v>4</v>
      </c>
      <c r="K145" s="44" t="n">
        <v>30</v>
      </c>
      <c r="L145" s="44" t="s">
        <v>13432</v>
      </c>
      <c r="M145" s="44" t="s">
        <v>18070</v>
      </c>
      <c r="N145" s="44" t="s">
        <v>18071</v>
      </c>
    </row>
    <row r="146" customFormat="false" ht="15" hidden="false" customHeight="false" outlineLevel="0" collapsed="false">
      <c r="A146" s="44" t="s">
        <v>9105</v>
      </c>
      <c r="B146" s="44" t="s">
        <v>9106</v>
      </c>
      <c r="C146" s="44" t="s">
        <v>9077</v>
      </c>
      <c r="D146" s="44" t="s">
        <v>8343</v>
      </c>
      <c r="E146" s="44" t="s">
        <v>8180</v>
      </c>
      <c r="F146" s="44" t="n">
        <v>269</v>
      </c>
      <c r="G146" s="44" t="str">
        <f aca="false">IF(O275&gt;=$X$12,"Foundational deep pass",IF(O275&gt;=$X$13,"Major deep pass",IF(O275&gt;=$X$14,"Targeted innovation pass",IF(O275&gt;=$X$15,"Sampling pass","Reference / defer"))))</f>
        <v>Foundational deep pass</v>
      </c>
      <c r="H146" s="44" t="n">
        <v>0</v>
      </c>
      <c r="I146" s="44" t="n">
        <v>5</v>
      </c>
      <c r="J146" s="44" t="n">
        <v>2</v>
      </c>
      <c r="K146" s="44" t="n">
        <v>30</v>
      </c>
      <c r="L146" s="44" t="s">
        <v>13432</v>
      </c>
      <c r="M146" s="44" t="s">
        <v>18070</v>
      </c>
      <c r="N146" s="44" t="s">
        <v>18071</v>
      </c>
    </row>
    <row r="147" customFormat="false" ht="15" hidden="false" customHeight="false" outlineLevel="0" collapsed="false">
      <c r="A147" s="44" t="s">
        <v>9111</v>
      </c>
      <c r="B147" s="44" t="s">
        <v>9112</v>
      </c>
      <c r="C147" s="44" t="s">
        <v>9077</v>
      </c>
      <c r="D147" s="44" t="s">
        <v>9114</v>
      </c>
      <c r="E147" s="44" t="s">
        <v>8180</v>
      </c>
      <c r="F147" s="44" t="n">
        <v>261</v>
      </c>
      <c r="G147" s="44" t="str">
        <f aca="false">IF(O267&gt;=$X$12,"Foundational deep pass",IF(O267&gt;=$X$13,"Major deep pass",IF(O267&gt;=$X$14,"Targeted innovation pass",IF(O267&gt;=$X$15,"Sampling pass","Reference / defer"))))</f>
        <v>Foundational deep pass</v>
      </c>
      <c r="H147" s="44" t="n">
        <v>0</v>
      </c>
      <c r="I147" s="44" t="n">
        <v>5</v>
      </c>
      <c r="J147" s="44" t="n">
        <v>4</v>
      </c>
      <c r="K147" s="44" t="n">
        <v>30</v>
      </c>
      <c r="L147" s="44" t="s">
        <v>13432</v>
      </c>
      <c r="M147" s="44" t="s">
        <v>18070</v>
      </c>
      <c r="N147" s="44" t="s">
        <v>18071</v>
      </c>
    </row>
    <row r="148" customFormat="false" ht="15" hidden="false" customHeight="false" outlineLevel="0" collapsed="false">
      <c r="A148" s="44" t="s">
        <v>9118</v>
      </c>
      <c r="B148" s="44" t="s">
        <v>9119</v>
      </c>
      <c r="C148" s="44" t="s">
        <v>9077</v>
      </c>
      <c r="D148" s="44" t="s">
        <v>9114</v>
      </c>
      <c r="E148" s="44" t="s">
        <v>8080</v>
      </c>
      <c r="F148" s="44" t="n">
        <v>205</v>
      </c>
      <c r="G148" s="44" t="str">
        <f aca="false">IF(O211&gt;=$X$12,"Foundational deep pass",IF(O211&gt;=$X$13,"Major deep pass",IF(O211&gt;=$X$14,"Targeted innovation pass",IF(O211&gt;=$X$15,"Sampling pass","Reference / defer"))))</f>
        <v>Foundational deep pass</v>
      </c>
      <c r="H148" s="44" t="n">
        <v>0</v>
      </c>
      <c r="I148" s="44" t="n">
        <v>4</v>
      </c>
      <c r="J148" s="44" t="n">
        <v>3</v>
      </c>
      <c r="K148" s="44" t="n">
        <v>30</v>
      </c>
      <c r="L148" s="44" t="s">
        <v>13432</v>
      </c>
      <c r="M148" s="44" t="s">
        <v>18070</v>
      </c>
      <c r="N148" s="44" t="s">
        <v>18071</v>
      </c>
    </row>
    <row r="149" customFormat="false" ht="15" hidden="false" customHeight="false" outlineLevel="0" collapsed="false">
      <c r="A149" s="44" t="s">
        <v>9122</v>
      </c>
      <c r="B149" s="44" t="s">
        <v>9123</v>
      </c>
      <c r="C149" s="44" t="s">
        <v>9055</v>
      </c>
      <c r="D149" s="44" t="s">
        <v>8226</v>
      </c>
      <c r="E149" s="44" t="s">
        <v>8080</v>
      </c>
      <c r="F149" s="44" t="n">
        <v>191</v>
      </c>
      <c r="G149" s="44" t="str">
        <f aca="false">IF(O197&gt;=$X$12,"Foundational deep pass",IF(O197&gt;=$X$13,"Major deep pass",IF(O197&gt;=$X$14,"Targeted innovation pass",IF(O197&gt;=$X$15,"Sampling pass","Reference / defer"))))</f>
        <v>Foundational deep pass</v>
      </c>
      <c r="H149" s="44" t="n">
        <v>0</v>
      </c>
      <c r="I149" s="44" t="n">
        <v>6</v>
      </c>
      <c r="J149" s="44" t="n">
        <v>4</v>
      </c>
      <c r="K149" s="44" t="n">
        <v>30</v>
      </c>
      <c r="L149" s="44" t="s">
        <v>13432</v>
      </c>
      <c r="M149" s="44" t="s">
        <v>18070</v>
      </c>
      <c r="N149" s="44" t="s">
        <v>18071</v>
      </c>
    </row>
    <row r="150" customFormat="false" ht="15" hidden="false" customHeight="false" outlineLevel="0" collapsed="false">
      <c r="A150" s="44" t="s">
        <v>9128</v>
      </c>
      <c r="B150" s="44" t="s">
        <v>9129</v>
      </c>
      <c r="C150" s="44" t="s">
        <v>9130</v>
      </c>
      <c r="D150" s="44" t="s">
        <v>8226</v>
      </c>
      <c r="E150" s="44" t="s">
        <v>8180</v>
      </c>
      <c r="F150" s="44" t="n">
        <v>242</v>
      </c>
      <c r="G150" s="44" t="str">
        <f aca="false">IF(O248&gt;=$X$12,"Foundational deep pass",IF(O248&gt;=$X$13,"Major deep pass",IF(O248&gt;=$X$14,"Targeted innovation pass",IF(O248&gt;=$X$15,"Sampling pass","Reference / defer"))))</f>
        <v>Foundational deep pass</v>
      </c>
      <c r="H150" s="44" t="n">
        <v>0</v>
      </c>
      <c r="I150" s="44" t="n">
        <v>5</v>
      </c>
      <c r="J150" s="44" t="n">
        <v>4</v>
      </c>
      <c r="K150" s="44" t="n">
        <v>30</v>
      </c>
      <c r="L150" s="44" t="s">
        <v>13432</v>
      </c>
      <c r="M150" s="44" t="s">
        <v>18070</v>
      </c>
      <c r="N150" s="44" t="s">
        <v>18071</v>
      </c>
    </row>
    <row r="151" customFormat="false" ht="15" hidden="false" customHeight="false" outlineLevel="0" collapsed="false">
      <c r="A151" s="44" t="s">
        <v>9134</v>
      </c>
      <c r="B151" s="44" t="s">
        <v>9135</v>
      </c>
      <c r="C151" s="44" t="s">
        <v>9130</v>
      </c>
      <c r="D151" s="44" t="s">
        <v>8226</v>
      </c>
      <c r="E151" s="44" t="s">
        <v>8180</v>
      </c>
      <c r="F151" s="44" t="n">
        <v>240</v>
      </c>
      <c r="G151" s="44" t="str">
        <f aca="false">IF(O246&gt;=$X$12,"Foundational deep pass",IF(O246&gt;=$X$13,"Major deep pass",IF(O246&gt;=$X$14,"Targeted innovation pass",IF(O246&gt;=$X$15,"Sampling pass","Reference / defer"))))</f>
        <v>Foundational deep pass</v>
      </c>
      <c r="H151" s="44" t="n">
        <v>0</v>
      </c>
      <c r="I151" s="44" t="n">
        <v>5</v>
      </c>
      <c r="J151" s="44" t="n">
        <v>5</v>
      </c>
      <c r="K151" s="44" t="n">
        <v>30</v>
      </c>
      <c r="L151" s="44" t="s">
        <v>13432</v>
      </c>
      <c r="M151" s="44" t="s">
        <v>18070</v>
      </c>
      <c r="N151" s="44" t="s">
        <v>18071</v>
      </c>
    </row>
    <row r="152" customFormat="false" ht="15" hidden="false" customHeight="false" outlineLevel="0" collapsed="false">
      <c r="A152" s="44" t="s">
        <v>9139</v>
      </c>
      <c r="B152" s="44" t="s">
        <v>9140</v>
      </c>
      <c r="C152" s="44" t="s">
        <v>9130</v>
      </c>
      <c r="D152" s="44" t="s">
        <v>8226</v>
      </c>
      <c r="E152" s="44" t="s">
        <v>8080</v>
      </c>
      <c r="F152" s="44" t="n">
        <v>197</v>
      </c>
      <c r="G152" s="44" t="str">
        <f aca="false">IF(O203&gt;=$X$12,"Foundational deep pass",IF(O203&gt;=$X$13,"Major deep pass",IF(O203&gt;=$X$14,"Targeted innovation pass",IF(O203&gt;=$X$15,"Sampling pass","Reference / defer"))))</f>
        <v>Foundational deep pass</v>
      </c>
      <c r="H152" s="44" t="n">
        <v>0</v>
      </c>
      <c r="I152" s="44" t="n">
        <v>6</v>
      </c>
      <c r="J152" s="44" t="n">
        <v>5</v>
      </c>
      <c r="K152" s="44" t="n">
        <v>30</v>
      </c>
      <c r="L152" s="44" t="s">
        <v>13432</v>
      </c>
      <c r="M152" s="44" t="s">
        <v>18070</v>
      </c>
      <c r="N152" s="44" t="s">
        <v>18071</v>
      </c>
    </row>
    <row r="153" customFormat="false" ht="15" hidden="false" customHeight="false" outlineLevel="0" collapsed="false">
      <c r="A153" s="44" t="s">
        <v>9145</v>
      </c>
      <c r="B153" s="44" t="s">
        <v>9146</v>
      </c>
      <c r="C153" s="44" t="s">
        <v>9148</v>
      </c>
      <c r="D153" s="44" t="s">
        <v>8226</v>
      </c>
      <c r="E153" s="44" t="s">
        <v>8080</v>
      </c>
      <c r="F153" s="44" t="n">
        <v>212</v>
      </c>
      <c r="G153" s="44" t="str">
        <f aca="false">IF(O218&gt;=$X$12,"Foundational deep pass",IF(O218&gt;=$X$13,"Major deep pass",IF(O218&gt;=$X$14,"Targeted innovation pass",IF(O218&gt;=$X$15,"Sampling pass","Reference / defer"))))</f>
        <v>Foundational deep pass</v>
      </c>
      <c r="H153" s="44" t="n">
        <v>0</v>
      </c>
      <c r="I153" s="44" t="n">
        <v>6</v>
      </c>
      <c r="J153" s="44" t="n">
        <v>3</v>
      </c>
      <c r="K153" s="44" t="n">
        <v>30</v>
      </c>
      <c r="L153" s="44" t="s">
        <v>13432</v>
      </c>
      <c r="M153" s="44" t="s">
        <v>18070</v>
      </c>
      <c r="N153" s="44" t="s">
        <v>18071</v>
      </c>
    </row>
    <row r="154" customFormat="false" ht="15" hidden="false" customHeight="false" outlineLevel="0" collapsed="false">
      <c r="A154" s="44" t="s">
        <v>9152</v>
      </c>
      <c r="B154" s="44" t="s">
        <v>9153</v>
      </c>
      <c r="C154" s="44" t="s">
        <v>9035</v>
      </c>
      <c r="D154" s="44" t="s">
        <v>8343</v>
      </c>
      <c r="E154" s="44" t="s">
        <v>8080</v>
      </c>
      <c r="F154" s="44" t="n">
        <v>214</v>
      </c>
      <c r="G154" s="44" t="str">
        <f aca="false">IF(O220&gt;=$X$12,"Foundational deep pass",IF(O220&gt;=$X$13,"Major deep pass",IF(O220&gt;=$X$14,"Targeted innovation pass",IF(O220&gt;=$X$15,"Sampling pass","Reference / defer"))))</f>
        <v>Foundational deep pass</v>
      </c>
      <c r="H154" s="44" t="n">
        <v>0</v>
      </c>
      <c r="I154" s="44" t="n">
        <v>6</v>
      </c>
      <c r="J154" s="44" t="n">
        <v>3</v>
      </c>
      <c r="K154" s="44" t="n">
        <v>30</v>
      </c>
      <c r="L154" s="44" t="s">
        <v>13432</v>
      </c>
      <c r="M154" s="44" t="s">
        <v>18070</v>
      </c>
      <c r="N154" s="44" t="s">
        <v>18071</v>
      </c>
    </row>
    <row r="155" customFormat="false" ht="15" hidden="false" customHeight="false" outlineLevel="0" collapsed="false">
      <c r="A155" s="44" t="s">
        <v>9159</v>
      </c>
      <c r="B155" s="44" t="s">
        <v>9160</v>
      </c>
      <c r="C155" s="44" t="s">
        <v>9068</v>
      </c>
      <c r="D155" s="44" t="s">
        <v>9162</v>
      </c>
      <c r="E155" s="44" t="s">
        <v>8080</v>
      </c>
      <c r="F155" s="44" t="n">
        <v>215</v>
      </c>
      <c r="G155" s="44" t="str">
        <f aca="false">IF(O221&gt;=$X$12,"Foundational deep pass",IF(O221&gt;=$X$13,"Major deep pass",IF(O221&gt;=$X$14,"Targeted innovation pass",IF(O221&gt;=$X$15,"Sampling pass","Reference / defer"))))</f>
        <v>Foundational deep pass</v>
      </c>
      <c r="H155" s="44" t="n">
        <v>0</v>
      </c>
      <c r="I155" s="44" t="n">
        <v>5</v>
      </c>
      <c r="J155" s="44" t="n">
        <v>3</v>
      </c>
      <c r="K155" s="44" t="n">
        <v>30</v>
      </c>
      <c r="L155" s="44" t="s">
        <v>13432</v>
      </c>
      <c r="M155" s="44" t="s">
        <v>18070</v>
      </c>
      <c r="N155" s="44" t="s">
        <v>18071</v>
      </c>
    </row>
    <row r="156" customFormat="false" ht="15" hidden="false" customHeight="false" outlineLevel="0" collapsed="false">
      <c r="A156" s="44" t="s">
        <v>9166</v>
      </c>
      <c r="B156" s="44" t="s">
        <v>9167</v>
      </c>
      <c r="C156" s="44" t="s">
        <v>9035</v>
      </c>
      <c r="D156" s="44" t="s">
        <v>8343</v>
      </c>
      <c r="E156" s="44" t="s">
        <v>8080</v>
      </c>
      <c r="F156" s="44" t="n">
        <v>203</v>
      </c>
      <c r="G156" s="44" t="str">
        <f aca="false">IF(O209&gt;=$X$12,"Foundational deep pass",IF(O209&gt;=$X$13,"Major deep pass",IF(O209&gt;=$X$14,"Targeted innovation pass",IF(O209&gt;=$X$15,"Sampling pass","Reference / defer"))))</f>
        <v>Foundational deep pass</v>
      </c>
      <c r="H156" s="44" t="n">
        <v>0</v>
      </c>
      <c r="I156" s="44" t="n">
        <v>4</v>
      </c>
      <c r="J156" s="44" t="n">
        <v>4</v>
      </c>
      <c r="K156" s="44" t="n">
        <v>30</v>
      </c>
      <c r="L156" s="44" t="s">
        <v>13432</v>
      </c>
      <c r="M156" s="44" t="s">
        <v>18070</v>
      </c>
      <c r="N156" s="44" t="s">
        <v>18071</v>
      </c>
    </row>
    <row r="157" customFormat="false" ht="15" hidden="false" customHeight="false" outlineLevel="0" collapsed="false">
      <c r="A157" s="44" t="s">
        <v>9172</v>
      </c>
      <c r="B157" s="44" t="s">
        <v>9173</v>
      </c>
      <c r="C157" s="44" t="s">
        <v>9174</v>
      </c>
      <c r="D157" s="44" t="s">
        <v>8343</v>
      </c>
      <c r="E157" s="44" t="s">
        <v>8080</v>
      </c>
      <c r="F157" s="44" t="n">
        <v>202</v>
      </c>
      <c r="G157" s="44" t="str">
        <f aca="false">IF(O208&gt;=$X$12,"Foundational deep pass",IF(O208&gt;=$X$13,"Major deep pass",IF(O208&gt;=$X$14,"Targeted innovation pass",IF(O208&gt;=$X$15,"Sampling pass","Reference / defer"))))</f>
        <v>Foundational deep pass</v>
      </c>
      <c r="H157" s="44" t="n">
        <v>0</v>
      </c>
      <c r="I157" s="44" t="n">
        <v>4</v>
      </c>
      <c r="J157" s="44" t="n">
        <v>4</v>
      </c>
      <c r="K157" s="44" t="n">
        <v>30</v>
      </c>
      <c r="L157" s="44" t="s">
        <v>13432</v>
      </c>
      <c r="M157" s="44" t="s">
        <v>18070</v>
      </c>
      <c r="N157" s="44" t="s">
        <v>18071</v>
      </c>
    </row>
    <row r="158" customFormat="false" ht="15" hidden="false" customHeight="false" outlineLevel="0" collapsed="false">
      <c r="A158" s="44" t="s">
        <v>9177</v>
      </c>
      <c r="B158" s="44" t="s">
        <v>9178</v>
      </c>
      <c r="C158" s="44" t="s">
        <v>9055</v>
      </c>
      <c r="D158" s="44" t="s">
        <v>8226</v>
      </c>
      <c r="E158" s="44" t="s">
        <v>8080</v>
      </c>
      <c r="F158" s="44" t="n">
        <v>196</v>
      </c>
      <c r="G158" s="44" t="str">
        <f aca="false">IF(O202&gt;=$X$12,"Foundational deep pass",IF(O202&gt;=$X$13,"Major deep pass",IF(O202&gt;=$X$14,"Targeted innovation pass",IF(O202&gt;=$X$15,"Sampling pass","Reference / defer"))))</f>
        <v>Foundational deep pass</v>
      </c>
      <c r="H158" s="44" t="n">
        <v>0</v>
      </c>
      <c r="I158" s="44" t="n">
        <v>6</v>
      </c>
      <c r="J158" s="44" t="n">
        <v>3</v>
      </c>
      <c r="K158" s="44" t="n">
        <v>30</v>
      </c>
      <c r="L158" s="44" t="s">
        <v>13432</v>
      </c>
      <c r="M158" s="44" t="s">
        <v>18070</v>
      </c>
      <c r="N158" s="44" t="s">
        <v>18071</v>
      </c>
    </row>
    <row r="159" customFormat="false" ht="15" hidden="false" customHeight="false" outlineLevel="0" collapsed="false">
      <c r="A159" s="44" t="s">
        <v>9183</v>
      </c>
      <c r="B159" s="44" t="s">
        <v>9184</v>
      </c>
      <c r="C159" s="44" t="s">
        <v>9055</v>
      </c>
      <c r="D159" s="44" t="s">
        <v>8307</v>
      </c>
      <c r="E159" s="44" t="s">
        <v>8180</v>
      </c>
      <c r="F159" s="44" t="n">
        <v>247</v>
      </c>
      <c r="G159" s="44" t="str">
        <f aca="false">IF(O253&gt;=$X$12,"Foundational deep pass",IF(O253&gt;=$X$13,"Major deep pass",IF(O253&gt;=$X$14,"Targeted innovation pass",IF(O253&gt;=$X$15,"Sampling pass","Reference / defer"))))</f>
        <v>Foundational deep pass</v>
      </c>
      <c r="H159" s="44" t="n">
        <v>0</v>
      </c>
      <c r="I159" s="44" t="n">
        <v>4</v>
      </c>
      <c r="J159" s="44" t="n">
        <v>3</v>
      </c>
      <c r="K159" s="44" t="n">
        <v>30</v>
      </c>
      <c r="L159" s="44" t="s">
        <v>13432</v>
      </c>
      <c r="M159" s="44" t="s">
        <v>18070</v>
      </c>
      <c r="N159" s="44" t="s">
        <v>18071</v>
      </c>
    </row>
    <row r="160" customFormat="false" ht="15" hidden="false" customHeight="false" outlineLevel="0" collapsed="false">
      <c r="A160" s="44" t="s">
        <v>9189</v>
      </c>
      <c r="B160" s="44" t="s">
        <v>9190</v>
      </c>
      <c r="C160" s="44" t="s">
        <v>9055</v>
      </c>
      <c r="D160" s="44" t="s">
        <v>8860</v>
      </c>
      <c r="E160" s="44" t="s">
        <v>8180</v>
      </c>
      <c r="F160" s="44" t="n">
        <v>249</v>
      </c>
      <c r="G160" s="44" t="str">
        <f aca="false">IF(O255&gt;=$X$12,"Foundational deep pass",IF(O255&gt;=$X$13,"Major deep pass",IF(O255&gt;=$X$14,"Targeted innovation pass",IF(O255&gt;=$X$15,"Sampling pass","Reference / defer"))))</f>
        <v>Foundational deep pass</v>
      </c>
      <c r="H160" s="44" t="n">
        <v>0</v>
      </c>
      <c r="I160" s="44" t="n">
        <v>4</v>
      </c>
      <c r="J160" s="44" t="n">
        <v>1</v>
      </c>
      <c r="K160" s="44" t="n">
        <v>30</v>
      </c>
      <c r="L160" s="44" t="s">
        <v>13432</v>
      </c>
      <c r="M160" s="44" t="s">
        <v>18070</v>
      </c>
      <c r="N160" s="44" t="s">
        <v>18071</v>
      </c>
    </row>
    <row r="161" customFormat="false" ht="15" hidden="false" customHeight="false" outlineLevel="0" collapsed="false">
      <c r="A161" s="44" t="s">
        <v>9195</v>
      </c>
      <c r="B161" s="44" t="s">
        <v>9196</v>
      </c>
      <c r="C161" s="44" t="s">
        <v>9055</v>
      </c>
      <c r="D161" s="44" t="s">
        <v>8860</v>
      </c>
      <c r="E161" s="44" t="s">
        <v>8539</v>
      </c>
      <c r="F161" s="44" t="n">
        <v>278</v>
      </c>
      <c r="G161" s="44" t="str">
        <f aca="false">IF(O284&gt;=$X$12,"Foundational deep pass",IF(O284&gt;=$X$13,"Major deep pass",IF(O284&gt;=$X$14,"Targeted innovation pass",IF(O284&gt;=$X$15,"Sampling pass","Reference / defer"))))</f>
        <v>Foundational deep pass</v>
      </c>
      <c r="H161" s="44" t="n">
        <v>0</v>
      </c>
      <c r="I161" s="44" t="n">
        <v>5</v>
      </c>
      <c r="J161" s="44" t="n">
        <v>3</v>
      </c>
      <c r="K161" s="44" t="n">
        <v>30</v>
      </c>
      <c r="L161" s="44" t="s">
        <v>13432</v>
      </c>
      <c r="M161" s="44" t="s">
        <v>18070</v>
      </c>
      <c r="N161" s="44" t="s">
        <v>18071</v>
      </c>
    </row>
    <row r="162" customFormat="false" ht="15" hidden="false" customHeight="false" outlineLevel="0" collapsed="false">
      <c r="A162" s="44" t="s">
        <v>9200</v>
      </c>
      <c r="B162" s="44" t="s">
        <v>9201</v>
      </c>
      <c r="C162" s="44" t="s">
        <v>9055</v>
      </c>
      <c r="D162" s="44" t="s">
        <v>9203</v>
      </c>
      <c r="E162" s="44" t="s">
        <v>8080</v>
      </c>
      <c r="F162" s="44" t="n">
        <v>213</v>
      </c>
      <c r="G162" s="44" t="str">
        <f aca="false">IF(O219&gt;=$X$12,"Foundational deep pass",IF(O219&gt;=$X$13,"Major deep pass",IF(O219&gt;=$X$14,"Targeted innovation pass",IF(O219&gt;=$X$15,"Sampling pass","Reference / defer"))))</f>
        <v>Foundational deep pass</v>
      </c>
      <c r="H162" s="44" t="n">
        <v>0</v>
      </c>
      <c r="I162" s="44" t="n">
        <v>5</v>
      </c>
      <c r="J162" s="44" t="n">
        <v>4</v>
      </c>
      <c r="K162" s="44" t="n">
        <v>30</v>
      </c>
      <c r="L162" s="44" t="s">
        <v>13432</v>
      </c>
      <c r="M162" s="44" t="s">
        <v>18070</v>
      </c>
      <c r="N162" s="44" t="s">
        <v>18071</v>
      </c>
    </row>
    <row r="163" customFormat="false" ht="15" hidden="false" customHeight="false" outlineLevel="0" collapsed="false">
      <c r="A163" s="44" t="s">
        <v>9208</v>
      </c>
      <c r="B163" s="44" t="s">
        <v>9209</v>
      </c>
      <c r="C163" s="44" t="s">
        <v>9211</v>
      </c>
      <c r="D163" s="44" t="s">
        <v>8343</v>
      </c>
      <c r="E163" s="44" t="s">
        <v>8080</v>
      </c>
      <c r="F163" s="44" t="n">
        <v>201</v>
      </c>
      <c r="G163" s="44" t="str">
        <f aca="false">IF(O207&gt;=$X$12,"Foundational deep pass",IF(O207&gt;=$X$13,"Major deep pass",IF(O207&gt;=$X$14,"Targeted innovation pass",IF(O207&gt;=$X$15,"Sampling pass","Reference / defer"))))</f>
        <v>Foundational deep pass</v>
      </c>
      <c r="H163" s="44" t="n">
        <v>0</v>
      </c>
      <c r="I163" s="44" t="n">
        <v>6</v>
      </c>
      <c r="J163" s="44" t="n">
        <v>5</v>
      </c>
      <c r="K163" s="44" t="n">
        <v>30</v>
      </c>
      <c r="L163" s="44" t="s">
        <v>13432</v>
      </c>
      <c r="M163" s="44" t="s">
        <v>18070</v>
      </c>
      <c r="N163" s="44" t="s">
        <v>18071</v>
      </c>
    </row>
    <row r="164" customFormat="false" ht="15" hidden="false" customHeight="false" outlineLevel="0" collapsed="false">
      <c r="A164" s="44" t="s">
        <v>9215</v>
      </c>
      <c r="B164" s="44" t="s">
        <v>9216</v>
      </c>
      <c r="C164" s="44" t="s">
        <v>9211</v>
      </c>
      <c r="D164" s="44" t="s">
        <v>8343</v>
      </c>
      <c r="E164" s="44" t="s">
        <v>8180</v>
      </c>
      <c r="F164" s="44" t="n">
        <v>246</v>
      </c>
      <c r="G164" s="44" t="str">
        <f aca="false">IF(O252&gt;=$X$12,"Foundational deep pass",IF(O252&gt;=$X$13,"Major deep pass",IF(O252&gt;=$X$14,"Targeted innovation pass",IF(O252&gt;=$X$15,"Sampling pass","Reference / defer"))))</f>
        <v>Foundational deep pass</v>
      </c>
      <c r="H164" s="44" t="n">
        <v>0</v>
      </c>
      <c r="I164" s="44" t="n">
        <v>4</v>
      </c>
      <c r="J164" s="44" t="n">
        <v>3</v>
      </c>
      <c r="K164" s="44" t="n">
        <v>30</v>
      </c>
      <c r="L164" s="44" t="s">
        <v>13432</v>
      </c>
      <c r="M164" s="44" t="s">
        <v>18070</v>
      </c>
      <c r="N164" s="44" t="s">
        <v>18071</v>
      </c>
    </row>
    <row r="165" customFormat="false" ht="15" hidden="false" customHeight="false" outlineLevel="0" collapsed="false">
      <c r="A165" s="44" t="s">
        <v>9221</v>
      </c>
      <c r="B165" s="44" t="s">
        <v>9222</v>
      </c>
      <c r="C165" s="44" t="s">
        <v>9013</v>
      </c>
      <c r="D165" s="44" t="s">
        <v>8307</v>
      </c>
      <c r="E165" s="44" t="s">
        <v>8180</v>
      </c>
      <c r="F165" s="44" t="n">
        <v>262</v>
      </c>
      <c r="G165" s="44" t="str">
        <f aca="false">IF(O268&gt;=$X$12,"Foundational deep pass",IF(O268&gt;=$X$13,"Major deep pass",IF(O268&gt;=$X$14,"Targeted innovation pass",IF(O268&gt;=$X$15,"Sampling pass","Reference / defer"))))</f>
        <v>Foundational deep pass</v>
      </c>
      <c r="H165" s="44" t="n">
        <v>0</v>
      </c>
      <c r="I165" s="44" t="n">
        <v>5</v>
      </c>
      <c r="J165" s="44" t="n">
        <v>3</v>
      </c>
      <c r="K165" s="44" t="n">
        <v>30</v>
      </c>
      <c r="L165" s="44" t="s">
        <v>13432</v>
      </c>
      <c r="M165" s="44" t="s">
        <v>18070</v>
      </c>
      <c r="N165" s="44" t="s">
        <v>18071</v>
      </c>
    </row>
    <row r="166" customFormat="false" ht="15" hidden="false" customHeight="false" outlineLevel="0" collapsed="false">
      <c r="A166" s="44" t="s">
        <v>9227</v>
      </c>
      <c r="B166" s="44" t="s">
        <v>9228</v>
      </c>
      <c r="C166" s="44" t="s">
        <v>9211</v>
      </c>
      <c r="D166" s="44" t="s">
        <v>8592</v>
      </c>
      <c r="E166" s="44" t="s">
        <v>8180</v>
      </c>
      <c r="F166" s="44" t="n">
        <v>254</v>
      </c>
      <c r="G166" s="44" t="str">
        <f aca="false">IF(O260&gt;=$X$12,"Foundational deep pass",IF(O260&gt;=$X$13,"Major deep pass",IF(O260&gt;=$X$14,"Targeted innovation pass",IF(O260&gt;=$X$15,"Sampling pass","Reference / defer"))))</f>
        <v>Foundational deep pass</v>
      </c>
      <c r="H166" s="44" t="n">
        <v>0</v>
      </c>
      <c r="I166" s="44" t="n">
        <v>5</v>
      </c>
      <c r="J166" s="44" t="n">
        <v>3</v>
      </c>
      <c r="K166" s="44" t="n">
        <v>30</v>
      </c>
      <c r="L166" s="44" t="s">
        <v>13432</v>
      </c>
      <c r="M166" s="44" t="s">
        <v>18070</v>
      </c>
      <c r="N166" s="44" t="s">
        <v>18071</v>
      </c>
    </row>
    <row r="167" customFormat="false" ht="15" hidden="false" customHeight="false" outlineLevel="0" collapsed="false">
      <c r="A167" s="44" t="s">
        <v>9233</v>
      </c>
      <c r="B167" s="44" t="s">
        <v>9234</v>
      </c>
      <c r="C167" s="44" t="s">
        <v>9013</v>
      </c>
      <c r="D167" s="44" t="s">
        <v>8592</v>
      </c>
      <c r="E167" s="44" t="s">
        <v>8180</v>
      </c>
      <c r="F167" s="44" t="n">
        <v>239</v>
      </c>
      <c r="G167" s="44" t="str">
        <f aca="false">IF(O245&gt;=$X$12,"Foundational deep pass",IF(O245&gt;=$X$13,"Major deep pass",IF(O245&gt;=$X$14,"Targeted innovation pass",IF(O245&gt;=$X$15,"Sampling pass","Reference / defer"))))</f>
        <v>Foundational deep pass</v>
      </c>
      <c r="H167" s="44" t="n">
        <v>0</v>
      </c>
      <c r="I167" s="44" t="n">
        <v>5</v>
      </c>
      <c r="J167" s="44" t="n">
        <v>4</v>
      </c>
      <c r="K167" s="44" t="n">
        <v>30</v>
      </c>
      <c r="L167" s="44" t="s">
        <v>13432</v>
      </c>
      <c r="M167" s="44" t="s">
        <v>18070</v>
      </c>
      <c r="N167" s="44" t="s">
        <v>18071</v>
      </c>
    </row>
    <row r="168" customFormat="false" ht="15" hidden="false" customHeight="false" outlineLevel="0" collapsed="false">
      <c r="A168" s="44" t="s">
        <v>9239</v>
      </c>
      <c r="B168" s="44" t="s">
        <v>9240</v>
      </c>
      <c r="C168" s="44" t="s">
        <v>9242</v>
      </c>
      <c r="D168" s="44" t="s">
        <v>8592</v>
      </c>
      <c r="E168" s="44" t="s">
        <v>8180</v>
      </c>
      <c r="F168" s="44" t="n">
        <v>255</v>
      </c>
      <c r="G168" s="44" t="str">
        <f aca="false">IF(O261&gt;=$X$12,"Foundational deep pass",IF(O261&gt;=$X$13,"Major deep pass",IF(O261&gt;=$X$14,"Targeted innovation pass",IF(O261&gt;=$X$15,"Sampling pass","Reference / defer"))))</f>
        <v>Foundational deep pass</v>
      </c>
      <c r="H168" s="44" t="n">
        <v>0</v>
      </c>
      <c r="I168" s="44" t="n">
        <v>4</v>
      </c>
      <c r="J168" s="44" t="n">
        <v>3</v>
      </c>
      <c r="K168" s="44" t="n">
        <v>30</v>
      </c>
      <c r="L168" s="44" t="s">
        <v>13432</v>
      </c>
      <c r="M168" s="44" t="s">
        <v>18070</v>
      </c>
      <c r="N168" s="44" t="s">
        <v>18071</v>
      </c>
    </row>
    <row r="169" customFormat="false" ht="15" hidden="false" customHeight="false" outlineLevel="0" collapsed="false">
      <c r="A169" s="44" t="s">
        <v>9246</v>
      </c>
      <c r="B169" s="44" t="s">
        <v>9247</v>
      </c>
      <c r="C169" s="44" t="s">
        <v>9000</v>
      </c>
      <c r="D169" s="44" t="s">
        <v>8226</v>
      </c>
      <c r="E169" s="44" t="s">
        <v>8080</v>
      </c>
      <c r="F169" s="44" t="n">
        <v>210</v>
      </c>
      <c r="G169" s="44" t="str">
        <f aca="false">IF(O216&gt;=$X$12,"Foundational deep pass",IF(O216&gt;=$X$13,"Major deep pass",IF(O216&gt;=$X$14,"Targeted innovation pass",IF(O216&gt;=$X$15,"Sampling pass","Reference / defer"))))</f>
        <v>Foundational deep pass</v>
      </c>
      <c r="H169" s="44" t="n">
        <v>0</v>
      </c>
      <c r="I169" s="44" t="n">
        <v>5</v>
      </c>
      <c r="J169" s="44" t="n">
        <v>3</v>
      </c>
      <c r="K169" s="44" t="n">
        <v>30</v>
      </c>
      <c r="L169" s="44" t="s">
        <v>13432</v>
      </c>
      <c r="M169" s="44" t="s">
        <v>18070</v>
      </c>
      <c r="N169" s="44" t="s">
        <v>18071</v>
      </c>
    </row>
    <row r="170" customFormat="false" ht="15" hidden="false" customHeight="false" outlineLevel="0" collapsed="false">
      <c r="A170" s="44" t="s">
        <v>9252</v>
      </c>
      <c r="B170" s="44" t="s">
        <v>9253</v>
      </c>
      <c r="C170" s="44" t="s">
        <v>9028</v>
      </c>
      <c r="D170" s="44" t="s">
        <v>8226</v>
      </c>
      <c r="E170" s="44" t="s">
        <v>8180</v>
      </c>
      <c r="F170" s="44" t="n">
        <v>244</v>
      </c>
      <c r="G170" s="44" t="str">
        <f aca="false">IF(O250&gt;=$X$12,"Foundational deep pass",IF(O250&gt;=$X$13,"Major deep pass",IF(O250&gt;=$X$14,"Targeted innovation pass",IF(O250&gt;=$X$15,"Sampling pass","Reference / defer"))))</f>
        <v>Foundational deep pass</v>
      </c>
      <c r="H170" s="44" t="n">
        <v>0</v>
      </c>
      <c r="I170" s="44" t="n">
        <v>5</v>
      </c>
      <c r="J170" s="44" t="n">
        <v>4</v>
      </c>
      <c r="K170" s="44" t="n">
        <v>30</v>
      </c>
      <c r="L170" s="44" t="s">
        <v>13432</v>
      </c>
      <c r="M170" s="44" t="s">
        <v>18070</v>
      </c>
      <c r="N170" s="44" t="s">
        <v>18071</v>
      </c>
    </row>
    <row r="171" customFormat="false" ht="15" hidden="false" customHeight="false" outlineLevel="0" collapsed="false">
      <c r="A171" s="44" t="s">
        <v>9258</v>
      </c>
      <c r="B171" s="44" t="s">
        <v>9259</v>
      </c>
      <c r="C171" s="44" t="s">
        <v>9260</v>
      </c>
      <c r="D171" s="44" t="s">
        <v>8226</v>
      </c>
      <c r="E171" s="44" t="s">
        <v>8080</v>
      </c>
      <c r="F171" s="44" t="n">
        <v>190</v>
      </c>
      <c r="G171" s="44" t="str">
        <f aca="false">IF(O196&gt;=$X$12,"Foundational deep pass",IF(O196&gt;=$X$13,"Major deep pass",IF(O196&gt;=$X$14,"Targeted innovation pass",IF(O196&gt;=$X$15,"Sampling pass","Reference / defer"))))</f>
        <v>Foundational deep pass</v>
      </c>
      <c r="H171" s="44" t="n">
        <v>0</v>
      </c>
      <c r="I171" s="44" t="n">
        <v>4</v>
      </c>
      <c r="J171" s="44" t="n">
        <v>1</v>
      </c>
      <c r="K171" s="44" t="n">
        <v>30</v>
      </c>
      <c r="L171" s="44" t="s">
        <v>13432</v>
      </c>
      <c r="M171" s="44" t="s">
        <v>18070</v>
      </c>
      <c r="N171" s="44" t="s">
        <v>18071</v>
      </c>
    </row>
    <row r="172" customFormat="false" ht="15" hidden="false" customHeight="false" outlineLevel="0" collapsed="false">
      <c r="A172" s="44" t="s">
        <v>9264</v>
      </c>
      <c r="B172" s="44" t="s">
        <v>9265</v>
      </c>
      <c r="C172" s="44" t="s">
        <v>9000</v>
      </c>
      <c r="D172" s="44" t="s">
        <v>8226</v>
      </c>
      <c r="E172" s="44" t="s">
        <v>8180</v>
      </c>
      <c r="F172" s="44" t="n">
        <v>272</v>
      </c>
      <c r="G172" s="44" t="str">
        <f aca="false">IF(O278&gt;=$X$12,"Foundational deep pass",IF(O278&gt;=$X$13,"Major deep pass",IF(O278&gt;=$X$14,"Targeted innovation pass",IF(O278&gt;=$X$15,"Sampling pass","Reference / defer"))))</f>
        <v>Foundational deep pass</v>
      </c>
      <c r="H172" s="44" t="n">
        <v>0</v>
      </c>
      <c r="I172" s="44" t="n">
        <v>5</v>
      </c>
      <c r="J172" s="44" t="n">
        <v>3</v>
      </c>
      <c r="K172" s="44" t="n">
        <v>30</v>
      </c>
      <c r="L172" s="44" t="s">
        <v>13432</v>
      </c>
      <c r="M172" s="44" t="s">
        <v>18070</v>
      </c>
      <c r="N172" s="44" t="s">
        <v>18071</v>
      </c>
    </row>
    <row r="173" customFormat="false" ht="15" hidden="false" customHeight="false" outlineLevel="0" collapsed="false">
      <c r="A173" s="44" t="s">
        <v>9270</v>
      </c>
      <c r="B173" s="44" t="s">
        <v>9271</v>
      </c>
      <c r="C173" s="44" t="s">
        <v>9000</v>
      </c>
      <c r="D173" s="44" t="s">
        <v>8226</v>
      </c>
      <c r="E173" s="44" t="s">
        <v>8180</v>
      </c>
      <c r="F173" s="44" t="n">
        <v>248</v>
      </c>
      <c r="G173" s="44" t="str">
        <f aca="false">IF(O254&gt;=$X$12,"Foundational deep pass",IF(O254&gt;=$X$13,"Major deep pass",IF(O254&gt;=$X$14,"Targeted innovation pass",IF(O254&gt;=$X$15,"Sampling pass","Reference / defer"))))</f>
        <v>Foundational deep pass</v>
      </c>
      <c r="H173" s="44" t="n">
        <v>0</v>
      </c>
      <c r="I173" s="44" t="n">
        <v>5</v>
      </c>
      <c r="J173" s="44" t="n">
        <v>3</v>
      </c>
      <c r="K173" s="44" t="n">
        <v>30</v>
      </c>
      <c r="L173" s="44" t="s">
        <v>13432</v>
      </c>
      <c r="M173" s="44" t="s">
        <v>18070</v>
      </c>
      <c r="N173" s="44" t="s">
        <v>18071</v>
      </c>
    </row>
    <row r="174" customFormat="false" ht="15" hidden="false" customHeight="false" outlineLevel="0" collapsed="false">
      <c r="A174" s="44" t="s">
        <v>9276</v>
      </c>
      <c r="B174" s="44" t="s">
        <v>9277</v>
      </c>
      <c r="C174" s="44" t="s">
        <v>9000</v>
      </c>
      <c r="D174" s="44" t="s">
        <v>8226</v>
      </c>
      <c r="E174" s="44" t="s">
        <v>8180</v>
      </c>
      <c r="F174" s="44" t="n">
        <v>241</v>
      </c>
      <c r="G174" s="44" t="str">
        <f aca="false">IF(O247&gt;=$X$12,"Foundational deep pass",IF(O247&gt;=$X$13,"Major deep pass",IF(O247&gt;=$X$14,"Targeted innovation pass",IF(O247&gt;=$X$15,"Sampling pass","Reference / defer"))))</f>
        <v>Foundational deep pass</v>
      </c>
      <c r="H174" s="44" t="n">
        <v>0</v>
      </c>
      <c r="I174" s="44" t="n">
        <v>5</v>
      </c>
      <c r="J174" s="44" t="n">
        <v>3</v>
      </c>
      <c r="K174" s="44" t="n">
        <v>30</v>
      </c>
      <c r="L174" s="44" t="s">
        <v>13432</v>
      </c>
      <c r="M174" s="44" t="s">
        <v>18070</v>
      </c>
      <c r="N174" s="44" t="s">
        <v>18071</v>
      </c>
    </row>
    <row r="175" customFormat="false" ht="15" hidden="false" customHeight="false" outlineLevel="0" collapsed="false">
      <c r="A175" s="44" t="s">
        <v>9281</v>
      </c>
      <c r="B175" s="44" t="s">
        <v>9282</v>
      </c>
      <c r="C175" s="44" t="s">
        <v>9284</v>
      </c>
      <c r="D175" s="44" t="s">
        <v>8226</v>
      </c>
      <c r="E175" s="44" t="s">
        <v>8180</v>
      </c>
      <c r="F175" s="44" t="n">
        <v>266</v>
      </c>
      <c r="G175" s="44" t="str">
        <f aca="false">IF(O272&gt;=$X$12,"Foundational deep pass",IF(O272&gt;=$X$13,"Major deep pass",IF(O272&gt;=$X$14,"Targeted innovation pass",IF(O272&gt;=$X$15,"Sampling pass","Reference / defer"))))</f>
        <v>Foundational deep pass</v>
      </c>
      <c r="H175" s="44" t="n">
        <v>0</v>
      </c>
      <c r="I175" s="44" t="n">
        <v>6</v>
      </c>
      <c r="J175" s="44" t="n">
        <v>3</v>
      </c>
      <c r="K175" s="44" t="n">
        <v>30</v>
      </c>
      <c r="L175" s="44" t="s">
        <v>13432</v>
      </c>
      <c r="M175" s="44" t="s">
        <v>18070</v>
      </c>
      <c r="N175" s="44" t="s">
        <v>18071</v>
      </c>
    </row>
    <row r="176" customFormat="false" ht="15" hidden="false" customHeight="false" outlineLevel="0" collapsed="false">
      <c r="A176" s="44" t="s">
        <v>9287</v>
      </c>
      <c r="B176" s="44" t="s">
        <v>9288</v>
      </c>
      <c r="C176" s="44" t="s">
        <v>9055</v>
      </c>
      <c r="D176" s="44" t="s">
        <v>8226</v>
      </c>
      <c r="E176" s="44" t="s">
        <v>8180</v>
      </c>
      <c r="F176" s="44" t="n">
        <v>273</v>
      </c>
      <c r="G176" s="44" t="str">
        <f aca="false">IF(O279&gt;=$X$12,"Foundational deep pass",IF(O279&gt;=$X$13,"Major deep pass",IF(O279&gt;=$X$14,"Targeted innovation pass",IF(O279&gt;=$X$15,"Sampling pass","Reference / defer"))))</f>
        <v>Foundational deep pass</v>
      </c>
      <c r="H176" s="44" t="n">
        <v>0</v>
      </c>
      <c r="I176" s="44" t="n">
        <v>5</v>
      </c>
      <c r="J176" s="44" t="n">
        <v>3</v>
      </c>
      <c r="K176" s="44" t="n">
        <v>30</v>
      </c>
      <c r="L176" s="44" t="s">
        <v>13432</v>
      </c>
      <c r="M176" s="44" t="s">
        <v>18070</v>
      </c>
      <c r="N176" s="44" t="s">
        <v>18071</v>
      </c>
    </row>
    <row r="177" customFormat="false" ht="15" hidden="false" customHeight="false" outlineLevel="0" collapsed="false">
      <c r="A177" s="44" t="s">
        <v>9293</v>
      </c>
      <c r="B177" s="44" t="s">
        <v>9294</v>
      </c>
      <c r="C177" s="44" t="s">
        <v>9035</v>
      </c>
      <c r="D177" s="44" t="s">
        <v>8226</v>
      </c>
      <c r="E177" s="44" t="s">
        <v>8080</v>
      </c>
      <c r="F177" s="44" t="n">
        <v>208</v>
      </c>
      <c r="G177" s="44" t="str">
        <f aca="false">IF(O214&gt;=$X$12,"Foundational deep pass",IF(O214&gt;=$X$13,"Major deep pass",IF(O214&gt;=$X$14,"Targeted innovation pass",IF(O214&gt;=$X$15,"Sampling pass","Reference / defer"))))</f>
        <v>Foundational deep pass</v>
      </c>
      <c r="H177" s="44" t="n">
        <v>0</v>
      </c>
      <c r="I177" s="44" t="n">
        <v>5</v>
      </c>
      <c r="J177" s="44" t="n">
        <v>4</v>
      </c>
      <c r="K177" s="44" t="n">
        <v>30</v>
      </c>
      <c r="L177" s="44" t="s">
        <v>13432</v>
      </c>
      <c r="M177" s="44" t="s">
        <v>18070</v>
      </c>
      <c r="N177" s="44" t="s">
        <v>18071</v>
      </c>
    </row>
    <row r="178" customFormat="false" ht="15" hidden="false" customHeight="false" outlineLevel="0" collapsed="false">
      <c r="A178" s="44" t="s">
        <v>9298</v>
      </c>
      <c r="B178" s="44" t="s">
        <v>9299</v>
      </c>
      <c r="C178" s="44" t="s">
        <v>9300</v>
      </c>
      <c r="D178" s="44" t="s">
        <v>8226</v>
      </c>
      <c r="E178" s="44" t="s">
        <v>8180</v>
      </c>
      <c r="F178" s="44" t="n">
        <v>245</v>
      </c>
      <c r="G178" s="44" t="str">
        <f aca="false">IF(O251&gt;=$X$12,"Foundational deep pass",IF(O251&gt;=$X$13,"Major deep pass",IF(O251&gt;=$X$14,"Targeted innovation pass",IF(O251&gt;=$X$15,"Sampling pass","Reference / defer"))))</f>
        <v>Foundational deep pass</v>
      </c>
      <c r="H178" s="44" t="n">
        <v>0</v>
      </c>
      <c r="I178" s="44" t="n">
        <v>4</v>
      </c>
      <c r="J178" s="44" t="n">
        <v>0</v>
      </c>
      <c r="K178" s="44" t="n">
        <v>30</v>
      </c>
      <c r="L178" s="44" t="s">
        <v>13432</v>
      </c>
      <c r="M178" s="44" t="s">
        <v>18070</v>
      </c>
      <c r="N178" s="44" t="s">
        <v>18071</v>
      </c>
    </row>
    <row r="179" customFormat="false" ht="15" hidden="false" customHeight="false" outlineLevel="0" collapsed="false">
      <c r="A179" s="44" t="s">
        <v>9304</v>
      </c>
      <c r="B179" s="44" t="s">
        <v>9305</v>
      </c>
      <c r="C179" s="44" t="s">
        <v>9000</v>
      </c>
      <c r="D179" s="44" t="s">
        <v>8226</v>
      </c>
      <c r="E179" s="44" t="s">
        <v>8080</v>
      </c>
      <c r="F179" s="44" t="n">
        <v>189</v>
      </c>
      <c r="G179" s="44" t="str">
        <f aca="false">IF(O195&gt;=$X$12,"Foundational deep pass",IF(O195&gt;=$X$13,"Major deep pass",IF(O195&gt;=$X$14,"Targeted innovation pass",IF(O195&gt;=$X$15,"Sampling pass","Reference / defer"))))</f>
        <v>Foundational deep pass</v>
      </c>
      <c r="H179" s="44" t="n">
        <v>0</v>
      </c>
      <c r="I179" s="44" t="n">
        <v>5</v>
      </c>
      <c r="J179" s="44" t="n">
        <v>3</v>
      </c>
      <c r="K179" s="44" t="n">
        <v>30</v>
      </c>
      <c r="L179" s="44" t="s">
        <v>13432</v>
      </c>
      <c r="M179" s="44" t="s">
        <v>18070</v>
      </c>
      <c r="N179" s="44" t="s">
        <v>18071</v>
      </c>
    </row>
    <row r="180" customFormat="false" ht="15" hidden="false" customHeight="false" outlineLevel="0" collapsed="false">
      <c r="A180" s="44" t="s">
        <v>9309</v>
      </c>
      <c r="B180" s="44" t="s">
        <v>9310</v>
      </c>
      <c r="C180" s="44" t="s">
        <v>9000</v>
      </c>
      <c r="D180" s="44" t="s">
        <v>8226</v>
      </c>
      <c r="E180" s="44" t="s">
        <v>8180</v>
      </c>
      <c r="F180" s="44" t="n">
        <v>260</v>
      </c>
      <c r="G180" s="44" t="str">
        <f aca="false">IF(O266&gt;=$X$12,"Foundational deep pass",IF(O266&gt;=$X$13,"Major deep pass",IF(O266&gt;=$X$14,"Targeted innovation pass",IF(O266&gt;=$X$15,"Sampling pass","Reference / defer"))))</f>
        <v>Foundational deep pass</v>
      </c>
      <c r="H180" s="44" t="n">
        <v>0</v>
      </c>
      <c r="I180" s="44" t="n">
        <v>4</v>
      </c>
      <c r="J180" s="44" t="n">
        <v>2</v>
      </c>
      <c r="K180" s="44" t="n">
        <v>30</v>
      </c>
      <c r="L180" s="44" t="s">
        <v>13432</v>
      </c>
      <c r="M180" s="44" t="s">
        <v>18070</v>
      </c>
      <c r="N180" s="44" t="s">
        <v>18071</v>
      </c>
    </row>
    <row r="181" customFormat="false" ht="15" hidden="false" customHeight="false" outlineLevel="0" collapsed="false">
      <c r="A181" s="44" t="s">
        <v>9314</v>
      </c>
      <c r="B181" s="44" t="s">
        <v>9315</v>
      </c>
      <c r="C181" s="44" t="s">
        <v>8984</v>
      </c>
      <c r="D181" s="44" t="s">
        <v>8226</v>
      </c>
      <c r="E181" s="44" t="s">
        <v>8180</v>
      </c>
      <c r="F181" s="44" t="n">
        <v>268</v>
      </c>
      <c r="G181" s="44" t="str">
        <f aca="false">IF(O274&gt;=$X$12,"Foundational deep pass",IF(O274&gt;=$X$13,"Major deep pass",IF(O274&gt;=$X$14,"Targeted innovation pass",IF(O274&gt;=$X$15,"Sampling pass","Reference / defer"))))</f>
        <v>Foundational deep pass</v>
      </c>
      <c r="H181" s="44" t="n">
        <v>0</v>
      </c>
      <c r="I181" s="44" t="n">
        <v>4</v>
      </c>
      <c r="J181" s="44" t="n">
        <v>1</v>
      </c>
      <c r="K181" s="44" t="n">
        <v>30</v>
      </c>
      <c r="L181" s="44" t="s">
        <v>13432</v>
      </c>
      <c r="M181" s="44" t="s">
        <v>18070</v>
      </c>
      <c r="N181" s="44" t="s">
        <v>18071</v>
      </c>
    </row>
    <row r="182" customFormat="false" ht="15" hidden="false" customHeight="false" outlineLevel="0" collapsed="false">
      <c r="A182" s="44" t="s">
        <v>9320</v>
      </c>
      <c r="B182" s="44" t="s">
        <v>9321</v>
      </c>
      <c r="C182" s="44" t="s">
        <v>8984</v>
      </c>
      <c r="D182" s="44" t="s">
        <v>8226</v>
      </c>
      <c r="E182" s="44" t="s">
        <v>8180</v>
      </c>
      <c r="F182" s="44" t="n">
        <v>270</v>
      </c>
      <c r="G182" s="44" t="str">
        <f aca="false">IF(O276&gt;=$X$12,"Foundational deep pass",IF(O276&gt;=$X$13,"Major deep pass",IF(O276&gt;=$X$14,"Targeted innovation pass",IF(O276&gt;=$X$15,"Sampling pass","Reference / defer"))))</f>
        <v>Foundational deep pass</v>
      </c>
      <c r="H182" s="44" t="n">
        <v>0</v>
      </c>
      <c r="I182" s="44" t="n">
        <v>4</v>
      </c>
      <c r="J182" s="44" t="n">
        <v>1</v>
      </c>
      <c r="K182" s="44" t="n">
        <v>30</v>
      </c>
      <c r="L182" s="44" t="s">
        <v>13432</v>
      </c>
      <c r="M182" s="44" t="s">
        <v>18070</v>
      </c>
      <c r="N182" s="44" t="s">
        <v>18071</v>
      </c>
    </row>
    <row r="183" customFormat="false" ht="15" hidden="false" customHeight="false" outlineLevel="0" collapsed="false">
      <c r="A183" s="44" t="s">
        <v>9327</v>
      </c>
      <c r="B183" s="44" t="s">
        <v>9328</v>
      </c>
      <c r="C183" s="44" t="s">
        <v>9130</v>
      </c>
      <c r="D183" s="44" t="s">
        <v>8226</v>
      </c>
      <c r="E183" s="44" t="s">
        <v>8180</v>
      </c>
      <c r="F183" s="44" t="n">
        <v>271</v>
      </c>
      <c r="G183" s="44" t="str">
        <f aca="false">IF(O277&gt;=$X$12,"Foundational deep pass",IF(O277&gt;=$X$13,"Major deep pass",IF(O277&gt;=$X$14,"Targeted innovation pass",IF(O277&gt;=$X$15,"Sampling pass","Reference / defer"))))</f>
        <v>Foundational deep pass</v>
      </c>
      <c r="H183" s="44" t="n">
        <v>0</v>
      </c>
      <c r="I183" s="44" t="n">
        <v>5</v>
      </c>
      <c r="J183" s="44" t="n">
        <v>0</v>
      </c>
      <c r="K183" s="44" t="n">
        <v>30</v>
      </c>
      <c r="L183" s="44" t="s">
        <v>13432</v>
      </c>
      <c r="M183" s="44" t="s">
        <v>18070</v>
      </c>
      <c r="N183" s="44" t="s">
        <v>18071</v>
      </c>
    </row>
    <row r="184" customFormat="false" ht="15" hidden="false" customHeight="false" outlineLevel="0" collapsed="false">
      <c r="A184" s="44" t="s">
        <v>9332</v>
      </c>
      <c r="B184" s="44" t="s">
        <v>9333</v>
      </c>
      <c r="C184" s="44" t="s">
        <v>9000</v>
      </c>
      <c r="D184" s="44" t="s">
        <v>8226</v>
      </c>
      <c r="E184" s="44" t="s">
        <v>8180</v>
      </c>
      <c r="F184" s="44" t="n">
        <v>263</v>
      </c>
      <c r="G184" s="44" t="str">
        <f aca="false">IF(O269&gt;=$X$12,"Foundational deep pass",IF(O269&gt;=$X$13,"Major deep pass",IF(O269&gt;=$X$14,"Targeted innovation pass",IF(O269&gt;=$X$15,"Sampling pass","Reference / defer"))))</f>
        <v>Foundational deep pass</v>
      </c>
      <c r="H184" s="44" t="n">
        <v>0</v>
      </c>
      <c r="I184" s="44" t="n">
        <v>4</v>
      </c>
      <c r="J184" s="44" t="n">
        <v>2</v>
      </c>
      <c r="K184" s="44" t="n">
        <v>30</v>
      </c>
      <c r="L184" s="44" t="s">
        <v>13432</v>
      </c>
      <c r="M184" s="44" t="s">
        <v>18070</v>
      </c>
      <c r="N184" s="44" t="s">
        <v>18071</v>
      </c>
    </row>
    <row r="185" customFormat="false" ht="15" hidden="false" customHeight="false" outlineLevel="0" collapsed="false">
      <c r="A185" s="44" t="s">
        <v>9337</v>
      </c>
      <c r="B185" s="44" t="s">
        <v>9338</v>
      </c>
      <c r="C185" s="44" t="s">
        <v>9055</v>
      </c>
      <c r="D185" s="44" t="s">
        <v>8226</v>
      </c>
      <c r="E185" s="44" t="s">
        <v>8180</v>
      </c>
      <c r="F185" s="44" t="n">
        <v>257</v>
      </c>
      <c r="G185" s="44" t="str">
        <f aca="false">IF(O263&gt;=$X$12,"Foundational deep pass",IF(O263&gt;=$X$13,"Major deep pass",IF(O263&gt;=$X$14,"Targeted innovation pass",IF(O263&gt;=$X$15,"Sampling pass","Reference / defer"))))</f>
        <v>Foundational deep pass</v>
      </c>
      <c r="H185" s="44" t="n">
        <v>0</v>
      </c>
      <c r="I185" s="44" t="n">
        <v>5</v>
      </c>
      <c r="J185" s="44" t="n">
        <v>5</v>
      </c>
      <c r="K185" s="44" t="n">
        <v>30</v>
      </c>
      <c r="L185" s="44" t="s">
        <v>13432</v>
      </c>
      <c r="M185" s="44" t="s">
        <v>18070</v>
      </c>
      <c r="N185" s="44" t="s">
        <v>18071</v>
      </c>
    </row>
    <row r="186" customFormat="false" ht="15" hidden="false" customHeight="false" outlineLevel="0" collapsed="false">
      <c r="A186" s="44" t="s">
        <v>9342</v>
      </c>
      <c r="B186" s="44" t="s">
        <v>9343</v>
      </c>
      <c r="C186" s="44" t="s">
        <v>9000</v>
      </c>
      <c r="D186" s="44" t="s">
        <v>8226</v>
      </c>
      <c r="E186" s="44" t="s">
        <v>8180</v>
      </c>
      <c r="F186" s="44" t="n">
        <v>259</v>
      </c>
      <c r="G186" s="44" t="str">
        <f aca="false">IF(O265&gt;=$X$12,"Foundational deep pass",IF(O265&gt;=$X$13,"Major deep pass",IF(O265&gt;=$X$14,"Targeted innovation pass",IF(O265&gt;=$X$15,"Sampling pass","Reference / defer"))))</f>
        <v>Foundational deep pass</v>
      </c>
      <c r="H186" s="44" t="n">
        <v>0</v>
      </c>
      <c r="I186" s="44" t="n">
        <v>5</v>
      </c>
      <c r="J186" s="44" t="n">
        <v>5</v>
      </c>
      <c r="K186" s="44" t="n">
        <v>30</v>
      </c>
      <c r="L186" s="44" t="s">
        <v>13432</v>
      </c>
      <c r="M186" s="44" t="s">
        <v>18070</v>
      </c>
      <c r="N186" s="44" t="s">
        <v>18071</v>
      </c>
    </row>
    <row r="187" customFormat="false" ht="15" hidden="false" customHeight="false" outlineLevel="0" collapsed="false">
      <c r="A187" s="44" t="s">
        <v>9348</v>
      </c>
      <c r="B187" s="44" t="s">
        <v>1112</v>
      </c>
      <c r="C187" s="44" t="s">
        <v>9055</v>
      </c>
      <c r="D187" s="44" t="s">
        <v>8226</v>
      </c>
      <c r="E187" s="44" t="s">
        <v>8080</v>
      </c>
      <c r="F187" s="44" t="n">
        <v>204</v>
      </c>
      <c r="G187" s="44" t="str">
        <f aca="false">IF(O210&gt;=$X$12,"Foundational deep pass",IF(O210&gt;=$X$13,"Major deep pass",IF(O210&gt;=$X$14,"Targeted innovation pass",IF(O210&gt;=$X$15,"Sampling pass","Reference / defer"))))</f>
        <v>Foundational deep pass</v>
      </c>
      <c r="H187" s="44" t="n">
        <v>0</v>
      </c>
      <c r="I187" s="44" t="n">
        <v>5</v>
      </c>
      <c r="J187" s="44" t="n">
        <v>4</v>
      </c>
      <c r="K187" s="44" t="n">
        <v>30</v>
      </c>
      <c r="L187" s="44" t="s">
        <v>13432</v>
      </c>
      <c r="M187" s="44" t="s">
        <v>18070</v>
      </c>
      <c r="N187" s="44" t="s">
        <v>18071</v>
      </c>
    </row>
    <row r="188" customFormat="false" ht="15" hidden="false" customHeight="false" outlineLevel="0" collapsed="false">
      <c r="A188" s="44" t="s">
        <v>9352</v>
      </c>
      <c r="B188" s="44" t="s">
        <v>9353</v>
      </c>
      <c r="C188" s="44" t="s">
        <v>9355</v>
      </c>
      <c r="D188" s="44" t="s">
        <v>8226</v>
      </c>
      <c r="E188" s="44" t="s">
        <v>8539</v>
      </c>
      <c r="F188" s="44" t="n">
        <v>277</v>
      </c>
      <c r="G188" s="44" t="str">
        <f aca="false">IF(O283&gt;=$X$12,"Foundational deep pass",IF(O283&gt;=$X$13,"Major deep pass",IF(O283&gt;=$X$14,"Targeted innovation pass",IF(O283&gt;=$X$15,"Sampling pass","Reference / defer"))))</f>
        <v>Foundational deep pass</v>
      </c>
      <c r="H188" s="44" t="n">
        <v>0</v>
      </c>
      <c r="I188" s="44" t="n">
        <v>5</v>
      </c>
      <c r="J188" s="44" t="n">
        <v>1</v>
      </c>
      <c r="K188" s="44" t="n">
        <v>30</v>
      </c>
      <c r="L188" s="44" t="s">
        <v>13432</v>
      </c>
      <c r="M188" s="44" t="s">
        <v>18070</v>
      </c>
      <c r="N188" s="44" t="s">
        <v>18071</v>
      </c>
    </row>
    <row r="189" customFormat="false" ht="15" hidden="false" customHeight="false" outlineLevel="0" collapsed="false">
      <c r="A189" s="44" t="s">
        <v>9359</v>
      </c>
      <c r="B189" s="44" t="s">
        <v>9360</v>
      </c>
      <c r="C189" s="44" t="s">
        <v>8984</v>
      </c>
      <c r="D189" s="44" t="s">
        <v>8343</v>
      </c>
      <c r="E189" s="44" t="s">
        <v>8080</v>
      </c>
      <c r="F189" s="44" t="n">
        <v>211</v>
      </c>
      <c r="G189" s="44" t="str">
        <f aca="false">IF(O217&gt;=$X$12,"Foundational deep pass",IF(O217&gt;=$X$13,"Major deep pass",IF(O217&gt;=$X$14,"Targeted innovation pass",IF(O217&gt;=$X$15,"Sampling pass","Reference / defer"))))</f>
        <v>Foundational deep pass</v>
      </c>
      <c r="H189" s="44" t="n">
        <v>0</v>
      </c>
      <c r="I189" s="44" t="n">
        <v>5</v>
      </c>
      <c r="J189" s="44" t="n">
        <v>3</v>
      </c>
      <c r="K189" s="44" t="n">
        <v>30</v>
      </c>
      <c r="L189" s="44" t="s">
        <v>13432</v>
      </c>
      <c r="M189" s="44" t="s">
        <v>18070</v>
      </c>
      <c r="N189" s="44" t="s">
        <v>18071</v>
      </c>
    </row>
    <row r="190" customFormat="false" ht="15" hidden="false" customHeight="false" outlineLevel="0" collapsed="false">
      <c r="A190" s="44" t="s">
        <v>9364</v>
      </c>
      <c r="B190" s="44" t="s">
        <v>146</v>
      </c>
      <c r="C190" s="44" t="s">
        <v>9366</v>
      </c>
      <c r="D190" s="44" t="s">
        <v>9367</v>
      </c>
      <c r="E190" s="44" t="s">
        <v>8180</v>
      </c>
      <c r="F190" s="44" t="n">
        <v>186</v>
      </c>
      <c r="G190" s="44" t="str">
        <f aca="false">IF(O192&gt;=$X$12,"Foundational deep pass",IF(O192&gt;=$X$13,"Major deep pass",IF(O192&gt;=$X$14,"Targeted innovation pass",IF(O192&gt;=$X$15,"Sampling pass","Reference / defer"))))</f>
        <v>Foundational deep pass</v>
      </c>
      <c r="H190" s="44" t="n">
        <v>19</v>
      </c>
      <c r="I190" s="44" t="n">
        <v>10</v>
      </c>
      <c r="J190" s="44" t="n">
        <v>3</v>
      </c>
      <c r="K190" s="44" t="n">
        <v>30</v>
      </c>
      <c r="L190" s="44" t="s">
        <v>18072</v>
      </c>
      <c r="M190" s="44" t="s">
        <v>18070</v>
      </c>
      <c r="N190" s="44" t="s">
        <v>18073</v>
      </c>
    </row>
    <row r="191" customFormat="false" ht="15" hidden="false" customHeight="false" outlineLevel="0" collapsed="false">
      <c r="A191" s="44" t="s">
        <v>9372</v>
      </c>
      <c r="B191" s="44" t="s">
        <v>9373</v>
      </c>
      <c r="C191" s="44" t="s">
        <v>8984</v>
      </c>
      <c r="D191" s="44" t="s">
        <v>8860</v>
      </c>
      <c r="E191" s="44" t="s">
        <v>8180</v>
      </c>
      <c r="F191" s="44" t="n">
        <v>238</v>
      </c>
      <c r="G191" s="44" t="str">
        <f aca="false">IF(O244&gt;=$X$12,"Foundational deep pass",IF(O244&gt;=$X$13,"Major deep pass",IF(O244&gt;=$X$14,"Targeted innovation pass",IF(O244&gt;=$X$15,"Sampling pass","Reference / defer"))))</f>
        <v>Foundational deep pass</v>
      </c>
      <c r="H191" s="44" t="n">
        <v>0</v>
      </c>
      <c r="I191" s="44" t="n">
        <v>5</v>
      </c>
      <c r="J191" s="44" t="n">
        <v>2</v>
      </c>
      <c r="K191" s="44" t="n">
        <v>30</v>
      </c>
      <c r="L191" s="44" t="s">
        <v>13432</v>
      </c>
      <c r="M191" s="44" t="s">
        <v>18070</v>
      </c>
      <c r="N191" s="44" t="s">
        <v>18071</v>
      </c>
    </row>
    <row r="192" customFormat="false" ht="15" hidden="false" customHeight="false" outlineLevel="0" collapsed="false">
      <c r="A192" s="44" t="s">
        <v>9378</v>
      </c>
      <c r="B192" s="44" t="s">
        <v>9379</v>
      </c>
      <c r="C192" s="44" t="s">
        <v>9077</v>
      </c>
      <c r="D192" s="44" t="s">
        <v>8343</v>
      </c>
      <c r="E192" s="44" t="s">
        <v>8080</v>
      </c>
      <c r="F192" s="44" t="n">
        <v>187</v>
      </c>
      <c r="G192" s="44" t="str">
        <f aca="false">IF(O193&gt;=$X$12,"Foundational deep pass",IF(O193&gt;=$X$13,"Major deep pass",IF(O193&gt;=$X$14,"Targeted innovation pass",IF(O193&gt;=$X$15,"Sampling pass","Reference / defer"))))</f>
        <v>Foundational deep pass</v>
      </c>
      <c r="H192" s="44" t="n">
        <v>0</v>
      </c>
      <c r="I192" s="44" t="n">
        <v>4</v>
      </c>
      <c r="J192" s="44" t="n">
        <v>3</v>
      </c>
      <c r="K192" s="44" t="n">
        <v>30</v>
      </c>
      <c r="L192" s="44" t="s">
        <v>13432</v>
      </c>
      <c r="M192" s="44" t="s">
        <v>18070</v>
      </c>
      <c r="N192" s="44" t="s">
        <v>18071</v>
      </c>
    </row>
    <row r="193" customFormat="false" ht="15" hidden="false" customHeight="false" outlineLevel="0" collapsed="false">
      <c r="A193" s="44" t="s">
        <v>9384</v>
      </c>
      <c r="B193" s="44" t="s">
        <v>9385</v>
      </c>
      <c r="C193" s="44" t="s">
        <v>9387</v>
      </c>
      <c r="D193" s="44" t="s">
        <v>8343</v>
      </c>
      <c r="E193" s="44" t="s">
        <v>8180</v>
      </c>
      <c r="F193" s="44" t="n">
        <v>264</v>
      </c>
      <c r="G193" s="44" t="str">
        <f aca="false">IF(O270&gt;=$X$12,"Foundational deep pass",IF(O270&gt;=$X$13,"Major deep pass",IF(O270&gt;=$X$14,"Targeted innovation pass",IF(O270&gt;=$X$15,"Sampling pass","Reference / defer"))))</f>
        <v>Foundational deep pass</v>
      </c>
      <c r="H193" s="44" t="n">
        <v>0</v>
      </c>
      <c r="I193" s="44" t="n">
        <v>5</v>
      </c>
      <c r="J193" s="44" t="n">
        <v>4</v>
      </c>
      <c r="K193" s="44" t="n">
        <v>30</v>
      </c>
      <c r="L193" s="44" t="s">
        <v>13432</v>
      </c>
      <c r="M193" s="44" t="s">
        <v>18070</v>
      </c>
      <c r="N193" s="44" t="s">
        <v>18071</v>
      </c>
    </row>
    <row r="194" customFormat="false" ht="15" hidden="false" customHeight="false" outlineLevel="0" collapsed="false">
      <c r="A194" s="44" t="s">
        <v>9391</v>
      </c>
      <c r="B194" s="44" t="s">
        <v>9392</v>
      </c>
      <c r="C194" s="44" t="s">
        <v>9394</v>
      </c>
      <c r="D194" s="44" t="s">
        <v>8343</v>
      </c>
      <c r="E194" s="44" t="s">
        <v>8180</v>
      </c>
      <c r="F194" s="44" t="n">
        <v>250</v>
      </c>
      <c r="G194" s="44" t="str">
        <f aca="false">IF(O256&gt;=$X$12,"Foundational deep pass",IF(O256&gt;=$X$13,"Major deep pass",IF(O256&gt;=$X$14,"Targeted innovation pass",IF(O256&gt;=$X$15,"Sampling pass","Reference / defer"))))</f>
        <v>Foundational deep pass</v>
      </c>
      <c r="H194" s="44" t="n">
        <v>0</v>
      </c>
      <c r="I194" s="44" t="n">
        <v>4</v>
      </c>
      <c r="J194" s="44" t="n">
        <v>2</v>
      </c>
      <c r="K194" s="44" t="n">
        <v>30</v>
      </c>
      <c r="L194" s="44" t="s">
        <v>13432</v>
      </c>
      <c r="M194" s="44" t="s">
        <v>18070</v>
      </c>
      <c r="N194" s="44" t="s">
        <v>18071</v>
      </c>
    </row>
    <row r="195" customFormat="false" ht="15" hidden="false" customHeight="false" outlineLevel="0" collapsed="false">
      <c r="A195" s="44" t="s">
        <v>9399</v>
      </c>
      <c r="B195" s="44" t="s">
        <v>9400</v>
      </c>
      <c r="C195" s="44" t="s">
        <v>9402</v>
      </c>
      <c r="D195" s="44" t="s">
        <v>9403</v>
      </c>
      <c r="E195" s="44" t="s">
        <v>8180</v>
      </c>
      <c r="F195" s="44" t="n">
        <v>252</v>
      </c>
      <c r="G195" s="44" t="str">
        <f aca="false">IF(O258&gt;=$X$12,"Foundational deep pass",IF(O258&gt;=$X$13,"Major deep pass",IF(O258&gt;=$X$14,"Targeted innovation pass",IF(O258&gt;=$X$15,"Sampling pass","Reference / defer"))))</f>
        <v>Foundational deep pass</v>
      </c>
      <c r="H195" s="44" t="n">
        <v>0</v>
      </c>
      <c r="I195" s="44" t="n">
        <v>6</v>
      </c>
      <c r="J195" s="44" t="n">
        <v>3</v>
      </c>
      <c r="K195" s="44" t="n">
        <v>30</v>
      </c>
      <c r="L195" s="44" t="s">
        <v>13432</v>
      </c>
      <c r="M195" s="44" t="s">
        <v>18070</v>
      </c>
      <c r="N195" s="44" t="s">
        <v>18071</v>
      </c>
    </row>
    <row r="196" customFormat="false" ht="15" hidden="false" customHeight="false" outlineLevel="0" collapsed="false">
      <c r="A196" s="44" t="s">
        <v>9407</v>
      </c>
      <c r="B196" s="44" t="s">
        <v>9408</v>
      </c>
      <c r="C196" s="44" t="s">
        <v>9410</v>
      </c>
      <c r="D196" s="44" t="s">
        <v>8226</v>
      </c>
      <c r="E196" s="44" t="s">
        <v>8080</v>
      </c>
      <c r="F196" s="44" t="n">
        <v>85</v>
      </c>
      <c r="G196" s="44" t="str">
        <f aca="false">IF(O91&gt;=$X$12,"Foundational deep pass",IF(O91&gt;=$X$13,"Major deep pass",IF(O91&gt;=$X$14,"Targeted innovation pass",IF(O91&gt;=$X$15,"Sampling pass","Reference / defer"))))</f>
        <v>Foundational deep pass</v>
      </c>
      <c r="H196" s="44" t="n">
        <v>7</v>
      </c>
      <c r="I196" s="44" t="n">
        <v>6</v>
      </c>
      <c r="J196" s="44" t="n">
        <v>3</v>
      </c>
      <c r="K196" s="44" t="n">
        <v>30</v>
      </c>
      <c r="L196" s="44" t="s">
        <v>18074</v>
      </c>
      <c r="M196" s="44" t="s">
        <v>18070</v>
      </c>
      <c r="N196" s="44" t="s">
        <v>18073</v>
      </c>
    </row>
    <row r="197" customFormat="false" ht="15" hidden="false" customHeight="false" outlineLevel="0" collapsed="false">
      <c r="A197" s="44" t="s">
        <v>9414</v>
      </c>
      <c r="B197" s="44" t="s">
        <v>9415</v>
      </c>
      <c r="C197" s="44" t="s">
        <v>9410</v>
      </c>
      <c r="D197" s="44" t="s">
        <v>8226</v>
      </c>
      <c r="E197" s="44" t="s">
        <v>8080</v>
      </c>
      <c r="F197" s="44" t="n">
        <v>139</v>
      </c>
      <c r="G197" s="44" t="str">
        <f aca="false">IF(O145&gt;=$X$12,"Foundational deep pass",IF(O145&gt;=$X$13,"Major deep pass",IF(O145&gt;=$X$14,"Targeted innovation pass",IF(O145&gt;=$X$15,"Sampling pass","Reference / defer"))))</f>
        <v>Foundational deep pass</v>
      </c>
      <c r="H197" s="44" t="n">
        <v>9</v>
      </c>
      <c r="I197" s="44" t="n">
        <v>5</v>
      </c>
      <c r="J197" s="44" t="n">
        <v>3</v>
      </c>
      <c r="K197" s="44" t="n">
        <v>30</v>
      </c>
      <c r="L197" s="44" t="s">
        <v>18074</v>
      </c>
      <c r="M197" s="44" t="s">
        <v>18070</v>
      </c>
      <c r="N197" s="44" t="s">
        <v>18073</v>
      </c>
    </row>
    <row r="198" customFormat="false" ht="15" hidden="false" customHeight="false" outlineLevel="0" collapsed="false">
      <c r="A198" s="44" t="s">
        <v>9420</v>
      </c>
      <c r="B198" s="44" t="s">
        <v>9421</v>
      </c>
      <c r="C198" s="44" t="s">
        <v>9410</v>
      </c>
      <c r="D198" s="44" t="s">
        <v>8226</v>
      </c>
      <c r="E198" s="44" t="s">
        <v>8080</v>
      </c>
      <c r="F198" s="44" t="n">
        <v>138</v>
      </c>
      <c r="G198" s="44" t="str">
        <f aca="false">IF(O144&gt;=$X$12,"Foundational deep pass",IF(O144&gt;=$X$13,"Major deep pass",IF(O144&gt;=$X$14,"Targeted innovation pass",IF(O144&gt;=$X$15,"Sampling pass","Reference / defer"))))</f>
        <v>Foundational deep pass</v>
      </c>
      <c r="H198" s="44" t="n">
        <v>10</v>
      </c>
      <c r="I198" s="44" t="n">
        <v>4</v>
      </c>
      <c r="J198" s="44" t="n">
        <v>2</v>
      </c>
      <c r="K198" s="44" t="n">
        <v>30</v>
      </c>
      <c r="L198" s="44" t="s">
        <v>18074</v>
      </c>
      <c r="M198" s="44" t="s">
        <v>18070</v>
      </c>
      <c r="N198" s="44" t="s">
        <v>18073</v>
      </c>
    </row>
    <row r="199" customFormat="false" ht="15" hidden="false" customHeight="false" outlineLevel="0" collapsed="false">
      <c r="A199" s="44" t="s">
        <v>9425</v>
      </c>
      <c r="B199" s="44" t="s">
        <v>9426</v>
      </c>
      <c r="C199" s="44" t="s">
        <v>9410</v>
      </c>
      <c r="D199" s="44" t="s">
        <v>8226</v>
      </c>
      <c r="E199" s="44" t="s">
        <v>8080</v>
      </c>
      <c r="F199" s="44" t="n">
        <v>88</v>
      </c>
      <c r="G199" s="44" t="str">
        <f aca="false">IF(O94&gt;=$X$12,"Foundational deep pass",IF(O94&gt;=$X$13,"Major deep pass",IF(O94&gt;=$X$14,"Targeted innovation pass",IF(O94&gt;=$X$15,"Sampling pass","Reference / defer"))))</f>
        <v>Foundational deep pass</v>
      </c>
      <c r="H199" s="44" t="n">
        <v>7</v>
      </c>
      <c r="I199" s="44" t="n">
        <v>5</v>
      </c>
      <c r="J199" s="44" t="n">
        <v>3</v>
      </c>
      <c r="K199" s="44" t="n">
        <v>30</v>
      </c>
      <c r="L199" s="44" t="s">
        <v>18074</v>
      </c>
      <c r="M199" s="44" t="s">
        <v>18070</v>
      </c>
      <c r="N199" s="44" t="s">
        <v>18073</v>
      </c>
    </row>
    <row r="200" customFormat="false" ht="15" hidden="false" customHeight="false" outlineLevel="0" collapsed="false">
      <c r="A200" s="44" t="s">
        <v>9431</v>
      </c>
      <c r="B200" s="44" t="s">
        <v>9432</v>
      </c>
      <c r="C200" s="44" t="s">
        <v>9410</v>
      </c>
      <c r="D200" s="44" t="s">
        <v>8226</v>
      </c>
      <c r="E200" s="44" t="s">
        <v>8080</v>
      </c>
      <c r="F200" s="44" t="n">
        <v>86</v>
      </c>
      <c r="G200" s="44" t="str">
        <f aca="false">IF(O92&gt;=$X$12,"Foundational deep pass",IF(O92&gt;=$X$13,"Major deep pass",IF(O92&gt;=$X$14,"Targeted innovation pass",IF(O92&gt;=$X$15,"Sampling pass","Reference / defer"))))</f>
        <v>Foundational deep pass</v>
      </c>
      <c r="H200" s="44" t="n">
        <v>0</v>
      </c>
      <c r="I200" s="44" t="n">
        <v>4</v>
      </c>
      <c r="J200" s="44" t="n">
        <v>3</v>
      </c>
      <c r="K200" s="44" t="n">
        <v>30</v>
      </c>
      <c r="L200" s="44" t="s">
        <v>13432</v>
      </c>
      <c r="M200" s="44" t="s">
        <v>18070</v>
      </c>
      <c r="N200" s="44" t="s">
        <v>18071</v>
      </c>
    </row>
    <row r="201" customFormat="false" ht="15" hidden="false" customHeight="false" outlineLevel="0" collapsed="false">
      <c r="A201" s="44" t="s">
        <v>9436</v>
      </c>
      <c r="B201" s="44" t="s">
        <v>9437</v>
      </c>
      <c r="C201" s="44" t="s">
        <v>9410</v>
      </c>
      <c r="D201" s="44" t="s">
        <v>8226</v>
      </c>
      <c r="E201" s="44" t="s">
        <v>8080</v>
      </c>
      <c r="F201" s="44" t="n">
        <v>92</v>
      </c>
      <c r="G201" s="44" t="str">
        <f aca="false">IF(O98&gt;=$X$12,"Foundational deep pass",IF(O98&gt;=$X$13,"Major deep pass",IF(O98&gt;=$X$14,"Targeted innovation pass",IF(O98&gt;=$X$15,"Sampling pass","Reference / defer"))))</f>
        <v>Foundational deep pass</v>
      </c>
      <c r="H201" s="44" t="n">
        <v>0</v>
      </c>
      <c r="I201" s="44" t="n">
        <v>5</v>
      </c>
      <c r="J201" s="44" t="n">
        <v>3</v>
      </c>
      <c r="K201" s="44" t="n">
        <v>30</v>
      </c>
      <c r="L201" s="44" t="s">
        <v>13432</v>
      </c>
      <c r="M201" s="44" t="s">
        <v>18070</v>
      </c>
      <c r="N201" s="44" t="s">
        <v>18071</v>
      </c>
    </row>
    <row r="202" customFormat="false" ht="15" hidden="false" customHeight="false" outlineLevel="0" collapsed="false">
      <c r="A202" s="44" t="s">
        <v>9442</v>
      </c>
      <c r="B202" s="44" t="s">
        <v>9443</v>
      </c>
      <c r="C202" s="44" t="s">
        <v>9410</v>
      </c>
      <c r="D202" s="44" t="s">
        <v>8226</v>
      </c>
      <c r="E202" s="44" t="s">
        <v>8180</v>
      </c>
      <c r="F202" s="44" t="n">
        <v>122</v>
      </c>
      <c r="G202" s="44" t="str">
        <f aca="false">IF(O128&gt;=$X$12,"Foundational deep pass",IF(O128&gt;=$X$13,"Major deep pass",IF(O128&gt;=$X$14,"Targeted innovation pass",IF(O128&gt;=$X$15,"Sampling pass","Reference / defer"))))</f>
        <v>Foundational deep pass</v>
      </c>
      <c r="H202" s="44" t="n">
        <v>0</v>
      </c>
      <c r="I202" s="44" t="n">
        <v>6</v>
      </c>
      <c r="J202" s="44" t="n">
        <v>2</v>
      </c>
      <c r="K202" s="44" t="n">
        <v>30</v>
      </c>
      <c r="L202" s="44" t="s">
        <v>13432</v>
      </c>
      <c r="M202" s="44" t="s">
        <v>18070</v>
      </c>
      <c r="N202" s="44" t="s">
        <v>18071</v>
      </c>
    </row>
    <row r="203" customFormat="false" ht="15" hidden="false" customHeight="false" outlineLevel="0" collapsed="false">
      <c r="A203" s="44" t="s">
        <v>9447</v>
      </c>
      <c r="B203" s="44" t="s">
        <v>9448</v>
      </c>
      <c r="C203" s="44" t="s">
        <v>9410</v>
      </c>
      <c r="D203" s="44" t="s">
        <v>8226</v>
      </c>
      <c r="E203" s="44" t="s">
        <v>8180</v>
      </c>
      <c r="F203" s="44" t="n">
        <v>120</v>
      </c>
      <c r="G203" s="44" t="str">
        <f aca="false">IF(O126&gt;=$X$12,"Foundational deep pass",IF(O126&gt;=$X$13,"Major deep pass",IF(O126&gt;=$X$14,"Targeted innovation pass",IF(O126&gt;=$X$15,"Sampling pass","Reference / defer"))))</f>
        <v>Foundational deep pass</v>
      </c>
      <c r="H203" s="44" t="n">
        <v>0</v>
      </c>
      <c r="I203" s="44" t="n">
        <v>6</v>
      </c>
      <c r="J203" s="44" t="n">
        <v>4</v>
      </c>
      <c r="K203" s="44" t="n">
        <v>30</v>
      </c>
      <c r="L203" s="44" t="s">
        <v>13432</v>
      </c>
      <c r="M203" s="44" t="s">
        <v>18070</v>
      </c>
      <c r="N203" s="44" t="s">
        <v>18071</v>
      </c>
    </row>
    <row r="204" customFormat="false" ht="15" hidden="false" customHeight="false" outlineLevel="0" collapsed="false">
      <c r="A204" s="44" t="s">
        <v>9452</v>
      </c>
      <c r="B204" s="44" t="s">
        <v>9453</v>
      </c>
      <c r="C204" s="44" t="s">
        <v>9410</v>
      </c>
      <c r="D204" s="44" t="s">
        <v>8226</v>
      </c>
      <c r="E204" s="44" t="s">
        <v>8180</v>
      </c>
      <c r="F204" s="44" t="n">
        <v>112</v>
      </c>
      <c r="G204" s="44" t="str">
        <f aca="false">IF(O118&gt;=$X$12,"Foundational deep pass",IF(O118&gt;=$X$13,"Major deep pass",IF(O118&gt;=$X$14,"Targeted innovation pass",IF(O118&gt;=$X$15,"Sampling pass","Reference / defer"))))</f>
        <v>Foundational deep pass</v>
      </c>
      <c r="H204" s="44" t="n">
        <v>0</v>
      </c>
      <c r="I204" s="44" t="n">
        <v>6</v>
      </c>
      <c r="J204" s="44" t="n">
        <v>2</v>
      </c>
      <c r="K204" s="44" t="n">
        <v>30</v>
      </c>
      <c r="L204" s="44" t="s">
        <v>13432</v>
      </c>
      <c r="M204" s="44" t="s">
        <v>18070</v>
      </c>
      <c r="N204" s="44" t="s">
        <v>18071</v>
      </c>
    </row>
    <row r="205" customFormat="false" ht="15" hidden="false" customHeight="false" outlineLevel="0" collapsed="false">
      <c r="A205" s="44" t="s">
        <v>9457</v>
      </c>
      <c r="B205" s="44" t="s">
        <v>9458</v>
      </c>
      <c r="C205" s="44" t="s">
        <v>9410</v>
      </c>
      <c r="D205" s="44" t="s">
        <v>8226</v>
      </c>
      <c r="E205" s="44" t="s">
        <v>8180</v>
      </c>
      <c r="F205" s="44" t="n">
        <v>124</v>
      </c>
      <c r="G205" s="44" t="str">
        <f aca="false">IF(O130&gt;=$X$12,"Foundational deep pass",IF(O130&gt;=$X$13,"Major deep pass",IF(O130&gt;=$X$14,"Targeted innovation pass",IF(O130&gt;=$X$15,"Sampling pass","Reference / defer"))))</f>
        <v>Foundational deep pass</v>
      </c>
      <c r="H205" s="44" t="n">
        <v>0</v>
      </c>
      <c r="I205" s="44" t="n">
        <v>6</v>
      </c>
      <c r="J205" s="44" t="n">
        <v>3</v>
      </c>
      <c r="K205" s="44" t="n">
        <v>30</v>
      </c>
      <c r="L205" s="44" t="s">
        <v>13432</v>
      </c>
      <c r="M205" s="44" t="s">
        <v>18070</v>
      </c>
      <c r="N205" s="44" t="s">
        <v>18071</v>
      </c>
    </row>
    <row r="206" customFormat="false" ht="15" hidden="false" customHeight="false" outlineLevel="0" collapsed="false">
      <c r="A206" s="44" t="s">
        <v>9463</v>
      </c>
      <c r="B206" s="44" t="s">
        <v>9464</v>
      </c>
      <c r="C206" s="44" t="s">
        <v>9410</v>
      </c>
      <c r="D206" s="44" t="s">
        <v>8226</v>
      </c>
      <c r="E206" s="44" t="s">
        <v>8180</v>
      </c>
      <c r="F206" s="44" t="n">
        <v>110</v>
      </c>
      <c r="G206" s="44" t="str">
        <f aca="false">IF(O116&gt;=$X$12,"Foundational deep pass",IF(O116&gt;=$X$13,"Major deep pass",IF(O116&gt;=$X$14,"Targeted innovation pass",IF(O116&gt;=$X$15,"Sampling pass","Reference / defer"))))</f>
        <v>Foundational deep pass</v>
      </c>
      <c r="H206" s="44" t="n">
        <v>0</v>
      </c>
      <c r="I206" s="44" t="n">
        <v>6</v>
      </c>
      <c r="J206" s="44" t="n">
        <v>3</v>
      </c>
      <c r="K206" s="44" t="n">
        <v>30</v>
      </c>
      <c r="L206" s="44" t="s">
        <v>13432</v>
      </c>
      <c r="M206" s="44" t="s">
        <v>18070</v>
      </c>
      <c r="N206" s="44" t="s">
        <v>18071</v>
      </c>
    </row>
    <row r="207" customFormat="false" ht="15" hidden="false" customHeight="false" outlineLevel="0" collapsed="false">
      <c r="A207" s="44" t="s">
        <v>9468</v>
      </c>
      <c r="B207" s="44" t="s">
        <v>9469</v>
      </c>
      <c r="C207" s="44" t="s">
        <v>9410</v>
      </c>
      <c r="D207" s="44" t="s">
        <v>8226</v>
      </c>
      <c r="E207" s="44" t="s">
        <v>8180</v>
      </c>
      <c r="F207" s="44" t="n">
        <v>125</v>
      </c>
      <c r="G207" s="44" t="str">
        <f aca="false">IF(O131&gt;=$X$12,"Foundational deep pass",IF(O131&gt;=$X$13,"Major deep pass",IF(O131&gt;=$X$14,"Targeted innovation pass",IF(O131&gt;=$X$15,"Sampling pass","Reference / defer"))))</f>
        <v>Foundational deep pass</v>
      </c>
      <c r="H207" s="44" t="n">
        <v>0</v>
      </c>
      <c r="I207" s="44" t="n">
        <v>6</v>
      </c>
      <c r="J207" s="44" t="n">
        <v>4</v>
      </c>
      <c r="K207" s="44" t="n">
        <v>30</v>
      </c>
      <c r="L207" s="44" t="s">
        <v>13432</v>
      </c>
      <c r="M207" s="44" t="s">
        <v>18070</v>
      </c>
      <c r="N207" s="44" t="s">
        <v>18071</v>
      </c>
    </row>
    <row r="208" customFormat="false" ht="15" hidden="false" customHeight="false" outlineLevel="0" collapsed="false">
      <c r="A208" s="44" t="s">
        <v>9474</v>
      </c>
      <c r="B208" s="44" t="s">
        <v>9475</v>
      </c>
      <c r="C208" s="44" t="s">
        <v>9410</v>
      </c>
      <c r="D208" s="44" t="s">
        <v>8226</v>
      </c>
      <c r="E208" s="44" t="s">
        <v>8080</v>
      </c>
      <c r="F208" s="44" t="n">
        <v>90</v>
      </c>
      <c r="G208" s="44" t="str">
        <f aca="false">IF(O96&gt;=$X$12,"Foundational deep pass",IF(O96&gt;=$X$13,"Major deep pass",IF(O96&gt;=$X$14,"Targeted innovation pass",IF(O96&gt;=$X$15,"Sampling pass","Reference / defer"))))</f>
        <v>Foundational deep pass</v>
      </c>
      <c r="H208" s="44" t="n">
        <v>0</v>
      </c>
      <c r="I208" s="44" t="n">
        <v>5</v>
      </c>
      <c r="J208" s="44" t="n">
        <v>4</v>
      </c>
      <c r="K208" s="44" t="n">
        <v>30</v>
      </c>
      <c r="L208" s="44" t="s">
        <v>13432</v>
      </c>
      <c r="M208" s="44" t="s">
        <v>18070</v>
      </c>
      <c r="N208" s="44" t="s">
        <v>18071</v>
      </c>
    </row>
    <row r="209" customFormat="false" ht="15" hidden="false" customHeight="false" outlineLevel="0" collapsed="false">
      <c r="A209" s="44" t="s">
        <v>9479</v>
      </c>
      <c r="B209" s="44" t="s">
        <v>9480</v>
      </c>
      <c r="C209" s="44" t="s">
        <v>9410</v>
      </c>
      <c r="D209" s="44" t="s">
        <v>8226</v>
      </c>
      <c r="E209" s="44" t="s">
        <v>8180</v>
      </c>
      <c r="F209" s="44" t="n">
        <v>136</v>
      </c>
      <c r="G209" s="44" t="str">
        <f aca="false">IF(O142&gt;=$X$12,"Foundational deep pass",IF(O142&gt;=$X$13,"Major deep pass",IF(O142&gt;=$X$14,"Targeted innovation pass",IF(O142&gt;=$X$15,"Sampling pass","Reference / defer"))))</f>
        <v>Foundational deep pass</v>
      </c>
      <c r="H209" s="44" t="n">
        <v>0</v>
      </c>
      <c r="I209" s="44" t="n">
        <v>5</v>
      </c>
      <c r="J209" s="44" t="n">
        <v>5</v>
      </c>
      <c r="K209" s="44" t="n">
        <v>30</v>
      </c>
      <c r="L209" s="44" t="s">
        <v>13432</v>
      </c>
      <c r="M209" s="44" t="s">
        <v>18070</v>
      </c>
      <c r="N209" s="44" t="s">
        <v>18071</v>
      </c>
    </row>
    <row r="210" customFormat="false" ht="15" hidden="false" customHeight="false" outlineLevel="0" collapsed="false">
      <c r="A210" s="44" t="s">
        <v>9483</v>
      </c>
      <c r="B210" s="44" t="s">
        <v>9484</v>
      </c>
      <c r="C210" s="44" t="s">
        <v>9486</v>
      </c>
      <c r="D210" s="44" t="s">
        <v>8226</v>
      </c>
      <c r="E210" s="44" t="s">
        <v>8080</v>
      </c>
      <c r="F210" s="44" t="n">
        <v>87</v>
      </c>
      <c r="G210" s="44" t="str">
        <f aca="false">IF(O93&gt;=$X$12,"Foundational deep pass",IF(O93&gt;=$X$13,"Major deep pass",IF(O93&gt;=$X$14,"Targeted innovation pass",IF(O93&gt;=$X$15,"Sampling pass","Reference / defer"))))</f>
        <v>Foundational deep pass</v>
      </c>
      <c r="H210" s="44" t="n">
        <v>0</v>
      </c>
      <c r="I210" s="44" t="n">
        <v>5</v>
      </c>
      <c r="J210" s="44" t="n">
        <v>3</v>
      </c>
      <c r="K210" s="44" t="n">
        <v>30</v>
      </c>
      <c r="L210" s="44" t="s">
        <v>13432</v>
      </c>
      <c r="M210" s="44" t="s">
        <v>18070</v>
      </c>
      <c r="N210" s="44" t="s">
        <v>18071</v>
      </c>
    </row>
    <row r="211" customFormat="false" ht="15" hidden="false" customHeight="false" outlineLevel="0" collapsed="false">
      <c r="A211" s="44" t="s">
        <v>9489</v>
      </c>
      <c r="B211" s="44" t="s">
        <v>9490</v>
      </c>
      <c r="C211" s="44" t="s">
        <v>8629</v>
      </c>
      <c r="D211" s="44" t="s">
        <v>8226</v>
      </c>
      <c r="E211" s="44" t="s">
        <v>8080</v>
      </c>
      <c r="F211" s="44" t="n">
        <v>95</v>
      </c>
      <c r="G211" s="44" t="str">
        <f aca="false">IF(O101&gt;=$X$12,"Foundational deep pass",IF(O101&gt;=$X$13,"Major deep pass",IF(O101&gt;=$X$14,"Targeted innovation pass",IF(O101&gt;=$X$15,"Sampling pass","Reference / defer"))))</f>
        <v>Foundational deep pass</v>
      </c>
      <c r="H211" s="44" t="n">
        <v>7</v>
      </c>
      <c r="I211" s="44" t="n">
        <v>5</v>
      </c>
      <c r="J211" s="44" t="n">
        <v>2</v>
      </c>
      <c r="K211" s="44" t="n">
        <v>30</v>
      </c>
      <c r="L211" s="44" t="s">
        <v>18074</v>
      </c>
      <c r="M211" s="44" t="s">
        <v>18070</v>
      </c>
      <c r="N211" s="44" t="s">
        <v>18073</v>
      </c>
    </row>
    <row r="212" customFormat="false" ht="15" hidden="false" customHeight="false" outlineLevel="0" collapsed="false">
      <c r="A212" s="44" t="s">
        <v>9495</v>
      </c>
      <c r="B212" s="44" t="s">
        <v>9496</v>
      </c>
      <c r="C212" s="44" t="s">
        <v>9498</v>
      </c>
      <c r="D212" s="44" t="s">
        <v>8226</v>
      </c>
      <c r="E212" s="44" t="s">
        <v>8080</v>
      </c>
      <c r="F212" s="44" t="n">
        <v>96</v>
      </c>
      <c r="G212" s="44" t="str">
        <f aca="false">IF(O102&gt;=$X$12,"Foundational deep pass",IF(O102&gt;=$X$13,"Major deep pass",IF(O102&gt;=$X$14,"Targeted innovation pass",IF(O102&gt;=$X$15,"Sampling pass","Reference / defer"))))</f>
        <v>Foundational deep pass</v>
      </c>
      <c r="H212" s="44" t="n">
        <v>0</v>
      </c>
      <c r="I212" s="44" t="n">
        <v>5</v>
      </c>
      <c r="J212" s="44" t="n">
        <v>4</v>
      </c>
      <c r="K212" s="44" t="n">
        <v>30</v>
      </c>
      <c r="L212" s="44" t="s">
        <v>13432</v>
      </c>
      <c r="M212" s="44" t="s">
        <v>18070</v>
      </c>
      <c r="N212" s="44" t="s">
        <v>18071</v>
      </c>
    </row>
    <row r="213" customFormat="false" ht="15" hidden="false" customHeight="false" outlineLevel="0" collapsed="false">
      <c r="A213" s="44" t="s">
        <v>9502</v>
      </c>
      <c r="B213" s="44" t="s">
        <v>9503</v>
      </c>
      <c r="C213" s="44" t="s">
        <v>9505</v>
      </c>
      <c r="D213" s="44" t="s">
        <v>8226</v>
      </c>
      <c r="E213" s="44" t="s">
        <v>8080</v>
      </c>
      <c r="F213" s="44" t="n">
        <v>100</v>
      </c>
      <c r="G213" s="44" t="str">
        <f aca="false">IF(O106&gt;=$X$12,"Foundational deep pass",IF(O106&gt;=$X$13,"Major deep pass",IF(O106&gt;=$X$14,"Targeted innovation pass",IF(O106&gt;=$X$15,"Sampling pass","Reference / defer"))))</f>
        <v>Foundational deep pass</v>
      </c>
      <c r="H213" s="44" t="n">
        <v>0</v>
      </c>
      <c r="I213" s="44" t="n">
        <v>6</v>
      </c>
      <c r="J213" s="44" t="n">
        <v>4</v>
      </c>
      <c r="K213" s="44" t="n">
        <v>30</v>
      </c>
      <c r="L213" s="44" t="s">
        <v>13432</v>
      </c>
      <c r="M213" s="44" t="s">
        <v>18070</v>
      </c>
      <c r="N213" s="44" t="s">
        <v>18071</v>
      </c>
    </row>
    <row r="214" customFormat="false" ht="15" hidden="false" customHeight="false" outlineLevel="0" collapsed="false">
      <c r="A214" s="44" t="s">
        <v>9509</v>
      </c>
      <c r="B214" s="44" t="s">
        <v>9510</v>
      </c>
      <c r="C214" s="44" t="s">
        <v>9498</v>
      </c>
      <c r="D214" s="44" t="s">
        <v>8226</v>
      </c>
      <c r="E214" s="44" t="s">
        <v>8180</v>
      </c>
      <c r="F214" s="44" t="n">
        <v>132</v>
      </c>
      <c r="G214" s="44" t="str">
        <f aca="false">IF(O138&gt;=$X$12,"Foundational deep pass",IF(O138&gt;=$X$13,"Major deep pass",IF(O138&gt;=$X$14,"Targeted innovation pass",IF(O138&gt;=$X$15,"Sampling pass","Reference / defer"))))</f>
        <v>Foundational deep pass</v>
      </c>
      <c r="H214" s="44" t="n">
        <v>0</v>
      </c>
      <c r="I214" s="44" t="n">
        <v>5</v>
      </c>
      <c r="J214" s="44" t="n">
        <v>2</v>
      </c>
      <c r="K214" s="44" t="n">
        <v>30</v>
      </c>
      <c r="L214" s="44" t="s">
        <v>13432</v>
      </c>
      <c r="M214" s="44" t="s">
        <v>18070</v>
      </c>
      <c r="N214" s="44" t="s">
        <v>18071</v>
      </c>
    </row>
    <row r="215" customFormat="false" ht="15" hidden="false" customHeight="false" outlineLevel="0" collapsed="false">
      <c r="A215" s="44" t="s">
        <v>9514</v>
      </c>
      <c r="B215" s="44" t="s">
        <v>9515</v>
      </c>
      <c r="C215" s="44" t="s">
        <v>9498</v>
      </c>
      <c r="D215" s="44" t="s">
        <v>8226</v>
      </c>
      <c r="E215" s="44" t="s">
        <v>8180</v>
      </c>
      <c r="F215" s="44" t="n">
        <v>123</v>
      </c>
      <c r="G215" s="44" t="str">
        <f aca="false">IF(O129&gt;=$X$12,"Foundational deep pass",IF(O129&gt;=$X$13,"Major deep pass",IF(O129&gt;=$X$14,"Targeted innovation pass",IF(O129&gt;=$X$15,"Sampling pass","Reference / defer"))))</f>
        <v>Foundational deep pass</v>
      </c>
      <c r="H215" s="44" t="n">
        <v>0</v>
      </c>
      <c r="I215" s="44" t="n">
        <v>6</v>
      </c>
      <c r="J215" s="44" t="n">
        <v>4</v>
      </c>
      <c r="K215" s="44" t="n">
        <v>30</v>
      </c>
      <c r="L215" s="44" t="s">
        <v>13432</v>
      </c>
      <c r="M215" s="44" t="s">
        <v>18070</v>
      </c>
      <c r="N215" s="44" t="s">
        <v>18071</v>
      </c>
    </row>
    <row r="216" customFormat="false" ht="15" hidden="false" customHeight="false" outlineLevel="0" collapsed="false">
      <c r="A216" s="44" t="s">
        <v>9519</v>
      </c>
      <c r="B216" s="44" t="s">
        <v>9520</v>
      </c>
      <c r="C216" s="44" t="s">
        <v>8629</v>
      </c>
      <c r="D216" s="44" t="s">
        <v>8226</v>
      </c>
      <c r="E216" s="44" t="s">
        <v>8080</v>
      </c>
      <c r="F216" s="44" t="n">
        <v>91</v>
      </c>
      <c r="G216" s="44" t="str">
        <f aca="false">IF(O97&gt;=$X$12,"Foundational deep pass",IF(O97&gt;=$X$13,"Major deep pass",IF(O97&gt;=$X$14,"Targeted innovation pass",IF(O97&gt;=$X$15,"Sampling pass","Reference / defer"))))</f>
        <v>Foundational deep pass</v>
      </c>
      <c r="H216" s="44" t="n">
        <v>0</v>
      </c>
      <c r="I216" s="44" t="n">
        <v>5</v>
      </c>
      <c r="J216" s="44" t="n">
        <v>2</v>
      </c>
      <c r="K216" s="44" t="n">
        <v>30</v>
      </c>
      <c r="L216" s="44" t="s">
        <v>13432</v>
      </c>
      <c r="M216" s="44" t="s">
        <v>18070</v>
      </c>
      <c r="N216" s="44" t="s">
        <v>18071</v>
      </c>
    </row>
    <row r="217" customFormat="false" ht="15" hidden="false" customHeight="false" outlineLevel="0" collapsed="false">
      <c r="A217" s="44" t="s">
        <v>9525</v>
      </c>
      <c r="B217" s="44" t="s">
        <v>9526</v>
      </c>
      <c r="C217" s="44" t="s">
        <v>8629</v>
      </c>
      <c r="D217" s="44" t="s">
        <v>8226</v>
      </c>
      <c r="E217" s="44" t="s">
        <v>8180</v>
      </c>
      <c r="F217" s="44" t="n">
        <v>129</v>
      </c>
      <c r="G217" s="44" t="str">
        <f aca="false">IF(O135&gt;=$X$12,"Foundational deep pass",IF(O135&gt;=$X$13,"Major deep pass",IF(O135&gt;=$X$14,"Targeted innovation pass",IF(O135&gt;=$X$15,"Sampling pass","Reference / defer"))))</f>
        <v>Foundational deep pass</v>
      </c>
      <c r="H217" s="44" t="n">
        <v>0</v>
      </c>
      <c r="I217" s="44" t="n">
        <v>5</v>
      </c>
      <c r="J217" s="44" t="n">
        <v>2</v>
      </c>
      <c r="K217" s="44" t="n">
        <v>30</v>
      </c>
      <c r="L217" s="44" t="s">
        <v>13432</v>
      </c>
      <c r="M217" s="44" t="s">
        <v>18070</v>
      </c>
      <c r="N217" s="44" t="s">
        <v>18071</v>
      </c>
    </row>
    <row r="218" customFormat="false" ht="15" hidden="false" customHeight="false" outlineLevel="0" collapsed="false">
      <c r="A218" s="44" t="s">
        <v>9532</v>
      </c>
      <c r="B218" s="44" t="s">
        <v>9533</v>
      </c>
      <c r="C218" s="44" t="s">
        <v>8629</v>
      </c>
      <c r="D218" s="44" t="s">
        <v>8226</v>
      </c>
      <c r="E218" s="44" t="s">
        <v>8180</v>
      </c>
      <c r="F218" s="44" t="n">
        <v>117</v>
      </c>
      <c r="G218" s="44" t="str">
        <f aca="false">IF(O123&gt;=$X$12,"Foundational deep pass",IF(O123&gt;=$X$13,"Major deep pass",IF(O123&gt;=$X$14,"Targeted innovation pass",IF(O123&gt;=$X$15,"Sampling pass","Reference / defer"))))</f>
        <v>Foundational deep pass</v>
      </c>
      <c r="H218" s="44" t="n">
        <v>0</v>
      </c>
      <c r="I218" s="44" t="n">
        <v>4</v>
      </c>
      <c r="J218" s="44" t="n">
        <v>3</v>
      </c>
      <c r="K218" s="44" t="n">
        <v>30</v>
      </c>
      <c r="L218" s="44" t="s">
        <v>13432</v>
      </c>
      <c r="M218" s="44" t="s">
        <v>18070</v>
      </c>
      <c r="N218" s="44" t="s">
        <v>18071</v>
      </c>
    </row>
    <row r="219" customFormat="false" ht="15" hidden="false" customHeight="false" outlineLevel="0" collapsed="false">
      <c r="A219" s="44" t="s">
        <v>9537</v>
      </c>
      <c r="B219" s="44" t="s">
        <v>9538</v>
      </c>
      <c r="C219" s="44" t="s">
        <v>9540</v>
      </c>
      <c r="D219" s="44" t="s">
        <v>8226</v>
      </c>
      <c r="E219" s="44" t="s">
        <v>8180</v>
      </c>
      <c r="F219" s="44" t="n">
        <v>116</v>
      </c>
      <c r="G219" s="44" t="str">
        <f aca="false">IF(O122&gt;=$X$12,"Foundational deep pass",IF(O122&gt;=$X$13,"Major deep pass",IF(O122&gt;=$X$14,"Targeted innovation pass",IF(O122&gt;=$X$15,"Sampling pass","Reference / defer"))))</f>
        <v>Foundational deep pass</v>
      </c>
      <c r="H219" s="44" t="n">
        <v>0</v>
      </c>
      <c r="I219" s="44" t="n">
        <v>4</v>
      </c>
      <c r="J219" s="44" t="n">
        <v>3</v>
      </c>
      <c r="K219" s="44" t="n">
        <v>30</v>
      </c>
      <c r="L219" s="44" t="s">
        <v>13432</v>
      </c>
      <c r="M219" s="44" t="s">
        <v>18070</v>
      </c>
      <c r="N219" s="44" t="s">
        <v>18071</v>
      </c>
    </row>
    <row r="220" customFormat="false" ht="15" hidden="false" customHeight="false" outlineLevel="0" collapsed="false">
      <c r="A220" s="44" t="s">
        <v>9543</v>
      </c>
      <c r="B220" s="44" t="s">
        <v>9544</v>
      </c>
      <c r="C220" s="44" t="s">
        <v>9410</v>
      </c>
      <c r="D220" s="44" t="s">
        <v>8226</v>
      </c>
      <c r="E220" s="44" t="s">
        <v>8080</v>
      </c>
      <c r="F220" s="44" t="n">
        <v>101</v>
      </c>
      <c r="G220" s="44" t="str">
        <f aca="false">IF(O107&gt;=$X$12,"Foundational deep pass",IF(O107&gt;=$X$13,"Major deep pass",IF(O107&gt;=$X$14,"Targeted innovation pass",IF(O107&gt;=$X$15,"Sampling pass","Reference / defer"))))</f>
        <v>Foundational deep pass</v>
      </c>
      <c r="H220" s="44" t="n">
        <v>0</v>
      </c>
      <c r="I220" s="44" t="n">
        <v>4</v>
      </c>
      <c r="J220" s="44" t="n">
        <v>3</v>
      </c>
      <c r="K220" s="44" t="n">
        <v>30</v>
      </c>
      <c r="L220" s="44" t="s">
        <v>13432</v>
      </c>
      <c r="M220" s="44" t="s">
        <v>18070</v>
      </c>
      <c r="N220" s="44" t="s">
        <v>18071</v>
      </c>
    </row>
    <row r="221" customFormat="false" ht="15" hidden="false" customHeight="false" outlineLevel="0" collapsed="false">
      <c r="A221" s="44" t="s">
        <v>9548</v>
      </c>
      <c r="B221" s="44" t="s">
        <v>9549</v>
      </c>
      <c r="C221" s="44" t="s">
        <v>9410</v>
      </c>
      <c r="D221" s="44" t="s">
        <v>8226</v>
      </c>
      <c r="E221" s="44" t="s">
        <v>8180</v>
      </c>
      <c r="F221" s="44" t="n">
        <v>126</v>
      </c>
      <c r="G221" s="44" t="str">
        <f aca="false">IF(O132&gt;=$X$12,"Foundational deep pass",IF(O132&gt;=$X$13,"Major deep pass",IF(O132&gt;=$X$14,"Targeted innovation pass",IF(O132&gt;=$X$15,"Sampling pass","Reference / defer"))))</f>
        <v>Foundational deep pass</v>
      </c>
      <c r="H221" s="44" t="n">
        <v>0</v>
      </c>
      <c r="I221" s="44" t="n">
        <v>5</v>
      </c>
      <c r="J221" s="44" t="n">
        <v>5</v>
      </c>
      <c r="K221" s="44" t="n">
        <v>30</v>
      </c>
      <c r="L221" s="44" t="s">
        <v>13432</v>
      </c>
      <c r="M221" s="44" t="s">
        <v>18070</v>
      </c>
      <c r="N221" s="44" t="s">
        <v>18071</v>
      </c>
    </row>
    <row r="222" customFormat="false" ht="15" hidden="false" customHeight="false" outlineLevel="0" collapsed="false">
      <c r="A222" s="44" t="s">
        <v>9553</v>
      </c>
      <c r="B222" s="44" t="s">
        <v>9554</v>
      </c>
      <c r="C222" s="44" t="s">
        <v>9410</v>
      </c>
      <c r="D222" s="44" t="s">
        <v>8226</v>
      </c>
      <c r="E222" s="44" t="s">
        <v>8180</v>
      </c>
      <c r="F222" s="44" t="n">
        <v>108</v>
      </c>
      <c r="G222" s="44" t="str">
        <f aca="false">IF(O114&gt;=$X$12,"Foundational deep pass",IF(O114&gt;=$X$13,"Major deep pass",IF(O114&gt;=$X$14,"Targeted innovation pass",IF(O114&gt;=$X$15,"Sampling pass","Reference / defer"))))</f>
        <v>Foundational deep pass</v>
      </c>
      <c r="H222" s="44" t="n">
        <v>0</v>
      </c>
      <c r="I222" s="44" t="n">
        <v>5</v>
      </c>
      <c r="J222" s="44" t="n">
        <v>1</v>
      </c>
      <c r="K222" s="44" t="n">
        <v>30</v>
      </c>
      <c r="L222" s="44" t="s">
        <v>13432</v>
      </c>
      <c r="M222" s="44" t="s">
        <v>18070</v>
      </c>
      <c r="N222" s="44" t="s">
        <v>18071</v>
      </c>
    </row>
    <row r="223" customFormat="false" ht="15" hidden="false" customHeight="false" outlineLevel="0" collapsed="false">
      <c r="A223" s="44" t="s">
        <v>9558</v>
      </c>
      <c r="B223" s="44" t="s">
        <v>9559</v>
      </c>
      <c r="C223" s="44" t="s">
        <v>9410</v>
      </c>
      <c r="D223" s="44" t="s">
        <v>8226</v>
      </c>
      <c r="E223" s="44" t="s">
        <v>8180</v>
      </c>
      <c r="F223" s="44" t="n">
        <v>113</v>
      </c>
      <c r="G223" s="44" t="str">
        <f aca="false">IF(O119&gt;=$X$12,"Foundational deep pass",IF(O119&gt;=$X$13,"Major deep pass",IF(O119&gt;=$X$14,"Targeted innovation pass",IF(O119&gt;=$X$15,"Sampling pass","Reference / defer"))))</f>
        <v>Foundational deep pass</v>
      </c>
      <c r="H223" s="44" t="n">
        <v>0</v>
      </c>
      <c r="I223" s="44" t="n">
        <v>5</v>
      </c>
      <c r="J223" s="44" t="n">
        <v>3</v>
      </c>
      <c r="K223" s="44" t="n">
        <v>30</v>
      </c>
      <c r="L223" s="44" t="s">
        <v>13432</v>
      </c>
      <c r="M223" s="44" t="s">
        <v>18070</v>
      </c>
      <c r="N223" s="44" t="s">
        <v>18071</v>
      </c>
    </row>
    <row r="224" customFormat="false" ht="15" hidden="false" customHeight="false" outlineLevel="0" collapsed="false">
      <c r="A224" s="44" t="s">
        <v>9563</v>
      </c>
      <c r="B224" s="44" t="s">
        <v>9564</v>
      </c>
      <c r="C224" s="44" t="s">
        <v>9410</v>
      </c>
      <c r="D224" s="44" t="s">
        <v>8226</v>
      </c>
      <c r="E224" s="44" t="s">
        <v>8080</v>
      </c>
      <c r="F224" s="44" t="n">
        <v>104</v>
      </c>
      <c r="G224" s="44" t="str">
        <f aca="false">IF(O110&gt;=$X$12,"Foundational deep pass",IF(O110&gt;=$X$13,"Major deep pass",IF(O110&gt;=$X$14,"Targeted innovation pass",IF(O110&gt;=$X$15,"Sampling pass","Reference / defer"))))</f>
        <v>Foundational deep pass</v>
      </c>
      <c r="H224" s="44" t="n">
        <v>0</v>
      </c>
      <c r="I224" s="44" t="n">
        <v>4</v>
      </c>
      <c r="J224" s="44" t="n">
        <v>0</v>
      </c>
      <c r="K224" s="44" t="n">
        <v>30</v>
      </c>
      <c r="L224" s="44" t="s">
        <v>13432</v>
      </c>
      <c r="M224" s="44" t="s">
        <v>18070</v>
      </c>
      <c r="N224" s="44" t="s">
        <v>18071</v>
      </c>
    </row>
    <row r="225" customFormat="false" ht="15" hidden="false" customHeight="false" outlineLevel="0" collapsed="false">
      <c r="A225" s="44" t="s">
        <v>9569</v>
      </c>
      <c r="B225" s="44" t="s">
        <v>9570</v>
      </c>
      <c r="C225" s="44" t="s">
        <v>8629</v>
      </c>
      <c r="D225" s="44" t="s">
        <v>8226</v>
      </c>
      <c r="E225" s="44" t="s">
        <v>8180</v>
      </c>
      <c r="F225" s="44" t="n">
        <v>130</v>
      </c>
      <c r="G225" s="44" t="str">
        <f aca="false">IF(O136&gt;=$X$12,"Foundational deep pass",IF(O136&gt;=$X$13,"Major deep pass",IF(O136&gt;=$X$14,"Targeted innovation pass",IF(O136&gt;=$X$15,"Sampling pass","Reference / defer"))))</f>
        <v>Foundational deep pass</v>
      </c>
      <c r="H225" s="44" t="n">
        <v>0</v>
      </c>
      <c r="I225" s="44" t="n">
        <v>4</v>
      </c>
      <c r="J225" s="44" t="n">
        <v>3</v>
      </c>
      <c r="K225" s="44" t="n">
        <v>30</v>
      </c>
      <c r="L225" s="44" t="s">
        <v>13432</v>
      </c>
      <c r="M225" s="44" t="s">
        <v>18070</v>
      </c>
      <c r="N225" s="44" t="s">
        <v>18071</v>
      </c>
    </row>
    <row r="226" customFormat="false" ht="15" hidden="false" customHeight="false" outlineLevel="0" collapsed="false">
      <c r="A226" s="44" t="s">
        <v>9574</v>
      </c>
      <c r="B226" s="44" t="s">
        <v>9575</v>
      </c>
      <c r="C226" s="44" t="s">
        <v>9410</v>
      </c>
      <c r="D226" s="44" t="s">
        <v>8226</v>
      </c>
      <c r="E226" s="44" t="s">
        <v>8180</v>
      </c>
      <c r="F226" s="44" t="n">
        <v>133</v>
      </c>
      <c r="G226" s="44" t="str">
        <f aca="false">IF(O139&gt;=$X$12,"Foundational deep pass",IF(O139&gt;=$X$13,"Major deep pass",IF(O139&gt;=$X$14,"Targeted innovation pass",IF(O139&gt;=$X$15,"Sampling pass","Reference / defer"))))</f>
        <v>Foundational deep pass</v>
      </c>
      <c r="H226" s="44" t="n">
        <v>0</v>
      </c>
      <c r="I226" s="44" t="n">
        <v>4</v>
      </c>
      <c r="J226" s="44" t="n">
        <v>3</v>
      </c>
      <c r="K226" s="44" t="n">
        <v>30</v>
      </c>
      <c r="L226" s="44" t="s">
        <v>13432</v>
      </c>
      <c r="M226" s="44" t="s">
        <v>18070</v>
      </c>
      <c r="N226" s="44" t="s">
        <v>18071</v>
      </c>
    </row>
    <row r="227" customFormat="false" ht="15" hidden="false" customHeight="false" outlineLevel="0" collapsed="false">
      <c r="A227" s="44" t="s">
        <v>9579</v>
      </c>
      <c r="B227" s="44" t="s">
        <v>9580</v>
      </c>
      <c r="C227" s="44" t="s">
        <v>9410</v>
      </c>
      <c r="D227" s="44" t="s">
        <v>8226</v>
      </c>
      <c r="E227" s="44" t="s">
        <v>8180</v>
      </c>
      <c r="F227" s="44" t="n">
        <v>109</v>
      </c>
      <c r="G227" s="44" t="str">
        <f aca="false">IF(O115&gt;=$X$12,"Foundational deep pass",IF(O115&gt;=$X$13,"Major deep pass",IF(O115&gt;=$X$14,"Targeted innovation pass",IF(O115&gt;=$X$15,"Sampling pass","Reference / defer"))))</f>
        <v>Foundational deep pass</v>
      </c>
      <c r="H227" s="44" t="n">
        <v>0</v>
      </c>
      <c r="I227" s="44" t="n">
        <v>6</v>
      </c>
      <c r="J227" s="44" t="n">
        <v>4</v>
      </c>
      <c r="K227" s="44" t="n">
        <v>30</v>
      </c>
      <c r="L227" s="44" t="s">
        <v>13432</v>
      </c>
      <c r="M227" s="44" t="s">
        <v>18070</v>
      </c>
      <c r="N227" s="44" t="s">
        <v>18071</v>
      </c>
    </row>
    <row r="228" customFormat="false" ht="15" hidden="false" customHeight="false" outlineLevel="0" collapsed="false">
      <c r="A228" s="44" t="s">
        <v>9584</v>
      </c>
      <c r="B228" s="44" t="s">
        <v>9585</v>
      </c>
      <c r="C228" s="44" t="s">
        <v>9410</v>
      </c>
      <c r="D228" s="44" t="s">
        <v>8226</v>
      </c>
      <c r="E228" s="44" t="s">
        <v>8180</v>
      </c>
      <c r="F228" s="44" t="n">
        <v>115</v>
      </c>
      <c r="G228" s="44" t="str">
        <f aca="false">IF(O121&gt;=$X$12,"Foundational deep pass",IF(O121&gt;=$X$13,"Major deep pass",IF(O121&gt;=$X$14,"Targeted innovation pass",IF(O121&gt;=$X$15,"Sampling pass","Reference / defer"))))</f>
        <v>Foundational deep pass</v>
      </c>
      <c r="H228" s="44" t="n">
        <v>0</v>
      </c>
      <c r="I228" s="44" t="n">
        <v>5</v>
      </c>
      <c r="J228" s="44" t="n">
        <v>3</v>
      </c>
      <c r="K228" s="44" t="n">
        <v>30</v>
      </c>
      <c r="L228" s="44" t="s">
        <v>13432</v>
      </c>
      <c r="M228" s="44" t="s">
        <v>18070</v>
      </c>
      <c r="N228" s="44" t="s">
        <v>18071</v>
      </c>
    </row>
    <row r="229" customFormat="false" ht="15" hidden="false" customHeight="false" outlineLevel="0" collapsed="false">
      <c r="A229" s="44" t="s">
        <v>9589</v>
      </c>
      <c r="B229" s="44" t="s">
        <v>9590</v>
      </c>
      <c r="C229" s="44" t="s">
        <v>9592</v>
      </c>
      <c r="D229" s="44" t="s">
        <v>8226</v>
      </c>
      <c r="E229" s="44" t="s">
        <v>8180</v>
      </c>
      <c r="F229" s="44" t="n">
        <v>134</v>
      </c>
      <c r="G229" s="44" t="str">
        <f aca="false">IF(O140&gt;=$X$12,"Foundational deep pass",IF(O140&gt;=$X$13,"Major deep pass",IF(O140&gt;=$X$14,"Targeted innovation pass",IF(O140&gt;=$X$15,"Sampling pass","Reference / defer"))))</f>
        <v>Foundational deep pass</v>
      </c>
      <c r="H229" s="44" t="n">
        <v>0</v>
      </c>
      <c r="I229" s="44" t="n">
        <v>5</v>
      </c>
      <c r="J229" s="44" t="n">
        <v>5</v>
      </c>
      <c r="K229" s="44" t="n">
        <v>30</v>
      </c>
      <c r="L229" s="44" t="s">
        <v>13432</v>
      </c>
      <c r="M229" s="44" t="s">
        <v>18070</v>
      </c>
      <c r="N229" s="44" t="s">
        <v>18071</v>
      </c>
    </row>
    <row r="230" customFormat="false" ht="15" hidden="false" customHeight="false" outlineLevel="0" collapsed="false">
      <c r="A230" s="44" t="s">
        <v>9596</v>
      </c>
      <c r="B230" s="44" t="s">
        <v>9597</v>
      </c>
      <c r="C230" s="44" t="s">
        <v>9599</v>
      </c>
      <c r="D230" s="44" t="s">
        <v>8226</v>
      </c>
      <c r="E230" s="44" t="s">
        <v>8080</v>
      </c>
      <c r="F230" s="44" t="n">
        <v>179</v>
      </c>
      <c r="G230" s="44" t="str">
        <f aca="false">IF(O185&gt;=$X$12,"Foundational deep pass",IF(O185&gt;=$X$13,"Major deep pass",IF(O185&gt;=$X$14,"Targeted innovation pass",IF(O185&gt;=$X$15,"Sampling pass","Reference / defer"))))</f>
        <v>Foundational deep pass</v>
      </c>
      <c r="H230" s="44" t="n">
        <v>0</v>
      </c>
      <c r="I230" s="44" t="n">
        <v>5</v>
      </c>
      <c r="J230" s="44" t="n">
        <v>4</v>
      </c>
      <c r="K230" s="44" t="n">
        <v>30</v>
      </c>
      <c r="L230" s="44" t="s">
        <v>13432</v>
      </c>
      <c r="M230" s="44" t="s">
        <v>18070</v>
      </c>
      <c r="N230" s="44" t="s">
        <v>18071</v>
      </c>
    </row>
    <row r="231" customFormat="false" ht="15" hidden="false" customHeight="false" outlineLevel="0" collapsed="false">
      <c r="A231" s="44" t="s">
        <v>9603</v>
      </c>
      <c r="B231" s="44" t="s">
        <v>9604</v>
      </c>
      <c r="C231" s="44" t="s">
        <v>9606</v>
      </c>
      <c r="D231" s="44" t="s">
        <v>8226</v>
      </c>
      <c r="E231" s="44" t="s">
        <v>8080</v>
      </c>
      <c r="F231" s="44" t="n">
        <v>93</v>
      </c>
      <c r="G231" s="44" t="str">
        <f aca="false">IF(O99&gt;=$X$12,"Foundational deep pass",IF(O99&gt;=$X$13,"Major deep pass",IF(O99&gt;=$X$14,"Targeted innovation pass",IF(O99&gt;=$X$15,"Sampling pass","Reference / defer"))))</f>
        <v>Foundational deep pass</v>
      </c>
      <c r="H231" s="44" t="n">
        <v>0</v>
      </c>
      <c r="I231" s="44" t="n">
        <v>5</v>
      </c>
      <c r="J231" s="44" t="n">
        <v>4</v>
      </c>
      <c r="K231" s="44" t="n">
        <v>30</v>
      </c>
      <c r="L231" s="44" t="s">
        <v>13432</v>
      </c>
      <c r="M231" s="44" t="s">
        <v>18070</v>
      </c>
      <c r="N231" s="44" t="s">
        <v>18071</v>
      </c>
    </row>
    <row r="232" customFormat="false" ht="15" hidden="false" customHeight="false" outlineLevel="0" collapsed="false">
      <c r="A232" s="44" t="s">
        <v>9611</v>
      </c>
      <c r="B232" s="44" t="s">
        <v>9612</v>
      </c>
      <c r="C232" s="44" t="s">
        <v>9599</v>
      </c>
      <c r="D232" s="44" t="s">
        <v>8226</v>
      </c>
      <c r="E232" s="44" t="s">
        <v>8080</v>
      </c>
      <c r="F232" s="44" t="n">
        <v>180</v>
      </c>
      <c r="G232" s="44" t="str">
        <f aca="false">IF(O186&gt;=$X$12,"Foundational deep pass",IF(O186&gt;=$X$13,"Major deep pass",IF(O186&gt;=$X$14,"Targeted innovation pass",IF(O186&gt;=$X$15,"Sampling pass","Reference / defer"))))</f>
        <v>Foundational deep pass</v>
      </c>
      <c r="H232" s="44" t="n">
        <v>0</v>
      </c>
      <c r="I232" s="44" t="n">
        <v>5</v>
      </c>
      <c r="J232" s="44" t="n">
        <v>4</v>
      </c>
      <c r="K232" s="44" t="n">
        <v>30</v>
      </c>
      <c r="L232" s="44" t="s">
        <v>13432</v>
      </c>
      <c r="M232" s="44" t="s">
        <v>18070</v>
      </c>
      <c r="N232" s="44" t="s">
        <v>18071</v>
      </c>
    </row>
    <row r="233" customFormat="false" ht="15" hidden="false" customHeight="false" outlineLevel="0" collapsed="false">
      <c r="A233" s="44" t="s">
        <v>9615</v>
      </c>
      <c r="B233" s="44" t="s">
        <v>9616</v>
      </c>
      <c r="C233" s="44" t="s">
        <v>9410</v>
      </c>
      <c r="D233" s="44" t="s">
        <v>8226</v>
      </c>
      <c r="E233" s="44" t="s">
        <v>8180</v>
      </c>
      <c r="F233" s="44" t="n">
        <v>114</v>
      </c>
      <c r="G233" s="44" t="str">
        <f aca="false">IF(O120&gt;=$X$12,"Foundational deep pass",IF(O120&gt;=$X$13,"Major deep pass",IF(O120&gt;=$X$14,"Targeted innovation pass",IF(O120&gt;=$X$15,"Sampling pass","Reference / defer"))))</f>
        <v>Foundational deep pass</v>
      </c>
      <c r="H233" s="44" t="n">
        <v>0</v>
      </c>
      <c r="I233" s="44" t="n">
        <v>5</v>
      </c>
      <c r="J233" s="44" t="n">
        <v>5</v>
      </c>
      <c r="K233" s="44" t="n">
        <v>30</v>
      </c>
      <c r="L233" s="44" t="s">
        <v>13432</v>
      </c>
      <c r="M233" s="44" t="s">
        <v>18070</v>
      </c>
      <c r="N233" s="44" t="s">
        <v>18071</v>
      </c>
    </row>
    <row r="234" customFormat="false" ht="15" hidden="false" customHeight="false" outlineLevel="0" collapsed="false">
      <c r="A234" s="44" t="s">
        <v>9621</v>
      </c>
      <c r="B234" s="44" t="s">
        <v>9622</v>
      </c>
      <c r="C234" s="44" t="s">
        <v>9410</v>
      </c>
      <c r="D234" s="44" t="s">
        <v>8226</v>
      </c>
      <c r="E234" s="44" t="s">
        <v>8180</v>
      </c>
      <c r="F234" s="44" t="n">
        <v>121</v>
      </c>
      <c r="G234" s="44" t="str">
        <f aca="false">IF(O127&gt;=$X$12,"Foundational deep pass",IF(O127&gt;=$X$13,"Major deep pass",IF(O127&gt;=$X$14,"Targeted innovation pass",IF(O127&gt;=$X$15,"Sampling pass","Reference / defer"))))</f>
        <v>Foundational deep pass</v>
      </c>
      <c r="H234" s="44" t="n">
        <v>0</v>
      </c>
      <c r="I234" s="44" t="n">
        <v>6</v>
      </c>
      <c r="J234" s="44" t="n">
        <v>4</v>
      </c>
      <c r="K234" s="44" t="n">
        <v>30</v>
      </c>
      <c r="L234" s="44" t="s">
        <v>13432</v>
      </c>
      <c r="M234" s="44" t="s">
        <v>18070</v>
      </c>
      <c r="N234" s="44" t="s">
        <v>18071</v>
      </c>
    </row>
    <row r="235" customFormat="false" ht="15" hidden="false" customHeight="false" outlineLevel="0" collapsed="false">
      <c r="A235" s="44" t="s">
        <v>9626</v>
      </c>
      <c r="B235" s="44" t="s">
        <v>9627</v>
      </c>
      <c r="C235" s="44" t="s">
        <v>9410</v>
      </c>
      <c r="D235" s="44" t="s">
        <v>8226</v>
      </c>
      <c r="E235" s="44" t="s">
        <v>8180</v>
      </c>
      <c r="F235" s="44" t="n">
        <v>111</v>
      </c>
      <c r="G235" s="44" t="str">
        <f aca="false">IF(O117&gt;=$X$12,"Foundational deep pass",IF(O117&gt;=$X$13,"Major deep pass",IF(O117&gt;=$X$14,"Targeted innovation pass",IF(O117&gt;=$X$15,"Sampling pass","Reference / defer"))))</f>
        <v>Foundational deep pass</v>
      </c>
      <c r="H235" s="44" t="n">
        <v>0</v>
      </c>
      <c r="I235" s="44" t="n">
        <v>5</v>
      </c>
      <c r="J235" s="44" t="n">
        <v>4</v>
      </c>
      <c r="K235" s="44" t="n">
        <v>30</v>
      </c>
      <c r="L235" s="44" t="s">
        <v>13432</v>
      </c>
      <c r="M235" s="44" t="s">
        <v>18070</v>
      </c>
      <c r="N235" s="44" t="s">
        <v>18071</v>
      </c>
    </row>
    <row r="236" customFormat="false" ht="15" hidden="false" customHeight="false" outlineLevel="0" collapsed="false">
      <c r="A236" s="44" t="s">
        <v>9631</v>
      </c>
      <c r="B236" s="44" t="s">
        <v>9632</v>
      </c>
      <c r="C236" s="44" t="s">
        <v>9634</v>
      </c>
      <c r="D236" s="44" t="s">
        <v>8592</v>
      </c>
      <c r="E236" s="44" t="s">
        <v>8080</v>
      </c>
      <c r="F236" s="44" t="n">
        <v>98</v>
      </c>
      <c r="G236" s="44" t="str">
        <f aca="false">IF(O104&gt;=$X$12,"Foundational deep pass",IF(O104&gt;=$X$13,"Major deep pass",IF(O104&gt;=$X$14,"Targeted innovation pass",IF(O104&gt;=$X$15,"Sampling pass","Reference / defer"))))</f>
        <v>Foundational deep pass</v>
      </c>
      <c r="H236" s="44" t="n">
        <v>7</v>
      </c>
      <c r="I236" s="44" t="n">
        <v>6</v>
      </c>
      <c r="J236" s="44" t="n">
        <v>2</v>
      </c>
      <c r="K236" s="44" t="n">
        <v>30</v>
      </c>
      <c r="L236" s="44" t="s">
        <v>18074</v>
      </c>
      <c r="M236" s="44" t="s">
        <v>18070</v>
      </c>
      <c r="N236" s="44" t="s">
        <v>18073</v>
      </c>
    </row>
    <row r="237" customFormat="false" ht="15" hidden="false" customHeight="false" outlineLevel="0" collapsed="false">
      <c r="A237" s="44" t="s">
        <v>9638</v>
      </c>
      <c r="B237" s="44" t="s">
        <v>9639</v>
      </c>
      <c r="C237" s="44" t="s">
        <v>9641</v>
      </c>
      <c r="D237" s="44" t="s">
        <v>8592</v>
      </c>
      <c r="E237" s="44" t="s">
        <v>8080</v>
      </c>
      <c r="F237" s="44" t="n">
        <v>94</v>
      </c>
      <c r="G237" s="44" t="str">
        <f aca="false">IF(O100&gt;=$X$12,"Foundational deep pass",IF(O100&gt;=$X$13,"Major deep pass",IF(O100&gt;=$X$14,"Targeted innovation pass",IF(O100&gt;=$X$15,"Sampling pass","Reference / defer"))))</f>
        <v>Foundational deep pass</v>
      </c>
      <c r="H237" s="44" t="n">
        <v>0</v>
      </c>
      <c r="I237" s="44" t="n">
        <v>6</v>
      </c>
      <c r="J237" s="44" t="n">
        <v>1</v>
      </c>
      <c r="K237" s="44" t="n">
        <v>30</v>
      </c>
      <c r="L237" s="44" t="s">
        <v>13432</v>
      </c>
      <c r="M237" s="44" t="s">
        <v>18070</v>
      </c>
      <c r="N237" s="44" t="s">
        <v>18071</v>
      </c>
    </row>
    <row r="238" customFormat="false" ht="15" hidden="false" customHeight="false" outlineLevel="0" collapsed="false">
      <c r="A238" s="44" t="s">
        <v>9644</v>
      </c>
      <c r="B238" s="44" t="s">
        <v>9645</v>
      </c>
      <c r="C238" s="44" t="s">
        <v>9647</v>
      </c>
      <c r="D238" s="44" t="s">
        <v>8592</v>
      </c>
      <c r="E238" s="44" t="s">
        <v>8180</v>
      </c>
      <c r="F238" s="44" t="n">
        <v>135</v>
      </c>
      <c r="G238" s="44" t="str">
        <f aca="false">IF(O141&gt;=$X$12,"Foundational deep pass",IF(O141&gt;=$X$13,"Major deep pass",IF(O141&gt;=$X$14,"Targeted innovation pass",IF(O141&gt;=$X$15,"Sampling pass","Reference / defer"))))</f>
        <v>Foundational deep pass</v>
      </c>
      <c r="H238" s="44" t="n">
        <v>0</v>
      </c>
      <c r="I238" s="44" t="n">
        <v>6</v>
      </c>
      <c r="J238" s="44" t="n">
        <v>2</v>
      </c>
      <c r="K238" s="44" t="n">
        <v>30</v>
      </c>
      <c r="L238" s="44" t="s">
        <v>13432</v>
      </c>
      <c r="M238" s="44" t="s">
        <v>18070</v>
      </c>
      <c r="N238" s="44" t="s">
        <v>18071</v>
      </c>
    </row>
    <row r="239" customFormat="false" ht="15" hidden="false" customHeight="false" outlineLevel="0" collapsed="false">
      <c r="A239" s="44" t="s">
        <v>9651</v>
      </c>
      <c r="B239" s="44" t="s">
        <v>9652</v>
      </c>
      <c r="C239" s="44" t="s">
        <v>9647</v>
      </c>
      <c r="D239" s="44" t="s">
        <v>8592</v>
      </c>
      <c r="E239" s="44" t="s">
        <v>8539</v>
      </c>
      <c r="F239" s="44" t="n">
        <v>156</v>
      </c>
      <c r="G239" s="44" t="str">
        <f aca="false">IF(O162&gt;=$X$12,"Foundational deep pass",IF(O162&gt;=$X$13,"Major deep pass",IF(O162&gt;=$X$14,"Targeted innovation pass",IF(O162&gt;=$X$15,"Sampling pass","Reference / defer"))))</f>
        <v>Foundational deep pass</v>
      </c>
      <c r="H239" s="44" t="n">
        <v>0</v>
      </c>
      <c r="I239" s="44" t="n">
        <v>5</v>
      </c>
      <c r="J239" s="44" t="n">
        <v>3</v>
      </c>
      <c r="K239" s="44" t="n">
        <v>30</v>
      </c>
      <c r="L239" s="44" t="s">
        <v>13432</v>
      </c>
      <c r="M239" s="44" t="s">
        <v>18070</v>
      </c>
      <c r="N239" s="44" t="s">
        <v>18071</v>
      </c>
    </row>
    <row r="240" customFormat="false" ht="15" hidden="false" customHeight="false" outlineLevel="0" collapsed="false">
      <c r="A240" s="44" t="s">
        <v>9656</v>
      </c>
      <c r="B240" s="44" t="s">
        <v>9657</v>
      </c>
      <c r="C240" s="44" t="s">
        <v>9659</v>
      </c>
      <c r="D240" s="44" t="s">
        <v>8205</v>
      </c>
      <c r="E240" s="44" t="s">
        <v>8180</v>
      </c>
      <c r="F240" s="44" t="n">
        <v>131</v>
      </c>
      <c r="G240" s="44" t="str">
        <f aca="false">IF(O137&gt;=$X$12,"Foundational deep pass",IF(O137&gt;=$X$13,"Major deep pass",IF(O137&gt;=$X$14,"Targeted innovation pass",IF(O137&gt;=$X$15,"Sampling pass","Reference / defer"))))</f>
        <v>Foundational deep pass</v>
      </c>
      <c r="H240" s="44" t="n">
        <v>0</v>
      </c>
      <c r="I240" s="44" t="n">
        <v>4</v>
      </c>
      <c r="J240" s="44" t="n">
        <v>3</v>
      </c>
      <c r="K240" s="44" t="n">
        <v>30</v>
      </c>
      <c r="L240" s="44" t="s">
        <v>13432</v>
      </c>
      <c r="M240" s="44" t="s">
        <v>18070</v>
      </c>
      <c r="N240" s="44" t="s">
        <v>18071</v>
      </c>
    </row>
    <row r="241" customFormat="false" ht="15" hidden="false" customHeight="false" outlineLevel="0" collapsed="false">
      <c r="A241" s="44" t="s">
        <v>9662</v>
      </c>
      <c r="B241" s="44" t="s">
        <v>9663</v>
      </c>
      <c r="C241" s="44" t="s">
        <v>9665</v>
      </c>
      <c r="D241" s="44" t="s">
        <v>8205</v>
      </c>
      <c r="E241" s="44" t="s">
        <v>8080</v>
      </c>
      <c r="F241" s="44" t="n">
        <v>99</v>
      </c>
      <c r="G241" s="44" t="str">
        <f aca="false">IF(O105&gt;=$X$12,"Foundational deep pass",IF(O105&gt;=$X$13,"Major deep pass",IF(O105&gt;=$X$14,"Targeted innovation pass",IF(O105&gt;=$X$15,"Sampling pass","Reference / defer"))))</f>
        <v>Foundational deep pass</v>
      </c>
      <c r="H241" s="44" t="n">
        <v>0</v>
      </c>
      <c r="I241" s="44" t="n">
        <v>7</v>
      </c>
      <c r="J241" s="44" t="n">
        <v>4</v>
      </c>
      <c r="K241" s="44" t="n">
        <v>30</v>
      </c>
      <c r="L241" s="44" t="s">
        <v>13432</v>
      </c>
      <c r="M241" s="44" t="s">
        <v>18070</v>
      </c>
      <c r="N241" s="44" t="s">
        <v>18071</v>
      </c>
    </row>
    <row r="242" customFormat="false" ht="15" hidden="false" customHeight="false" outlineLevel="0" collapsed="false">
      <c r="A242" s="44" t="s">
        <v>9668</v>
      </c>
      <c r="B242" s="44" t="s">
        <v>9669</v>
      </c>
      <c r="C242" s="44" t="s">
        <v>9670</v>
      </c>
      <c r="D242" s="44" t="s">
        <v>8205</v>
      </c>
      <c r="E242" s="44" t="s">
        <v>8180</v>
      </c>
      <c r="F242" s="44" t="n">
        <v>119</v>
      </c>
      <c r="G242" s="44" t="str">
        <f aca="false">IF(O125&gt;=$X$12,"Foundational deep pass",IF(O125&gt;=$X$13,"Major deep pass",IF(O125&gt;=$X$14,"Targeted innovation pass",IF(O125&gt;=$X$15,"Sampling pass","Reference / defer"))))</f>
        <v>Foundational deep pass</v>
      </c>
      <c r="H242" s="44" t="n">
        <v>0</v>
      </c>
      <c r="I242" s="44" t="n">
        <v>5</v>
      </c>
      <c r="J242" s="44" t="n">
        <v>0</v>
      </c>
      <c r="K242" s="44" t="n">
        <v>30</v>
      </c>
      <c r="L242" s="44" t="s">
        <v>13432</v>
      </c>
      <c r="M242" s="44" t="s">
        <v>18070</v>
      </c>
      <c r="N242" s="44" t="s">
        <v>18071</v>
      </c>
    </row>
    <row r="243" customFormat="false" ht="15" hidden="false" customHeight="false" outlineLevel="0" collapsed="false">
      <c r="A243" s="44" t="s">
        <v>9673</v>
      </c>
      <c r="B243" s="44" t="s">
        <v>9674</v>
      </c>
      <c r="C243" s="44" t="s">
        <v>9676</v>
      </c>
      <c r="D243" s="44" t="s">
        <v>8205</v>
      </c>
      <c r="E243" s="44" t="s">
        <v>8180</v>
      </c>
      <c r="F243" s="44" t="n">
        <v>229</v>
      </c>
      <c r="G243" s="44" t="str">
        <f aca="false">IF(O235&gt;=$X$12,"Foundational deep pass",IF(O235&gt;=$X$13,"Major deep pass",IF(O235&gt;=$X$14,"Targeted innovation pass",IF(O235&gt;=$X$15,"Sampling pass","Reference / defer"))))</f>
        <v>Foundational deep pass</v>
      </c>
      <c r="H243" s="44" t="n">
        <v>0</v>
      </c>
      <c r="I243" s="44" t="n">
        <v>4</v>
      </c>
      <c r="J243" s="44" t="n">
        <v>3</v>
      </c>
      <c r="K243" s="44" t="n">
        <v>30</v>
      </c>
      <c r="L243" s="44" t="s">
        <v>13432</v>
      </c>
      <c r="M243" s="44" t="s">
        <v>18070</v>
      </c>
      <c r="N243" s="44" t="s">
        <v>18071</v>
      </c>
    </row>
    <row r="244" customFormat="false" ht="15" hidden="false" customHeight="false" outlineLevel="0" collapsed="false">
      <c r="A244" s="44" t="s">
        <v>9681</v>
      </c>
      <c r="B244" s="44" t="s">
        <v>9682</v>
      </c>
      <c r="C244" s="44" t="s">
        <v>9540</v>
      </c>
      <c r="D244" s="44" t="s">
        <v>8226</v>
      </c>
      <c r="E244" s="44" t="s">
        <v>8539</v>
      </c>
      <c r="F244" s="44" t="n">
        <v>154</v>
      </c>
      <c r="G244" s="44" t="str">
        <f aca="false">IF(O160&gt;=$X$12,"Foundational deep pass",IF(O160&gt;=$X$13,"Major deep pass",IF(O160&gt;=$X$14,"Targeted innovation pass",IF(O160&gt;=$X$15,"Sampling pass","Reference / defer"))))</f>
        <v>Foundational deep pass</v>
      </c>
      <c r="H244" s="44" t="n">
        <v>0</v>
      </c>
      <c r="I244" s="44" t="n">
        <v>4</v>
      </c>
      <c r="J244" s="44" t="n">
        <v>1</v>
      </c>
      <c r="K244" s="44" t="n">
        <v>30</v>
      </c>
      <c r="L244" s="44" t="s">
        <v>13432</v>
      </c>
      <c r="M244" s="44" t="s">
        <v>18070</v>
      </c>
      <c r="N244" s="44" t="s">
        <v>18071</v>
      </c>
    </row>
    <row r="245" customFormat="false" ht="15" hidden="false" customHeight="false" outlineLevel="0" collapsed="false">
      <c r="A245" s="44" t="s">
        <v>9686</v>
      </c>
      <c r="B245" s="44" t="s">
        <v>9687</v>
      </c>
      <c r="C245" s="44" t="s">
        <v>8629</v>
      </c>
      <c r="D245" s="44" t="s">
        <v>8226</v>
      </c>
      <c r="E245" s="44" t="s">
        <v>8180</v>
      </c>
      <c r="F245" s="44" t="n">
        <v>107</v>
      </c>
      <c r="G245" s="44" t="str">
        <f aca="false">IF(O113&gt;=$X$12,"Foundational deep pass",IF(O113&gt;=$X$13,"Major deep pass",IF(O113&gt;=$X$14,"Targeted innovation pass",IF(O113&gt;=$X$15,"Sampling pass","Reference / defer"))))</f>
        <v>Foundational deep pass</v>
      </c>
      <c r="H245" s="44" t="n">
        <v>0</v>
      </c>
      <c r="I245" s="44" t="n">
        <v>5</v>
      </c>
      <c r="J245" s="44" t="n">
        <v>3</v>
      </c>
      <c r="K245" s="44" t="n">
        <v>30</v>
      </c>
      <c r="L245" s="44" t="s">
        <v>13432</v>
      </c>
      <c r="M245" s="44" t="s">
        <v>18070</v>
      </c>
      <c r="N245" s="44" t="s">
        <v>18071</v>
      </c>
    </row>
    <row r="246" customFormat="false" ht="15" hidden="false" customHeight="false" outlineLevel="0" collapsed="false">
      <c r="A246" s="44" t="s">
        <v>9691</v>
      </c>
      <c r="B246" s="44" t="s">
        <v>9692</v>
      </c>
      <c r="C246" s="44" t="s">
        <v>8629</v>
      </c>
      <c r="D246" s="44" t="s">
        <v>8226</v>
      </c>
      <c r="E246" s="44" t="s">
        <v>8180</v>
      </c>
      <c r="F246" s="44" t="n">
        <v>128</v>
      </c>
      <c r="G246" s="44" t="str">
        <f aca="false">IF(O134&gt;=$X$12,"Foundational deep pass",IF(O134&gt;=$X$13,"Major deep pass",IF(O134&gt;=$X$14,"Targeted innovation pass",IF(O134&gt;=$X$15,"Sampling pass","Reference / defer"))))</f>
        <v>Foundational deep pass</v>
      </c>
      <c r="H246" s="44" t="n">
        <v>0</v>
      </c>
      <c r="I246" s="44" t="n">
        <v>4</v>
      </c>
      <c r="J246" s="44" t="n">
        <v>3</v>
      </c>
      <c r="K246" s="44" t="n">
        <v>30</v>
      </c>
      <c r="L246" s="44" t="s">
        <v>13432</v>
      </c>
      <c r="M246" s="44" t="s">
        <v>18070</v>
      </c>
      <c r="N246" s="44" t="s">
        <v>18071</v>
      </c>
    </row>
    <row r="247" customFormat="false" ht="15" hidden="false" customHeight="false" outlineLevel="0" collapsed="false">
      <c r="A247" s="44" t="s">
        <v>9697</v>
      </c>
      <c r="B247" s="44" t="s">
        <v>9698</v>
      </c>
      <c r="C247" s="44" t="s">
        <v>8629</v>
      </c>
      <c r="D247" s="44" t="s">
        <v>8226</v>
      </c>
      <c r="E247" s="44" t="s">
        <v>8539</v>
      </c>
      <c r="F247" s="44" t="n">
        <v>155</v>
      </c>
      <c r="G247" s="44" t="str">
        <f aca="false">IF(O161&gt;=$X$12,"Foundational deep pass",IF(O161&gt;=$X$13,"Major deep pass",IF(O161&gt;=$X$14,"Targeted innovation pass",IF(O161&gt;=$X$15,"Sampling pass","Reference / defer"))))</f>
        <v>Foundational deep pass</v>
      </c>
      <c r="H247" s="44" t="n">
        <v>0</v>
      </c>
      <c r="I247" s="44" t="n">
        <v>4</v>
      </c>
      <c r="J247" s="44" t="n">
        <v>2</v>
      </c>
      <c r="K247" s="44" t="n">
        <v>30</v>
      </c>
      <c r="L247" s="44" t="s">
        <v>13432</v>
      </c>
      <c r="M247" s="44" t="s">
        <v>18070</v>
      </c>
      <c r="N247" s="44" t="s">
        <v>18071</v>
      </c>
    </row>
    <row r="248" customFormat="false" ht="15" hidden="false" customHeight="false" outlineLevel="0" collapsed="false">
      <c r="A248" s="44" t="s">
        <v>9702</v>
      </c>
      <c r="B248" s="44" t="s">
        <v>9703</v>
      </c>
      <c r="C248" s="44" t="s">
        <v>9705</v>
      </c>
      <c r="D248" s="44" t="s">
        <v>9706</v>
      </c>
      <c r="E248" s="44" t="s">
        <v>8080</v>
      </c>
      <c r="F248" s="44" t="n">
        <v>181</v>
      </c>
      <c r="G248" s="44" t="str">
        <f aca="false">IF(O187&gt;=$X$12,"Foundational deep pass",IF(O187&gt;=$X$13,"Major deep pass",IF(O187&gt;=$X$14,"Targeted innovation pass",IF(O187&gt;=$X$15,"Sampling pass","Reference / defer"))))</f>
        <v>Foundational deep pass</v>
      </c>
      <c r="H248" s="44" t="n">
        <v>0</v>
      </c>
      <c r="I248" s="44" t="n">
        <v>5</v>
      </c>
      <c r="J248" s="44" t="n">
        <v>3</v>
      </c>
      <c r="K248" s="44" t="n">
        <v>30</v>
      </c>
      <c r="L248" s="44" t="s">
        <v>13432</v>
      </c>
      <c r="M248" s="44" t="s">
        <v>18070</v>
      </c>
      <c r="N248" s="44" t="s">
        <v>18071</v>
      </c>
    </row>
    <row r="249" customFormat="false" ht="15" hidden="false" customHeight="false" outlineLevel="0" collapsed="false">
      <c r="A249" s="44" t="s">
        <v>9710</v>
      </c>
      <c r="B249" s="44" t="s">
        <v>9711</v>
      </c>
      <c r="C249" s="44" t="s">
        <v>9713</v>
      </c>
      <c r="D249" s="44" t="s">
        <v>8943</v>
      </c>
      <c r="E249" s="44" t="s">
        <v>8180</v>
      </c>
      <c r="F249" s="44" t="n">
        <v>226</v>
      </c>
      <c r="G249" s="44" t="str">
        <f aca="false">IF(O232&gt;=$X$12,"Foundational deep pass",IF(O232&gt;=$X$13,"Major deep pass",IF(O232&gt;=$X$14,"Targeted innovation pass",IF(O232&gt;=$X$15,"Sampling pass","Reference / defer"))))</f>
        <v>Foundational deep pass</v>
      </c>
      <c r="H249" s="44" t="n">
        <v>0</v>
      </c>
      <c r="I249" s="44" t="n">
        <v>5</v>
      </c>
      <c r="J249" s="44" t="n">
        <v>4</v>
      </c>
      <c r="K249" s="44" t="n">
        <v>30</v>
      </c>
      <c r="L249" s="44" t="s">
        <v>13432</v>
      </c>
      <c r="M249" s="44" t="s">
        <v>18070</v>
      </c>
      <c r="N249" s="44" t="s">
        <v>18071</v>
      </c>
    </row>
    <row r="250" customFormat="false" ht="15" hidden="false" customHeight="false" outlineLevel="0" collapsed="false">
      <c r="A250" s="44" t="s">
        <v>9716</v>
      </c>
      <c r="B250" s="44" t="s">
        <v>9717</v>
      </c>
      <c r="C250" s="44" t="s">
        <v>9705</v>
      </c>
      <c r="D250" s="44" t="s">
        <v>8343</v>
      </c>
      <c r="E250" s="44" t="s">
        <v>8180</v>
      </c>
      <c r="F250" s="44" t="n">
        <v>236</v>
      </c>
      <c r="G250" s="44" t="str">
        <f aca="false">IF(O242&gt;=$X$12,"Foundational deep pass",IF(O242&gt;=$X$13,"Major deep pass",IF(O242&gt;=$X$14,"Targeted innovation pass",IF(O242&gt;=$X$15,"Sampling pass","Reference / defer"))))</f>
        <v>Foundational deep pass</v>
      </c>
      <c r="H250" s="44" t="n">
        <v>0</v>
      </c>
      <c r="I250" s="44" t="n">
        <v>6</v>
      </c>
      <c r="J250" s="44" t="n">
        <v>6</v>
      </c>
      <c r="K250" s="44" t="n">
        <v>30</v>
      </c>
      <c r="L250" s="44" t="s">
        <v>13432</v>
      </c>
      <c r="M250" s="44" t="s">
        <v>18070</v>
      </c>
      <c r="N250" s="44" t="s">
        <v>18071</v>
      </c>
    </row>
    <row r="251" customFormat="false" ht="15" hidden="false" customHeight="false" outlineLevel="0" collapsed="false">
      <c r="A251" s="44" t="s">
        <v>9722</v>
      </c>
      <c r="B251" s="44" t="s">
        <v>9723</v>
      </c>
      <c r="C251" s="44" t="s">
        <v>9713</v>
      </c>
      <c r="D251" s="44" t="s">
        <v>8943</v>
      </c>
      <c r="E251" s="44" t="s">
        <v>8180</v>
      </c>
      <c r="F251" s="44" t="n">
        <v>227</v>
      </c>
      <c r="G251" s="44" t="str">
        <f aca="false">IF(O233&gt;=$X$12,"Foundational deep pass",IF(O233&gt;=$X$13,"Major deep pass",IF(O233&gt;=$X$14,"Targeted innovation pass",IF(O233&gt;=$X$15,"Sampling pass","Reference / defer"))))</f>
        <v>Foundational deep pass</v>
      </c>
      <c r="H251" s="44" t="n">
        <v>0</v>
      </c>
      <c r="I251" s="44" t="n">
        <v>6</v>
      </c>
      <c r="J251" s="44" t="n">
        <v>3</v>
      </c>
      <c r="K251" s="44" t="n">
        <v>30</v>
      </c>
      <c r="L251" s="44" t="s">
        <v>13432</v>
      </c>
      <c r="M251" s="44" t="s">
        <v>18070</v>
      </c>
      <c r="N251" s="44" t="s">
        <v>18071</v>
      </c>
    </row>
    <row r="252" customFormat="false" ht="15" hidden="false" customHeight="false" outlineLevel="0" collapsed="false">
      <c r="A252" s="44" t="s">
        <v>9729</v>
      </c>
      <c r="B252" s="44" t="s">
        <v>9730</v>
      </c>
      <c r="C252" s="44" t="s">
        <v>9713</v>
      </c>
      <c r="D252" s="44" t="s">
        <v>9732</v>
      </c>
      <c r="E252" s="44" t="s">
        <v>8180</v>
      </c>
      <c r="F252" s="44" t="n">
        <v>231</v>
      </c>
      <c r="G252" s="44" t="str">
        <f aca="false">IF(O237&gt;=$X$12,"Foundational deep pass",IF(O237&gt;=$X$13,"Major deep pass",IF(O237&gt;=$X$14,"Targeted innovation pass",IF(O237&gt;=$X$15,"Sampling pass","Reference / defer"))))</f>
        <v>Foundational deep pass</v>
      </c>
      <c r="H252" s="44" t="n">
        <v>0</v>
      </c>
      <c r="I252" s="44" t="n">
        <v>5</v>
      </c>
      <c r="J252" s="44" t="n">
        <v>3</v>
      </c>
      <c r="K252" s="44" t="n">
        <v>30</v>
      </c>
      <c r="L252" s="44" t="s">
        <v>13432</v>
      </c>
      <c r="M252" s="44" t="s">
        <v>18070</v>
      </c>
      <c r="N252" s="44" t="s">
        <v>18071</v>
      </c>
    </row>
    <row r="253" customFormat="false" ht="15" hidden="false" customHeight="false" outlineLevel="0" collapsed="false">
      <c r="A253" s="44" t="s">
        <v>9736</v>
      </c>
      <c r="B253" s="44" t="s">
        <v>9737</v>
      </c>
      <c r="C253" s="44" t="s">
        <v>9739</v>
      </c>
      <c r="D253" s="44" t="s">
        <v>8343</v>
      </c>
      <c r="E253" s="44" t="s">
        <v>8180</v>
      </c>
      <c r="F253" s="44" t="n">
        <v>81</v>
      </c>
      <c r="G253" s="44" t="str">
        <f aca="false">IF(O87&gt;=$X$12,"Foundational deep pass",IF(O87&gt;=$X$13,"Major deep pass",IF(O87&gt;=$X$14,"Targeted innovation pass",IF(O87&gt;=$X$15,"Sampling pass","Reference / defer"))))</f>
        <v>Foundational deep pass</v>
      </c>
      <c r="H253" s="44" t="n">
        <v>0</v>
      </c>
      <c r="I253" s="44" t="n">
        <v>6</v>
      </c>
      <c r="J253" s="44" t="n">
        <v>2</v>
      </c>
      <c r="K253" s="44" t="n">
        <v>30</v>
      </c>
      <c r="L253" s="44" t="s">
        <v>13432</v>
      </c>
      <c r="M253" s="44" t="s">
        <v>18070</v>
      </c>
      <c r="N253" s="44" t="s">
        <v>18071</v>
      </c>
    </row>
    <row r="254" customFormat="false" ht="15" hidden="false" customHeight="false" outlineLevel="0" collapsed="false">
      <c r="A254" s="44" t="s">
        <v>9744</v>
      </c>
      <c r="B254" s="44" t="s">
        <v>9745</v>
      </c>
      <c r="C254" s="44" t="s">
        <v>9713</v>
      </c>
      <c r="D254" s="44" t="s">
        <v>8343</v>
      </c>
      <c r="E254" s="44" t="s">
        <v>8180</v>
      </c>
      <c r="F254" s="44" t="n">
        <v>221</v>
      </c>
      <c r="G254" s="44" t="str">
        <f aca="false">IF(O227&gt;=$X$12,"Foundational deep pass",IF(O227&gt;=$X$13,"Major deep pass",IF(O227&gt;=$X$14,"Targeted innovation pass",IF(O227&gt;=$X$15,"Sampling pass","Reference / defer"))))</f>
        <v>Foundational deep pass</v>
      </c>
      <c r="H254" s="44" t="n">
        <v>0</v>
      </c>
      <c r="I254" s="44" t="n">
        <v>5</v>
      </c>
      <c r="J254" s="44" t="n">
        <v>3</v>
      </c>
      <c r="K254" s="44" t="n">
        <v>30</v>
      </c>
      <c r="L254" s="44" t="s">
        <v>13432</v>
      </c>
      <c r="M254" s="44" t="s">
        <v>18070</v>
      </c>
      <c r="N254" s="44" t="s">
        <v>18071</v>
      </c>
    </row>
    <row r="255" customFormat="false" ht="15" hidden="false" customHeight="false" outlineLevel="0" collapsed="false">
      <c r="A255" s="44" t="s">
        <v>9751</v>
      </c>
      <c r="B255" s="44" t="s">
        <v>9752</v>
      </c>
      <c r="C255" s="44" t="s">
        <v>9713</v>
      </c>
      <c r="D255" s="44" t="s">
        <v>8943</v>
      </c>
      <c r="E255" s="44" t="s">
        <v>8180</v>
      </c>
      <c r="F255" s="44" t="n">
        <v>224</v>
      </c>
      <c r="G255" s="44" t="str">
        <f aca="false">IF(O230&gt;=$X$12,"Foundational deep pass",IF(O230&gt;=$X$13,"Major deep pass",IF(O230&gt;=$X$14,"Targeted innovation pass",IF(O230&gt;=$X$15,"Sampling pass","Reference / defer"))))</f>
        <v>Foundational deep pass</v>
      </c>
      <c r="H255" s="44" t="n">
        <v>0</v>
      </c>
      <c r="I255" s="44" t="n">
        <v>6</v>
      </c>
      <c r="J255" s="44" t="n">
        <v>4</v>
      </c>
      <c r="K255" s="44" t="n">
        <v>30</v>
      </c>
      <c r="L255" s="44" t="s">
        <v>13432</v>
      </c>
      <c r="M255" s="44" t="s">
        <v>18070</v>
      </c>
      <c r="N255" s="44" t="s">
        <v>18071</v>
      </c>
    </row>
    <row r="256" customFormat="false" ht="15" hidden="false" customHeight="false" outlineLevel="0" collapsed="false">
      <c r="A256" s="44" t="s">
        <v>9757</v>
      </c>
      <c r="B256" s="44" t="s">
        <v>9758</v>
      </c>
      <c r="C256" s="44" t="s">
        <v>9760</v>
      </c>
      <c r="D256" s="44" t="s">
        <v>8343</v>
      </c>
      <c r="E256" s="44" t="s">
        <v>8180</v>
      </c>
      <c r="F256" s="44" t="n">
        <v>222</v>
      </c>
      <c r="G256" s="44" t="str">
        <f aca="false">IF(O228&gt;=$X$12,"Foundational deep pass",IF(O228&gt;=$X$13,"Major deep pass",IF(O228&gt;=$X$14,"Targeted innovation pass",IF(O228&gt;=$X$15,"Sampling pass","Reference / defer"))))</f>
        <v>Foundational deep pass</v>
      </c>
      <c r="H256" s="44" t="n">
        <v>0</v>
      </c>
      <c r="I256" s="44" t="n">
        <v>5</v>
      </c>
      <c r="J256" s="44" t="n">
        <v>4</v>
      </c>
      <c r="K256" s="44" t="n">
        <v>30</v>
      </c>
      <c r="L256" s="44" t="s">
        <v>13432</v>
      </c>
      <c r="M256" s="44" t="s">
        <v>18070</v>
      </c>
      <c r="N256" s="44" t="s">
        <v>18071</v>
      </c>
    </row>
    <row r="257" customFormat="false" ht="15" hidden="false" customHeight="false" outlineLevel="0" collapsed="false">
      <c r="A257" s="44" t="s">
        <v>9764</v>
      </c>
      <c r="B257" s="44" t="s">
        <v>9765</v>
      </c>
      <c r="C257" s="44" t="s">
        <v>9713</v>
      </c>
      <c r="D257" s="44" t="s">
        <v>9767</v>
      </c>
      <c r="E257" s="44" t="s">
        <v>8080</v>
      </c>
      <c r="F257" s="44" t="n">
        <v>178</v>
      </c>
      <c r="G257" s="44" t="str">
        <f aca="false">IF(O184&gt;=$X$12,"Foundational deep pass",IF(O184&gt;=$X$13,"Major deep pass",IF(O184&gt;=$X$14,"Targeted innovation pass",IF(O184&gt;=$X$15,"Sampling pass","Reference / defer"))))</f>
        <v>Foundational deep pass</v>
      </c>
      <c r="H257" s="44" t="n">
        <v>0</v>
      </c>
      <c r="I257" s="44" t="n">
        <v>5</v>
      </c>
      <c r="J257" s="44" t="n">
        <v>1</v>
      </c>
      <c r="K257" s="44" t="n">
        <v>30</v>
      </c>
      <c r="L257" s="44" t="s">
        <v>13432</v>
      </c>
      <c r="M257" s="44" t="s">
        <v>18070</v>
      </c>
      <c r="N257" s="44" t="s">
        <v>18071</v>
      </c>
    </row>
    <row r="258" customFormat="false" ht="15" hidden="false" customHeight="false" outlineLevel="0" collapsed="false">
      <c r="A258" s="44" t="s">
        <v>9770</v>
      </c>
      <c r="B258" s="44" t="s">
        <v>9771</v>
      </c>
      <c r="C258" s="44" t="s">
        <v>9773</v>
      </c>
      <c r="D258" s="44" t="s">
        <v>8343</v>
      </c>
      <c r="E258" s="44" t="s">
        <v>8080</v>
      </c>
      <c r="F258" s="44" t="n">
        <v>176</v>
      </c>
      <c r="G258" s="44" t="str">
        <f aca="false">IF(O182&gt;=$X$12,"Foundational deep pass",IF(O182&gt;=$X$13,"Major deep pass",IF(O182&gt;=$X$14,"Targeted innovation pass",IF(O182&gt;=$X$15,"Sampling pass","Reference / defer"))))</f>
        <v>Foundational deep pass</v>
      </c>
      <c r="H258" s="44" t="n">
        <v>0</v>
      </c>
      <c r="I258" s="44" t="n">
        <v>5</v>
      </c>
      <c r="J258" s="44" t="n">
        <v>4</v>
      </c>
      <c r="K258" s="44" t="n">
        <v>30</v>
      </c>
      <c r="L258" s="44" t="s">
        <v>13432</v>
      </c>
      <c r="M258" s="44" t="s">
        <v>18070</v>
      </c>
      <c r="N258" s="44" t="s">
        <v>18071</v>
      </c>
    </row>
    <row r="259" customFormat="false" ht="15" hidden="false" customHeight="false" outlineLevel="0" collapsed="false">
      <c r="A259" s="44" t="s">
        <v>9777</v>
      </c>
      <c r="B259" s="44" t="s">
        <v>9778</v>
      </c>
      <c r="C259" s="44" t="s">
        <v>9773</v>
      </c>
      <c r="D259" s="44" t="s">
        <v>9780</v>
      </c>
      <c r="E259" s="44" t="s">
        <v>8080</v>
      </c>
      <c r="F259" s="44" t="n">
        <v>183</v>
      </c>
      <c r="G259" s="44" t="str">
        <f aca="false">IF(O189&gt;=$X$12,"Foundational deep pass",IF(O189&gt;=$X$13,"Major deep pass",IF(O189&gt;=$X$14,"Targeted innovation pass",IF(O189&gt;=$X$15,"Sampling pass","Reference / defer"))))</f>
        <v>Foundational deep pass</v>
      </c>
      <c r="H259" s="44" t="n">
        <v>0</v>
      </c>
      <c r="I259" s="44" t="n">
        <v>6</v>
      </c>
      <c r="J259" s="44" t="n">
        <v>5</v>
      </c>
      <c r="K259" s="44" t="n">
        <v>30</v>
      </c>
      <c r="L259" s="44" t="s">
        <v>13432</v>
      </c>
      <c r="M259" s="44" t="s">
        <v>18070</v>
      </c>
      <c r="N259" s="44" t="s">
        <v>18071</v>
      </c>
    </row>
    <row r="260" customFormat="false" ht="15" hidden="false" customHeight="false" outlineLevel="0" collapsed="false">
      <c r="A260" s="44" t="s">
        <v>9784</v>
      </c>
      <c r="B260" s="44" t="s">
        <v>9785</v>
      </c>
      <c r="C260" s="44" t="s">
        <v>9773</v>
      </c>
      <c r="D260" s="44" t="s">
        <v>8343</v>
      </c>
      <c r="E260" s="44" t="s">
        <v>8180</v>
      </c>
      <c r="F260" s="44" t="n">
        <v>217</v>
      </c>
      <c r="G260" s="44" t="str">
        <f aca="false">IF(O223&gt;=$X$12,"Foundational deep pass",IF(O223&gt;=$X$13,"Major deep pass",IF(O223&gt;=$X$14,"Targeted innovation pass",IF(O223&gt;=$X$15,"Sampling pass","Reference / defer"))))</f>
        <v>Foundational deep pass</v>
      </c>
      <c r="H260" s="44" t="n">
        <v>0</v>
      </c>
      <c r="I260" s="44" t="n">
        <v>6</v>
      </c>
      <c r="J260" s="44" t="n">
        <v>5</v>
      </c>
      <c r="K260" s="44" t="n">
        <v>30</v>
      </c>
      <c r="L260" s="44" t="s">
        <v>13432</v>
      </c>
      <c r="M260" s="44" t="s">
        <v>18070</v>
      </c>
      <c r="N260" s="44" t="s">
        <v>18071</v>
      </c>
    </row>
    <row r="261" customFormat="false" ht="15" hidden="false" customHeight="false" outlineLevel="0" collapsed="false">
      <c r="A261" s="44" t="s">
        <v>9790</v>
      </c>
      <c r="B261" s="44" t="s">
        <v>9791</v>
      </c>
      <c r="C261" s="44" t="s">
        <v>9773</v>
      </c>
      <c r="D261" s="44" t="s">
        <v>8343</v>
      </c>
      <c r="E261" s="44" t="s">
        <v>8180</v>
      </c>
      <c r="F261" s="44" t="n">
        <v>232</v>
      </c>
      <c r="G261" s="44" t="str">
        <f aca="false">IF(O238&gt;=$X$12,"Foundational deep pass",IF(O238&gt;=$X$13,"Major deep pass",IF(O238&gt;=$X$14,"Targeted innovation pass",IF(O238&gt;=$X$15,"Sampling pass","Reference / defer"))))</f>
        <v>Foundational deep pass</v>
      </c>
      <c r="H261" s="44" t="n">
        <v>0</v>
      </c>
      <c r="I261" s="44" t="n">
        <v>5</v>
      </c>
      <c r="J261" s="44" t="n">
        <v>3</v>
      </c>
      <c r="K261" s="44" t="n">
        <v>30</v>
      </c>
      <c r="L261" s="44" t="s">
        <v>13432</v>
      </c>
      <c r="M261" s="44" t="s">
        <v>18070</v>
      </c>
      <c r="N261" s="44" t="s">
        <v>18071</v>
      </c>
    </row>
    <row r="262" customFormat="false" ht="15" hidden="false" customHeight="false" outlineLevel="0" collapsed="false">
      <c r="A262" s="44" t="s">
        <v>9795</v>
      </c>
      <c r="B262" s="44" t="s">
        <v>9796</v>
      </c>
      <c r="C262" s="44" t="s">
        <v>9773</v>
      </c>
      <c r="D262" s="44" t="s">
        <v>8343</v>
      </c>
      <c r="E262" s="44" t="s">
        <v>8180</v>
      </c>
      <c r="F262" s="44" t="n">
        <v>228</v>
      </c>
      <c r="G262" s="44" t="str">
        <f aca="false">IF(O234&gt;=$X$12,"Foundational deep pass",IF(O234&gt;=$X$13,"Major deep pass",IF(O234&gt;=$X$14,"Targeted innovation pass",IF(O234&gt;=$X$15,"Sampling pass","Reference / defer"))))</f>
        <v>Foundational deep pass</v>
      </c>
      <c r="H262" s="44" t="n">
        <v>0</v>
      </c>
      <c r="I262" s="44" t="n">
        <v>5</v>
      </c>
      <c r="J262" s="44" t="n">
        <v>3</v>
      </c>
      <c r="K262" s="44" t="n">
        <v>30</v>
      </c>
      <c r="L262" s="44" t="s">
        <v>13432</v>
      </c>
      <c r="M262" s="44" t="s">
        <v>18070</v>
      </c>
      <c r="N262" s="44" t="s">
        <v>18071</v>
      </c>
    </row>
    <row r="263" customFormat="false" ht="15" hidden="false" customHeight="false" outlineLevel="0" collapsed="false">
      <c r="A263" s="44" t="s">
        <v>9801</v>
      </c>
      <c r="B263" s="44" t="s">
        <v>9802</v>
      </c>
      <c r="C263" s="44" t="s">
        <v>9773</v>
      </c>
      <c r="D263" s="44" t="s">
        <v>9804</v>
      </c>
      <c r="E263" s="44" t="s">
        <v>8180</v>
      </c>
      <c r="F263" s="44" t="n">
        <v>219</v>
      </c>
      <c r="G263" s="44" t="str">
        <f aca="false">IF(O225&gt;=$X$12,"Foundational deep pass",IF(O225&gt;=$X$13,"Major deep pass",IF(O225&gt;=$X$14,"Targeted innovation pass",IF(O225&gt;=$X$15,"Sampling pass","Reference / defer"))))</f>
        <v>Foundational deep pass</v>
      </c>
      <c r="H263" s="44" t="n">
        <v>0</v>
      </c>
      <c r="I263" s="44" t="n">
        <v>5</v>
      </c>
      <c r="J263" s="44" t="n">
        <v>4</v>
      </c>
      <c r="K263" s="44" t="n">
        <v>30</v>
      </c>
      <c r="L263" s="44" t="s">
        <v>13432</v>
      </c>
      <c r="M263" s="44" t="s">
        <v>18070</v>
      </c>
      <c r="N263" s="44" t="s">
        <v>18071</v>
      </c>
    </row>
    <row r="264" customFormat="false" ht="15" hidden="false" customHeight="false" outlineLevel="0" collapsed="false">
      <c r="A264" s="44" t="s">
        <v>9808</v>
      </c>
      <c r="B264" s="44" t="s">
        <v>9809</v>
      </c>
      <c r="C264" s="44" t="s">
        <v>9773</v>
      </c>
      <c r="D264" s="44" t="s">
        <v>9811</v>
      </c>
      <c r="E264" s="44" t="s">
        <v>8080</v>
      </c>
      <c r="F264" s="44" t="n">
        <v>175</v>
      </c>
      <c r="G264" s="44" t="str">
        <f aca="false">IF(O181&gt;=$X$12,"Foundational deep pass",IF(O181&gt;=$X$13,"Major deep pass",IF(O181&gt;=$X$14,"Targeted innovation pass",IF(O181&gt;=$X$15,"Sampling pass","Reference / defer"))))</f>
        <v>Foundational deep pass</v>
      </c>
      <c r="H264" s="44" t="n">
        <v>0</v>
      </c>
      <c r="I264" s="44" t="n">
        <v>6</v>
      </c>
      <c r="J264" s="44" t="n">
        <v>4</v>
      </c>
      <c r="K264" s="44" t="n">
        <v>30</v>
      </c>
      <c r="L264" s="44" t="s">
        <v>13432</v>
      </c>
      <c r="M264" s="44" t="s">
        <v>18070</v>
      </c>
      <c r="N264" s="44" t="s">
        <v>18071</v>
      </c>
    </row>
    <row r="265" customFormat="false" ht="15" hidden="false" customHeight="false" outlineLevel="0" collapsed="false">
      <c r="A265" s="44" t="s">
        <v>9815</v>
      </c>
      <c r="B265" s="44" t="s">
        <v>9816</v>
      </c>
      <c r="C265" s="44" t="s">
        <v>9818</v>
      </c>
      <c r="D265" s="44" t="s">
        <v>8343</v>
      </c>
      <c r="E265" s="44" t="s">
        <v>8080</v>
      </c>
      <c r="F265" s="44" t="n">
        <v>177</v>
      </c>
      <c r="G265" s="44" t="str">
        <f aca="false">IF(O183&gt;=$X$12,"Foundational deep pass",IF(O183&gt;=$X$13,"Major deep pass",IF(O183&gt;=$X$14,"Targeted innovation pass",IF(O183&gt;=$X$15,"Sampling pass","Reference / defer"))))</f>
        <v>Foundational deep pass</v>
      </c>
      <c r="H265" s="44" t="n">
        <v>0</v>
      </c>
      <c r="I265" s="44" t="n">
        <v>6</v>
      </c>
      <c r="J265" s="44" t="n">
        <v>4</v>
      </c>
      <c r="K265" s="44" t="n">
        <v>30</v>
      </c>
      <c r="L265" s="44" t="s">
        <v>13432</v>
      </c>
      <c r="M265" s="44" t="s">
        <v>18070</v>
      </c>
      <c r="N265" s="44" t="s">
        <v>18071</v>
      </c>
    </row>
    <row r="266" customFormat="false" ht="15" hidden="false" customHeight="false" outlineLevel="0" collapsed="false">
      <c r="A266" s="44" t="s">
        <v>9822</v>
      </c>
      <c r="B266" s="44" t="s">
        <v>9823</v>
      </c>
      <c r="C266" s="44" t="s">
        <v>9818</v>
      </c>
      <c r="D266" s="44" t="s">
        <v>8343</v>
      </c>
      <c r="E266" s="44" t="s">
        <v>8180</v>
      </c>
      <c r="F266" s="44" t="n">
        <v>225</v>
      </c>
      <c r="G266" s="44" t="str">
        <f aca="false">IF(O231&gt;=$X$12,"Foundational deep pass",IF(O231&gt;=$X$13,"Major deep pass",IF(O231&gt;=$X$14,"Targeted innovation pass",IF(O231&gt;=$X$15,"Sampling pass","Reference / defer"))))</f>
        <v>Foundational deep pass</v>
      </c>
      <c r="H266" s="44" t="n">
        <v>0</v>
      </c>
      <c r="I266" s="44" t="n">
        <v>5</v>
      </c>
      <c r="J266" s="44" t="n">
        <v>4</v>
      </c>
      <c r="K266" s="44" t="n">
        <v>30</v>
      </c>
      <c r="L266" s="44" t="s">
        <v>13432</v>
      </c>
      <c r="M266" s="44" t="s">
        <v>18070</v>
      </c>
      <c r="N266" s="44" t="s">
        <v>18071</v>
      </c>
    </row>
    <row r="267" customFormat="false" ht="15" hidden="false" customHeight="false" outlineLevel="0" collapsed="false">
      <c r="A267" s="44" t="s">
        <v>9826</v>
      </c>
      <c r="B267" s="44" t="s">
        <v>9827</v>
      </c>
      <c r="C267" s="44" t="s">
        <v>9713</v>
      </c>
      <c r="D267" s="44" t="s">
        <v>9829</v>
      </c>
      <c r="E267" s="44" t="s">
        <v>8080</v>
      </c>
      <c r="F267" s="44" t="n">
        <v>184</v>
      </c>
      <c r="G267" s="44" t="str">
        <f aca="false">IF(O190&gt;=$X$12,"Foundational deep pass",IF(O190&gt;=$X$13,"Major deep pass",IF(O190&gt;=$X$14,"Targeted innovation pass",IF(O190&gt;=$X$15,"Sampling pass","Reference / defer"))))</f>
        <v>Foundational deep pass</v>
      </c>
      <c r="H267" s="44" t="n">
        <v>0</v>
      </c>
      <c r="I267" s="44" t="n">
        <v>4</v>
      </c>
      <c r="J267" s="44" t="n">
        <v>4</v>
      </c>
      <c r="K267" s="44" t="n">
        <v>30</v>
      </c>
      <c r="L267" s="44" t="s">
        <v>13432</v>
      </c>
      <c r="M267" s="44" t="s">
        <v>18070</v>
      </c>
      <c r="N267" s="44" t="s">
        <v>18071</v>
      </c>
    </row>
    <row r="268" customFormat="false" ht="15" hidden="false" customHeight="false" outlineLevel="0" collapsed="false">
      <c r="A268" s="44" t="s">
        <v>9833</v>
      </c>
      <c r="B268" s="44" t="s">
        <v>9834</v>
      </c>
      <c r="C268" s="44" t="s">
        <v>9818</v>
      </c>
      <c r="D268" s="44" t="s">
        <v>9836</v>
      </c>
      <c r="E268" s="44" t="s">
        <v>8180</v>
      </c>
      <c r="F268" s="44" t="n">
        <v>233</v>
      </c>
      <c r="G268" s="44" t="str">
        <f aca="false">IF(O239&gt;=$X$12,"Foundational deep pass",IF(O239&gt;=$X$13,"Major deep pass",IF(O239&gt;=$X$14,"Targeted innovation pass",IF(O239&gt;=$X$15,"Sampling pass","Reference / defer"))))</f>
        <v>Foundational deep pass</v>
      </c>
      <c r="H268" s="44" t="n">
        <v>0</v>
      </c>
      <c r="I268" s="44" t="n">
        <v>6</v>
      </c>
      <c r="J268" s="44" t="n">
        <v>3</v>
      </c>
      <c r="K268" s="44" t="n">
        <v>30</v>
      </c>
      <c r="L268" s="44" t="s">
        <v>13432</v>
      </c>
      <c r="M268" s="44" t="s">
        <v>18070</v>
      </c>
      <c r="N268" s="44" t="s">
        <v>18071</v>
      </c>
    </row>
    <row r="269" customFormat="false" ht="15" hidden="false" customHeight="false" outlineLevel="0" collapsed="false">
      <c r="A269" s="44" t="s">
        <v>9840</v>
      </c>
      <c r="B269" s="44" t="s">
        <v>9841</v>
      </c>
      <c r="C269" s="44" t="s">
        <v>9818</v>
      </c>
      <c r="D269" s="44" t="s">
        <v>9843</v>
      </c>
      <c r="E269" s="44" t="s">
        <v>8180</v>
      </c>
      <c r="F269" s="44" t="n">
        <v>235</v>
      </c>
      <c r="G269" s="44" t="str">
        <f aca="false">IF(O241&gt;=$X$12,"Foundational deep pass",IF(O241&gt;=$X$13,"Major deep pass",IF(O241&gt;=$X$14,"Targeted innovation pass",IF(O241&gt;=$X$15,"Sampling pass","Reference / defer"))))</f>
        <v>Foundational deep pass</v>
      </c>
      <c r="H269" s="44" t="n">
        <v>0</v>
      </c>
      <c r="I269" s="44" t="n">
        <v>6</v>
      </c>
      <c r="J269" s="44" t="n">
        <v>5</v>
      </c>
      <c r="K269" s="44" t="n">
        <v>30</v>
      </c>
      <c r="L269" s="44" t="s">
        <v>13432</v>
      </c>
      <c r="M269" s="44" t="s">
        <v>18070</v>
      </c>
      <c r="N269" s="44" t="s">
        <v>18071</v>
      </c>
    </row>
    <row r="270" customFormat="false" ht="15" hidden="false" customHeight="false" outlineLevel="0" collapsed="false">
      <c r="A270" s="44" t="s">
        <v>9846</v>
      </c>
      <c r="B270" s="44" t="s">
        <v>9847</v>
      </c>
      <c r="C270" s="44" t="s">
        <v>9818</v>
      </c>
      <c r="D270" s="44" t="s">
        <v>8343</v>
      </c>
      <c r="E270" s="44" t="s">
        <v>8180</v>
      </c>
      <c r="F270" s="44" t="n">
        <v>234</v>
      </c>
      <c r="G270" s="44" t="str">
        <f aca="false">IF(O240&gt;=$X$12,"Foundational deep pass",IF(O240&gt;=$X$13,"Major deep pass",IF(O240&gt;=$X$14,"Targeted innovation pass",IF(O240&gt;=$X$15,"Sampling pass","Reference / defer"))))</f>
        <v>Foundational deep pass</v>
      </c>
      <c r="H270" s="44" t="n">
        <v>0</v>
      </c>
      <c r="I270" s="44" t="n">
        <v>6</v>
      </c>
      <c r="J270" s="44" t="n">
        <v>1</v>
      </c>
      <c r="K270" s="44" t="n">
        <v>30</v>
      </c>
      <c r="L270" s="44" t="s">
        <v>13432</v>
      </c>
      <c r="M270" s="44" t="s">
        <v>18070</v>
      </c>
      <c r="N270" s="44" t="s">
        <v>18071</v>
      </c>
    </row>
    <row r="271" customFormat="false" ht="15" hidden="false" customHeight="false" outlineLevel="0" collapsed="false">
      <c r="A271" s="44" t="s">
        <v>9851</v>
      </c>
      <c r="B271" s="44" t="s">
        <v>9852</v>
      </c>
      <c r="C271" s="44" t="s">
        <v>9818</v>
      </c>
      <c r="D271" s="44" t="s">
        <v>8343</v>
      </c>
      <c r="E271" s="44" t="s">
        <v>8180</v>
      </c>
      <c r="F271" s="44" t="n">
        <v>218</v>
      </c>
      <c r="G271" s="44" t="str">
        <f aca="false">IF(O224&gt;=$X$12,"Foundational deep pass",IF(O224&gt;=$X$13,"Major deep pass",IF(O224&gt;=$X$14,"Targeted innovation pass",IF(O224&gt;=$X$15,"Sampling pass","Reference / defer"))))</f>
        <v>Foundational deep pass</v>
      </c>
      <c r="H271" s="44" t="n">
        <v>0</v>
      </c>
      <c r="I271" s="44" t="n">
        <v>6</v>
      </c>
      <c r="J271" s="44" t="n">
        <v>5</v>
      </c>
      <c r="K271" s="44" t="n">
        <v>30</v>
      </c>
      <c r="L271" s="44" t="s">
        <v>13432</v>
      </c>
      <c r="M271" s="44" t="s">
        <v>18070</v>
      </c>
      <c r="N271" s="44" t="s">
        <v>18071</v>
      </c>
    </row>
    <row r="272" customFormat="false" ht="15" hidden="false" customHeight="false" outlineLevel="0" collapsed="false">
      <c r="A272" s="44" t="s">
        <v>9856</v>
      </c>
      <c r="B272" s="44" t="s">
        <v>9857</v>
      </c>
      <c r="C272" s="44" t="s">
        <v>9773</v>
      </c>
      <c r="D272" s="44" t="s">
        <v>8343</v>
      </c>
      <c r="E272" s="44" t="s">
        <v>8180</v>
      </c>
      <c r="F272" s="44" t="n">
        <v>230</v>
      </c>
      <c r="G272" s="44" t="str">
        <f aca="false">IF(O236&gt;=$X$12,"Foundational deep pass",IF(O236&gt;=$X$13,"Major deep pass",IF(O236&gt;=$X$14,"Targeted innovation pass",IF(O236&gt;=$X$15,"Sampling pass","Reference / defer"))))</f>
        <v>Foundational deep pass</v>
      </c>
      <c r="H272" s="44" t="n">
        <v>0</v>
      </c>
      <c r="I272" s="44" t="n">
        <v>7</v>
      </c>
      <c r="J272" s="44" t="n">
        <v>4</v>
      </c>
      <c r="K272" s="44" t="n">
        <v>30</v>
      </c>
      <c r="L272" s="44" t="s">
        <v>13432</v>
      </c>
      <c r="M272" s="44" t="s">
        <v>18070</v>
      </c>
      <c r="N272" s="44" t="s">
        <v>18071</v>
      </c>
    </row>
    <row r="273" customFormat="false" ht="15" hidden="false" customHeight="false" outlineLevel="0" collapsed="false">
      <c r="A273" s="44" t="s">
        <v>9862</v>
      </c>
      <c r="B273" s="44" t="s">
        <v>9863</v>
      </c>
      <c r="C273" s="44" t="s">
        <v>9713</v>
      </c>
      <c r="D273" s="44" t="s">
        <v>8343</v>
      </c>
      <c r="E273" s="44" t="s">
        <v>8180</v>
      </c>
      <c r="F273" s="44" t="n">
        <v>223</v>
      </c>
      <c r="G273" s="44" t="str">
        <f aca="false">IF(O229&gt;=$X$12,"Foundational deep pass",IF(O229&gt;=$X$13,"Major deep pass",IF(O229&gt;=$X$14,"Targeted innovation pass",IF(O229&gt;=$X$15,"Sampling pass","Reference / defer"))))</f>
        <v>Foundational deep pass</v>
      </c>
      <c r="H273" s="44" t="n">
        <v>0</v>
      </c>
      <c r="I273" s="44" t="n">
        <v>6</v>
      </c>
      <c r="J273" s="44" t="n">
        <v>6</v>
      </c>
      <c r="K273" s="44" t="n">
        <v>30</v>
      </c>
      <c r="L273" s="44" t="s">
        <v>13432</v>
      </c>
      <c r="M273" s="44" t="s">
        <v>18070</v>
      </c>
      <c r="N273" s="44" t="s">
        <v>18071</v>
      </c>
    </row>
    <row r="274" customFormat="false" ht="15" hidden="false" customHeight="false" outlineLevel="0" collapsed="false">
      <c r="A274" s="44" t="s">
        <v>9868</v>
      </c>
      <c r="B274" s="44" t="s">
        <v>9869</v>
      </c>
      <c r="C274" s="44" t="s">
        <v>9818</v>
      </c>
      <c r="D274" s="44" t="s">
        <v>9836</v>
      </c>
      <c r="E274" s="44" t="s">
        <v>8180</v>
      </c>
      <c r="F274" s="44" t="n">
        <v>237</v>
      </c>
      <c r="G274" s="44" t="str">
        <f aca="false">IF(O243&gt;=$X$12,"Foundational deep pass",IF(O243&gt;=$X$13,"Major deep pass",IF(O243&gt;=$X$14,"Targeted innovation pass",IF(O243&gt;=$X$15,"Sampling pass","Reference / defer"))))</f>
        <v>Foundational deep pass</v>
      </c>
      <c r="H274" s="44" t="n">
        <v>0</v>
      </c>
      <c r="I274" s="44" t="n">
        <v>6</v>
      </c>
      <c r="J274" s="44" t="n">
        <v>4</v>
      </c>
      <c r="K274" s="44" t="n">
        <v>30</v>
      </c>
      <c r="L274" s="44" t="s">
        <v>13432</v>
      </c>
      <c r="M274" s="44" t="s">
        <v>18070</v>
      </c>
      <c r="N274" s="44" t="s">
        <v>18071</v>
      </c>
    </row>
    <row r="275" customFormat="false" ht="15" hidden="false" customHeight="false" outlineLevel="0" collapsed="false">
      <c r="A275" s="44" t="s">
        <v>9873</v>
      </c>
      <c r="B275" s="44" t="s">
        <v>9874</v>
      </c>
      <c r="C275" s="44" t="s">
        <v>9818</v>
      </c>
      <c r="D275" s="44" t="s">
        <v>9836</v>
      </c>
      <c r="E275" s="44" t="s">
        <v>8539</v>
      </c>
      <c r="F275" s="44" t="n">
        <v>275</v>
      </c>
      <c r="G275" s="44" t="str">
        <f aca="false">IF(O281&gt;=$X$12,"Foundational deep pass",IF(O281&gt;=$X$13,"Major deep pass",IF(O281&gt;=$X$14,"Targeted innovation pass",IF(O281&gt;=$X$15,"Sampling pass","Reference / defer"))))</f>
        <v>Foundational deep pass</v>
      </c>
      <c r="H275" s="44" t="n">
        <v>0</v>
      </c>
      <c r="I275" s="44" t="n">
        <v>5</v>
      </c>
      <c r="J275" s="44" t="n">
        <v>4</v>
      </c>
      <c r="K275" s="44" t="n">
        <v>30</v>
      </c>
      <c r="L275" s="44" t="s">
        <v>13432</v>
      </c>
      <c r="M275" s="44" t="s">
        <v>18070</v>
      </c>
      <c r="N275" s="44" t="s">
        <v>18071</v>
      </c>
    </row>
    <row r="276" customFormat="false" ht="15" hidden="false" customHeight="false" outlineLevel="0" collapsed="false">
      <c r="A276" s="44" t="s">
        <v>9878</v>
      </c>
      <c r="B276" s="44" t="s">
        <v>9879</v>
      </c>
      <c r="C276" s="44" t="s">
        <v>9818</v>
      </c>
      <c r="D276" s="44" t="s">
        <v>9836</v>
      </c>
      <c r="E276" s="44" t="s">
        <v>8539</v>
      </c>
      <c r="F276" s="44" t="n">
        <v>276</v>
      </c>
      <c r="G276" s="44" t="str">
        <f aca="false">IF(O282&gt;=$X$12,"Foundational deep pass",IF(O282&gt;=$X$13,"Major deep pass",IF(O282&gt;=$X$14,"Targeted innovation pass",IF(O282&gt;=$X$15,"Sampling pass","Reference / defer"))))</f>
        <v>Foundational deep pass</v>
      </c>
      <c r="H276" s="44" t="n">
        <v>0</v>
      </c>
      <c r="I276" s="44" t="n">
        <v>5</v>
      </c>
      <c r="J276" s="44" t="n">
        <v>4</v>
      </c>
      <c r="K276" s="44" t="n">
        <v>30</v>
      </c>
      <c r="L276" s="44" t="s">
        <v>13432</v>
      </c>
      <c r="M276" s="44" t="s">
        <v>18070</v>
      </c>
      <c r="N276" s="44" t="s">
        <v>18071</v>
      </c>
    </row>
    <row r="277" customFormat="false" ht="15" hidden="false" customHeight="false" outlineLevel="0" collapsed="false">
      <c r="A277" s="44" t="s">
        <v>9883</v>
      </c>
      <c r="B277" s="44" t="s">
        <v>9884</v>
      </c>
      <c r="C277" s="44" t="s">
        <v>9818</v>
      </c>
      <c r="D277" s="44" t="s">
        <v>9706</v>
      </c>
      <c r="E277" s="44" t="s">
        <v>8080</v>
      </c>
      <c r="F277" s="44" t="n">
        <v>182</v>
      </c>
      <c r="G277" s="44" t="str">
        <f aca="false">IF(O188&gt;=$X$12,"Foundational deep pass",IF(O188&gt;=$X$13,"Major deep pass",IF(O188&gt;=$X$14,"Targeted innovation pass",IF(O188&gt;=$X$15,"Sampling pass","Reference / defer"))))</f>
        <v>Foundational deep pass</v>
      </c>
      <c r="H277" s="44" t="n">
        <v>0</v>
      </c>
      <c r="I277" s="44" t="n">
        <v>5</v>
      </c>
      <c r="J277" s="44" t="n">
        <v>1</v>
      </c>
      <c r="K277" s="44" t="n">
        <v>30</v>
      </c>
      <c r="L277" s="44" t="s">
        <v>13432</v>
      </c>
      <c r="M277" s="44" t="s">
        <v>18070</v>
      </c>
      <c r="N277" s="44" t="s">
        <v>18071</v>
      </c>
    </row>
    <row r="278" customFormat="false" ht="15" hidden="false" customHeight="false" outlineLevel="0" collapsed="false">
      <c r="A278" s="44" t="s">
        <v>9889</v>
      </c>
      <c r="B278" s="44" t="s">
        <v>9890</v>
      </c>
      <c r="C278" s="44" t="s">
        <v>9892</v>
      </c>
      <c r="D278" s="44" t="s">
        <v>9893</v>
      </c>
      <c r="E278" s="44" t="s">
        <v>8080</v>
      </c>
      <c r="F278" s="44" t="n">
        <v>1</v>
      </c>
      <c r="G278" s="44" t="str">
        <f aca="false">IF(O7&gt;=$X$12,"Foundational deep pass",IF(O7&gt;=$X$13,"Major deep pass",IF(O7&gt;=$X$14,"Targeted innovation pass",IF(O7&gt;=$X$15,"Sampling pass","Reference / defer"))))</f>
        <v>Foundational deep pass</v>
      </c>
      <c r="H278" s="44" t="n">
        <v>81</v>
      </c>
      <c r="I278" s="44" t="n">
        <v>8</v>
      </c>
      <c r="J278" s="44" t="n">
        <v>2</v>
      </c>
      <c r="K278" s="44" t="n">
        <v>30</v>
      </c>
      <c r="L278" s="44" t="s">
        <v>18075</v>
      </c>
      <c r="M278" s="44" t="s">
        <v>18070</v>
      </c>
      <c r="N278" s="44" t="s">
        <v>18073</v>
      </c>
    </row>
    <row r="279" customFormat="false" ht="15" hidden="false" customHeight="false" outlineLevel="0" collapsed="false">
      <c r="A279" s="44" t="s">
        <v>9898</v>
      </c>
      <c r="B279" s="44" t="s">
        <v>9899</v>
      </c>
      <c r="C279" s="44" t="s">
        <v>9901</v>
      </c>
      <c r="D279" s="44" t="s">
        <v>9893</v>
      </c>
      <c r="E279" s="44" t="s">
        <v>8080</v>
      </c>
      <c r="F279" s="44" t="n">
        <v>2</v>
      </c>
      <c r="G279" s="44" t="str">
        <f aca="false">IF(O8&gt;=$X$12,"Foundational deep pass",IF(O8&gt;=$X$13,"Major deep pass",IF(O8&gt;=$X$14,"Targeted innovation pass",IF(O8&gt;=$X$15,"Sampling pass","Reference / defer"))))</f>
        <v>Foundational deep pass</v>
      </c>
      <c r="H279" s="44" t="n">
        <v>9</v>
      </c>
      <c r="I279" s="44" t="n">
        <v>8</v>
      </c>
      <c r="J279" s="44" t="n">
        <v>1</v>
      </c>
      <c r="K279" s="44" t="n">
        <v>30</v>
      </c>
      <c r="L279" s="44" t="s">
        <v>18074</v>
      </c>
      <c r="M279" s="44" t="s">
        <v>18070</v>
      </c>
      <c r="N279" s="44" t="s">
        <v>18073</v>
      </c>
    </row>
    <row r="280" customFormat="false" ht="15" hidden="false" customHeight="false" outlineLevel="0" collapsed="false">
      <c r="A280" s="44" t="s">
        <v>9907</v>
      </c>
      <c r="B280" s="44" t="s">
        <v>9908</v>
      </c>
      <c r="C280" s="44" t="s">
        <v>8247</v>
      </c>
      <c r="D280" s="44" t="s">
        <v>9910</v>
      </c>
      <c r="E280" s="44" t="s">
        <v>8080</v>
      </c>
      <c r="F280" s="44" t="n">
        <v>4</v>
      </c>
      <c r="G280" s="44" t="str">
        <f aca="false">IF(O10&gt;=$X$12,"Foundational deep pass",IF(O10&gt;=$X$13,"Major deep pass",IF(O10&gt;=$X$14,"Targeted innovation pass",IF(O10&gt;=$X$15,"Sampling pass","Reference / defer"))))</f>
        <v>Foundational deep pass</v>
      </c>
      <c r="H280" s="44" t="n">
        <v>0</v>
      </c>
      <c r="I280" s="44" t="n">
        <v>15</v>
      </c>
      <c r="J280" s="44" t="n">
        <v>6</v>
      </c>
      <c r="K280" s="44" t="n">
        <v>30</v>
      </c>
      <c r="L280" s="44" t="s">
        <v>13432</v>
      </c>
      <c r="M280" s="44" t="s">
        <v>18070</v>
      </c>
      <c r="N280" s="44" t="s">
        <v>18071</v>
      </c>
    </row>
    <row r="281" customFormat="false" ht="15" hidden="false" customHeight="false" outlineLevel="0" collapsed="false">
      <c r="A281" s="44" t="s">
        <v>9916</v>
      </c>
      <c r="B281" s="44" t="s">
        <v>9917</v>
      </c>
      <c r="C281" s="44" t="s">
        <v>9919</v>
      </c>
      <c r="D281" s="44" t="s">
        <v>9920</v>
      </c>
      <c r="E281" s="44" t="s">
        <v>8080</v>
      </c>
      <c r="F281" s="44" t="n">
        <v>10</v>
      </c>
      <c r="G281" s="44" t="str">
        <f aca="false">IF(O16&gt;=$X$12,"Foundational deep pass",IF(O16&gt;=$X$13,"Major deep pass",IF(O16&gt;=$X$14,"Targeted innovation pass",IF(O16&gt;=$X$15,"Sampling pass","Reference / defer"))))</f>
        <v>Foundational deep pass</v>
      </c>
      <c r="H281" s="44" t="n">
        <v>0</v>
      </c>
      <c r="I281" s="44" t="n">
        <v>10</v>
      </c>
      <c r="J281" s="44" t="n">
        <v>3</v>
      </c>
      <c r="K281" s="44" t="n">
        <v>30</v>
      </c>
      <c r="L281" s="44" t="s">
        <v>13432</v>
      </c>
      <c r="M281" s="44" t="s">
        <v>18070</v>
      </c>
      <c r="N281" s="44" t="s">
        <v>18071</v>
      </c>
    </row>
    <row r="282" customFormat="false" ht="15" hidden="false" customHeight="false" outlineLevel="0" collapsed="false">
      <c r="A282" s="44" t="s">
        <v>9926</v>
      </c>
      <c r="B282" s="44" t="s">
        <v>144</v>
      </c>
      <c r="C282" s="44" t="s">
        <v>9928</v>
      </c>
      <c r="D282" s="44" t="s">
        <v>9929</v>
      </c>
      <c r="E282" s="44" t="s">
        <v>8080</v>
      </c>
      <c r="F282" s="44" t="n">
        <v>27</v>
      </c>
      <c r="G282" s="44" t="str">
        <f aca="false">IF(O33&gt;=$X$12,"Foundational deep pass",IF(O33&gt;=$X$13,"Major deep pass",IF(O33&gt;=$X$14,"Targeted innovation pass",IF(O33&gt;=$X$15,"Sampling pass","Reference / defer"))))</f>
        <v>Foundational deep pass</v>
      </c>
      <c r="H282" s="44" t="n">
        <v>26</v>
      </c>
      <c r="I282" s="44" t="n">
        <v>6</v>
      </c>
      <c r="J282" s="44" t="n">
        <v>3</v>
      </c>
      <c r="K282" s="44" t="n">
        <v>30</v>
      </c>
      <c r="L282" s="44" t="s">
        <v>18072</v>
      </c>
      <c r="M282" s="44" t="s">
        <v>18070</v>
      </c>
      <c r="N282" s="44" t="s">
        <v>18073</v>
      </c>
    </row>
    <row r="285" customFormat="false" ht="15" hidden="false" customHeight="false" outlineLevel="0" collapsed="false">
      <c r="A285" s="1" t="s">
        <v>18076</v>
      </c>
      <c r="B285" s="1" t="s">
        <v>18077</v>
      </c>
    </row>
    <row r="286" customFormat="false" ht="15" hidden="false" customHeight="false" outlineLevel="0" collapsed="false">
      <c r="A286" s="1" t="s">
        <v>13432</v>
      </c>
      <c r="B286" s="1" t="n">
        <v>260</v>
      </c>
    </row>
    <row r="287" customFormat="false" ht="15" hidden="false" customHeight="false" outlineLevel="0" collapsed="false">
      <c r="A287" s="1" t="s">
        <v>18072</v>
      </c>
      <c r="B287" s="1" t="n">
        <v>11</v>
      </c>
    </row>
    <row r="288" customFormat="false" ht="15" hidden="false" customHeight="false" outlineLevel="0" collapsed="false">
      <c r="A288" s="1" t="s">
        <v>18074</v>
      </c>
      <c r="B288" s="1" t="n">
        <v>8</v>
      </c>
    </row>
    <row r="289" customFormat="false" ht="15" hidden="false" customHeight="false" outlineLevel="0" collapsed="false">
      <c r="A289" s="1" t="s">
        <v>18075</v>
      </c>
      <c r="B289" s="1" t="n">
        <v>2</v>
      </c>
    </row>
  </sheetData>
  <autoFilter ref="A1:N282"/>
  <conditionalFormatting sqref="H2:J282">
    <cfRule type="colorScale" priority="2">
      <colorScale>
        <cfvo type="min" val="0"/>
        <cfvo type="percentile" val="50"/>
        <cfvo type="max" val="0"/>
        <color rgb="FFFEE2E2"/>
        <color rgb="FFFEF3C7"/>
        <color rgb="FFD1FAE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2026-08-17T02:37:58Z</dcterms:created>
  <dc:creator>openpyxl</dc:creator>
  <dc:description/>
  <dc:language>en-US</dc:language>
  <cp:lastModifiedBy/>
  <dcterms:modified xsi:type="dcterms:W3CDTF">2026-08-17T02:38:02Z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